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ii\Desktop\Excel_project\"/>
    </mc:Choice>
  </mc:AlternateContent>
  <xr:revisionPtr revIDLastSave="0" documentId="13_ncr:1_{FD6914C0-2908-4A7B-9525-00481B85A0A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2012" sheetId="1" r:id="rId1"/>
    <sheet name="2011" sheetId="2" r:id="rId2"/>
    <sheet name="2010" sheetId="3" r:id="rId3"/>
    <sheet name="Data Consolidation" sheetId="7" r:id="rId4"/>
    <sheet name="Maps" sheetId="8" r:id="rId5"/>
    <sheet name="Dashboard" sheetId="5" r:id="rId6"/>
  </sheets>
  <definedNames>
    <definedName name="Alabama">Maps!$C$3</definedName>
    <definedName name="Alaska">Maps!$C$4</definedName>
    <definedName name="Arizona">Maps!$C$5</definedName>
    <definedName name="Arkansas">Maps!$C$6</definedName>
    <definedName name="Arr_Dep">'Data Consolidation'!$H$10</definedName>
    <definedName name="California">Maps!$C$7</definedName>
    <definedName name="Colorado">Maps!$C$8</definedName>
    <definedName name="Connecticut">Maps!$C$9</definedName>
    <definedName name="Delaware">Maps!$C$10</definedName>
    <definedName name="District_of_Columbia">Maps!$C$11</definedName>
    <definedName name="Florida">Maps!$C$12</definedName>
    <definedName name="Georgia">Maps!$C$13</definedName>
    <definedName name="Hawaii">Maps!$C$14</definedName>
    <definedName name="Idaho">Maps!$C$15</definedName>
    <definedName name="Illinois">Maps!$C$16</definedName>
    <definedName name="Indiana">Maps!$C$17</definedName>
    <definedName name="Iowa">Maps!$C$18</definedName>
    <definedName name="Kansas">Maps!$C$19</definedName>
    <definedName name="Kentucky">Maps!$C$20</definedName>
    <definedName name="List">'Data Consolidation'!$D$14:$D$65</definedName>
    <definedName name="List2">'Data Consolidation'!$Z$14:$Z$65</definedName>
    <definedName name="Louisiana">Maps!$C$21</definedName>
    <definedName name="Maine">Maps!$C$22</definedName>
    <definedName name="MapState">INDIRECT('Data Consolidation'!$G$2)</definedName>
    <definedName name="Maryland">Maps!$C$23</definedName>
    <definedName name="Massachusetts">Maps!$C$24</definedName>
    <definedName name="Michigan">Maps!$C$25</definedName>
    <definedName name="Minnesota">Maps!$C$26</definedName>
    <definedName name="Mississippi">Maps!$C$27</definedName>
    <definedName name="Missouri">Maps!$C$28</definedName>
    <definedName name="Montana">Maps!$C$29</definedName>
    <definedName name="Nebraska">Maps!$C$30</definedName>
    <definedName name="Nevada">Maps!$C$31</definedName>
    <definedName name="New_Hampshire">Maps!$C$32</definedName>
    <definedName name="New_Jersey">Maps!$C$33</definedName>
    <definedName name="New_Mexico">Maps!$C$34</definedName>
    <definedName name="New_York">Maps!$C$35</definedName>
    <definedName name="North_Carolina">Maps!$C$36</definedName>
    <definedName name="North_Dakota">Maps!$C$37</definedName>
    <definedName name="Ohio">Maps!$C$38</definedName>
    <definedName name="Oklahoma">Maps!$C$39</definedName>
    <definedName name="Order">'Data Consolidation'!$N$10</definedName>
    <definedName name="Oregon">Maps!$C$40</definedName>
    <definedName name="Pennsylvania">Maps!$C$41</definedName>
    <definedName name="Puerto_Rico">Maps!$C$42</definedName>
    <definedName name="Ranksel">'Data Consolidation'!$E$9</definedName>
    <definedName name="Rhode_Island">Maps!$C$43</definedName>
    <definedName name="South_Carolina">Maps!$C$44</definedName>
    <definedName name="South_Dakota">Maps!$C$45</definedName>
    <definedName name="state">'Data Consolidation'!$E$2</definedName>
    <definedName name="state1">'Data Consolidation'!$E$10</definedName>
    <definedName name="state2">'Data Consolidation'!$X$6</definedName>
    <definedName name="Tennessee">Maps!$C$46</definedName>
    <definedName name="Texas">Maps!$C$47</definedName>
    <definedName name="United_States">Maps!$C$2</definedName>
    <definedName name="Utah">Maps!$C$48</definedName>
    <definedName name="Vermont">Maps!$C$49</definedName>
    <definedName name="Virginia">Maps!$C$50</definedName>
    <definedName name="Washington">Maps!$C$51</definedName>
    <definedName name="West_Virginia">Maps!$C$52</definedName>
    <definedName name="Wisconsin">Maps!$C$53</definedName>
    <definedName name="Wyoming">Maps!$C$54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H10" i="7"/>
  <c r="E9" i="7"/>
  <c r="AC7" i="7"/>
  <c r="AB7" i="7"/>
  <c r="AA7" i="7"/>
  <c r="AC6" i="7"/>
  <c r="AB6" i="7"/>
  <c r="AA6" i="7"/>
  <c r="AC5" i="7"/>
  <c r="AB5" i="7"/>
  <c r="AA5" i="7"/>
  <c r="AA8" i="7" s="1"/>
  <c r="AC8" i="7" l="1"/>
  <c r="AB8" i="7"/>
  <c r="W6" i="5" s="1"/>
  <c r="W5" i="5"/>
  <c r="W7" i="5"/>
  <c r="E2" i="7"/>
  <c r="B13" i="7" l="1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2" i="7"/>
  <c r="B20" i="7"/>
  <c r="B18" i="7"/>
  <c r="B16" i="7"/>
  <c r="B14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C29" i="5"/>
  <c r="F6" i="7"/>
  <c r="G6" i="7"/>
  <c r="E6" i="7"/>
  <c r="E10" i="7"/>
  <c r="G2" i="7"/>
  <c r="Z63" i="7" l="1" a="1"/>
  <c r="Z63" i="7" s="1"/>
  <c r="Z61" i="7" a="1"/>
  <c r="Z61" i="7" s="1"/>
  <c r="Z59" i="7" a="1"/>
  <c r="Z59" i="7" s="1"/>
  <c r="Z57" i="7" a="1"/>
  <c r="Z57" i="7" s="1"/>
  <c r="Z55" i="7" a="1"/>
  <c r="Z55" i="7" s="1"/>
  <c r="Z53" i="7" a="1"/>
  <c r="Z53" i="7" s="1"/>
  <c r="Z51" i="7" a="1"/>
  <c r="Z51" i="7" s="1"/>
  <c r="Z49" i="7" a="1"/>
  <c r="Z49" i="7" s="1"/>
  <c r="Z47" i="7" a="1"/>
  <c r="Z47" i="7" s="1"/>
  <c r="Z45" i="7" a="1"/>
  <c r="Z45" i="7" s="1"/>
  <c r="Z43" i="7" a="1"/>
  <c r="Z43" i="7" s="1"/>
  <c r="Z41" i="7" a="1"/>
  <c r="Z41" i="7" s="1"/>
  <c r="Z39" i="7" a="1"/>
  <c r="Z39" i="7" s="1"/>
  <c r="Z37" i="7" a="1"/>
  <c r="Z37" i="7" s="1"/>
  <c r="Z35" i="7" a="1"/>
  <c r="Z35" i="7" s="1"/>
  <c r="Z33" i="7" a="1"/>
  <c r="Z33" i="7" s="1"/>
  <c r="Z31" i="7" a="1"/>
  <c r="Z31" i="7" s="1"/>
  <c r="Z29" i="7" a="1"/>
  <c r="Z29" i="7" s="1"/>
  <c r="Z27" i="7" a="1"/>
  <c r="Z27" i="7" s="1"/>
  <c r="Z25" i="7" a="1"/>
  <c r="Z25" i="7" s="1"/>
  <c r="Z23" i="7" a="1"/>
  <c r="Z23" i="7" s="1"/>
  <c r="Z21" i="7" a="1"/>
  <c r="Z21" i="7" s="1"/>
  <c r="Z19" i="7" a="1"/>
  <c r="Z19" i="7" s="1"/>
  <c r="Z17" i="7" a="1"/>
  <c r="Z17" i="7" s="1"/>
  <c r="Z15" i="7" a="1"/>
  <c r="Z15" i="7" s="1"/>
  <c r="Z62" i="7" a="1"/>
  <c r="Z62" i="7" s="1"/>
  <c r="Z60" i="7" a="1"/>
  <c r="Z60" i="7" s="1"/>
  <c r="Z58" i="7" a="1"/>
  <c r="Z58" i="7" s="1"/>
  <c r="Z56" i="7" a="1"/>
  <c r="Z56" i="7" s="1"/>
  <c r="Z54" i="7" a="1"/>
  <c r="Z54" i="7" s="1"/>
  <c r="Z52" i="7" a="1"/>
  <c r="Z52" i="7" s="1"/>
  <c r="Z50" i="7" a="1"/>
  <c r="Z50" i="7" s="1"/>
  <c r="Z48" i="7" a="1"/>
  <c r="Z48" i="7" s="1"/>
  <c r="Z46" i="7" a="1"/>
  <c r="Z46" i="7" s="1"/>
  <c r="Z44" i="7" a="1"/>
  <c r="Z44" i="7" s="1"/>
  <c r="Z42" i="7" a="1"/>
  <c r="Z42" i="7" s="1"/>
  <c r="Z40" i="7" a="1"/>
  <c r="Z40" i="7" s="1"/>
  <c r="Z38" i="7" a="1"/>
  <c r="Z38" i="7" s="1"/>
  <c r="Z36" i="7" a="1"/>
  <c r="Z36" i="7" s="1"/>
  <c r="Z34" i="7" a="1"/>
  <c r="Z34" i="7" s="1"/>
  <c r="Z32" i="7" a="1"/>
  <c r="Z32" i="7" s="1"/>
  <c r="Z30" i="7" a="1"/>
  <c r="Z30" i="7" s="1"/>
  <c r="Z28" i="7" a="1"/>
  <c r="Z28" i="7" s="1"/>
  <c r="Z24" i="7" a="1"/>
  <c r="Z24" i="7" s="1"/>
  <c r="Z22" i="7" a="1"/>
  <c r="Z22" i="7" s="1"/>
  <c r="Z18" i="7" a="1"/>
  <c r="Z18" i="7" s="1"/>
  <c r="Z14" i="7" a="1"/>
  <c r="Z14" i="7" s="1"/>
  <c r="Z64" i="7" a="1"/>
  <c r="Z64" i="7" s="1"/>
  <c r="Z26" i="7" a="1"/>
  <c r="Z26" i="7" s="1"/>
  <c r="Z20" i="7" a="1"/>
  <c r="Z20" i="7" s="1"/>
  <c r="Z16" i="7" a="1"/>
  <c r="Z16" i="7" s="1"/>
  <c r="G7" i="7"/>
  <c r="K22" i="5" s="1"/>
  <c r="F7" i="7"/>
  <c r="K21" i="5" s="1"/>
  <c r="E7" i="7"/>
  <c r="J22" i="5"/>
  <c r="J21" i="5"/>
  <c r="G5" i="7"/>
  <c r="I22" i="5" s="1"/>
  <c r="F5" i="7"/>
  <c r="I21" i="5" s="1"/>
  <c r="E5" i="7"/>
  <c r="X6" i="7" l="1"/>
  <c r="S5" i="7"/>
  <c r="DJ62" i="1" l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DJ36" i="1"/>
  <c r="DI36" i="1"/>
  <c r="DH36" i="1"/>
  <c r="DG36" i="1"/>
  <c r="DF36" i="1"/>
  <c r="DE36" i="1"/>
  <c r="DD36" i="1"/>
  <c r="DC36" i="1"/>
  <c r="DB36" i="1"/>
  <c r="DA36" i="1"/>
  <c r="CZ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DJ35" i="1"/>
  <c r="DI35" i="1"/>
  <c r="DH35" i="1"/>
  <c r="DG35" i="1"/>
  <c r="DF35" i="1"/>
  <c r="DE35" i="1"/>
  <c r="DD35" i="1"/>
  <c r="DC35" i="1"/>
  <c r="DB35" i="1"/>
  <c r="DA35" i="1"/>
  <c r="CZ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DJ32" i="1"/>
  <c r="DI32" i="1"/>
  <c r="DH32" i="1"/>
  <c r="DG32" i="1"/>
  <c r="DF32" i="1"/>
  <c r="DE32" i="1"/>
  <c r="DD32" i="1"/>
  <c r="DC32" i="1"/>
  <c r="DB32" i="1"/>
  <c r="DA32" i="1"/>
  <c r="CZ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DJ31" i="1"/>
  <c r="DI31" i="1"/>
  <c r="DH31" i="1"/>
  <c r="DG31" i="1"/>
  <c r="DF31" i="1"/>
  <c r="DE31" i="1"/>
  <c r="DD31" i="1"/>
  <c r="DC31" i="1"/>
  <c r="DB31" i="1"/>
  <c r="DA31" i="1"/>
  <c r="CZ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DJ30" i="1"/>
  <c r="DI30" i="1"/>
  <c r="DH30" i="1"/>
  <c r="DG30" i="1"/>
  <c r="DF30" i="1"/>
  <c r="DE30" i="1"/>
  <c r="DD30" i="1"/>
  <c r="DC30" i="1"/>
  <c r="DB30" i="1"/>
  <c r="DA30" i="1"/>
  <c r="CZ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DJ28" i="1"/>
  <c r="DI28" i="1"/>
  <c r="DH28" i="1"/>
  <c r="DG28" i="1"/>
  <c r="DF28" i="1"/>
  <c r="DE28" i="1"/>
  <c r="DD28" i="1"/>
  <c r="DC28" i="1"/>
  <c r="DB28" i="1"/>
  <c r="DA28" i="1"/>
  <c r="CZ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DJ27" i="1"/>
  <c r="DI27" i="1"/>
  <c r="DH27" i="1"/>
  <c r="DG27" i="1"/>
  <c r="DF27" i="1"/>
  <c r="DE27" i="1"/>
  <c r="DD27" i="1"/>
  <c r="DC27" i="1"/>
  <c r="DB27" i="1"/>
  <c r="DA27" i="1"/>
  <c r="CZ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DJ26" i="1"/>
  <c r="DI26" i="1"/>
  <c r="DH26" i="1"/>
  <c r="DG2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DJ25" i="1"/>
  <c r="DI25" i="1"/>
  <c r="DH25" i="1"/>
  <c r="DG25" i="1"/>
  <c r="DF25" i="1"/>
  <c r="DE25" i="1"/>
  <c r="DD25" i="1"/>
  <c r="DC25" i="1"/>
  <c r="DB25" i="1"/>
  <c r="DA25" i="1"/>
  <c r="CZ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DJ24" i="1"/>
  <c r="DI24" i="1"/>
  <c r="DH24" i="1"/>
  <c r="DG24" i="1"/>
  <c r="DF24" i="1"/>
  <c r="DE24" i="1"/>
  <c r="DD24" i="1"/>
  <c r="DC24" i="1"/>
  <c r="DB24" i="1"/>
  <c r="DA24" i="1"/>
  <c r="CZ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DJ23" i="1"/>
  <c r="DI23" i="1"/>
  <c r="DH23" i="1"/>
  <c r="DG23" i="1"/>
  <c r="DF23" i="1"/>
  <c r="DE23" i="1"/>
  <c r="DD23" i="1"/>
  <c r="DC23" i="1"/>
  <c r="DB23" i="1"/>
  <c r="DA23" i="1"/>
  <c r="CZ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DJ22" i="1"/>
  <c r="DI22" i="1"/>
  <c r="DH22" i="1"/>
  <c r="DG22" i="1"/>
  <c r="DF22" i="1"/>
  <c r="DE22" i="1"/>
  <c r="DD22" i="1"/>
  <c r="DC22" i="1"/>
  <c r="DB22" i="1"/>
  <c r="DA22" i="1"/>
  <c r="CZ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DJ21" i="1"/>
  <c r="DI21" i="1"/>
  <c r="DH21" i="1"/>
  <c r="DG21" i="1"/>
  <c r="DF21" i="1"/>
  <c r="DE21" i="1"/>
  <c r="DD21" i="1"/>
  <c r="DC21" i="1"/>
  <c r="DB21" i="1"/>
  <c r="DA21" i="1"/>
  <c r="CZ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DJ20" i="1"/>
  <c r="DI20" i="1"/>
  <c r="DH20" i="1"/>
  <c r="DG20" i="1"/>
  <c r="DF20" i="1"/>
  <c r="DE20" i="1"/>
  <c r="DD20" i="1"/>
  <c r="DC20" i="1"/>
  <c r="DB20" i="1"/>
  <c r="DA20" i="1"/>
  <c r="CZ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DJ19" i="1"/>
  <c r="DI19" i="1"/>
  <c r="DH19" i="1"/>
  <c r="DG19" i="1"/>
  <c r="DF19" i="1"/>
  <c r="DE19" i="1"/>
  <c r="DD19" i="1"/>
  <c r="DC19" i="1"/>
  <c r="DB19" i="1"/>
  <c r="DA19" i="1"/>
  <c r="CZ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DJ17" i="1"/>
  <c r="DI17" i="1"/>
  <c r="DH17" i="1"/>
  <c r="DG17" i="1"/>
  <c r="DF17" i="1"/>
  <c r="DE17" i="1"/>
  <c r="DD17" i="1"/>
  <c r="DC17" i="1"/>
  <c r="DB17" i="1"/>
  <c r="DA17" i="1"/>
  <c r="CZ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X9" i="7" s="1"/>
  <c r="I12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E53" i="7" s="1"/>
  <c r="BH11" i="1"/>
  <c r="E65" i="7" s="1"/>
  <c r="BG11" i="1"/>
  <c r="E64" i="7" s="1"/>
  <c r="BF11" i="1"/>
  <c r="E63" i="7" s="1"/>
  <c r="BE11" i="1"/>
  <c r="E62" i="7" s="1"/>
  <c r="BD11" i="1"/>
  <c r="E61" i="7" s="1"/>
  <c r="BC11" i="1"/>
  <c r="E60" i="7" s="1"/>
  <c r="BB11" i="1"/>
  <c r="E59" i="7" s="1"/>
  <c r="BA11" i="1"/>
  <c r="E58" i="7" s="1"/>
  <c r="AZ11" i="1"/>
  <c r="E57" i="7" s="1"/>
  <c r="AY11" i="1"/>
  <c r="E56" i="7" s="1"/>
  <c r="AX11" i="1"/>
  <c r="E55" i="7" s="1"/>
  <c r="AW11" i="1"/>
  <c r="E54" i="7" s="1"/>
  <c r="AV11" i="1"/>
  <c r="E52" i="7" s="1"/>
  <c r="AU11" i="1"/>
  <c r="E51" i="7" s="1"/>
  <c r="AT11" i="1"/>
  <c r="E50" i="7" s="1"/>
  <c r="AS11" i="1"/>
  <c r="E49" i="7" s="1"/>
  <c r="AR11" i="1"/>
  <c r="E48" i="7" s="1"/>
  <c r="AQ11" i="1"/>
  <c r="E47" i="7" s="1"/>
  <c r="AP11" i="1"/>
  <c r="E46" i="7" s="1"/>
  <c r="AO11" i="1"/>
  <c r="E45" i="7" s="1"/>
  <c r="AN11" i="1"/>
  <c r="E44" i="7" s="1"/>
  <c r="AM11" i="1"/>
  <c r="E43" i="7" s="1"/>
  <c r="AL11" i="1"/>
  <c r="E42" i="7" s="1"/>
  <c r="AK11" i="1"/>
  <c r="E41" i="7" s="1"/>
  <c r="AJ11" i="1"/>
  <c r="E40" i="7" s="1"/>
  <c r="AI11" i="1"/>
  <c r="E39" i="7" s="1"/>
  <c r="AH11" i="1"/>
  <c r="E38" i="7" s="1"/>
  <c r="AG11" i="1"/>
  <c r="E37" i="7" s="1"/>
  <c r="AF11" i="1"/>
  <c r="E36" i="7" s="1"/>
  <c r="AE11" i="1"/>
  <c r="E35" i="7" s="1"/>
  <c r="AD11" i="1"/>
  <c r="E34" i="7" s="1"/>
  <c r="AC11" i="1"/>
  <c r="E33" i="7" s="1"/>
  <c r="AB11" i="1"/>
  <c r="E32" i="7" s="1"/>
  <c r="AA11" i="1"/>
  <c r="E31" i="7" s="1"/>
  <c r="Z11" i="1"/>
  <c r="E30" i="7" s="1"/>
  <c r="Y11" i="1"/>
  <c r="E29" i="7" s="1"/>
  <c r="X11" i="1"/>
  <c r="E28" i="7" s="1"/>
  <c r="W11" i="1"/>
  <c r="E27" i="7" s="1"/>
  <c r="V11" i="1"/>
  <c r="E26" i="7" s="1"/>
  <c r="U11" i="1"/>
  <c r="E25" i="7" s="1"/>
  <c r="T11" i="1"/>
  <c r="E24" i="7" s="1"/>
  <c r="S11" i="1"/>
  <c r="E23" i="7" s="1"/>
  <c r="R11" i="1"/>
  <c r="E22" i="7" s="1"/>
  <c r="Q11" i="1"/>
  <c r="E21" i="7" s="1"/>
  <c r="P11" i="1"/>
  <c r="E20" i="7" s="1"/>
  <c r="O11" i="1"/>
  <c r="E19" i="7" s="1"/>
  <c r="N11" i="1"/>
  <c r="E18" i="7" s="1"/>
  <c r="M11" i="1"/>
  <c r="E17" i="7" s="1"/>
  <c r="L11" i="1"/>
  <c r="E16" i="7" s="1"/>
  <c r="K11" i="1"/>
  <c r="E15" i="7" s="1"/>
  <c r="J11" i="1"/>
  <c r="E14" i="7" s="1"/>
  <c r="I11" i="1"/>
  <c r="H5" i="7" s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DJ60" i="2"/>
  <c r="DI60" i="2"/>
  <c r="DH60" i="2"/>
  <c r="DG60" i="2"/>
  <c r="DF60" i="2"/>
  <c r="DE60" i="2"/>
  <c r="DD60" i="2"/>
  <c r="DC60" i="2"/>
  <c r="DB60" i="2"/>
  <c r="DA60" i="2"/>
  <c r="CZ60" i="2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DJ59" i="2"/>
  <c r="DI59" i="2"/>
  <c r="DH59" i="2"/>
  <c r="DG59" i="2"/>
  <c r="DF59" i="2"/>
  <c r="DE59" i="2"/>
  <c r="DD59" i="2"/>
  <c r="DC59" i="2"/>
  <c r="DB59" i="2"/>
  <c r="DA59" i="2"/>
  <c r="CZ59" i="2"/>
  <c r="CY59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DJ58" i="2"/>
  <c r="DI58" i="2"/>
  <c r="DH58" i="2"/>
  <c r="DG58" i="2"/>
  <c r="DF58" i="2"/>
  <c r="DE58" i="2"/>
  <c r="DD58" i="2"/>
  <c r="DC58" i="2"/>
  <c r="DB58" i="2"/>
  <c r="DA58" i="2"/>
  <c r="CZ58" i="2"/>
  <c r="CY58" i="2"/>
  <c r="CX58" i="2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CJ58" i="2"/>
  <c r="CI58" i="2"/>
  <c r="CH58" i="2"/>
  <c r="CG58" i="2"/>
  <c r="CF58" i="2"/>
  <c r="CE58" i="2"/>
  <c r="CD58" i="2"/>
  <c r="CC58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DJ57" i="2"/>
  <c r="DI57" i="2"/>
  <c r="DH57" i="2"/>
  <c r="DG57" i="2"/>
  <c r="DF57" i="2"/>
  <c r="DE57" i="2"/>
  <c r="DD57" i="2"/>
  <c r="DC57" i="2"/>
  <c r="DB57" i="2"/>
  <c r="DA57" i="2"/>
  <c r="CZ57" i="2"/>
  <c r="CY57" i="2"/>
  <c r="CX57" i="2"/>
  <c r="CW57" i="2"/>
  <c r="CV57" i="2"/>
  <c r="CU57" i="2"/>
  <c r="CT57" i="2"/>
  <c r="CS57" i="2"/>
  <c r="CR57" i="2"/>
  <c r="CQ57" i="2"/>
  <c r="CP57" i="2"/>
  <c r="CO57" i="2"/>
  <c r="CN57" i="2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DJ56" i="2"/>
  <c r="DI56" i="2"/>
  <c r="DH56" i="2"/>
  <c r="DG56" i="2"/>
  <c r="DF56" i="2"/>
  <c r="DE56" i="2"/>
  <c r="DD56" i="2"/>
  <c r="DC56" i="2"/>
  <c r="DB56" i="2"/>
  <c r="DA56" i="2"/>
  <c r="CZ56" i="2"/>
  <c r="CY56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CJ56" i="2"/>
  <c r="CI56" i="2"/>
  <c r="CH56" i="2"/>
  <c r="CG56" i="2"/>
  <c r="CF56" i="2"/>
  <c r="CE56" i="2"/>
  <c r="CD56" i="2"/>
  <c r="CC56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DJ55" i="2"/>
  <c r="DI55" i="2"/>
  <c r="DH55" i="2"/>
  <c r="DG55" i="2"/>
  <c r="DF55" i="2"/>
  <c r="DE55" i="2"/>
  <c r="DD55" i="2"/>
  <c r="DC55" i="2"/>
  <c r="DB55" i="2"/>
  <c r="DA55" i="2"/>
  <c r="CZ55" i="2"/>
  <c r="CY55" i="2"/>
  <c r="CX55" i="2"/>
  <c r="CW55" i="2"/>
  <c r="CV55" i="2"/>
  <c r="CU55" i="2"/>
  <c r="CT55" i="2"/>
  <c r="CS55" i="2"/>
  <c r="CR55" i="2"/>
  <c r="CQ55" i="2"/>
  <c r="CP55" i="2"/>
  <c r="CO55" i="2"/>
  <c r="CN55" i="2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DJ54" i="2"/>
  <c r="DI54" i="2"/>
  <c r="DH54" i="2"/>
  <c r="DG54" i="2"/>
  <c r="DF54" i="2"/>
  <c r="DE54" i="2"/>
  <c r="DD54" i="2"/>
  <c r="DC54" i="2"/>
  <c r="DB54" i="2"/>
  <c r="DA54" i="2"/>
  <c r="CZ54" i="2"/>
  <c r="CY54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CJ54" i="2"/>
  <c r="CI54" i="2"/>
  <c r="CH54" i="2"/>
  <c r="CG54" i="2"/>
  <c r="CF54" i="2"/>
  <c r="CE54" i="2"/>
  <c r="CD54" i="2"/>
  <c r="CC54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DJ53" i="2"/>
  <c r="DI53" i="2"/>
  <c r="DH53" i="2"/>
  <c r="DG53" i="2"/>
  <c r="DF53" i="2"/>
  <c r="DE53" i="2"/>
  <c r="DD53" i="2"/>
  <c r="DC53" i="2"/>
  <c r="DB53" i="2"/>
  <c r="DA53" i="2"/>
  <c r="CZ53" i="2"/>
  <c r="CY53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DJ52" i="2"/>
  <c r="DI52" i="2"/>
  <c r="DH52" i="2"/>
  <c r="DG52" i="2"/>
  <c r="DF52" i="2"/>
  <c r="DE52" i="2"/>
  <c r="DD52" i="2"/>
  <c r="DC52" i="2"/>
  <c r="DB52" i="2"/>
  <c r="DA52" i="2"/>
  <c r="CZ52" i="2"/>
  <c r="CY52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DJ51" i="2"/>
  <c r="DI51" i="2"/>
  <c r="DH51" i="2"/>
  <c r="DG51" i="2"/>
  <c r="DF51" i="2"/>
  <c r="DE51" i="2"/>
  <c r="DD51" i="2"/>
  <c r="DC51" i="2"/>
  <c r="DB51" i="2"/>
  <c r="DA51" i="2"/>
  <c r="CZ51" i="2"/>
  <c r="CY51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DJ50" i="2"/>
  <c r="DI50" i="2"/>
  <c r="DH50" i="2"/>
  <c r="DG50" i="2"/>
  <c r="DF50" i="2"/>
  <c r="DE50" i="2"/>
  <c r="DD50" i="2"/>
  <c r="DC50" i="2"/>
  <c r="DB50" i="2"/>
  <c r="DA50" i="2"/>
  <c r="CZ50" i="2"/>
  <c r="CY50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DJ49" i="2"/>
  <c r="DI49" i="2"/>
  <c r="DH49" i="2"/>
  <c r="DG49" i="2"/>
  <c r="DF49" i="2"/>
  <c r="DE49" i="2"/>
  <c r="DD49" i="2"/>
  <c r="DC49" i="2"/>
  <c r="DB49" i="2"/>
  <c r="DA49" i="2"/>
  <c r="CZ49" i="2"/>
  <c r="CY49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DJ48" i="2"/>
  <c r="DI48" i="2"/>
  <c r="DH48" i="2"/>
  <c r="DG48" i="2"/>
  <c r="DF48" i="2"/>
  <c r="DE48" i="2"/>
  <c r="DD48" i="2"/>
  <c r="DC48" i="2"/>
  <c r="DB48" i="2"/>
  <c r="DA48" i="2"/>
  <c r="CZ48" i="2"/>
  <c r="CY48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DJ46" i="2"/>
  <c r="DI46" i="2"/>
  <c r="DH46" i="2"/>
  <c r="DG46" i="2"/>
  <c r="DF46" i="2"/>
  <c r="DE46" i="2"/>
  <c r="DD46" i="2"/>
  <c r="DC46" i="2"/>
  <c r="DB46" i="2"/>
  <c r="DA46" i="2"/>
  <c r="CZ46" i="2"/>
  <c r="CY46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DJ45" i="2"/>
  <c r="DI45" i="2"/>
  <c r="DH45" i="2"/>
  <c r="DG45" i="2"/>
  <c r="DF45" i="2"/>
  <c r="DE45" i="2"/>
  <c r="DD45" i="2"/>
  <c r="DC45" i="2"/>
  <c r="DB45" i="2"/>
  <c r="DA45" i="2"/>
  <c r="CZ45" i="2"/>
  <c r="CY45" i="2"/>
  <c r="CX45" i="2"/>
  <c r="CW45" i="2"/>
  <c r="CV45" i="2"/>
  <c r="CU45" i="2"/>
  <c r="CT45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DJ44" i="2"/>
  <c r="DI44" i="2"/>
  <c r="DH44" i="2"/>
  <c r="DG44" i="2"/>
  <c r="DF44" i="2"/>
  <c r="DE44" i="2"/>
  <c r="DD44" i="2"/>
  <c r="DC44" i="2"/>
  <c r="DB44" i="2"/>
  <c r="DA44" i="2"/>
  <c r="CZ44" i="2"/>
  <c r="CY44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DJ43" i="2"/>
  <c r="DI43" i="2"/>
  <c r="DH43" i="2"/>
  <c r="DG43" i="2"/>
  <c r="DF43" i="2"/>
  <c r="DE43" i="2"/>
  <c r="DD43" i="2"/>
  <c r="DC43" i="2"/>
  <c r="DB43" i="2"/>
  <c r="DA43" i="2"/>
  <c r="CZ43" i="2"/>
  <c r="CY43" i="2"/>
  <c r="CX43" i="2"/>
  <c r="CW43" i="2"/>
  <c r="CV43" i="2"/>
  <c r="CU43" i="2"/>
  <c r="CT43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DJ42" i="2"/>
  <c r="DI42" i="2"/>
  <c r="DH42" i="2"/>
  <c r="DG42" i="2"/>
  <c r="DF42" i="2"/>
  <c r="DE42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DJ41" i="2"/>
  <c r="DI41" i="2"/>
  <c r="DH41" i="2"/>
  <c r="DG41" i="2"/>
  <c r="DF41" i="2"/>
  <c r="DE41" i="2"/>
  <c r="DD41" i="2"/>
  <c r="DC41" i="2"/>
  <c r="DB41" i="2"/>
  <c r="DA41" i="2"/>
  <c r="CZ41" i="2"/>
  <c r="CY41" i="2"/>
  <c r="CX41" i="2"/>
  <c r="CW41" i="2"/>
  <c r="CV41" i="2"/>
  <c r="CU41" i="2"/>
  <c r="CT41" i="2"/>
  <c r="CS41" i="2"/>
  <c r="CR41" i="2"/>
  <c r="CQ41" i="2"/>
  <c r="CP41" i="2"/>
  <c r="CO41" i="2"/>
  <c r="CN41" i="2"/>
  <c r="CM41" i="2"/>
  <c r="CL41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DJ40" i="2"/>
  <c r="DI40" i="2"/>
  <c r="DH40" i="2"/>
  <c r="DG40" i="2"/>
  <c r="DF40" i="2"/>
  <c r="DE40" i="2"/>
  <c r="DD40" i="2"/>
  <c r="DC40" i="2"/>
  <c r="DB40" i="2"/>
  <c r="DA40" i="2"/>
  <c r="CZ40" i="2"/>
  <c r="CY40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DJ39" i="2"/>
  <c r="DI39" i="2"/>
  <c r="DH39" i="2"/>
  <c r="DG39" i="2"/>
  <c r="DF39" i="2"/>
  <c r="DE39" i="2"/>
  <c r="DD39" i="2"/>
  <c r="DC39" i="2"/>
  <c r="DB39" i="2"/>
  <c r="DA39" i="2"/>
  <c r="CZ39" i="2"/>
  <c r="CY39" i="2"/>
  <c r="CX39" i="2"/>
  <c r="CW39" i="2"/>
  <c r="CV39" i="2"/>
  <c r="CU39" i="2"/>
  <c r="CT39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DJ38" i="2"/>
  <c r="DI38" i="2"/>
  <c r="DH38" i="2"/>
  <c r="DG38" i="2"/>
  <c r="DF38" i="2"/>
  <c r="DE38" i="2"/>
  <c r="DD38" i="2"/>
  <c r="DC38" i="2"/>
  <c r="DB38" i="2"/>
  <c r="DA38" i="2"/>
  <c r="CZ38" i="2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DJ36" i="2"/>
  <c r="DI36" i="2"/>
  <c r="DH36" i="2"/>
  <c r="DG36" i="2"/>
  <c r="DF36" i="2"/>
  <c r="DE36" i="2"/>
  <c r="DD36" i="2"/>
  <c r="DC36" i="2"/>
  <c r="DB36" i="2"/>
  <c r="DA36" i="2"/>
  <c r="CZ36" i="2"/>
  <c r="CY36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DJ34" i="2"/>
  <c r="DI34" i="2"/>
  <c r="DH34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DJ32" i="2"/>
  <c r="DI32" i="2"/>
  <c r="DH32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X10" i="7" s="1"/>
  <c r="I12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F53" i="7" s="1"/>
  <c r="BH11" i="2"/>
  <c r="F65" i="7" s="1"/>
  <c r="BG11" i="2"/>
  <c r="F64" i="7" s="1"/>
  <c r="BF11" i="2"/>
  <c r="F63" i="7" s="1"/>
  <c r="BE11" i="2"/>
  <c r="F62" i="7" s="1"/>
  <c r="BD11" i="2"/>
  <c r="F61" i="7" s="1"/>
  <c r="BC11" i="2"/>
  <c r="F60" i="7" s="1"/>
  <c r="BB11" i="2"/>
  <c r="F59" i="7" s="1"/>
  <c r="BA11" i="2"/>
  <c r="F58" i="7" s="1"/>
  <c r="AZ11" i="2"/>
  <c r="F57" i="7" s="1"/>
  <c r="AY11" i="2"/>
  <c r="F56" i="7" s="1"/>
  <c r="AX11" i="2"/>
  <c r="F55" i="7" s="1"/>
  <c r="AW11" i="2"/>
  <c r="F54" i="7" s="1"/>
  <c r="AV11" i="2"/>
  <c r="F52" i="7" s="1"/>
  <c r="AU11" i="2"/>
  <c r="F51" i="7" s="1"/>
  <c r="AT11" i="2"/>
  <c r="F50" i="7" s="1"/>
  <c r="AS11" i="2"/>
  <c r="F49" i="7" s="1"/>
  <c r="AR11" i="2"/>
  <c r="F48" i="7" s="1"/>
  <c r="AQ11" i="2"/>
  <c r="F47" i="7" s="1"/>
  <c r="AP11" i="2"/>
  <c r="F46" i="7" s="1"/>
  <c r="AO11" i="2"/>
  <c r="F45" i="7" s="1"/>
  <c r="AN11" i="2"/>
  <c r="F44" i="7" s="1"/>
  <c r="AM11" i="2"/>
  <c r="F43" i="7" s="1"/>
  <c r="AL11" i="2"/>
  <c r="F42" i="7" s="1"/>
  <c r="AK11" i="2"/>
  <c r="F41" i="7" s="1"/>
  <c r="AJ11" i="2"/>
  <c r="F40" i="7" s="1"/>
  <c r="AI11" i="2"/>
  <c r="F39" i="7" s="1"/>
  <c r="AH11" i="2"/>
  <c r="F38" i="7" s="1"/>
  <c r="AG11" i="2"/>
  <c r="F37" i="7" s="1"/>
  <c r="AF11" i="2"/>
  <c r="F36" i="7" s="1"/>
  <c r="AE11" i="2"/>
  <c r="F35" i="7" s="1"/>
  <c r="AD11" i="2"/>
  <c r="F34" i="7" s="1"/>
  <c r="AC11" i="2"/>
  <c r="F33" i="7" s="1"/>
  <c r="AB11" i="2"/>
  <c r="F32" i="7" s="1"/>
  <c r="AA11" i="2"/>
  <c r="F31" i="7" s="1"/>
  <c r="Z11" i="2"/>
  <c r="F30" i="7" s="1"/>
  <c r="Y11" i="2"/>
  <c r="F29" i="7" s="1"/>
  <c r="X11" i="2"/>
  <c r="F28" i="7" s="1"/>
  <c r="W11" i="2"/>
  <c r="F27" i="7" s="1"/>
  <c r="V11" i="2"/>
  <c r="F26" i="7" s="1"/>
  <c r="U11" i="2"/>
  <c r="F25" i="7" s="1"/>
  <c r="T11" i="2"/>
  <c r="F24" i="7" s="1"/>
  <c r="S11" i="2"/>
  <c r="F23" i="7" s="1"/>
  <c r="R11" i="2"/>
  <c r="F22" i="7" s="1"/>
  <c r="Q11" i="2"/>
  <c r="F21" i="7" s="1"/>
  <c r="P11" i="2"/>
  <c r="F20" i="7" s="1"/>
  <c r="O11" i="2"/>
  <c r="F19" i="7" s="1"/>
  <c r="N11" i="2"/>
  <c r="F18" i="7" s="1"/>
  <c r="M11" i="2"/>
  <c r="F17" i="7" s="1"/>
  <c r="L11" i="2"/>
  <c r="F16" i="7" s="1"/>
  <c r="K11" i="2"/>
  <c r="F15" i="7" s="1"/>
  <c r="J11" i="2"/>
  <c r="F14" i="7" s="1"/>
  <c r="I11" i="2"/>
  <c r="H6" i="7" s="1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I11" i="3"/>
  <c r="H7" i="7" s="1"/>
  <c r="J11" i="3"/>
  <c r="G14" i="7" s="1"/>
  <c r="K11" i="3"/>
  <c r="G15" i="7" s="1"/>
  <c r="L11" i="3"/>
  <c r="G16" i="7" s="1"/>
  <c r="M11" i="3"/>
  <c r="G17" i="7" s="1"/>
  <c r="N11" i="3"/>
  <c r="G18" i="7" s="1"/>
  <c r="O11" i="3"/>
  <c r="G19" i="7" s="1"/>
  <c r="P11" i="3"/>
  <c r="G20" i="7" s="1"/>
  <c r="Q11" i="3"/>
  <c r="G21" i="7" s="1"/>
  <c r="R11" i="3"/>
  <c r="G22" i="7" s="1"/>
  <c r="S11" i="3"/>
  <c r="G23" i="7" s="1"/>
  <c r="T11" i="3"/>
  <c r="G24" i="7" s="1"/>
  <c r="U11" i="3"/>
  <c r="G25" i="7" s="1"/>
  <c r="V11" i="3"/>
  <c r="G26" i="7" s="1"/>
  <c r="W11" i="3"/>
  <c r="G27" i="7" s="1"/>
  <c r="X11" i="3"/>
  <c r="G28" i="7" s="1"/>
  <c r="Y11" i="3"/>
  <c r="G29" i="7" s="1"/>
  <c r="Z11" i="3"/>
  <c r="G30" i="7" s="1"/>
  <c r="AA11" i="3"/>
  <c r="G31" i="7" s="1"/>
  <c r="AB11" i="3"/>
  <c r="G32" i="7" s="1"/>
  <c r="AC11" i="3"/>
  <c r="G33" i="7" s="1"/>
  <c r="AD11" i="3"/>
  <c r="G34" i="7" s="1"/>
  <c r="AE11" i="3"/>
  <c r="G35" i="7" s="1"/>
  <c r="AF11" i="3"/>
  <c r="G36" i="7" s="1"/>
  <c r="AG11" i="3"/>
  <c r="G37" i="7" s="1"/>
  <c r="AH11" i="3"/>
  <c r="G38" i="7" s="1"/>
  <c r="AI11" i="3"/>
  <c r="G39" i="7" s="1"/>
  <c r="AJ11" i="3"/>
  <c r="G40" i="7" s="1"/>
  <c r="AK11" i="3"/>
  <c r="G41" i="7" s="1"/>
  <c r="AL11" i="3"/>
  <c r="G42" i="7" s="1"/>
  <c r="AM11" i="3"/>
  <c r="G43" i="7" s="1"/>
  <c r="AN11" i="3"/>
  <c r="G44" i="7" s="1"/>
  <c r="AO11" i="3"/>
  <c r="G45" i="7" s="1"/>
  <c r="AP11" i="3"/>
  <c r="G46" i="7" s="1"/>
  <c r="AQ11" i="3"/>
  <c r="G47" i="7" s="1"/>
  <c r="AR11" i="3"/>
  <c r="G48" i="7" s="1"/>
  <c r="AS11" i="3"/>
  <c r="G49" i="7" s="1"/>
  <c r="AT11" i="3"/>
  <c r="G50" i="7" s="1"/>
  <c r="AU11" i="3"/>
  <c r="G51" i="7" s="1"/>
  <c r="AV11" i="3"/>
  <c r="G52" i="7" s="1"/>
  <c r="AW11" i="3"/>
  <c r="G54" i="7" s="1"/>
  <c r="AX11" i="3"/>
  <c r="G55" i="7" s="1"/>
  <c r="AY11" i="3"/>
  <c r="G56" i="7" s="1"/>
  <c r="AZ11" i="3"/>
  <c r="G57" i="7" s="1"/>
  <c r="BA11" i="3"/>
  <c r="G58" i="7" s="1"/>
  <c r="BB11" i="3"/>
  <c r="G59" i="7" s="1"/>
  <c r="BC11" i="3"/>
  <c r="G60" i="7" s="1"/>
  <c r="BD11" i="3"/>
  <c r="G61" i="7" s="1"/>
  <c r="BE11" i="3"/>
  <c r="G62" i="7" s="1"/>
  <c r="BF11" i="3"/>
  <c r="G63" i="7" s="1"/>
  <c r="BG11" i="3"/>
  <c r="G64" i="7" s="1"/>
  <c r="BH11" i="3"/>
  <c r="G65" i="7" s="1"/>
  <c r="BI11" i="3"/>
  <c r="G53" i="7" s="1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DJ11" i="3"/>
  <c r="I12" i="3"/>
  <c r="J12" i="3"/>
  <c r="X11" i="7" s="1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DI12" i="3"/>
  <c r="DJ12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DJ13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DJ14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DI15" i="3"/>
  <c r="DJ15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DI16" i="3"/>
  <c r="DJ16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DH17" i="3"/>
  <c r="DI17" i="3"/>
  <c r="DJ17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DH18" i="3"/>
  <c r="DI18" i="3"/>
  <c r="DJ18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DH19" i="3"/>
  <c r="DI19" i="3"/>
  <c r="DJ19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DI20" i="3"/>
  <c r="DJ20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DH21" i="3"/>
  <c r="DI21" i="3"/>
  <c r="DJ21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DH22" i="3"/>
  <c r="DI22" i="3"/>
  <c r="DJ22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DH23" i="3"/>
  <c r="DI23" i="3"/>
  <c r="DJ23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DH24" i="3"/>
  <c r="DI24" i="3"/>
  <c r="DJ24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DH25" i="3"/>
  <c r="DI25" i="3"/>
  <c r="DJ25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DH26" i="3"/>
  <c r="DI26" i="3"/>
  <c r="DJ26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DH27" i="3"/>
  <c r="DI27" i="3"/>
  <c r="DJ27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DH28" i="3"/>
  <c r="DI28" i="3"/>
  <c r="DJ28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DH29" i="3"/>
  <c r="DI29" i="3"/>
  <c r="DJ29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DH30" i="3"/>
  <c r="DI30" i="3"/>
  <c r="DJ30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DH31" i="3"/>
  <c r="DI31" i="3"/>
  <c r="DJ31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DH32" i="3"/>
  <c r="DI32" i="3"/>
  <c r="DJ32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DH33" i="3"/>
  <c r="DI33" i="3"/>
  <c r="DJ33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DH34" i="3"/>
  <c r="DI34" i="3"/>
  <c r="DJ34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DH36" i="3"/>
  <c r="DI36" i="3"/>
  <c r="DJ36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DH37" i="3"/>
  <c r="DI37" i="3"/>
  <c r="DJ37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DH38" i="3"/>
  <c r="DI38" i="3"/>
  <c r="DJ38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DH39" i="3"/>
  <c r="DI39" i="3"/>
  <c r="DJ39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DH40" i="3"/>
  <c r="DI40" i="3"/>
  <c r="DJ40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DE41" i="3"/>
  <c r="DF41" i="3"/>
  <c r="DG41" i="3"/>
  <c r="DH41" i="3"/>
  <c r="DI41" i="3"/>
  <c r="DJ41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DE42" i="3"/>
  <c r="DF42" i="3"/>
  <c r="DG42" i="3"/>
  <c r="DH42" i="3"/>
  <c r="DI42" i="3"/>
  <c r="DJ42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DE43" i="3"/>
  <c r="DF43" i="3"/>
  <c r="DG43" i="3"/>
  <c r="DH43" i="3"/>
  <c r="DI43" i="3"/>
  <c r="DJ43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DH44" i="3"/>
  <c r="DI44" i="3"/>
  <c r="DJ44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DH45" i="3"/>
  <c r="DI45" i="3"/>
  <c r="DJ45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DH46" i="3"/>
  <c r="DI46" i="3"/>
  <c r="DJ46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DH47" i="3"/>
  <c r="DI47" i="3"/>
  <c r="DJ47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DH48" i="3"/>
  <c r="DI48" i="3"/>
  <c r="DJ48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DH49" i="3"/>
  <c r="DI49" i="3"/>
  <c r="DJ49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DH51" i="3"/>
  <c r="DI51" i="3"/>
  <c r="DJ51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DH52" i="3"/>
  <c r="DI52" i="3"/>
  <c r="DJ52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DH53" i="3"/>
  <c r="DI53" i="3"/>
  <c r="DJ53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DH54" i="3"/>
  <c r="DI54" i="3"/>
  <c r="DJ54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DE56" i="3"/>
  <c r="DF56" i="3"/>
  <c r="DG56" i="3"/>
  <c r="DH56" i="3"/>
  <c r="DI56" i="3"/>
  <c r="DJ56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DE57" i="3"/>
  <c r="DF57" i="3"/>
  <c r="DG57" i="3"/>
  <c r="DH57" i="3"/>
  <c r="DI57" i="3"/>
  <c r="DJ57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DE58" i="3"/>
  <c r="DF58" i="3"/>
  <c r="DG58" i="3"/>
  <c r="DH58" i="3"/>
  <c r="DI58" i="3"/>
  <c r="DJ58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DE59" i="3"/>
  <c r="DF59" i="3"/>
  <c r="DG59" i="3"/>
  <c r="DH59" i="3"/>
  <c r="DI59" i="3"/>
  <c r="DJ59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DE60" i="3"/>
  <c r="DF60" i="3"/>
  <c r="DG60" i="3"/>
  <c r="DH60" i="3"/>
  <c r="DI60" i="3"/>
  <c r="DJ60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DE61" i="3"/>
  <c r="DF61" i="3"/>
  <c r="DG61" i="3"/>
  <c r="DH61" i="3"/>
  <c r="DI61" i="3"/>
  <c r="DJ61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DE62" i="3"/>
  <c r="DF62" i="3"/>
  <c r="DG62" i="3"/>
  <c r="DH62" i="3"/>
  <c r="DI62" i="3"/>
  <c r="DJ62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6" i="7" l="1"/>
  <c r="H20" i="7" s="1"/>
  <c r="H24" i="7" s="1"/>
  <c r="H28" i="7" s="1"/>
  <c r="H32" i="7" s="1"/>
  <c r="H36" i="7" s="1"/>
  <c r="H40" i="7" s="1"/>
  <c r="H44" i="7" s="1"/>
  <c r="H48" i="7" s="1"/>
  <c r="H52" i="7" s="1"/>
  <c r="H56" i="7" s="1"/>
  <c r="H60" i="7" s="1"/>
  <c r="H64" i="7" s="1"/>
  <c r="J24" i="5"/>
  <c r="I6" i="7"/>
  <c r="J6" i="7"/>
  <c r="K6" i="7"/>
  <c r="G13" i="7"/>
  <c r="J5" i="7"/>
  <c r="K5" i="7"/>
  <c r="I24" i="5"/>
  <c r="I5" i="7"/>
  <c r="H14" i="7"/>
  <c r="H18" i="7" s="1"/>
  <c r="H22" i="7" s="1"/>
  <c r="H26" i="7" s="1"/>
  <c r="H30" i="7" s="1"/>
  <c r="H34" i="7" s="1"/>
  <c r="H38" i="7" s="1"/>
  <c r="H42" i="7" s="1"/>
  <c r="H46" i="7" s="1"/>
  <c r="H50" i="7" s="1"/>
  <c r="H54" i="7" s="1"/>
  <c r="H58" i="7" s="1"/>
  <c r="H62" i="7" s="1"/>
  <c r="K24" i="5"/>
  <c r="J7" i="7"/>
  <c r="K7" i="7"/>
  <c r="I7" i="7"/>
  <c r="F13" i="7"/>
  <c r="H15" i="7"/>
  <c r="H19" i="7" s="1"/>
  <c r="H23" i="7" s="1"/>
  <c r="H27" i="7" s="1"/>
  <c r="H31" i="7" s="1"/>
  <c r="H35" i="7" s="1"/>
  <c r="H39" i="7" s="1"/>
  <c r="H43" i="7" s="1"/>
  <c r="H47" i="7" s="1"/>
  <c r="H51" i="7" s="1"/>
  <c r="H55" i="7" s="1"/>
  <c r="H59" i="7" s="1"/>
  <c r="H63" i="7" s="1"/>
  <c r="W10" i="7"/>
  <c r="W11" i="7"/>
  <c r="W9" i="7"/>
  <c r="H65" i="7"/>
  <c r="H61" i="7"/>
  <c r="E13" i="7"/>
  <c r="H17" i="7"/>
  <c r="H21" i="7"/>
  <c r="H25" i="7"/>
  <c r="H29" i="7"/>
  <c r="H33" i="7"/>
  <c r="H37" i="7"/>
  <c r="H41" i="7"/>
  <c r="H45" i="7"/>
  <c r="H49" i="7"/>
  <c r="H53" i="7"/>
  <c r="H57" i="7"/>
  <c r="H13" i="7" l="1"/>
  <c r="I57" i="7"/>
  <c r="I49" i="7"/>
  <c r="I41" i="7"/>
  <c r="I33" i="7"/>
  <c r="I25" i="7"/>
  <c r="I17" i="7"/>
  <c r="I63" i="7"/>
  <c r="I32" i="7"/>
  <c r="I58" i="7"/>
  <c r="I42" i="7"/>
  <c r="I18" i="7"/>
  <c r="I47" i="7"/>
  <c r="I31" i="7"/>
  <c r="I15" i="7"/>
  <c r="I60" i="7"/>
  <c r="I44" i="7"/>
  <c r="I14" i="7"/>
  <c r="I54" i="7"/>
  <c r="I38" i="7"/>
  <c r="I59" i="7"/>
  <c r="I43" i="7"/>
  <c r="I27" i="7"/>
  <c r="I28" i="7"/>
  <c r="I48" i="7"/>
  <c r="I30" i="7"/>
  <c r="I62" i="7"/>
  <c r="I64" i="7"/>
  <c r="I16" i="7"/>
  <c r="I50" i="7"/>
  <c r="I34" i="7"/>
  <c r="I55" i="7"/>
  <c r="I39" i="7"/>
  <c r="I23" i="7"/>
  <c r="I20" i="7"/>
  <c r="I52" i="7"/>
  <c r="I36" i="7"/>
  <c r="I24" i="7"/>
  <c r="I46" i="7"/>
  <c r="I26" i="7"/>
  <c r="I51" i="7"/>
  <c r="I35" i="7"/>
  <c r="I19" i="7"/>
  <c r="I56" i="7"/>
  <c r="I40" i="7"/>
  <c r="I22" i="7"/>
  <c r="I61" i="7"/>
  <c r="I53" i="7"/>
  <c r="I45" i="7"/>
  <c r="I37" i="7"/>
  <c r="I29" i="7"/>
  <c r="I21" i="7"/>
  <c r="I65" i="7"/>
  <c r="N64" i="7" l="1"/>
  <c r="N60" i="7"/>
  <c r="N56" i="7"/>
  <c r="N52" i="7"/>
  <c r="N48" i="7"/>
  <c r="N44" i="7"/>
  <c r="N40" i="7"/>
  <c r="N36" i="7"/>
  <c r="N28" i="7"/>
  <c r="N20" i="7"/>
  <c r="N61" i="7"/>
  <c r="N53" i="7"/>
  <c r="N45" i="7"/>
  <c r="N37" i="7"/>
  <c r="N29" i="7"/>
  <c r="N25" i="7"/>
  <c r="N13" i="7"/>
  <c r="N63" i="7"/>
  <c r="N62" i="7"/>
  <c r="N58" i="7"/>
  <c r="N54" i="7"/>
  <c r="N50" i="7"/>
  <c r="N46" i="7"/>
  <c r="N42" i="7"/>
  <c r="N38" i="7"/>
  <c r="N34" i="7"/>
  <c r="N30" i="7"/>
  <c r="N26" i="7"/>
  <c r="N22" i="7"/>
  <c r="N18" i="7"/>
  <c r="N14" i="7"/>
  <c r="N59" i="7"/>
  <c r="N55" i="7"/>
  <c r="N51" i="7"/>
  <c r="N47" i="7"/>
  <c r="N43" i="7"/>
  <c r="N39" i="7"/>
  <c r="N35" i="7"/>
  <c r="N31" i="7"/>
  <c r="N27" i="7"/>
  <c r="N23" i="7"/>
  <c r="N19" i="7"/>
  <c r="N15" i="7"/>
  <c r="N32" i="7"/>
  <c r="N24" i="7"/>
  <c r="N16" i="7"/>
  <c r="N57" i="7"/>
  <c r="N49" i="7"/>
  <c r="N41" i="7"/>
  <c r="N33" i="7"/>
  <c r="N21" i="7"/>
  <c r="N17" i="7"/>
  <c r="S6" i="7"/>
  <c r="T6" i="7" s="1"/>
  <c r="O21" i="7" l="1"/>
  <c r="N21" i="5"/>
  <c r="O41" i="7"/>
  <c r="R23" i="5"/>
  <c r="O57" i="7"/>
  <c r="V21" i="5"/>
  <c r="N24" i="5"/>
  <c r="O24" i="7"/>
  <c r="O15" i="7"/>
  <c r="N15" i="5"/>
  <c r="O23" i="7"/>
  <c r="N23" i="5"/>
  <c r="O31" i="7"/>
  <c r="R13" i="5"/>
  <c r="O39" i="7"/>
  <c r="R21" i="5"/>
  <c r="O47" i="7"/>
  <c r="R29" i="5"/>
  <c r="O55" i="7"/>
  <c r="V19" i="5"/>
  <c r="O14" i="7"/>
  <c r="N14" i="5"/>
  <c r="O22" i="7"/>
  <c r="N22" i="5"/>
  <c r="O30" i="7"/>
  <c r="N30" i="5"/>
  <c r="O38" i="7"/>
  <c r="R20" i="5"/>
  <c r="O46" i="7"/>
  <c r="R28" i="5"/>
  <c r="O54" i="7"/>
  <c r="V18" i="5"/>
  <c r="O62" i="7"/>
  <c r="V26" i="5"/>
  <c r="O13" i="7"/>
  <c r="N13" i="5"/>
  <c r="O29" i="7"/>
  <c r="N29" i="5"/>
  <c r="O45" i="7"/>
  <c r="R27" i="5"/>
  <c r="O61" i="7"/>
  <c r="V25" i="5"/>
  <c r="N28" i="5"/>
  <c r="O28" i="7"/>
  <c r="R22" i="5"/>
  <c r="O40" i="7"/>
  <c r="R30" i="5"/>
  <c r="O48" i="7"/>
  <c r="V20" i="5"/>
  <c r="O56" i="7"/>
  <c r="V28" i="5"/>
  <c r="O64" i="7"/>
  <c r="O17" i="7"/>
  <c r="N17" i="5"/>
  <c r="O33" i="7"/>
  <c r="R15" i="5"/>
  <c r="O49" i="7"/>
  <c r="V13" i="5"/>
  <c r="N16" i="5"/>
  <c r="O16" i="7"/>
  <c r="R14" i="5"/>
  <c r="O32" i="7"/>
  <c r="O19" i="7"/>
  <c r="N19" i="5"/>
  <c r="O27" i="7"/>
  <c r="N27" i="5"/>
  <c r="O35" i="7"/>
  <c r="R17" i="5"/>
  <c r="O43" i="7"/>
  <c r="R25" i="5"/>
  <c r="O51" i="7"/>
  <c r="V15" i="5"/>
  <c r="O59" i="7"/>
  <c r="V23" i="5"/>
  <c r="O18" i="7"/>
  <c r="N18" i="5"/>
  <c r="O26" i="7"/>
  <c r="N26" i="5"/>
  <c r="O34" i="7"/>
  <c r="R16" i="5"/>
  <c r="O42" i="7"/>
  <c r="R24" i="5"/>
  <c r="O50" i="7"/>
  <c r="V14" i="5"/>
  <c r="O58" i="7"/>
  <c r="V22" i="5"/>
  <c r="O63" i="7"/>
  <c r="V27" i="5"/>
  <c r="O25" i="7"/>
  <c r="N25" i="5"/>
  <c r="O37" i="7"/>
  <c r="R19" i="5"/>
  <c r="O53" i="7"/>
  <c r="V17" i="5"/>
  <c r="N20" i="5"/>
  <c r="O20" i="7"/>
  <c r="R18" i="5"/>
  <c r="O36" i="7"/>
  <c r="R26" i="5"/>
  <c r="O44" i="7"/>
  <c r="V16" i="5"/>
  <c r="O52" i="7"/>
  <c r="V24" i="5"/>
  <c r="O60" i="7"/>
  <c r="O67" i="7" l="1"/>
  <c r="W17" i="5"/>
  <c r="Q53" i="7"/>
  <c r="P53" i="7"/>
  <c r="S19" i="5"/>
  <c r="P37" i="7"/>
  <c r="Q37" i="7"/>
  <c r="O25" i="5"/>
  <c r="Q25" i="7"/>
  <c r="P25" i="7"/>
  <c r="W22" i="5"/>
  <c r="P58" i="7"/>
  <c r="Q58" i="7"/>
  <c r="W14" i="5"/>
  <c r="Q50" i="7"/>
  <c r="P50" i="7"/>
  <c r="O26" i="5"/>
  <c r="P26" i="7"/>
  <c r="Q26" i="7"/>
  <c r="W15" i="5"/>
  <c r="Q51" i="7"/>
  <c r="P51" i="7"/>
  <c r="S17" i="5"/>
  <c r="P35" i="7"/>
  <c r="Q35" i="7"/>
  <c r="O19" i="5"/>
  <c r="P19" i="7"/>
  <c r="Q19" i="7"/>
  <c r="S15" i="5"/>
  <c r="Q33" i="7"/>
  <c r="P33" i="7"/>
  <c r="W25" i="5"/>
  <c r="Q61" i="7"/>
  <c r="P61" i="7"/>
  <c r="W24" i="5"/>
  <c r="Q60" i="7"/>
  <c r="P60" i="7"/>
  <c r="P52" i="7"/>
  <c r="W16" i="5"/>
  <c r="Q52" i="7"/>
  <c r="Q44" i="7"/>
  <c r="S26" i="5"/>
  <c r="P44" i="7"/>
  <c r="S18" i="5"/>
  <c r="P36" i="7"/>
  <c r="Q36" i="7"/>
  <c r="Q20" i="7"/>
  <c r="O20" i="5"/>
  <c r="P20" i="7"/>
  <c r="S14" i="5"/>
  <c r="P32" i="7"/>
  <c r="Q32" i="7"/>
  <c r="O16" i="5"/>
  <c r="P16" i="7"/>
  <c r="Q16" i="7"/>
  <c r="P64" i="7"/>
  <c r="W28" i="5"/>
  <c r="Q64" i="7"/>
  <c r="W20" i="5"/>
  <c r="P56" i="7"/>
  <c r="Q56" i="7"/>
  <c r="S30" i="5"/>
  <c r="P48" i="7"/>
  <c r="Q48" i="7"/>
  <c r="S22" i="5"/>
  <c r="P40" i="7"/>
  <c r="Q40" i="7"/>
  <c r="P28" i="7"/>
  <c r="O28" i="5"/>
  <c r="Q28" i="7"/>
  <c r="Q24" i="7"/>
  <c r="O24" i="5"/>
  <c r="P24" i="7"/>
  <c r="W27" i="5"/>
  <c r="Q63" i="7"/>
  <c r="P63" i="7"/>
  <c r="S24" i="5"/>
  <c r="P42" i="7"/>
  <c r="Q42" i="7"/>
  <c r="S16" i="5"/>
  <c r="P34" i="7"/>
  <c r="Q34" i="7"/>
  <c r="O18" i="5"/>
  <c r="Q18" i="7"/>
  <c r="P18" i="7"/>
  <c r="W23" i="5"/>
  <c r="Q59" i="7"/>
  <c r="P59" i="7"/>
  <c r="S25" i="5"/>
  <c r="Q43" i="7"/>
  <c r="P43" i="7"/>
  <c r="O27" i="5"/>
  <c r="Q27" i="7"/>
  <c r="P27" i="7"/>
  <c r="W13" i="5"/>
  <c r="Q49" i="7"/>
  <c r="P49" i="7"/>
  <c r="O17" i="5"/>
  <c r="P17" i="7"/>
  <c r="Q17" i="7"/>
  <c r="S27" i="5"/>
  <c r="Q45" i="7"/>
  <c r="P45" i="7"/>
  <c r="O29" i="5"/>
  <c r="P29" i="7"/>
  <c r="Q29" i="7"/>
  <c r="O13" i="5"/>
  <c r="O66" i="7"/>
  <c r="P13" i="7"/>
  <c r="Q13" i="7"/>
  <c r="W26" i="5"/>
  <c r="Q62" i="7"/>
  <c r="P62" i="7"/>
  <c r="W18" i="5"/>
  <c r="P54" i="7"/>
  <c r="Q54" i="7"/>
  <c r="S28" i="5"/>
  <c r="P46" i="7"/>
  <c r="Q46" i="7"/>
  <c r="S20" i="5"/>
  <c r="P38" i="7"/>
  <c r="Q38" i="7"/>
  <c r="O30" i="5"/>
  <c r="Q30" i="7"/>
  <c r="P30" i="7"/>
  <c r="O22" i="5"/>
  <c r="P22" i="7"/>
  <c r="Q22" i="7"/>
  <c r="O14" i="5"/>
  <c r="Q14" i="7"/>
  <c r="P14" i="7"/>
  <c r="W19" i="5"/>
  <c r="Q55" i="7"/>
  <c r="P55" i="7"/>
  <c r="S29" i="5"/>
  <c r="Q47" i="7"/>
  <c r="P47" i="7"/>
  <c r="S21" i="5"/>
  <c r="Q39" i="7"/>
  <c r="P39" i="7"/>
  <c r="S13" i="5"/>
  <c r="Q31" i="7"/>
  <c r="P31" i="7"/>
  <c r="O23" i="5"/>
  <c r="Q23" i="7"/>
  <c r="P23" i="7"/>
  <c r="O15" i="5"/>
  <c r="P15" i="7"/>
  <c r="Q15" i="7"/>
  <c r="W21" i="5"/>
  <c r="Q57" i="7"/>
  <c r="P57" i="7"/>
  <c r="S23" i="5"/>
  <c r="Q41" i="7"/>
  <c r="P41" i="7"/>
  <c r="O21" i="5"/>
  <c r="P21" i="7"/>
  <c r="Q21" i="7"/>
  <c r="W29" i="5" l="1"/>
  <c r="O68" i="7"/>
  <c r="W30" i="5" s="1"/>
  <c r="S7" i="7"/>
  <c r="T7" i="7" s="1"/>
</calcChain>
</file>

<file path=xl/sharedStrings.xml><?xml version="1.0" encoding="utf-8"?>
<sst xmlns="http://schemas.openxmlformats.org/spreadsheetml/2006/main" count="1447" uniqueCount="180">
  <si>
    <t>Table 1.  State-to-State Migration Flows*: 2012</t>
  </si>
  <si>
    <t>Dataset: 2012 American Community Survey 1-Year Estimates</t>
  </si>
  <si>
    <t>Universe: Population 1 year and over</t>
  </si>
  <si>
    <t>Current residence in --</t>
  </si>
  <si>
    <t>Population 1 year and over</t>
  </si>
  <si>
    <t>Same residence 1 year ago</t>
  </si>
  <si>
    <t>Different residence, same state 1 year ago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</si>
  <si>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</si>
  <si>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</si>
  <si>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</si>
  <si>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</si>
  <si>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</si>
  <si>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</si>
  <si>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</si>
  <si>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</si>
  <si>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 xml:space="preserve">District of Columbia 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</si>
  <si>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</si>
  <si>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</si>
  <si>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</si>
  <si>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</si>
  <si>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</si>
  <si>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</si>
  <si>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</si>
  <si>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</si>
  <si>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</si>
  <si>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</si>
  <si>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</si>
  <si>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</si>
  <si>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</si>
  <si>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</si>
  <si>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</si>
  <si>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</si>
  <si>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</si>
  <si>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</si>
  <si>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</si>
  <si>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</si>
  <si>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</si>
  <si>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</si>
  <si>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</si>
  <si>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</si>
  <si>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</si>
  <si>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</si>
  <si>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</si>
  <si>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</si>
  <si>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</si>
  <si>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</si>
  <si>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</si>
  <si>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</si>
  <si>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</si>
  <si>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</si>
  <si>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</si>
  <si>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</si>
  <si>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</si>
  <si>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</si>
  <si>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</si>
  <si>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</si>
  <si>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</si>
  <si>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</si>
  <si>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Estimate</t>
  </si>
  <si>
    <t>MOE</t>
  </si>
  <si>
    <t>N/A</t>
  </si>
  <si>
    <t>Puerto Rico</t>
  </si>
  <si>
    <t>United States</t>
  </si>
  <si>
    <t>State of Residence Last year (Estimate)</t>
  </si>
  <si>
    <t>TOTAL</t>
  </si>
  <si>
    <t>State of Residence Last year (Margin of Error)</t>
  </si>
  <si>
    <t>Dataset: 2011 American Community Survey 1-Year Estimates</t>
  </si>
  <si>
    <t>Table 2  State-to-State Migration Flows*: 2011</t>
  </si>
  <si>
    <t>ESTIMATES</t>
  </si>
  <si>
    <t>Margin of Error</t>
  </si>
  <si>
    <t>Table 3  State-to-State Migration Flows*: 2010</t>
  </si>
  <si>
    <t>Dataset: 2010 American Community Survey 1-Year Estimates</t>
  </si>
  <si>
    <t>State-to-State Migration Flows</t>
  </si>
  <si>
    <r>
      <t>migrat</t>
    </r>
    <r>
      <rPr>
        <b/>
        <sz val="26"/>
        <color theme="1"/>
        <rFont val="Calibri"/>
        <family val="2"/>
        <scheme val="minor"/>
      </rPr>
      <t>i</t>
    </r>
    <r>
      <rPr>
        <b/>
        <sz val="36"/>
        <color rgb="FFFF0000"/>
        <rFont val="Calibri"/>
        <family val="2"/>
        <scheme val="minor"/>
      </rPr>
      <t>i</t>
    </r>
    <r>
      <rPr>
        <b/>
        <sz val="36"/>
        <color rgb="FFFFFF00"/>
        <rFont val="Calibri"/>
        <family val="2"/>
        <scheme val="minor"/>
      </rPr>
      <t>i</t>
    </r>
    <r>
      <rPr>
        <b/>
        <sz val="28"/>
        <color rgb="FF66FF33"/>
        <rFont val="Calibri"/>
        <family val="2"/>
        <scheme val="minor"/>
      </rPr>
      <t>i</t>
    </r>
    <r>
      <rPr>
        <b/>
        <sz val="20"/>
        <color theme="0"/>
        <rFont val="Calibri"/>
        <family val="2"/>
        <scheme val="minor"/>
      </rPr>
      <t>on</t>
    </r>
  </si>
  <si>
    <t>Current residence</t>
  </si>
  <si>
    <t>Selection</t>
  </si>
  <si>
    <t>Year</t>
  </si>
  <si>
    <t>#</t>
  </si>
  <si>
    <t>State Name</t>
  </si>
  <si>
    <t>CR</t>
  </si>
  <si>
    <t>State of Residence Last year</t>
  </si>
  <si>
    <t>Average</t>
  </si>
  <si>
    <t>Selection Year</t>
  </si>
  <si>
    <t>Rank</t>
  </si>
  <si>
    <t>Data</t>
  </si>
  <si>
    <t>%</t>
  </si>
  <si>
    <t xml:space="preserve">  State of Residence Last year …</t>
  </si>
  <si>
    <t>Select Order</t>
  </si>
  <si>
    <t>&lt;-- Order Selection</t>
  </si>
  <si>
    <t>Map</t>
  </si>
  <si>
    <t>Code</t>
  </si>
  <si>
    <t>MP1</t>
  </si>
  <si>
    <t>MP2</t>
  </si>
  <si>
    <t>MP3</t>
  </si>
  <si>
    <t>MP4</t>
  </si>
  <si>
    <t>MP5</t>
  </si>
  <si>
    <t>MP6</t>
  </si>
  <si>
    <t>MP7</t>
  </si>
  <si>
    <t>MP8</t>
  </si>
  <si>
    <t>MP9</t>
  </si>
  <si>
    <t>MP10</t>
  </si>
  <si>
    <t>MP11</t>
  </si>
  <si>
    <t>MP12</t>
  </si>
  <si>
    <t>MP13</t>
  </si>
  <si>
    <t>MP14</t>
  </si>
  <si>
    <t>MP15</t>
  </si>
  <si>
    <t>MP16</t>
  </si>
  <si>
    <t>MP17</t>
  </si>
  <si>
    <t>MP18</t>
  </si>
  <si>
    <t>MP19</t>
  </si>
  <si>
    <t>MP20</t>
  </si>
  <si>
    <t>MP21</t>
  </si>
  <si>
    <t>MP22</t>
  </si>
  <si>
    <t>MP23</t>
  </si>
  <si>
    <t>MP24</t>
  </si>
  <si>
    <t>MP25</t>
  </si>
  <si>
    <t>MP26</t>
  </si>
  <si>
    <t>MP27</t>
  </si>
  <si>
    <t>MP28</t>
  </si>
  <si>
    <t>MP29</t>
  </si>
  <si>
    <t>MP30</t>
  </si>
  <si>
    <t>MP31</t>
  </si>
  <si>
    <t>MP32</t>
  </si>
  <si>
    <t>MP33</t>
  </si>
  <si>
    <t>MP34</t>
  </si>
  <si>
    <t>MP35</t>
  </si>
  <si>
    <t>MP36</t>
  </si>
  <si>
    <t>MP37</t>
  </si>
  <si>
    <t>MP38</t>
  </si>
  <si>
    <t>MP39</t>
  </si>
  <si>
    <t>MP40</t>
  </si>
  <si>
    <t>MP41</t>
  </si>
  <si>
    <t>MP42</t>
  </si>
  <si>
    <t>MP43</t>
  </si>
  <si>
    <t>MP44</t>
  </si>
  <si>
    <t>MP45</t>
  </si>
  <si>
    <t>MP46</t>
  </si>
  <si>
    <t>MP47</t>
  </si>
  <si>
    <t>MP48</t>
  </si>
  <si>
    <t>MP49</t>
  </si>
  <si>
    <t>MP50</t>
  </si>
  <si>
    <t>MP51</t>
  </si>
  <si>
    <t>MP52</t>
  </si>
  <si>
    <t>MP53</t>
  </si>
  <si>
    <t>Maps State</t>
  </si>
  <si>
    <t xml:space="preserve">District_of_Columbia </t>
  </si>
  <si>
    <t>New_Hampshire</t>
  </si>
  <si>
    <t>New_Jersey</t>
  </si>
  <si>
    <t>New_Mexico</t>
  </si>
  <si>
    <t>New_York</t>
  </si>
  <si>
    <t>North_Carolina</t>
  </si>
  <si>
    <t>North_Dakota</t>
  </si>
  <si>
    <t>Puerto_Rico</t>
  </si>
  <si>
    <t>Rhode_Island</t>
  </si>
  <si>
    <t>South_Carolina</t>
  </si>
  <si>
    <t>South_Dakota</t>
  </si>
  <si>
    <t>West_Virginia</t>
  </si>
  <si>
    <t>United_States</t>
  </si>
  <si>
    <t>Map State</t>
  </si>
  <si>
    <t xml:space="preserve">District of 
Columbia </t>
  </si>
  <si>
    <t>Particulars</t>
  </si>
  <si>
    <t>Different residence, 
same state 1 year ago</t>
  </si>
  <si>
    <t>Population</t>
  </si>
  <si>
    <t>Highest</t>
  </si>
  <si>
    <t>Lowest</t>
  </si>
  <si>
    <t>All</t>
  </si>
  <si>
    <t>*Puerto Rico is a unincorporated Teritory of US</t>
  </si>
  <si>
    <t>Departure V/s Arrival</t>
  </si>
  <si>
    <t>Departure</t>
  </si>
  <si>
    <t>Arrival</t>
  </si>
  <si>
    <t>State Arrivals V/s Departure</t>
  </si>
  <si>
    <t>T</t>
  </si>
  <si>
    <t>Select</t>
  </si>
  <si>
    <t xml:space="preserve">Total Excl </t>
  </si>
  <si>
    <t>Total Incl</t>
  </si>
  <si>
    <t>Total Incl. Puerto Rico*</t>
  </si>
  <si>
    <t>Total Excl. Puerto Rico*</t>
  </si>
  <si>
    <t>Prepared by: Amit Ajmera</t>
  </si>
  <si>
    <t>Source:  State-to-State Migration Flows - www.census.gov / www.Chandoo.org</t>
  </si>
  <si>
    <t>Source: https://data.census.gov/all?q=2012+American+Community+Survey+1-Year+Estimates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</si>
</sst>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&quot;+/- &quot;#,###"/>
    <numFmt numFmtId="166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FF00"/>
      <name val="Calibri"/>
      <family val="2"/>
      <scheme val="minor"/>
    </font>
    <font>
      <b/>
      <sz val="28"/>
      <color rgb="FF66FF3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8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70">
    <xf numFmtId="0" fontId="0" fillId="0" borderId="0" xfId="0"/>
    <xf numFmtId="3" fontId="4" fillId="0" borderId="8" xfId="0" applyNumberFormat="1" applyFont="1" applyBorder="1" applyAlignment="1" applyProtection="1">
      <alignment horizontal="right" wrapText="1"/>
      <protection locked="0"/>
    </xf>
    <xf numFmtId="165" fontId="4" fillId="0" borderId="9" xfId="0" applyNumberFormat="1" applyFont="1" applyBorder="1" applyAlignment="1" applyProtection="1">
      <alignment horizontal="right" wrapText="1"/>
      <protection locked="0"/>
    </xf>
    <xf numFmtId="3" fontId="4" fillId="0" borderId="8" xfId="0" applyNumberFormat="1" applyFont="1" applyBorder="1" applyAlignment="1" applyProtection="1">
      <alignment horizontal="right"/>
      <protection locked="0"/>
    </xf>
    <xf numFmtId="165" fontId="5" fillId="0" borderId="9" xfId="0" applyNumberFormat="1" applyFont="1" applyBorder="1" applyAlignment="1" applyProtection="1">
      <alignment horizontal="right"/>
      <protection locked="0"/>
    </xf>
    <xf numFmtId="3" fontId="4" fillId="0" borderId="8" xfId="0" applyNumberFormat="1" applyFont="1" applyBorder="1" applyProtection="1">
      <protection locked="0"/>
    </xf>
    <xf numFmtId="3" fontId="5" fillId="0" borderId="8" xfId="0" applyNumberFormat="1" applyFont="1" applyFill="1" applyBorder="1" applyProtection="1">
      <protection locked="0"/>
    </xf>
    <xf numFmtId="165" fontId="5" fillId="0" borderId="9" xfId="0" applyNumberFormat="1" applyFont="1" applyFill="1" applyBorder="1" applyProtection="1">
      <protection locked="0"/>
    </xf>
    <xf numFmtId="3" fontId="5" fillId="0" borderId="8" xfId="0" applyNumberFormat="1" applyFont="1" applyBorder="1" applyAlignment="1" applyProtection="1">
      <alignment horizontal="right"/>
      <protection locked="0"/>
    </xf>
    <xf numFmtId="3" fontId="4" fillId="0" borderId="10" xfId="0" applyNumberFormat="1" applyFont="1" applyBorder="1" applyProtection="1">
      <protection locked="0"/>
    </xf>
    <xf numFmtId="165" fontId="5" fillId="0" borderId="11" xfId="0" applyNumberFormat="1" applyFont="1" applyBorder="1" applyAlignment="1" applyProtection="1">
      <alignment horizontal="right"/>
      <protection locked="0"/>
    </xf>
    <xf numFmtId="3" fontId="4" fillId="0" borderId="12" xfId="0" applyNumberFormat="1" applyFont="1" applyBorder="1" applyAlignment="1" applyProtection="1">
      <alignment horizontal="right" wrapText="1"/>
      <protection locked="0"/>
    </xf>
    <xf numFmtId="165" fontId="4" fillId="0" borderId="12" xfId="0" applyNumberFormat="1" applyFont="1" applyBorder="1" applyAlignment="1" applyProtection="1">
      <alignment horizontal="right" wrapText="1"/>
      <protection locked="0"/>
    </xf>
    <xf numFmtId="3" fontId="4" fillId="0" borderId="12" xfId="0" applyNumberFormat="1" applyFont="1" applyBorder="1" applyAlignment="1" applyProtection="1">
      <alignment horizontal="right"/>
      <protection locked="0"/>
    </xf>
    <xf numFmtId="165" fontId="5" fillId="0" borderId="12" xfId="0" applyNumberFormat="1" applyFont="1" applyBorder="1" applyAlignment="1" applyProtection="1">
      <alignment horizontal="right"/>
      <protection locked="0"/>
    </xf>
    <xf numFmtId="3" fontId="4" fillId="0" borderId="12" xfId="0" applyNumberFormat="1" applyFont="1" applyBorder="1" applyProtection="1">
      <protection locked="0"/>
    </xf>
    <xf numFmtId="3" fontId="5" fillId="0" borderId="12" xfId="0" applyNumberFormat="1" applyFont="1" applyFill="1" applyBorder="1" applyProtection="1">
      <protection locked="0"/>
    </xf>
    <xf numFmtId="165" fontId="5" fillId="0" borderId="12" xfId="0" applyNumberFormat="1" applyFont="1" applyFill="1" applyBorder="1" applyProtection="1">
      <protection locked="0"/>
    </xf>
    <xf numFmtId="3" fontId="5" fillId="0" borderId="12" xfId="0" applyNumberFormat="1" applyFont="1" applyBorder="1" applyAlignment="1" applyProtection="1">
      <alignment horizontal="right"/>
      <protection locked="0"/>
    </xf>
    <xf numFmtId="0" fontId="0" fillId="0" borderId="0" xfId="0" applyFont="1"/>
    <xf numFmtId="49" fontId="0" fillId="0" borderId="2" xfId="0" applyNumberFormat="1" applyFont="1" applyBorder="1" applyAlignment="1" applyProtection="1">
      <alignment horizontal="center" wrapText="1"/>
      <protection locked="0"/>
    </xf>
    <xf numFmtId="0" fontId="0" fillId="0" borderId="3" xfId="0" applyFont="1" applyBorder="1" applyAlignment="1" applyProtection="1">
      <alignment horizontal="center" wrapText="1"/>
      <protection locked="0"/>
    </xf>
    <xf numFmtId="3" fontId="0" fillId="0" borderId="4" xfId="0" applyNumberFormat="1" applyFont="1" applyBorder="1" applyAlignment="1" applyProtection="1">
      <alignment horizontal="center" wrapText="1"/>
      <protection locked="0"/>
    </xf>
    <xf numFmtId="49" fontId="0" fillId="0" borderId="5" xfId="0" applyNumberFormat="1" applyFont="1" applyBorder="1" applyAlignment="1" applyProtection="1">
      <alignment horizontal="center" wrapText="1"/>
      <protection locked="0"/>
    </xf>
    <xf numFmtId="3" fontId="0" fillId="0" borderId="6" xfId="0" applyNumberFormat="1" applyFont="1" applyBorder="1" applyAlignment="1" applyProtection="1">
      <alignment horizontal="center" wrapText="1"/>
      <protection locked="0"/>
    </xf>
    <xf numFmtId="0" fontId="4" fillId="0" borderId="12" xfId="0" applyFont="1" applyBorder="1"/>
    <xf numFmtId="3" fontId="6" fillId="0" borderId="0" xfId="0" applyNumberFormat="1" applyFont="1" applyBorder="1" applyProtection="1">
      <protection locked="0"/>
    </xf>
    <xf numFmtId="3" fontId="3" fillId="0" borderId="0" xfId="0" applyNumberFormat="1" applyFont="1" applyBorder="1" applyProtection="1">
      <protection locked="0"/>
    </xf>
    <xf numFmtId="0" fontId="0" fillId="0" borderId="12" xfId="0" applyFont="1" applyBorder="1"/>
    <xf numFmtId="0" fontId="0" fillId="0" borderId="12" xfId="0" applyFont="1" applyBorder="1" applyAlignment="1" applyProtection="1">
      <alignment horizontal="center" wrapText="1"/>
      <protection locked="0"/>
    </xf>
    <xf numFmtId="49" fontId="0" fillId="0" borderId="12" xfId="0" applyNumberFormat="1" applyFont="1" applyBorder="1" applyAlignment="1" applyProtection="1">
      <alignment horizontal="center" wrapText="1"/>
      <protection locked="0"/>
    </xf>
    <xf numFmtId="3" fontId="0" fillId="0" borderId="12" xfId="0" applyNumberFormat="1" applyFont="1" applyBorder="1" applyAlignment="1" applyProtection="1">
      <alignment horizontal="center" wrapText="1"/>
      <protection locked="0"/>
    </xf>
    <xf numFmtId="0" fontId="1" fillId="2" borderId="0" xfId="0" applyFont="1" applyFill="1"/>
    <xf numFmtId="0" fontId="1" fillId="3" borderId="0" xfId="0" applyFont="1" applyFill="1"/>
    <xf numFmtId="0" fontId="4" fillId="4" borderId="12" xfId="0" applyFont="1" applyFill="1" applyBorder="1"/>
    <xf numFmtId="0" fontId="2" fillId="0" borderId="0" xfId="0" applyFont="1"/>
    <xf numFmtId="0" fontId="4" fillId="0" borderId="4" xfId="0" applyFont="1" applyBorder="1"/>
    <xf numFmtId="3" fontId="3" fillId="0" borderId="12" xfId="0" applyNumberFormat="1" applyFont="1" applyBorder="1" applyAlignment="1" applyProtection="1">
      <alignment horizontal="left" wrapText="1"/>
      <protection locked="0"/>
    </xf>
    <xf numFmtId="0" fontId="3" fillId="0" borderId="12" xfId="0" applyFont="1" applyFill="1" applyBorder="1" applyProtection="1">
      <protection locked="0"/>
    </xf>
    <xf numFmtId="0" fontId="0" fillId="5" borderId="7" xfId="0" applyFont="1" applyFill="1" applyBorder="1"/>
    <xf numFmtId="0" fontId="0" fillId="5" borderId="15" xfId="0" applyFont="1" applyFill="1" applyBorder="1"/>
    <xf numFmtId="49" fontId="3" fillId="5" borderId="14" xfId="0" applyNumberFormat="1" applyFont="1" applyFill="1" applyBorder="1" applyAlignment="1" applyProtection="1">
      <protection locked="0"/>
    </xf>
    <xf numFmtId="0" fontId="0" fillId="5" borderId="14" xfId="0" applyFont="1" applyFill="1" applyBorder="1"/>
    <xf numFmtId="49" fontId="3" fillId="5" borderId="13" xfId="0" applyNumberFormat="1" applyFont="1" applyFill="1" applyBorder="1" applyAlignment="1" applyProtection="1">
      <protection locked="0"/>
    </xf>
    <xf numFmtId="0" fontId="0" fillId="5" borderId="4" xfId="0" applyFont="1" applyFill="1" applyBorder="1"/>
    <xf numFmtId="0" fontId="2" fillId="5" borderId="12" xfId="0" applyFont="1" applyFill="1" applyBorder="1" applyAlignment="1" applyProtection="1">
      <alignment horizontal="center" wrapText="1"/>
      <protection locked="0"/>
    </xf>
    <xf numFmtId="49" fontId="2" fillId="5" borderId="12" xfId="0" applyNumberFormat="1" applyFont="1" applyFill="1" applyBorder="1" applyAlignment="1" applyProtection="1">
      <alignment horizontal="center" wrapText="1"/>
      <protection locked="0"/>
    </xf>
    <xf numFmtId="0" fontId="2" fillId="5" borderId="1" xfId="0" applyFont="1" applyFill="1" applyBorder="1" applyAlignment="1" applyProtection="1">
      <alignment horizontal="center" wrapText="1"/>
      <protection locked="0"/>
    </xf>
    <xf numFmtId="0" fontId="2" fillId="5" borderId="16" xfId="0" applyFont="1" applyFill="1" applyBorder="1"/>
    <xf numFmtId="0" fontId="2" fillId="5" borderId="16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vertical="center"/>
    </xf>
    <xf numFmtId="0" fontId="0" fillId="0" borderId="17" xfId="0" applyBorder="1" applyAlignment="1">
      <alignment vertical="center"/>
    </xf>
    <xf numFmtId="0" fontId="2" fillId="6" borderId="17" xfId="0" applyFont="1" applyFill="1" applyBorder="1" applyAlignment="1">
      <alignment horizontal="center" vertical="center" wrapText="1"/>
    </xf>
    <xf numFmtId="0" fontId="0" fillId="0" borderId="17" xfId="0" applyBorder="1"/>
    <xf numFmtId="0" fontId="2" fillId="6" borderId="17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166" fontId="0" fillId="0" borderId="17" xfId="1" applyNumberFormat="1" applyFont="1" applyBorder="1" applyAlignment="1">
      <alignment vertical="center"/>
    </xf>
    <xf numFmtId="0" fontId="0" fillId="0" borderId="17" xfId="0" applyBorder="1" applyAlignment="1">
      <alignment horizontal="center"/>
    </xf>
    <xf numFmtId="0" fontId="8" fillId="2" borderId="18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center" vertical="center" textRotation="45"/>
    </xf>
    <xf numFmtId="0" fontId="9" fillId="2" borderId="19" xfId="0" applyFont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3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3" fontId="3" fillId="5" borderId="16" xfId="0" applyNumberFormat="1" applyFont="1" applyFill="1" applyBorder="1" applyAlignment="1" applyProtection="1">
      <alignment horizontal="center" wrapText="1"/>
      <protection locked="0"/>
    </xf>
    <xf numFmtId="9" fontId="0" fillId="0" borderId="17" xfId="2" applyFont="1" applyBorder="1" applyAlignment="1">
      <alignment horizontal="center" vertical="center"/>
    </xf>
    <xf numFmtId="0" fontId="0" fillId="5" borderId="18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vertical="center"/>
    </xf>
    <xf numFmtId="166" fontId="0" fillId="0" borderId="0" xfId="1" applyNumberFormat="1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 shrinkToFit="1"/>
    </xf>
    <xf numFmtId="166" fontId="4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6" fontId="4" fillId="0" borderId="0" xfId="1" applyNumberFormat="1" applyFont="1" applyBorder="1" applyAlignment="1">
      <alignment horizontal="left" vertical="center" shrinkToFit="1"/>
    </xf>
    <xf numFmtId="0" fontId="4" fillId="0" borderId="18" xfId="0" applyFont="1" applyBorder="1" applyAlignment="1">
      <alignment horizontal="center" vertical="center"/>
    </xf>
    <xf numFmtId="166" fontId="4" fillId="0" borderId="19" xfId="1" applyNumberFormat="1" applyFont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vertical="center" shrinkToFit="1"/>
    </xf>
    <xf numFmtId="166" fontId="4" fillId="0" borderId="21" xfId="1" applyNumberFormat="1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2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vertical="center" shrinkToFit="1"/>
    </xf>
    <xf numFmtId="166" fontId="4" fillId="5" borderId="0" xfId="1" applyNumberFormat="1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horizontal="left" vertical="center"/>
    </xf>
    <xf numFmtId="166" fontId="15" fillId="5" borderId="0" xfId="1" applyNumberFormat="1" applyFont="1" applyFill="1" applyBorder="1" applyAlignment="1">
      <alignment horizontal="right" vertical="center"/>
    </xf>
    <xf numFmtId="3" fontId="0" fillId="0" borderId="17" xfId="0" applyNumberFormat="1" applyBorder="1" applyAlignment="1">
      <alignment horizontal="center" vertical="center"/>
    </xf>
    <xf numFmtId="166" fontId="4" fillId="0" borderId="0" xfId="1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/>
    </xf>
    <xf numFmtId="0" fontId="4" fillId="8" borderId="12" xfId="0" applyFont="1" applyFill="1" applyBorder="1"/>
    <xf numFmtId="166" fontId="16" fillId="5" borderId="0" xfId="1" applyNumberFormat="1" applyFont="1" applyFill="1" applyBorder="1" applyAlignment="1">
      <alignment horizontal="left" vertical="center"/>
    </xf>
    <xf numFmtId="166" fontId="16" fillId="5" borderId="0" xfId="1" applyNumberFormat="1" applyFont="1" applyFill="1" applyBorder="1" applyAlignment="1">
      <alignment horizontal="center" vertical="center"/>
    </xf>
    <xf numFmtId="166" fontId="16" fillId="5" borderId="19" xfId="1" applyNumberFormat="1" applyFont="1" applyFill="1" applyBorder="1" applyAlignment="1">
      <alignment vertical="center"/>
    </xf>
    <xf numFmtId="166" fontId="16" fillId="5" borderId="21" xfId="1" applyNumberFormat="1" applyFont="1" applyFill="1" applyBorder="1" applyAlignment="1">
      <alignment horizontal="left" vertical="center"/>
    </xf>
    <xf numFmtId="166" fontId="16" fillId="5" borderId="21" xfId="1" applyNumberFormat="1" applyFont="1" applyFill="1" applyBorder="1" applyAlignment="1">
      <alignment horizontal="center" vertical="center"/>
    </xf>
    <xf numFmtId="166" fontId="16" fillId="5" borderId="22" xfId="1" applyNumberFormat="1" applyFont="1" applyFill="1" applyBorder="1" applyAlignment="1">
      <alignment vertical="center"/>
    </xf>
    <xf numFmtId="166" fontId="0" fillId="0" borderId="17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5" xfId="0" applyFill="1" applyBorder="1" applyAlignment="1">
      <alignment vertical="center"/>
    </xf>
    <xf numFmtId="0" fontId="0" fillId="0" borderId="26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22" xfId="0" applyFill="1" applyBorder="1" applyAlignment="1">
      <alignment vertical="center"/>
    </xf>
    <xf numFmtId="0" fontId="17" fillId="0" borderId="18" xfId="0" applyFont="1" applyFill="1" applyBorder="1" applyAlignment="1">
      <alignment horizontal="right" vertical="center" indent="2"/>
    </xf>
    <xf numFmtId="0" fontId="18" fillId="5" borderId="0" xfId="0" applyFont="1" applyFill="1" applyBorder="1" applyAlignment="1">
      <alignment vertical="center"/>
    </xf>
    <xf numFmtId="0" fontId="19" fillId="5" borderId="0" xfId="0" applyFont="1" applyFill="1" applyBorder="1" applyAlignment="1">
      <alignment vertical="center"/>
    </xf>
    <xf numFmtId="166" fontId="18" fillId="5" borderId="0" xfId="1" applyNumberFormat="1" applyFont="1" applyFill="1" applyBorder="1" applyAlignment="1">
      <alignment vertical="center"/>
    </xf>
    <xf numFmtId="0" fontId="18" fillId="5" borderId="0" xfId="0" applyFont="1" applyFill="1" applyBorder="1" applyAlignment="1">
      <alignment vertical="center" wrapText="1"/>
    </xf>
    <xf numFmtId="0" fontId="17" fillId="0" borderId="20" xfId="0" applyFont="1" applyFill="1" applyBorder="1" applyAlignment="1">
      <alignment horizontal="right" vertical="center" indent="2"/>
    </xf>
    <xf numFmtId="0" fontId="0" fillId="2" borderId="0" xfId="0" applyFill="1" applyAlignment="1">
      <alignment vertical="center"/>
    </xf>
    <xf numFmtId="0" fontId="0" fillId="7" borderId="28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8" xfId="0" applyBorder="1"/>
    <xf numFmtId="0" fontId="0" fillId="8" borderId="27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 shrinkToFit="1"/>
    </xf>
    <xf numFmtId="166" fontId="4" fillId="0" borderId="0" xfId="1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166" fontId="15" fillId="0" borderId="0" xfId="1" applyNumberFormat="1" applyFont="1" applyFill="1" applyBorder="1" applyAlignment="1">
      <alignment horizontal="right" vertical="center"/>
    </xf>
    <xf numFmtId="0" fontId="1" fillId="10" borderId="17" xfId="0" applyFont="1" applyFill="1" applyBorder="1" applyAlignment="1">
      <alignment horizontal="center" vertical="center"/>
    </xf>
    <xf numFmtId="9" fontId="0" fillId="11" borderId="17" xfId="2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0" fontId="0" fillId="11" borderId="17" xfId="0" applyFill="1" applyBorder="1" applyAlignment="1">
      <alignment vertical="center"/>
    </xf>
    <xf numFmtId="166" fontId="0" fillId="11" borderId="17" xfId="1" applyNumberFormat="1" applyFont="1" applyFill="1" applyBorder="1" applyAlignment="1">
      <alignment vertical="center"/>
    </xf>
    <xf numFmtId="166" fontId="0" fillId="11" borderId="17" xfId="0" applyNumberFormat="1" applyFill="1" applyBorder="1" applyAlignment="1">
      <alignment vertical="center"/>
    </xf>
    <xf numFmtId="166" fontId="0" fillId="11" borderId="17" xfId="1" applyNumberFormat="1" applyFont="1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27" xfId="0" applyFill="1" applyBorder="1" applyAlignment="1">
      <alignment horizontal="center" vertical="center"/>
    </xf>
    <xf numFmtId="0" fontId="0" fillId="12" borderId="17" xfId="0" applyFill="1" applyBorder="1"/>
    <xf numFmtId="3" fontId="3" fillId="5" borderId="12" xfId="0" applyNumberFormat="1" applyFont="1" applyFill="1" applyBorder="1" applyAlignment="1" applyProtection="1">
      <alignment horizontal="center" vertical="center" wrapText="1"/>
      <protection locked="0"/>
    </xf>
    <xf numFmtId="3" fontId="3" fillId="5" borderId="15" xfId="0" applyNumberFormat="1" applyFont="1" applyFill="1" applyBorder="1" applyAlignment="1" applyProtection="1">
      <alignment horizontal="center" wrapText="1"/>
      <protection locked="0"/>
    </xf>
    <xf numFmtId="3" fontId="3" fillId="5" borderId="23" xfId="0" applyNumberFormat="1" applyFont="1" applyFill="1" applyBorder="1" applyAlignment="1" applyProtection="1">
      <alignment horizontal="center" wrapText="1"/>
      <protection locked="0"/>
    </xf>
    <xf numFmtId="0" fontId="20" fillId="5" borderId="0" xfId="0" applyFont="1" applyFill="1" applyBorder="1" applyAlignment="1">
      <alignment horizontal="center"/>
    </xf>
    <xf numFmtId="0" fontId="14" fillId="9" borderId="24" xfId="0" applyFont="1" applyFill="1" applyBorder="1" applyAlignment="1">
      <alignment horizontal="center" vertical="top" wrapText="1"/>
    </xf>
    <xf numFmtId="0" fontId="14" fillId="9" borderId="25" xfId="0" applyFont="1" applyFill="1" applyBorder="1" applyAlignment="1">
      <alignment horizontal="center" vertical="top" wrapText="1"/>
    </xf>
    <xf numFmtId="0" fontId="14" fillId="9" borderId="18" xfId="0" applyFont="1" applyFill="1" applyBorder="1" applyAlignment="1">
      <alignment horizontal="center" vertical="top" wrapText="1"/>
    </xf>
    <xf numFmtId="0" fontId="14" fillId="9" borderId="0" xfId="0" applyFont="1" applyFill="1" applyBorder="1" applyAlignment="1">
      <alignment horizontal="center" vertical="top" wrapText="1"/>
    </xf>
    <xf numFmtId="0" fontId="21" fillId="5" borderId="18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horizontal="center" vertical="top" wrapText="1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4" fillId="0" borderId="0" xfId="1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2" fillId="6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14" fillId="2" borderId="0" xfId="0" applyFont="1" applyFill="1" applyBorder="1" applyAlignment="1">
      <alignment horizontal="left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CFFCC"/>
      <color rgb="FF9B30FF"/>
      <color rgb="FFFFFF99"/>
      <color rgb="FF87CEFA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6116125728189"/>
          <c:y val="6.9070821480239714E-2"/>
          <c:w val="0.82756648101913899"/>
          <c:h val="0.8648634985464227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'Data Consolidation'!$I$4</c:f>
              <c:strCache>
                <c:ptCount val="1"/>
                <c:pt idx="0">
                  <c:v>Same residence 1 year ago</c:v>
                </c:pt>
              </c:strCache>
            </c:strRef>
          </c:tx>
          <c:spPr>
            <a:solidFill>
              <a:srgbClr val="87CEF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Consolidation'!$I$5:$I$7</c:f>
              <c:numCache>
                <c:formatCode>0%</c:formatCode>
                <c:ptCount val="3"/>
                <c:pt idx="0">
                  <c:v>0.81192660550458717</c:v>
                </c:pt>
                <c:pt idx="1">
                  <c:v>0.80744460993429812</c:v>
                </c:pt>
                <c:pt idx="2">
                  <c:v>0.81594418688777015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454-BC7A-C4E66F1D9EF2}"/>
            </c:ext>
          </c:extLst>
        </c:ser>
        <c:ser>
          <c:idx val="1"/>
          <c:order val="1"/>
          <c:tx>
            <c:strRef>
              <c:f>'Data Consolidation'!$J$4</c:f>
              <c:strCache>
                <c:ptCount val="1"/>
                <c:pt idx="0">
                  <c:v>Different residence, same state 1 year ago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Consolidation'!$J$5:$J$7</c:f>
              <c:numCache>
                <c:formatCode>0%</c:formatCode>
                <c:ptCount val="3"/>
                <c:pt idx="0">
                  <c:v>0.14777339870110831</c:v>
                </c:pt>
                <c:pt idx="1">
                  <c:v>0.15223863091686898</c:v>
                </c:pt>
                <c:pt idx="2">
                  <c:v>0.1464351334667523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454-BC7A-C4E66F1D9EF2}"/>
            </c:ext>
          </c:extLst>
        </c:ser>
        <c:ser>
          <c:idx val="2"/>
          <c:order val="2"/>
          <c:tx>
            <c:strRef>
              <c:f>'Data Consolidation'!$K$4</c:f>
              <c:strCache>
                <c:ptCount val="1"/>
                <c:pt idx="0">
                  <c:v>State of Residence Last year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Consolidation'!$D$5:$D$7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Consolidation'!$K$5:$K$7</c:f>
              <c:numCache>
                <c:formatCode>0%</c:formatCode>
                <c:ptCount val="3"/>
                <c:pt idx="0">
                  <c:v>4.0299995794304544E-2</c:v>
                </c:pt>
                <c:pt idx="1">
                  <c:v>4.031675914883296E-2</c:v>
                </c:pt>
                <c:pt idx="2">
                  <c:v>3.7620679645477488E-2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454-BC7A-C4E66F1D9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3"/>
        <c:overlap val="100"/>
        <c:axId val="79158656"/>
        <c:axId val="107549824"/>
      </c:barChart>
      <c:catAx>
        <c:axId val="79158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7549824"/>
        <c:crosses val="autoZero"/>
        <c:auto val="1"/>
        <c:lblAlgn val="ctr"/>
        <c:lblOffset val="100"/>
        <c:noMultiLvlLbl val="0"/>
      </c:catAx>
      <c:valAx>
        <c:axId val="107549824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79158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 b="1"/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4716754155730529E-2"/>
          <c:y val="0.11278355007416099"/>
          <c:w val="0.95051574803149608"/>
          <c:h val="0.7032181168057211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'Data Consolidation'!$W$8</c:f>
              <c:strCache>
                <c:ptCount val="1"/>
                <c:pt idx="0">
                  <c:v>Arrival</c:v>
                </c:pt>
              </c:strCache>
            </c:strRef>
          </c:tx>
          <c:spPr>
            <a:pattFill prst="ltHorz">
              <a:fgClr>
                <a:srgbClr val="99CC00"/>
              </a:fgClr>
              <a:bgClr>
                <a:srgbClr val="FFFFFF"/>
              </a:bgClr>
            </a:patt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Consolidation'!$V$9:$V$11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Consolidation'!$W$9:$W$11</c:f>
              <c:numCache>
                <c:formatCode>_(* #,##0_);_(* \(#,##0\);_(* "-"??_);_(@_)</c:formatCode>
                <c:ptCount val="3"/>
                <c:pt idx="0">
                  <c:v>1317</c:v>
                </c:pt>
                <c:pt idx="1">
                  <c:v>1567</c:v>
                </c:pt>
                <c:pt idx="2">
                  <c:v>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B-4008-BDCB-397C77DB9FB2}"/>
            </c:ext>
          </c:extLst>
        </c:ser>
        <c:ser>
          <c:idx val="4"/>
          <c:order val="1"/>
          <c:tx>
            <c:strRef>
              <c:f>'Data Consolidation'!$X$8</c:f>
              <c:strCache>
                <c:ptCount val="1"/>
                <c:pt idx="0">
                  <c:v>Departure</c:v>
                </c:pt>
              </c:strCache>
            </c:strRef>
          </c:tx>
          <c:spPr>
            <a:pattFill prst="ltHorz">
              <a:fgClr>
                <a:srgbClr val="3366FF"/>
              </a:fgClr>
              <a:bgClr>
                <a:srgbClr val="FFFFFF"/>
              </a:bgClr>
            </a:patt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Consolidation'!$V$9:$V$11</c:f>
              <c:numCache>
                <c:formatCode>General</c:formatCode>
                <c:ptCount val="3"/>
                <c:pt idx="0">
                  <c:v>2012</c:v>
                </c:pt>
                <c:pt idx="1">
                  <c:v>2011</c:v>
                </c:pt>
                <c:pt idx="2">
                  <c:v>2010</c:v>
                </c:pt>
              </c:numCache>
            </c:numRef>
          </c:cat>
          <c:val>
            <c:numRef>
              <c:f>'Data Consolidation'!$X$9:$X$11</c:f>
              <c:numCache>
                <c:formatCode>_(* #,##0_);_(* \(#,##0\);_(* "-"??_);_(@_)</c:formatCode>
                <c:ptCount val="3"/>
                <c:pt idx="0">
                  <c:v>367</c:v>
                </c:pt>
                <c:pt idx="1">
                  <c:v>1502</c:v>
                </c:pt>
                <c:pt idx="2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B-4008-BDCB-397C77DB9F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30"/>
        <c:axId val="79802752"/>
        <c:axId val="79804288"/>
      </c:barChart>
      <c:catAx>
        <c:axId val="79802752"/>
        <c:scaling>
          <c:orientation val="minMax"/>
        </c:scaling>
        <c:delete val="0"/>
        <c:axPos val="b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980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804288"/>
        <c:scaling>
          <c:orientation val="minMax"/>
        </c:scaling>
        <c:delete val="1"/>
        <c:axPos val="l"/>
        <c:numFmt formatCode="_(* #,##0_);_(* \(#,##0\);_(* &quot;-&quot;??_);_(@_)" sourceLinked="1"/>
        <c:majorTickMark val="out"/>
        <c:minorTickMark val="none"/>
        <c:tickLblPos val="nextTo"/>
        <c:crossAx val="79802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700" b="1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ctrlProps/ctrlProp1.xml><?xml version="1.0" encoding="utf-8"?>
<formControlPr xmlns="http://schemas.microsoft.com/office/spreadsheetml/2009/9/main" objectType="List" dx="22" fmlaLink="'Data Consolidation'!$E$1" fmlaRange="'Data Consolidation'!$D$14:$D$65" sel="6" val="0"/>
</file>

<file path=xl/ctrlProps/ctrlProp2.xml><?xml version="1.0" encoding="utf-8"?>
<formControlPr xmlns="http://schemas.microsoft.com/office/spreadsheetml/2009/9/main" objectType="Radio" checked="Checked" firstButton="1" fmlaLink="Order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4" dropStyle="combo" dx="22" fmlaLink="'Data Consolidation'!$F$9" fmlaRange="'Data Consolidation'!$P$5:$P$8" sel="4" val="0"/>
</file>

<file path=xl/ctrlProps/ctrlProp5.xml><?xml version="1.0" encoding="utf-8"?>
<formControlPr xmlns="http://schemas.microsoft.com/office/spreadsheetml/2009/9/main" objectType="Drop" dropLines="10" dropStyle="combo" dx="22" fmlaLink="'Data Consolidation'!$X$5" fmlaRange="'Data Consolidation'!$Z$14:$Z$64" sel="6" val="0"/>
</file>

<file path=xl/ctrlProps/ctrlProp6.xml><?xml version="1.0" encoding="utf-8"?>
<formControlPr xmlns="http://schemas.microsoft.com/office/spreadsheetml/2009/9/main" objectType="Drop" dropLines="2" dropStyle="combo" dx="22" fmlaLink="'Data Consolidation'!$H$9" fmlaRange="'Data Consolidation'!$J$9:$J$10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7" Type="http://schemas.openxmlformats.org/officeDocument/2006/relationships/image" Target="../media/image9.emf"/><Relationship Id="rId2" Type="http://schemas.openxmlformats.org/officeDocument/2006/relationships/chart" Target="../charts/chart1.xml"/><Relationship Id="rId1" Type="http://schemas.openxmlformats.org/officeDocument/2006/relationships/image" Target="../media/image5.png"/><Relationship Id="rId6" Type="http://schemas.openxmlformats.org/officeDocument/2006/relationships/image" Target="../media/image8.emf"/><Relationship Id="rId5" Type="http://schemas.openxmlformats.org/officeDocument/2006/relationships/chart" Target="../charts/chart2.xml"/><Relationship Id="rId4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123825</xdr:rowOff>
    </xdr:from>
    <xdr:to>
      <xdr:col>3</xdr:col>
      <xdr:colOff>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133600" y="314325"/>
          <a:ext cx="2419350" cy="1143000"/>
          <a:chOff x="0" y="0"/>
          <a:chExt cx="10395697" cy="5490883"/>
        </a:xfrm>
        <a:solidFill>
          <a:srgbClr val="87CEFA"/>
        </a:solidFill>
      </xdr:grpSpPr>
      <xdr:sp macro="" textlink="">
        <xdr:nvSpPr>
          <xdr:cNvPr id="3" name="S_WY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/>
          </xdr:cNvSpPr>
        </xdr:nvSpPr>
        <xdr:spPr bwMode="auto">
          <a:xfrm>
            <a:off x="2459131" y="969869"/>
            <a:ext cx="1262903" cy="884144"/>
          </a:xfrm>
          <a:custGeom>
            <a:avLst/>
            <a:gdLst>
              <a:gd name="T0" fmla="*/ 2147483647 w 1310"/>
              <a:gd name="T1" fmla="*/ 2147483647 h 947"/>
              <a:gd name="T2" fmla="*/ 2147483647 w 1310"/>
              <a:gd name="T3" fmla="*/ 2147483647 h 947"/>
              <a:gd name="T4" fmla="*/ 2147483647 w 1310"/>
              <a:gd name="T5" fmla="*/ 2147483647 h 947"/>
              <a:gd name="T6" fmla="*/ 2147483647 w 1310"/>
              <a:gd name="T7" fmla="*/ 2147483647 h 947"/>
              <a:gd name="T8" fmla="*/ 2147483647 w 1310"/>
              <a:gd name="T9" fmla="*/ 2147483647 h 947"/>
              <a:gd name="T10" fmla="*/ 2147483647 w 1310"/>
              <a:gd name="T11" fmla="*/ 2147483647 h 947"/>
              <a:gd name="T12" fmla="*/ 2147483647 w 1310"/>
              <a:gd name="T13" fmla="*/ 2147483647 h 947"/>
              <a:gd name="T14" fmla="*/ 2147483647 w 1310"/>
              <a:gd name="T15" fmla="*/ 2147483647 h 947"/>
              <a:gd name="T16" fmla="*/ 2147483647 w 1310"/>
              <a:gd name="T17" fmla="*/ 2147483647 h 947"/>
              <a:gd name="T18" fmla="*/ 2147483647 w 1310"/>
              <a:gd name="T19" fmla="*/ 2147483647 h 947"/>
              <a:gd name="T20" fmla="*/ 2147483647 w 1310"/>
              <a:gd name="T21" fmla="*/ 2147483647 h 947"/>
              <a:gd name="T22" fmla="*/ 2147483647 w 1310"/>
              <a:gd name="T23" fmla="*/ 2147483647 h 947"/>
              <a:gd name="T24" fmla="*/ 2147483647 w 1310"/>
              <a:gd name="T25" fmla="*/ 2147483647 h 947"/>
              <a:gd name="T26" fmla="*/ 2147483647 w 1310"/>
              <a:gd name="T27" fmla="*/ 2147483647 h 947"/>
              <a:gd name="T28" fmla="*/ 2147483647 w 1310"/>
              <a:gd name="T29" fmla="*/ 2147483647 h 947"/>
              <a:gd name="T30" fmla="*/ 2147483647 w 1310"/>
              <a:gd name="T31" fmla="*/ 2147483647 h 947"/>
              <a:gd name="T32" fmla="*/ 2147483647 w 1310"/>
              <a:gd name="T33" fmla="*/ 2147483647 h 947"/>
              <a:gd name="T34" fmla="*/ 2147483647 w 1310"/>
              <a:gd name="T35" fmla="*/ 2147483647 h 947"/>
              <a:gd name="T36" fmla="*/ 2147483647 w 1310"/>
              <a:gd name="T37" fmla="*/ 2147483647 h 947"/>
              <a:gd name="T38" fmla="*/ 2147483647 w 1310"/>
              <a:gd name="T39" fmla="*/ 2147483647 h 947"/>
              <a:gd name="T40" fmla="*/ 2147483647 w 1310"/>
              <a:gd name="T41" fmla="*/ 2147483647 h 947"/>
              <a:gd name="T42" fmla="*/ 2147483647 w 1310"/>
              <a:gd name="T43" fmla="*/ 2147483647 h 947"/>
              <a:gd name="T44" fmla="*/ 2147483647 w 1310"/>
              <a:gd name="T45" fmla="*/ 0 h 947"/>
              <a:gd name="T46" fmla="*/ 2147483647 w 1310"/>
              <a:gd name="T47" fmla="*/ 0 h 947"/>
              <a:gd name="T48" fmla="*/ 2147483647 w 1310"/>
              <a:gd name="T49" fmla="*/ 0 h 947"/>
              <a:gd name="T50" fmla="*/ 2147483647 w 1310"/>
              <a:gd name="T51" fmla="*/ 0 h 947"/>
              <a:gd name="T52" fmla="*/ 2147483647 w 1310"/>
              <a:gd name="T53" fmla="*/ 0 h 947"/>
              <a:gd name="T54" fmla="*/ 2147483647 w 1310"/>
              <a:gd name="T55" fmla="*/ 0 h 947"/>
              <a:gd name="T56" fmla="*/ 2147483647 w 1310"/>
              <a:gd name="T57" fmla="*/ 0 h 947"/>
              <a:gd name="T58" fmla="*/ 2147483647 w 1310"/>
              <a:gd name="T59" fmla="*/ 0 h 947"/>
              <a:gd name="T60" fmla="*/ 2147483647 w 1310"/>
              <a:gd name="T61" fmla="*/ 0 h 947"/>
              <a:gd name="T62" fmla="*/ 2147483647 w 1310"/>
              <a:gd name="T63" fmla="*/ 0 h 947"/>
              <a:gd name="T64" fmla="*/ 2147483647 w 1310"/>
              <a:gd name="T65" fmla="*/ 0 h 947"/>
              <a:gd name="T66" fmla="*/ 2147483647 w 1310"/>
              <a:gd name="T67" fmla="*/ 0 h 947"/>
              <a:gd name="T68" fmla="*/ 2147483647 w 1310"/>
              <a:gd name="T69" fmla="*/ 0 h 947"/>
              <a:gd name="T70" fmla="*/ 2147483647 w 1310"/>
              <a:gd name="T71" fmla="*/ 2147483647 h 947"/>
              <a:gd name="T72" fmla="*/ 2147483647 w 1310"/>
              <a:gd name="T73" fmla="*/ 2147483647 h 947"/>
              <a:gd name="T74" fmla="*/ 2147483647 w 1310"/>
              <a:gd name="T75" fmla="*/ 2147483647 h 947"/>
              <a:gd name="T76" fmla="*/ 2147483647 w 1310"/>
              <a:gd name="T77" fmla="*/ 2147483647 h 947"/>
              <a:gd name="T78" fmla="*/ 2147483647 w 1310"/>
              <a:gd name="T79" fmla="*/ 2147483647 h 947"/>
              <a:gd name="T80" fmla="*/ 2147483647 w 1310"/>
              <a:gd name="T81" fmla="*/ 2147483647 h 947"/>
              <a:gd name="T82" fmla="*/ 2147483647 w 1310"/>
              <a:gd name="T83" fmla="*/ 2147483647 h 947"/>
              <a:gd name="T84" fmla="*/ 2147483647 w 1310"/>
              <a:gd name="T85" fmla="*/ 2147483647 h 947"/>
              <a:gd name="T86" fmla="*/ 2147483647 w 1310"/>
              <a:gd name="T87" fmla="*/ 2147483647 h 947"/>
              <a:gd name="T88" fmla="*/ 2147483647 w 1310"/>
              <a:gd name="T89" fmla="*/ 2147483647 h 947"/>
              <a:gd name="T90" fmla="*/ 2147483647 w 1310"/>
              <a:gd name="T91" fmla="*/ 2147483647 h 947"/>
              <a:gd name="T92" fmla="*/ 2147483647 w 1310"/>
              <a:gd name="T93" fmla="*/ 2147483647 h 947"/>
              <a:gd name="T94" fmla="*/ 2147483647 w 1310"/>
              <a:gd name="T95" fmla="*/ 2147483647 h 947"/>
              <a:gd name="T96" fmla="*/ 2147483647 w 1310"/>
              <a:gd name="T97" fmla="*/ 2147483647 h 947"/>
              <a:gd name="T98" fmla="*/ 2147483647 w 1310"/>
              <a:gd name="T99" fmla="*/ 2147483647 h 947"/>
              <a:gd name="T100" fmla="*/ 2147483647 w 1310"/>
              <a:gd name="T101" fmla="*/ 2147483647 h 947"/>
              <a:gd name="T102" fmla="*/ 2147483647 w 1310"/>
              <a:gd name="T103" fmla="*/ 2147483647 h 947"/>
              <a:gd name="T104" fmla="*/ 2147483647 w 1310"/>
              <a:gd name="T105" fmla="*/ 2147483647 h 947"/>
              <a:gd name="T106" fmla="*/ 2147483647 w 1310"/>
              <a:gd name="T107" fmla="*/ 2147483647 h 947"/>
              <a:gd name="T108" fmla="*/ 2147483647 w 1310"/>
              <a:gd name="T109" fmla="*/ 2147483647 h 947"/>
              <a:gd name="T110" fmla="*/ 2147483647 w 1310"/>
              <a:gd name="T111" fmla="*/ 2147483647 h 947"/>
              <a:gd name="T112" fmla="*/ 2147483647 w 1310"/>
              <a:gd name="T113" fmla="*/ 2147483647 h 947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310"/>
              <a:gd name="T172" fmla="*/ 0 h 947"/>
              <a:gd name="T173" fmla="*/ 1310 w 1310"/>
              <a:gd name="T174" fmla="*/ 947 h 947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310" h="947">
                <a:moveTo>
                  <a:pt x="887" y="947"/>
                </a:moveTo>
                <a:lnTo>
                  <a:pt x="876" y="946"/>
                </a:lnTo>
                <a:lnTo>
                  <a:pt x="853" y="946"/>
                </a:lnTo>
                <a:lnTo>
                  <a:pt x="786" y="946"/>
                </a:lnTo>
                <a:lnTo>
                  <a:pt x="780" y="946"/>
                </a:lnTo>
                <a:lnTo>
                  <a:pt x="700" y="946"/>
                </a:lnTo>
                <a:lnTo>
                  <a:pt x="690" y="946"/>
                </a:lnTo>
                <a:lnTo>
                  <a:pt x="642" y="946"/>
                </a:lnTo>
                <a:lnTo>
                  <a:pt x="588" y="946"/>
                </a:lnTo>
                <a:lnTo>
                  <a:pt x="539" y="946"/>
                </a:lnTo>
                <a:lnTo>
                  <a:pt x="423" y="946"/>
                </a:lnTo>
                <a:lnTo>
                  <a:pt x="376" y="946"/>
                </a:lnTo>
                <a:lnTo>
                  <a:pt x="292" y="946"/>
                </a:lnTo>
                <a:lnTo>
                  <a:pt x="285" y="947"/>
                </a:lnTo>
                <a:lnTo>
                  <a:pt x="198" y="947"/>
                </a:lnTo>
                <a:lnTo>
                  <a:pt x="189" y="947"/>
                </a:lnTo>
                <a:lnTo>
                  <a:pt x="147" y="947"/>
                </a:lnTo>
                <a:lnTo>
                  <a:pt x="3" y="946"/>
                </a:lnTo>
                <a:lnTo>
                  <a:pt x="3" y="887"/>
                </a:lnTo>
                <a:lnTo>
                  <a:pt x="3" y="841"/>
                </a:lnTo>
                <a:lnTo>
                  <a:pt x="3" y="828"/>
                </a:lnTo>
                <a:lnTo>
                  <a:pt x="3" y="809"/>
                </a:lnTo>
                <a:lnTo>
                  <a:pt x="3" y="769"/>
                </a:lnTo>
                <a:lnTo>
                  <a:pt x="3" y="749"/>
                </a:lnTo>
                <a:lnTo>
                  <a:pt x="3" y="709"/>
                </a:lnTo>
                <a:lnTo>
                  <a:pt x="3" y="680"/>
                </a:lnTo>
                <a:lnTo>
                  <a:pt x="3" y="598"/>
                </a:lnTo>
                <a:lnTo>
                  <a:pt x="3" y="590"/>
                </a:lnTo>
                <a:lnTo>
                  <a:pt x="4" y="533"/>
                </a:lnTo>
                <a:lnTo>
                  <a:pt x="3" y="474"/>
                </a:lnTo>
                <a:lnTo>
                  <a:pt x="3" y="470"/>
                </a:lnTo>
                <a:lnTo>
                  <a:pt x="3" y="459"/>
                </a:lnTo>
                <a:lnTo>
                  <a:pt x="3" y="415"/>
                </a:lnTo>
                <a:lnTo>
                  <a:pt x="3" y="399"/>
                </a:lnTo>
                <a:lnTo>
                  <a:pt x="3" y="367"/>
                </a:lnTo>
                <a:lnTo>
                  <a:pt x="3" y="356"/>
                </a:lnTo>
                <a:lnTo>
                  <a:pt x="3" y="355"/>
                </a:lnTo>
                <a:lnTo>
                  <a:pt x="3" y="296"/>
                </a:lnTo>
                <a:lnTo>
                  <a:pt x="3" y="267"/>
                </a:lnTo>
                <a:lnTo>
                  <a:pt x="3" y="242"/>
                </a:lnTo>
                <a:lnTo>
                  <a:pt x="3" y="206"/>
                </a:lnTo>
                <a:lnTo>
                  <a:pt x="3" y="179"/>
                </a:lnTo>
                <a:lnTo>
                  <a:pt x="2" y="125"/>
                </a:lnTo>
                <a:lnTo>
                  <a:pt x="2" y="120"/>
                </a:lnTo>
                <a:lnTo>
                  <a:pt x="0" y="80"/>
                </a:lnTo>
                <a:lnTo>
                  <a:pt x="2" y="1"/>
                </a:lnTo>
                <a:lnTo>
                  <a:pt x="122" y="3"/>
                </a:lnTo>
                <a:lnTo>
                  <a:pt x="198" y="1"/>
                </a:lnTo>
                <a:lnTo>
                  <a:pt x="225" y="1"/>
                </a:lnTo>
                <a:lnTo>
                  <a:pt x="236" y="1"/>
                </a:lnTo>
                <a:lnTo>
                  <a:pt x="362" y="0"/>
                </a:lnTo>
                <a:lnTo>
                  <a:pt x="386" y="1"/>
                </a:lnTo>
                <a:lnTo>
                  <a:pt x="456" y="1"/>
                </a:lnTo>
                <a:lnTo>
                  <a:pt x="479" y="1"/>
                </a:lnTo>
                <a:lnTo>
                  <a:pt x="502" y="1"/>
                </a:lnTo>
                <a:lnTo>
                  <a:pt x="526" y="1"/>
                </a:lnTo>
                <a:lnTo>
                  <a:pt x="589" y="1"/>
                </a:lnTo>
                <a:lnTo>
                  <a:pt x="736" y="1"/>
                </a:lnTo>
                <a:lnTo>
                  <a:pt x="759" y="2"/>
                </a:lnTo>
                <a:lnTo>
                  <a:pt x="897" y="3"/>
                </a:lnTo>
                <a:lnTo>
                  <a:pt x="899" y="3"/>
                </a:lnTo>
                <a:lnTo>
                  <a:pt x="923" y="3"/>
                </a:lnTo>
                <a:lnTo>
                  <a:pt x="944" y="3"/>
                </a:lnTo>
                <a:lnTo>
                  <a:pt x="947" y="3"/>
                </a:lnTo>
                <a:lnTo>
                  <a:pt x="963" y="1"/>
                </a:lnTo>
                <a:lnTo>
                  <a:pt x="1117" y="1"/>
                </a:lnTo>
                <a:lnTo>
                  <a:pt x="1126" y="1"/>
                </a:lnTo>
                <a:lnTo>
                  <a:pt x="1165" y="1"/>
                </a:lnTo>
                <a:lnTo>
                  <a:pt x="1184" y="2"/>
                </a:lnTo>
                <a:lnTo>
                  <a:pt x="1310" y="2"/>
                </a:lnTo>
                <a:lnTo>
                  <a:pt x="1310" y="61"/>
                </a:lnTo>
                <a:lnTo>
                  <a:pt x="1310" y="103"/>
                </a:lnTo>
                <a:lnTo>
                  <a:pt x="1310" y="120"/>
                </a:lnTo>
                <a:lnTo>
                  <a:pt x="1310" y="179"/>
                </a:lnTo>
                <a:lnTo>
                  <a:pt x="1310" y="195"/>
                </a:lnTo>
                <a:lnTo>
                  <a:pt x="1310" y="204"/>
                </a:lnTo>
                <a:lnTo>
                  <a:pt x="1310" y="237"/>
                </a:lnTo>
                <a:lnTo>
                  <a:pt x="1310" y="273"/>
                </a:lnTo>
                <a:lnTo>
                  <a:pt x="1310" y="296"/>
                </a:lnTo>
                <a:lnTo>
                  <a:pt x="1310" y="326"/>
                </a:lnTo>
                <a:lnTo>
                  <a:pt x="1310" y="355"/>
                </a:lnTo>
                <a:lnTo>
                  <a:pt x="1310" y="356"/>
                </a:lnTo>
                <a:lnTo>
                  <a:pt x="1310" y="360"/>
                </a:lnTo>
                <a:lnTo>
                  <a:pt x="1310" y="385"/>
                </a:lnTo>
                <a:lnTo>
                  <a:pt x="1310" y="444"/>
                </a:lnTo>
                <a:lnTo>
                  <a:pt x="1310" y="474"/>
                </a:lnTo>
                <a:lnTo>
                  <a:pt x="1310" y="485"/>
                </a:lnTo>
                <a:lnTo>
                  <a:pt x="1310" y="517"/>
                </a:lnTo>
                <a:lnTo>
                  <a:pt x="1310" y="570"/>
                </a:lnTo>
                <a:lnTo>
                  <a:pt x="1310" y="651"/>
                </a:lnTo>
                <a:lnTo>
                  <a:pt x="1310" y="680"/>
                </a:lnTo>
                <a:lnTo>
                  <a:pt x="1310" y="709"/>
                </a:lnTo>
                <a:lnTo>
                  <a:pt x="1310" y="739"/>
                </a:lnTo>
                <a:lnTo>
                  <a:pt x="1310" y="769"/>
                </a:lnTo>
                <a:lnTo>
                  <a:pt x="1310" y="781"/>
                </a:lnTo>
                <a:lnTo>
                  <a:pt x="1310" y="798"/>
                </a:lnTo>
                <a:lnTo>
                  <a:pt x="1310" y="813"/>
                </a:lnTo>
                <a:lnTo>
                  <a:pt x="1310" y="828"/>
                </a:lnTo>
                <a:lnTo>
                  <a:pt x="1310" y="854"/>
                </a:lnTo>
                <a:lnTo>
                  <a:pt x="1310" y="874"/>
                </a:lnTo>
                <a:lnTo>
                  <a:pt x="1310" y="917"/>
                </a:lnTo>
                <a:lnTo>
                  <a:pt x="1310" y="946"/>
                </a:lnTo>
                <a:lnTo>
                  <a:pt x="1201" y="946"/>
                </a:lnTo>
                <a:lnTo>
                  <a:pt x="1157" y="947"/>
                </a:lnTo>
                <a:lnTo>
                  <a:pt x="1145" y="947"/>
                </a:lnTo>
                <a:lnTo>
                  <a:pt x="1110" y="947"/>
                </a:lnTo>
                <a:lnTo>
                  <a:pt x="1087" y="947"/>
                </a:lnTo>
                <a:lnTo>
                  <a:pt x="1081" y="947"/>
                </a:lnTo>
                <a:lnTo>
                  <a:pt x="1050" y="947"/>
                </a:lnTo>
                <a:lnTo>
                  <a:pt x="934" y="947"/>
                </a:lnTo>
                <a:lnTo>
                  <a:pt x="911" y="947"/>
                </a:lnTo>
                <a:lnTo>
                  <a:pt x="908" y="947"/>
                </a:lnTo>
                <a:lnTo>
                  <a:pt x="893" y="947"/>
                </a:lnTo>
                <a:lnTo>
                  <a:pt x="887" y="94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" name="S_WV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>
            <a:spLocks/>
          </xdr:cNvSpPr>
        </xdr:nvSpPr>
        <xdr:spPr bwMode="auto">
          <a:xfrm>
            <a:off x="7574616" y="1939738"/>
            <a:ext cx="879101" cy="755837"/>
          </a:xfrm>
          <a:custGeom>
            <a:avLst/>
            <a:gdLst>
              <a:gd name="T0" fmla="*/ 2147483647 w 917"/>
              <a:gd name="T1" fmla="*/ 2147483647 h 812"/>
              <a:gd name="T2" fmla="*/ 2147483647 w 917"/>
              <a:gd name="T3" fmla="*/ 2147483647 h 812"/>
              <a:gd name="T4" fmla="*/ 2147483647 w 917"/>
              <a:gd name="T5" fmla="*/ 2147483647 h 812"/>
              <a:gd name="T6" fmla="*/ 2147483647 w 917"/>
              <a:gd name="T7" fmla="*/ 2147483647 h 812"/>
              <a:gd name="T8" fmla="*/ 2147483647 w 917"/>
              <a:gd name="T9" fmla="*/ 2147483647 h 812"/>
              <a:gd name="T10" fmla="*/ 2147483647 w 917"/>
              <a:gd name="T11" fmla="*/ 2147483647 h 812"/>
              <a:gd name="T12" fmla="*/ 2147483647 w 917"/>
              <a:gd name="T13" fmla="*/ 2147483647 h 812"/>
              <a:gd name="T14" fmla="*/ 2147483647 w 917"/>
              <a:gd name="T15" fmla="*/ 2147483647 h 812"/>
              <a:gd name="T16" fmla="*/ 2147483647 w 917"/>
              <a:gd name="T17" fmla="*/ 2147483647 h 812"/>
              <a:gd name="T18" fmla="*/ 2147483647 w 917"/>
              <a:gd name="T19" fmla="*/ 2147483647 h 812"/>
              <a:gd name="T20" fmla="*/ 2147483647 w 917"/>
              <a:gd name="T21" fmla="*/ 2147483647 h 812"/>
              <a:gd name="T22" fmla="*/ 2147483647 w 917"/>
              <a:gd name="T23" fmla="*/ 2147483647 h 812"/>
              <a:gd name="T24" fmla="*/ 2147483647 w 917"/>
              <a:gd name="T25" fmla="*/ 2147483647 h 812"/>
              <a:gd name="T26" fmla="*/ 2147483647 w 917"/>
              <a:gd name="T27" fmla="*/ 2147483647 h 812"/>
              <a:gd name="T28" fmla="*/ 2147483647 w 917"/>
              <a:gd name="T29" fmla="*/ 2147483647 h 812"/>
              <a:gd name="T30" fmla="*/ 2147483647 w 917"/>
              <a:gd name="T31" fmla="*/ 2147483647 h 812"/>
              <a:gd name="T32" fmla="*/ 2147483647 w 917"/>
              <a:gd name="T33" fmla="*/ 2147483647 h 812"/>
              <a:gd name="T34" fmla="*/ 2147483647 w 917"/>
              <a:gd name="T35" fmla="*/ 2147483647 h 812"/>
              <a:gd name="T36" fmla="*/ 2147483647 w 917"/>
              <a:gd name="T37" fmla="*/ 2147483647 h 812"/>
              <a:gd name="T38" fmla="*/ 2147483647 w 917"/>
              <a:gd name="T39" fmla="*/ 2147483647 h 812"/>
              <a:gd name="T40" fmla="*/ 2147483647 w 917"/>
              <a:gd name="T41" fmla="*/ 2147483647 h 812"/>
              <a:gd name="T42" fmla="*/ 2147483647 w 917"/>
              <a:gd name="T43" fmla="*/ 2147483647 h 812"/>
              <a:gd name="T44" fmla="*/ 2147483647 w 917"/>
              <a:gd name="T45" fmla="*/ 2147483647 h 812"/>
              <a:gd name="T46" fmla="*/ 2147483647 w 917"/>
              <a:gd name="T47" fmla="*/ 2147483647 h 812"/>
              <a:gd name="T48" fmla="*/ 2147483647 w 917"/>
              <a:gd name="T49" fmla="*/ 2147483647 h 812"/>
              <a:gd name="T50" fmla="*/ 2147483647 w 917"/>
              <a:gd name="T51" fmla="*/ 2147483647 h 812"/>
              <a:gd name="T52" fmla="*/ 2147483647 w 917"/>
              <a:gd name="T53" fmla="*/ 2147483647 h 812"/>
              <a:gd name="T54" fmla="*/ 2147483647 w 917"/>
              <a:gd name="T55" fmla="*/ 2147483647 h 812"/>
              <a:gd name="T56" fmla="*/ 2147483647 w 917"/>
              <a:gd name="T57" fmla="*/ 2147483647 h 812"/>
              <a:gd name="T58" fmla="*/ 2147483647 w 917"/>
              <a:gd name="T59" fmla="*/ 2147483647 h 812"/>
              <a:gd name="T60" fmla="*/ 2147483647 w 917"/>
              <a:gd name="T61" fmla="*/ 2147483647 h 812"/>
              <a:gd name="T62" fmla="*/ 2147483647 w 917"/>
              <a:gd name="T63" fmla="*/ 2147483647 h 812"/>
              <a:gd name="T64" fmla="*/ 2147483647 w 917"/>
              <a:gd name="T65" fmla="*/ 2147483647 h 812"/>
              <a:gd name="T66" fmla="*/ 2147483647 w 917"/>
              <a:gd name="T67" fmla="*/ 2147483647 h 812"/>
              <a:gd name="T68" fmla="*/ 2147483647 w 917"/>
              <a:gd name="T69" fmla="*/ 2147483647 h 812"/>
              <a:gd name="T70" fmla="*/ 2147483647 w 917"/>
              <a:gd name="T71" fmla="*/ 2147483647 h 812"/>
              <a:gd name="T72" fmla="*/ 2147483647 w 917"/>
              <a:gd name="T73" fmla="*/ 2147483647 h 812"/>
              <a:gd name="T74" fmla="*/ 2147483647 w 917"/>
              <a:gd name="T75" fmla="*/ 2147483647 h 812"/>
              <a:gd name="T76" fmla="*/ 2147483647 w 917"/>
              <a:gd name="T77" fmla="*/ 2147483647 h 812"/>
              <a:gd name="T78" fmla="*/ 2147483647 w 917"/>
              <a:gd name="T79" fmla="*/ 2147483647 h 812"/>
              <a:gd name="T80" fmla="*/ 2147483647 w 917"/>
              <a:gd name="T81" fmla="*/ 2147483647 h 812"/>
              <a:gd name="T82" fmla="*/ 2147483647 w 917"/>
              <a:gd name="T83" fmla="*/ 2147483647 h 812"/>
              <a:gd name="T84" fmla="*/ 2147483647 w 917"/>
              <a:gd name="T85" fmla="*/ 2147483647 h 812"/>
              <a:gd name="T86" fmla="*/ 2147483647 w 917"/>
              <a:gd name="T87" fmla="*/ 2147483647 h 812"/>
              <a:gd name="T88" fmla="*/ 2147483647 w 917"/>
              <a:gd name="T89" fmla="*/ 2147483647 h 812"/>
              <a:gd name="T90" fmla="*/ 2147483647 w 917"/>
              <a:gd name="T91" fmla="*/ 2147483647 h 812"/>
              <a:gd name="T92" fmla="*/ 2147483647 w 917"/>
              <a:gd name="T93" fmla="*/ 2147483647 h 812"/>
              <a:gd name="T94" fmla="*/ 2147483647 w 917"/>
              <a:gd name="T95" fmla="*/ 2147483647 h 812"/>
              <a:gd name="T96" fmla="*/ 2147483647 w 917"/>
              <a:gd name="T97" fmla="*/ 2147483647 h 812"/>
              <a:gd name="T98" fmla="*/ 2147483647 w 917"/>
              <a:gd name="T99" fmla="*/ 2147483647 h 812"/>
              <a:gd name="T100" fmla="*/ 2147483647 w 917"/>
              <a:gd name="T101" fmla="*/ 2147483647 h 812"/>
              <a:gd name="T102" fmla="*/ 2147483647 w 917"/>
              <a:gd name="T103" fmla="*/ 2147483647 h 812"/>
              <a:gd name="T104" fmla="*/ 2147483647 w 917"/>
              <a:gd name="T105" fmla="*/ 2147483647 h 812"/>
              <a:gd name="T106" fmla="*/ 0 w 917"/>
              <a:gd name="T107" fmla="*/ 2147483647 h 812"/>
              <a:gd name="T108" fmla="*/ 0 w 917"/>
              <a:gd name="T109" fmla="*/ 2147483647 h 812"/>
              <a:gd name="T110" fmla="*/ 2147483647 w 917"/>
              <a:gd name="T111" fmla="*/ 2147483647 h 812"/>
              <a:gd name="T112" fmla="*/ 2147483647 w 917"/>
              <a:gd name="T113" fmla="*/ 2147483647 h 812"/>
              <a:gd name="T114" fmla="*/ 2147483647 w 917"/>
              <a:gd name="T115" fmla="*/ 2147483647 h 812"/>
              <a:gd name="T116" fmla="*/ 2147483647 w 917"/>
              <a:gd name="T117" fmla="*/ 2147483647 h 812"/>
              <a:gd name="T118" fmla="*/ 2147483647 w 917"/>
              <a:gd name="T119" fmla="*/ 2147483647 h 812"/>
              <a:gd name="T120" fmla="*/ 2147483647 w 917"/>
              <a:gd name="T121" fmla="*/ 2147483647 h 812"/>
              <a:gd name="T122" fmla="*/ 2147483647 w 917"/>
              <a:gd name="T123" fmla="*/ 2147483647 h 812"/>
              <a:gd name="T124" fmla="*/ 2147483647 w 917"/>
              <a:gd name="T125" fmla="*/ 2147483647 h 81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917"/>
              <a:gd name="T190" fmla="*/ 0 h 812"/>
              <a:gd name="T191" fmla="*/ 917 w 917"/>
              <a:gd name="T192" fmla="*/ 812 h 81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917" h="812">
                <a:moveTo>
                  <a:pt x="234" y="306"/>
                </a:moveTo>
                <a:lnTo>
                  <a:pt x="248" y="298"/>
                </a:lnTo>
                <a:lnTo>
                  <a:pt x="256" y="295"/>
                </a:lnTo>
                <a:lnTo>
                  <a:pt x="280" y="279"/>
                </a:lnTo>
                <a:lnTo>
                  <a:pt x="286" y="269"/>
                </a:lnTo>
                <a:lnTo>
                  <a:pt x="286" y="268"/>
                </a:lnTo>
                <a:lnTo>
                  <a:pt x="296" y="260"/>
                </a:lnTo>
                <a:lnTo>
                  <a:pt x="303" y="253"/>
                </a:lnTo>
                <a:lnTo>
                  <a:pt x="313" y="244"/>
                </a:lnTo>
                <a:lnTo>
                  <a:pt x="326" y="239"/>
                </a:lnTo>
                <a:lnTo>
                  <a:pt x="326" y="238"/>
                </a:lnTo>
                <a:lnTo>
                  <a:pt x="335" y="217"/>
                </a:lnTo>
                <a:lnTo>
                  <a:pt x="329" y="209"/>
                </a:lnTo>
                <a:lnTo>
                  <a:pt x="337" y="186"/>
                </a:lnTo>
                <a:lnTo>
                  <a:pt x="341" y="170"/>
                </a:lnTo>
                <a:lnTo>
                  <a:pt x="351" y="158"/>
                </a:lnTo>
                <a:lnTo>
                  <a:pt x="353" y="143"/>
                </a:lnTo>
                <a:lnTo>
                  <a:pt x="357" y="120"/>
                </a:lnTo>
                <a:lnTo>
                  <a:pt x="359" y="113"/>
                </a:lnTo>
                <a:lnTo>
                  <a:pt x="363" y="107"/>
                </a:lnTo>
                <a:lnTo>
                  <a:pt x="373" y="88"/>
                </a:lnTo>
                <a:lnTo>
                  <a:pt x="376" y="62"/>
                </a:lnTo>
                <a:lnTo>
                  <a:pt x="372" y="57"/>
                </a:lnTo>
                <a:lnTo>
                  <a:pt x="373" y="56"/>
                </a:lnTo>
                <a:lnTo>
                  <a:pt x="375" y="33"/>
                </a:lnTo>
                <a:lnTo>
                  <a:pt x="366" y="13"/>
                </a:lnTo>
                <a:lnTo>
                  <a:pt x="373" y="4"/>
                </a:lnTo>
                <a:lnTo>
                  <a:pt x="386" y="3"/>
                </a:lnTo>
                <a:lnTo>
                  <a:pt x="393" y="0"/>
                </a:lnTo>
                <a:lnTo>
                  <a:pt x="393" y="3"/>
                </a:lnTo>
                <a:lnTo>
                  <a:pt x="393" y="10"/>
                </a:lnTo>
                <a:lnTo>
                  <a:pt x="393" y="38"/>
                </a:lnTo>
                <a:lnTo>
                  <a:pt x="393" y="42"/>
                </a:lnTo>
                <a:lnTo>
                  <a:pt x="393" y="49"/>
                </a:lnTo>
                <a:lnTo>
                  <a:pt x="393" y="56"/>
                </a:lnTo>
                <a:lnTo>
                  <a:pt x="393" y="92"/>
                </a:lnTo>
                <a:lnTo>
                  <a:pt x="393" y="96"/>
                </a:lnTo>
                <a:lnTo>
                  <a:pt x="393" y="113"/>
                </a:lnTo>
                <a:lnTo>
                  <a:pt x="393" y="117"/>
                </a:lnTo>
                <a:lnTo>
                  <a:pt x="393" y="135"/>
                </a:lnTo>
                <a:lnTo>
                  <a:pt x="393" y="146"/>
                </a:lnTo>
                <a:lnTo>
                  <a:pt x="393" y="150"/>
                </a:lnTo>
                <a:lnTo>
                  <a:pt x="393" y="159"/>
                </a:lnTo>
                <a:lnTo>
                  <a:pt x="393" y="209"/>
                </a:lnTo>
                <a:lnTo>
                  <a:pt x="393" y="212"/>
                </a:lnTo>
                <a:lnTo>
                  <a:pt x="393" y="217"/>
                </a:lnTo>
                <a:lnTo>
                  <a:pt x="397" y="217"/>
                </a:lnTo>
                <a:lnTo>
                  <a:pt x="412" y="217"/>
                </a:lnTo>
                <a:lnTo>
                  <a:pt x="418" y="217"/>
                </a:lnTo>
                <a:lnTo>
                  <a:pt x="420" y="217"/>
                </a:lnTo>
                <a:lnTo>
                  <a:pt x="506" y="217"/>
                </a:lnTo>
                <a:lnTo>
                  <a:pt x="513" y="217"/>
                </a:lnTo>
                <a:lnTo>
                  <a:pt x="525" y="217"/>
                </a:lnTo>
                <a:lnTo>
                  <a:pt x="535" y="217"/>
                </a:lnTo>
                <a:lnTo>
                  <a:pt x="568" y="217"/>
                </a:lnTo>
                <a:lnTo>
                  <a:pt x="574" y="217"/>
                </a:lnTo>
                <a:lnTo>
                  <a:pt x="588" y="217"/>
                </a:lnTo>
                <a:lnTo>
                  <a:pt x="587" y="261"/>
                </a:lnTo>
                <a:lnTo>
                  <a:pt x="586" y="338"/>
                </a:lnTo>
                <a:lnTo>
                  <a:pt x="589" y="339"/>
                </a:lnTo>
                <a:lnTo>
                  <a:pt x="606" y="323"/>
                </a:lnTo>
                <a:lnTo>
                  <a:pt x="627" y="309"/>
                </a:lnTo>
                <a:lnTo>
                  <a:pt x="630" y="302"/>
                </a:lnTo>
                <a:lnTo>
                  <a:pt x="638" y="298"/>
                </a:lnTo>
                <a:lnTo>
                  <a:pt x="664" y="273"/>
                </a:lnTo>
                <a:lnTo>
                  <a:pt x="677" y="279"/>
                </a:lnTo>
                <a:lnTo>
                  <a:pt x="714" y="238"/>
                </a:lnTo>
                <a:lnTo>
                  <a:pt x="741" y="261"/>
                </a:lnTo>
                <a:lnTo>
                  <a:pt x="748" y="260"/>
                </a:lnTo>
                <a:lnTo>
                  <a:pt x="771" y="264"/>
                </a:lnTo>
                <a:lnTo>
                  <a:pt x="777" y="265"/>
                </a:lnTo>
                <a:lnTo>
                  <a:pt x="794" y="244"/>
                </a:lnTo>
                <a:lnTo>
                  <a:pt x="794" y="238"/>
                </a:lnTo>
                <a:lnTo>
                  <a:pt x="802" y="236"/>
                </a:lnTo>
                <a:lnTo>
                  <a:pt x="815" y="239"/>
                </a:lnTo>
                <a:lnTo>
                  <a:pt x="841" y="224"/>
                </a:lnTo>
                <a:lnTo>
                  <a:pt x="860" y="240"/>
                </a:lnTo>
                <a:lnTo>
                  <a:pt x="864" y="245"/>
                </a:lnTo>
                <a:lnTo>
                  <a:pt x="888" y="241"/>
                </a:lnTo>
                <a:lnTo>
                  <a:pt x="897" y="270"/>
                </a:lnTo>
                <a:lnTo>
                  <a:pt x="911" y="288"/>
                </a:lnTo>
                <a:lnTo>
                  <a:pt x="911" y="308"/>
                </a:lnTo>
                <a:lnTo>
                  <a:pt x="917" y="311"/>
                </a:lnTo>
                <a:lnTo>
                  <a:pt x="911" y="317"/>
                </a:lnTo>
                <a:lnTo>
                  <a:pt x="907" y="328"/>
                </a:lnTo>
                <a:lnTo>
                  <a:pt x="896" y="356"/>
                </a:lnTo>
                <a:lnTo>
                  <a:pt x="864" y="329"/>
                </a:lnTo>
                <a:lnTo>
                  <a:pt x="862" y="328"/>
                </a:lnTo>
                <a:lnTo>
                  <a:pt x="858" y="324"/>
                </a:lnTo>
                <a:lnTo>
                  <a:pt x="841" y="310"/>
                </a:lnTo>
                <a:lnTo>
                  <a:pt x="834" y="306"/>
                </a:lnTo>
                <a:lnTo>
                  <a:pt x="821" y="295"/>
                </a:lnTo>
                <a:lnTo>
                  <a:pt x="815" y="288"/>
                </a:lnTo>
                <a:lnTo>
                  <a:pt x="810" y="285"/>
                </a:lnTo>
                <a:lnTo>
                  <a:pt x="799" y="277"/>
                </a:lnTo>
                <a:lnTo>
                  <a:pt x="794" y="315"/>
                </a:lnTo>
                <a:lnTo>
                  <a:pt x="781" y="357"/>
                </a:lnTo>
                <a:lnTo>
                  <a:pt x="769" y="366"/>
                </a:lnTo>
                <a:lnTo>
                  <a:pt x="763" y="373"/>
                </a:lnTo>
                <a:lnTo>
                  <a:pt x="757" y="387"/>
                </a:lnTo>
                <a:lnTo>
                  <a:pt x="724" y="406"/>
                </a:lnTo>
                <a:lnTo>
                  <a:pt x="702" y="443"/>
                </a:lnTo>
                <a:lnTo>
                  <a:pt x="678" y="422"/>
                </a:lnTo>
                <a:lnTo>
                  <a:pt x="677" y="424"/>
                </a:lnTo>
                <a:lnTo>
                  <a:pt x="666" y="443"/>
                </a:lnTo>
                <a:lnTo>
                  <a:pt x="638" y="503"/>
                </a:lnTo>
                <a:lnTo>
                  <a:pt x="638" y="505"/>
                </a:lnTo>
                <a:lnTo>
                  <a:pt x="635" y="510"/>
                </a:lnTo>
                <a:lnTo>
                  <a:pt x="631" y="515"/>
                </a:lnTo>
                <a:lnTo>
                  <a:pt x="619" y="526"/>
                </a:lnTo>
                <a:lnTo>
                  <a:pt x="588" y="515"/>
                </a:lnTo>
                <a:lnTo>
                  <a:pt x="570" y="490"/>
                </a:lnTo>
                <a:lnTo>
                  <a:pt x="556" y="483"/>
                </a:lnTo>
                <a:lnTo>
                  <a:pt x="540" y="535"/>
                </a:lnTo>
                <a:lnTo>
                  <a:pt x="537" y="539"/>
                </a:lnTo>
                <a:lnTo>
                  <a:pt x="528" y="560"/>
                </a:lnTo>
                <a:lnTo>
                  <a:pt x="513" y="573"/>
                </a:lnTo>
                <a:lnTo>
                  <a:pt x="501" y="593"/>
                </a:lnTo>
                <a:lnTo>
                  <a:pt x="497" y="607"/>
                </a:lnTo>
                <a:lnTo>
                  <a:pt x="491" y="623"/>
                </a:lnTo>
                <a:lnTo>
                  <a:pt x="490" y="625"/>
                </a:lnTo>
                <a:lnTo>
                  <a:pt x="479" y="634"/>
                </a:lnTo>
                <a:lnTo>
                  <a:pt x="460" y="652"/>
                </a:lnTo>
                <a:lnTo>
                  <a:pt x="447" y="675"/>
                </a:lnTo>
                <a:lnTo>
                  <a:pt x="433" y="696"/>
                </a:lnTo>
                <a:lnTo>
                  <a:pt x="437" y="703"/>
                </a:lnTo>
                <a:lnTo>
                  <a:pt x="444" y="707"/>
                </a:lnTo>
                <a:lnTo>
                  <a:pt x="449" y="711"/>
                </a:lnTo>
                <a:lnTo>
                  <a:pt x="444" y="717"/>
                </a:lnTo>
                <a:lnTo>
                  <a:pt x="431" y="741"/>
                </a:lnTo>
                <a:lnTo>
                  <a:pt x="402" y="759"/>
                </a:lnTo>
                <a:lnTo>
                  <a:pt x="397" y="749"/>
                </a:lnTo>
                <a:lnTo>
                  <a:pt x="346" y="771"/>
                </a:lnTo>
                <a:lnTo>
                  <a:pt x="329" y="758"/>
                </a:lnTo>
                <a:lnTo>
                  <a:pt x="325" y="769"/>
                </a:lnTo>
                <a:lnTo>
                  <a:pt x="331" y="778"/>
                </a:lnTo>
                <a:lnTo>
                  <a:pt x="307" y="790"/>
                </a:lnTo>
                <a:lnTo>
                  <a:pt x="307" y="788"/>
                </a:lnTo>
                <a:lnTo>
                  <a:pt x="280" y="795"/>
                </a:lnTo>
                <a:lnTo>
                  <a:pt x="261" y="803"/>
                </a:lnTo>
                <a:lnTo>
                  <a:pt x="256" y="800"/>
                </a:lnTo>
                <a:lnTo>
                  <a:pt x="244" y="788"/>
                </a:lnTo>
                <a:lnTo>
                  <a:pt x="235" y="780"/>
                </a:lnTo>
                <a:lnTo>
                  <a:pt x="220" y="795"/>
                </a:lnTo>
                <a:lnTo>
                  <a:pt x="176" y="812"/>
                </a:lnTo>
                <a:lnTo>
                  <a:pt x="164" y="803"/>
                </a:lnTo>
                <a:lnTo>
                  <a:pt x="129" y="770"/>
                </a:lnTo>
                <a:lnTo>
                  <a:pt x="125" y="741"/>
                </a:lnTo>
                <a:lnTo>
                  <a:pt x="130" y="738"/>
                </a:lnTo>
                <a:lnTo>
                  <a:pt x="122" y="733"/>
                </a:lnTo>
                <a:lnTo>
                  <a:pt x="93" y="729"/>
                </a:lnTo>
                <a:lnTo>
                  <a:pt x="93" y="723"/>
                </a:lnTo>
                <a:lnTo>
                  <a:pt x="54" y="684"/>
                </a:lnTo>
                <a:lnTo>
                  <a:pt x="55" y="682"/>
                </a:lnTo>
                <a:lnTo>
                  <a:pt x="46" y="669"/>
                </a:lnTo>
                <a:lnTo>
                  <a:pt x="38" y="657"/>
                </a:lnTo>
                <a:lnTo>
                  <a:pt x="38" y="652"/>
                </a:lnTo>
                <a:lnTo>
                  <a:pt x="22" y="640"/>
                </a:lnTo>
                <a:lnTo>
                  <a:pt x="23" y="636"/>
                </a:lnTo>
                <a:lnTo>
                  <a:pt x="24" y="623"/>
                </a:lnTo>
                <a:lnTo>
                  <a:pt x="0" y="591"/>
                </a:lnTo>
                <a:lnTo>
                  <a:pt x="3" y="565"/>
                </a:lnTo>
                <a:lnTo>
                  <a:pt x="7" y="564"/>
                </a:lnTo>
                <a:lnTo>
                  <a:pt x="5" y="535"/>
                </a:lnTo>
                <a:lnTo>
                  <a:pt x="5" y="523"/>
                </a:lnTo>
                <a:lnTo>
                  <a:pt x="22" y="525"/>
                </a:lnTo>
                <a:lnTo>
                  <a:pt x="46" y="520"/>
                </a:lnTo>
                <a:lnTo>
                  <a:pt x="59" y="505"/>
                </a:lnTo>
                <a:lnTo>
                  <a:pt x="63" y="485"/>
                </a:lnTo>
                <a:lnTo>
                  <a:pt x="68" y="481"/>
                </a:lnTo>
                <a:lnTo>
                  <a:pt x="69" y="481"/>
                </a:lnTo>
                <a:lnTo>
                  <a:pt x="76" y="483"/>
                </a:lnTo>
                <a:lnTo>
                  <a:pt x="84" y="476"/>
                </a:lnTo>
                <a:lnTo>
                  <a:pt x="80" y="446"/>
                </a:lnTo>
                <a:lnTo>
                  <a:pt x="98" y="397"/>
                </a:lnTo>
                <a:lnTo>
                  <a:pt x="107" y="387"/>
                </a:lnTo>
                <a:lnTo>
                  <a:pt x="116" y="381"/>
                </a:lnTo>
                <a:lnTo>
                  <a:pt x="133" y="416"/>
                </a:lnTo>
                <a:lnTo>
                  <a:pt x="140" y="415"/>
                </a:lnTo>
                <a:lnTo>
                  <a:pt x="153" y="401"/>
                </a:lnTo>
                <a:lnTo>
                  <a:pt x="163" y="364"/>
                </a:lnTo>
                <a:lnTo>
                  <a:pt x="164" y="357"/>
                </a:lnTo>
                <a:lnTo>
                  <a:pt x="163" y="348"/>
                </a:lnTo>
                <a:lnTo>
                  <a:pt x="161" y="344"/>
                </a:lnTo>
                <a:lnTo>
                  <a:pt x="163" y="343"/>
                </a:lnTo>
                <a:lnTo>
                  <a:pt x="168" y="336"/>
                </a:lnTo>
                <a:lnTo>
                  <a:pt x="173" y="328"/>
                </a:lnTo>
                <a:lnTo>
                  <a:pt x="196" y="324"/>
                </a:lnTo>
                <a:lnTo>
                  <a:pt x="209" y="298"/>
                </a:lnTo>
                <a:lnTo>
                  <a:pt x="234" y="30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5" name="S_WI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>
            <a:spLocks/>
          </xdr:cNvSpPr>
        </xdr:nvSpPr>
        <xdr:spPr bwMode="auto">
          <a:xfrm>
            <a:off x="5727887" y="537322"/>
            <a:ext cx="1072403" cy="988919"/>
          </a:xfrm>
          <a:custGeom>
            <a:avLst/>
            <a:gdLst>
              <a:gd name="T0" fmla="*/ 2147483647 w 1106"/>
              <a:gd name="T1" fmla="*/ 2147483647 h 1055"/>
              <a:gd name="T2" fmla="*/ 2147483647 w 1106"/>
              <a:gd name="T3" fmla="*/ 2147483647 h 1055"/>
              <a:gd name="T4" fmla="*/ 2147483647 w 1106"/>
              <a:gd name="T5" fmla="*/ 2147483647 h 1055"/>
              <a:gd name="T6" fmla="*/ 2147483647 w 1106"/>
              <a:gd name="T7" fmla="*/ 2147483647 h 1055"/>
              <a:gd name="T8" fmla="*/ 2147483647 w 1106"/>
              <a:gd name="T9" fmla="*/ 2147483647 h 1055"/>
              <a:gd name="T10" fmla="*/ 2147483647 w 1106"/>
              <a:gd name="T11" fmla="*/ 2147483647 h 1055"/>
              <a:gd name="T12" fmla="*/ 2147483647 w 1106"/>
              <a:gd name="T13" fmla="*/ 2147483647 h 1055"/>
              <a:gd name="T14" fmla="*/ 2147483647 w 1106"/>
              <a:gd name="T15" fmla="*/ 2147483647 h 1055"/>
              <a:gd name="T16" fmla="*/ 2147483647 w 1106"/>
              <a:gd name="T17" fmla="*/ 2147483647 h 1055"/>
              <a:gd name="T18" fmla="*/ 2147483647 w 1106"/>
              <a:gd name="T19" fmla="*/ 2147483647 h 1055"/>
              <a:gd name="T20" fmla="*/ 2147483647 w 1106"/>
              <a:gd name="T21" fmla="*/ 2147483647 h 1055"/>
              <a:gd name="T22" fmla="*/ 2147483647 w 1106"/>
              <a:gd name="T23" fmla="*/ 2147483647 h 1055"/>
              <a:gd name="T24" fmla="*/ 2147483647 w 1106"/>
              <a:gd name="T25" fmla="*/ 2147483647 h 1055"/>
              <a:gd name="T26" fmla="*/ 2147483647 w 1106"/>
              <a:gd name="T27" fmla="*/ 2147483647 h 1055"/>
              <a:gd name="T28" fmla="*/ 2147483647 w 1106"/>
              <a:gd name="T29" fmla="*/ 2147483647 h 1055"/>
              <a:gd name="T30" fmla="*/ 2147483647 w 1106"/>
              <a:gd name="T31" fmla="*/ 2147483647 h 1055"/>
              <a:gd name="T32" fmla="*/ 2147483647 w 1106"/>
              <a:gd name="T33" fmla="*/ 2147483647 h 1055"/>
              <a:gd name="T34" fmla="*/ 2147483647 w 1106"/>
              <a:gd name="T35" fmla="*/ 2147483647 h 1055"/>
              <a:gd name="T36" fmla="*/ 2147483647 w 1106"/>
              <a:gd name="T37" fmla="*/ 2147483647 h 1055"/>
              <a:gd name="T38" fmla="*/ 2147483647 w 1106"/>
              <a:gd name="T39" fmla="*/ 2147483647 h 1055"/>
              <a:gd name="T40" fmla="*/ 2147483647 w 1106"/>
              <a:gd name="T41" fmla="*/ 2147483647 h 1055"/>
              <a:gd name="T42" fmla="*/ 2147483647 w 1106"/>
              <a:gd name="T43" fmla="*/ 2147483647 h 1055"/>
              <a:gd name="T44" fmla="*/ 2147483647 w 1106"/>
              <a:gd name="T45" fmla="*/ 2147483647 h 1055"/>
              <a:gd name="T46" fmla="*/ 2147483647 w 1106"/>
              <a:gd name="T47" fmla="*/ 2147483647 h 1055"/>
              <a:gd name="T48" fmla="*/ 2147483647 w 1106"/>
              <a:gd name="T49" fmla="*/ 2147483647 h 1055"/>
              <a:gd name="T50" fmla="*/ 2147483647 w 1106"/>
              <a:gd name="T51" fmla="*/ 2147483647 h 1055"/>
              <a:gd name="T52" fmla="*/ 2147483647 w 1106"/>
              <a:gd name="T53" fmla="*/ 2147483647 h 1055"/>
              <a:gd name="T54" fmla="*/ 2147483647 w 1106"/>
              <a:gd name="T55" fmla="*/ 2147483647 h 1055"/>
              <a:gd name="T56" fmla="*/ 2147483647 w 1106"/>
              <a:gd name="T57" fmla="*/ 2147483647 h 1055"/>
              <a:gd name="T58" fmla="*/ 2147483647 w 1106"/>
              <a:gd name="T59" fmla="*/ 2147483647 h 1055"/>
              <a:gd name="T60" fmla="*/ 2147483647 w 1106"/>
              <a:gd name="T61" fmla="*/ 2147483647 h 1055"/>
              <a:gd name="T62" fmla="*/ 2147483647 w 1106"/>
              <a:gd name="T63" fmla="*/ 2147483647 h 1055"/>
              <a:gd name="T64" fmla="*/ 2147483647 w 1106"/>
              <a:gd name="T65" fmla="*/ 2147483647 h 1055"/>
              <a:gd name="T66" fmla="*/ 2147483647 w 1106"/>
              <a:gd name="T67" fmla="*/ 2147483647 h 1055"/>
              <a:gd name="T68" fmla="*/ 2147483647 w 1106"/>
              <a:gd name="T69" fmla="*/ 2147483647 h 1055"/>
              <a:gd name="T70" fmla="*/ 2147483647 w 1106"/>
              <a:gd name="T71" fmla="*/ 2147483647 h 1055"/>
              <a:gd name="T72" fmla="*/ 2147483647 w 1106"/>
              <a:gd name="T73" fmla="*/ 2147483647 h 1055"/>
              <a:gd name="T74" fmla="*/ 2147483647 w 1106"/>
              <a:gd name="T75" fmla="*/ 2147483647 h 1055"/>
              <a:gd name="T76" fmla="*/ 2147483647 w 1106"/>
              <a:gd name="T77" fmla="*/ 2147483647 h 1055"/>
              <a:gd name="T78" fmla="*/ 2147483647 w 1106"/>
              <a:gd name="T79" fmla="*/ 2147483647 h 1055"/>
              <a:gd name="T80" fmla="*/ 2147483647 w 1106"/>
              <a:gd name="T81" fmla="*/ 2147483647 h 1055"/>
              <a:gd name="T82" fmla="*/ 2147483647 w 1106"/>
              <a:gd name="T83" fmla="*/ 2147483647 h 1055"/>
              <a:gd name="T84" fmla="*/ 2147483647 w 1106"/>
              <a:gd name="T85" fmla="*/ 2147483647 h 1055"/>
              <a:gd name="T86" fmla="*/ 2147483647 w 1106"/>
              <a:gd name="T87" fmla="*/ 2147483647 h 1055"/>
              <a:gd name="T88" fmla="*/ 2147483647 w 1106"/>
              <a:gd name="T89" fmla="*/ 2147483647 h 1055"/>
              <a:gd name="T90" fmla="*/ 2147483647 w 1106"/>
              <a:gd name="T91" fmla="*/ 2147483647 h 1055"/>
              <a:gd name="T92" fmla="*/ 2147483647 w 1106"/>
              <a:gd name="T93" fmla="*/ 2147483647 h 1055"/>
              <a:gd name="T94" fmla="*/ 2147483647 w 1106"/>
              <a:gd name="T95" fmla="*/ 2147483647 h 1055"/>
              <a:gd name="T96" fmla="*/ 2147483647 w 1106"/>
              <a:gd name="T97" fmla="*/ 2147483647 h 1055"/>
              <a:gd name="T98" fmla="*/ 2147483647 w 1106"/>
              <a:gd name="T99" fmla="*/ 2147483647 h 1055"/>
              <a:gd name="T100" fmla="*/ 2147483647 w 1106"/>
              <a:gd name="T101" fmla="*/ 2147483647 h 1055"/>
              <a:gd name="T102" fmla="*/ 2147483647 w 1106"/>
              <a:gd name="T103" fmla="*/ 2147483647 h 1055"/>
              <a:gd name="T104" fmla="*/ 2147483647 w 1106"/>
              <a:gd name="T105" fmla="*/ 2147483647 h 1055"/>
              <a:gd name="T106" fmla="*/ 2147483647 w 1106"/>
              <a:gd name="T107" fmla="*/ 2147483647 h 1055"/>
              <a:gd name="T108" fmla="*/ 2147483647 w 1106"/>
              <a:gd name="T109" fmla="*/ 2147483647 h 1055"/>
              <a:gd name="T110" fmla="*/ 2147483647 w 1106"/>
              <a:gd name="T111" fmla="*/ 2147483647 h 1055"/>
              <a:gd name="T112" fmla="*/ 2147483647 w 1106"/>
              <a:gd name="T113" fmla="*/ 2147483647 h 1055"/>
              <a:gd name="T114" fmla="*/ 2147483647 w 1106"/>
              <a:gd name="T115" fmla="*/ 2147483647 h 1055"/>
              <a:gd name="T116" fmla="*/ 2147483647 w 1106"/>
              <a:gd name="T117" fmla="*/ 2147483647 h 1055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106"/>
              <a:gd name="T178" fmla="*/ 0 h 1055"/>
              <a:gd name="T179" fmla="*/ 1106 w 1106"/>
              <a:gd name="T180" fmla="*/ 1055 h 1055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106" h="1055">
                <a:moveTo>
                  <a:pt x="768" y="1055"/>
                </a:moveTo>
                <a:lnTo>
                  <a:pt x="764" y="1055"/>
                </a:lnTo>
                <a:lnTo>
                  <a:pt x="750" y="1055"/>
                </a:lnTo>
                <a:lnTo>
                  <a:pt x="738" y="1054"/>
                </a:lnTo>
                <a:lnTo>
                  <a:pt x="719" y="1054"/>
                </a:lnTo>
                <a:lnTo>
                  <a:pt x="680" y="1054"/>
                </a:lnTo>
                <a:lnTo>
                  <a:pt x="658" y="1053"/>
                </a:lnTo>
                <a:lnTo>
                  <a:pt x="657" y="1053"/>
                </a:lnTo>
                <a:lnTo>
                  <a:pt x="652" y="1053"/>
                </a:lnTo>
                <a:lnTo>
                  <a:pt x="651" y="1053"/>
                </a:lnTo>
                <a:lnTo>
                  <a:pt x="633" y="1053"/>
                </a:lnTo>
                <a:lnTo>
                  <a:pt x="610" y="1052"/>
                </a:lnTo>
                <a:lnTo>
                  <a:pt x="570" y="1052"/>
                </a:lnTo>
                <a:lnTo>
                  <a:pt x="562" y="1052"/>
                </a:lnTo>
                <a:lnTo>
                  <a:pt x="553" y="1052"/>
                </a:lnTo>
                <a:lnTo>
                  <a:pt x="530" y="1052"/>
                </a:lnTo>
                <a:lnTo>
                  <a:pt x="514" y="1051"/>
                </a:lnTo>
                <a:lnTo>
                  <a:pt x="460" y="1052"/>
                </a:lnTo>
                <a:lnTo>
                  <a:pt x="450" y="1052"/>
                </a:lnTo>
                <a:lnTo>
                  <a:pt x="430" y="1052"/>
                </a:lnTo>
                <a:lnTo>
                  <a:pt x="420" y="1052"/>
                </a:lnTo>
                <a:lnTo>
                  <a:pt x="408" y="1024"/>
                </a:lnTo>
                <a:lnTo>
                  <a:pt x="399" y="1018"/>
                </a:lnTo>
                <a:lnTo>
                  <a:pt x="372" y="1012"/>
                </a:lnTo>
                <a:lnTo>
                  <a:pt x="341" y="994"/>
                </a:lnTo>
                <a:lnTo>
                  <a:pt x="337" y="964"/>
                </a:lnTo>
                <a:lnTo>
                  <a:pt x="323" y="938"/>
                </a:lnTo>
                <a:lnTo>
                  <a:pt x="323" y="935"/>
                </a:lnTo>
                <a:lnTo>
                  <a:pt x="320" y="917"/>
                </a:lnTo>
                <a:lnTo>
                  <a:pt x="320" y="916"/>
                </a:lnTo>
                <a:lnTo>
                  <a:pt x="342" y="876"/>
                </a:lnTo>
                <a:lnTo>
                  <a:pt x="315" y="839"/>
                </a:lnTo>
                <a:lnTo>
                  <a:pt x="314" y="835"/>
                </a:lnTo>
                <a:lnTo>
                  <a:pt x="312" y="817"/>
                </a:lnTo>
                <a:lnTo>
                  <a:pt x="312" y="816"/>
                </a:lnTo>
                <a:lnTo>
                  <a:pt x="309" y="797"/>
                </a:lnTo>
                <a:lnTo>
                  <a:pt x="302" y="789"/>
                </a:lnTo>
                <a:lnTo>
                  <a:pt x="305" y="764"/>
                </a:lnTo>
                <a:lnTo>
                  <a:pt x="306" y="755"/>
                </a:lnTo>
                <a:lnTo>
                  <a:pt x="306" y="751"/>
                </a:lnTo>
                <a:lnTo>
                  <a:pt x="299" y="735"/>
                </a:lnTo>
                <a:lnTo>
                  <a:pt x="297" y="733"/>
                </a:lnTo>
                <a:lnTo>
                  <a:pt x="282" y="711"/>
                </a:lnTo>
                <a:lnTo>
                  <a:pt x="272" y="703"/>
                </a:lnTo>
                <a:lnTo>
                  <a:pt x="270" y="698"/>
                </a:lnTo>
                <a:lnTo>
                  <a:pt x="259" y="695"/>
                </a:lnTo>
                <a:lnTo>
                  <a:pt x="248" y="693"/>
                </a:lnTo>
                <a:lnTo>
                  <a:pt x="236" y="686"/>
                </a:lnTo>
                <a:lnTo>
                  <a:pt x="219" y="670"/>
                </a:lnTo>
                <a:lnTo>
                  <a:pt x="192" y="653"/>
                </a:lnTo>
                <a:lnTo>
                  <a:pt x="187" y="640"/>
                </a:lnTo>
                <a:lnTo>
                  <a:pt x="165" y="610"/>
                </a:lnTo>
                <a:lnTo>
                  <a:pt x="149" y="602"/>
                </a:lnTo>
                <a:lnTo>
                  <a:pt x="142" y="599"/>
                </a:lnTo>
                <a:lnTo>
                  <a:pt x="124" y="595"/>
                </a:lnTo>
                <a:lnTo>
                  <a:pt x="119" y="591"/>
                </a:lnTo>
                <a:lnTo>
                  <a:pt x="109" y="581"/>
                </a:lnTo>
                <a:lnTo>
                  <a:pt x="107" y="572"/>
                </a:lnTo>
                <a:lnTo>
                  <a:pt x="107" y="571"/>
                </a:lnTo>
                <a:lnTo>
                  <a:pt x="72" y="565"/>
                </a:lnTo>
                <a:lnTo>
                  <a:pt x="35" y="536"/>
                </a:lnTo>
                <a:lnTo>
                  <a:pt x="28" y="530"/>
                </a:lnTo>
                <a:lnTo>
                  <a:pt x="16" y="522"/>
                </a:lnTo>
                <a:lnTo>
                  <a:pt x="22" y="495"/>
                </a:lnTo>
                <a:lnTo>
                  <a:pt x="21" y="462"/>
                </a:lnTo>
                <a:lnTo>
                  <a:pt x="26" y="433"/>
                </a:lnTo>
                <a:lnTo>
                  <a:pt x="24" y="413"/>
                </a:lnTo>
                <a:lnTo>
                  <a:pt x="25" y="411"/>
                </a:lnTo>
                <a:lnTo>
                  <a:pt x="23" y="403"/>
                </a:lnTo>
                <a:lnTo>
                  <a:pt x="25" y="393"/>
                </a:lnTo>
                <a:lnTo>
                  <a:pt x="33" y="344"/>
                </a:lnTo>
                <a:lnTo>
                  <a:pt x="25" y="331"/>
                </a:lnTo>
                <a:lnTo>
                  <a:pt x="0" y="310"/>
                </a:lnTo>
                <a:lnTo>
                  <a:pt x="7" y="291"/>
                </a:lnTo>
                <a:lnTo>
                  <a:pt x="8" y="290"/>
                </a:lnTo>
                <a:lnTo>
                  <a:pt x="25" y="264"/>
                </a:lnTo>
                <a:lnTo>
                  <a:pt x="111" y="208"/>
                </a:lnTo>
                <a:lnTo>
                  <a:pt x="111" y="189"/>
                </a:lnTo>
                <a:lnTo>
                  <a:pt x="111" y="128"/>
                </a:lnTo>
                <a:lnTo>
                  <a:pt x="111" y="108"/>
                </a:lnTo>
                <a:lnTo>
                  <a:pt x="111" y="79"/>
                </a:lnTo>
                <a:lnTo>
                  <a:pt x="111" y="69"/>
                </a:lnTo>
                <a:lnTo>
                  <a:pt x="118" y="71"/>
                </a:lnTo>
                <a:lnTo>
                  <a:pt x="148" y="49"/>
                </a:lnTo>
                <a:lnTo>
                  <a:pt x="164" y="58"/>
                </a:lnTo>
                <a:lnTo>
                  <a:pt x="165" y="61"/>
                </a:lnTo>
                <a:lnTo>
                  <a:pt x="203" y="63"/>
                </a:lnTo>
                <a:lnTo>
                  <a:pt x="249" y="48"/>
                </a:lnTo>
                <a:lnTo>
                  <a:pt x="282" y="39"/>
                </a:lnTo>
                <a:lnTo>
                  <a:pt x="315" y="20"/>
                </a:lnTo>
                <a:lnTo>
                  <a:pt x="329" y="24"/>
                </a:lnTo>
                <a:lnTo>
                  <a:pt x="376" y="0"/>
                </a:lnTo>
                <a:lnTo>
                  <a:pt x="396" y="20"/>
                </a:lnTo>
                <a:lnTo>
                  <a:pt x="374" y="49"/>
                </a:lnTo>
                <a:lnTo>
                  <a:pt x="376" y="66"/>
                </a:lnTo>
                <a:lnTo>
                  <a:pt x="367" y="79"/>
                </a:lnTo>
                <a:lnTo>
                  <a:pt x="367" y="87"/>
                </a:lnTo>
                <a:lnTo>
                  <a:pt x="391" y="79"/>
                </a:lnTo>
                <a:lnTo>
                  <a:pt x="399" y="61"/>
                </a:lnTo>
                <a:lnTo>
                  <a:pt x="436" y="88"/>
                </a:lnTo>
                <a:lnTo>
                  <a:pt x="446" y="87"/>
                </a:lnTo>
                <a:lnTo>
                  <a:pt x="458" y="94"/>
                </a:lnTo>
                <a:lnTo>
                  <a:pt x="462" y="93"/>
                </a:lnTo>
                <a:lnTo>
                  <a:pt x="499" y="108"/>
                </a:lnTo>
                <a:lnTo>
                  <a:pt x="516" y="140"/>
                </a:lnTo>
                <a:lnTo>
                  <a:pt x="553" y="155"/>
                </a:lnTo>
                <a:lnTo>
                  <a:pt x="567" y="158"/>
                </a:lnTo>
                <a:lnTo>
                  <a:pt x="709" y="193"/>
                </a:lnTo>
                <a:lnTo>
                  <a:pt x="728" y="203"/>
                </a:lnTo>
                <a:lnTo>
                  <a:pt x="739" y="208"/>
                </a:lnTo>
                <a:lnTo>
                  <a:pt x="756" y="218"/>
                </a:lnTo>
                <a:lnTo>
                  <a:pt x="775" y="220"/>
                </a:lnTo>
                <a:lnTo>
                  <a:pt x="786" y="223"/>
                </a:lnTo>
                <a:lnTo>
                  <a:pt x="797" y="229"/>
                </a:lnTo>
                <a:lnTo>
                  <a:pt x="820" y="228"/>
                </a:lnTo>
                <a:lnTo>
                  <a:pt x="866" y="235"/>
                </a:lnTo>
                <a:lnTo>
                  <a:pt x="892" y="245"/>
                </a:lnTo>
                <a:lnTo>
                  <a:pt x="901" y="255"/>
                </a:lnTo>
                <a:lnTo>
                  <a:pt x="890" y="271"/>
                </a:lnTo>
                <a:lnTo>
                  <a:pt x="903" y="278"/>
                </a:lnTo>
                <a:lnTo>
                  <a:pt x="916" y="275"/>
                </a:lnTo>
                <a:lnTo>
                  <a:pt x="916" y="280"/>
                </a:lnTo>
                <a:lnTo>
                  <a:pt x="938" y="285"/>
                </a:lnTo>
                <a:lnTo>
                  <a:pt x="942" y="292"/>
                </a:lnTo>
                <a:lnTo>
                  <a:pt x="975" y="433"/>
                </a:lnTo>
                <a:lnTo>
                  <a:pt x="992" y="439"/>
                </a:lnTo>
                <a:lnTo>
                  <a:pt x="984" y="457"/>
                </a:lnTo>
                <a:lnTo>
                  <a:pt x="983" y="462"/>
                </a:lnTo>
                <a:lnTo>
                  <a:pt x="958" y="470"/>
                </a:lnTo>
                <a:lnTo>
                  <a:pt x="919" y="525"/>
                </a:lnTo>
                <a:lnTo>
                  <a:pt x="916" y="539"/>
                </a:lnTo>
                <a:lnTo>
                  <a:pt x="914" y="553"/>
                </a:lnTo>
                <a:lnTo>
                  <a:pt x="936" y="556"/>
                </a:lnTo>
                <a:lnTo>
                  <a:pt x="958" y="546"/>
                </a:lnTo>
                <a:lnTo>
                  <a:pt x="961" y="543"/>
                </a:lnTo>
                <a:lnTo>
                  <a:pt x="963" y="539"/>
                </a:lnTo>
                <a:lnTo>
                  <a:pt x="970" y="522"/>
                </a:lnTo>
                <a:lnTo>
                  <a:pt x="1007" y="494"/>
                </a:lnTo>
                <a:lnTo>
                  <a:pt x="1048" y="447"/>
                </a:lnTo>
                <a:lnTo>
                  <a:pt x="1054" y="431"/>
                </a:lnTo>
                <a:lnTo>
                  <a:pt x="1078" y="412"/>
                </a:lnTo>
                <a:lnTo>
                  <a:pt x="1080" y="403"/>
                </a:lnTo>
                <a:lnTo>
                  <a:pt x="1102" y="392"/>
                </a:lnTo>
                <a:lnTo>
                  <a:pt x="1106" y="405"/>
                </a:lnTo>
                <a:lnTo>
                  <a:pt x="1030" y="539"/>
                </a:lnTo>
                <a:lnTo>
                  <a:pt x="1030" y="540"/>
                </a:lnTo>
                <a:lnTo>
                  <a:pt x="1010" y="581"/>
                </a:lnTo>
                <a:lnTo>
                  <a:pt x="999" y="621"/>
                </a:lnTo>
                <a:lnTo>
                  <a:pt x="1004" y="640"/>
                </a:lnTo>
                <a:lnTo>
                  <a:pt x="971" y="698"/>
                </a:lnTo>
                <a:lnTo>
                  <a:pt x="964" y="724"/>
                </a:lnTo>
                <a:lnTo>
                  <a:pt x="969" y="758"/>
                </a:lnTo>
                <a:lnTo>
                  <a:pt x="961" y="788"/>
                </a:lnTo>
                <a:lnTo>
                  <a:pt x="952" y="806"/>
                </a:lnTo>
                <a:lnTo>
                  <a:pt x="952" y="817"/>
                </a:lnTo>
                <a:lnTo>
                  <a:pt x="937" y="846"/>
                </a:lnTo>
                <a:lnTo>
                  <a:pt x="931" y="876"/>
                </a:lnTo>
                <a:lnTo>
                  <a:pt x="934" y="890"/>
                </a:lnTo>
                <a:lnTo>
                  <a:pt x="933" y="905"/>
                </a:lnTo>
                <a:lnTo>
                  <a:pt x="936" y="935"/>
                </a:lnTo>
                <a:lnTo>
                  <a:pt x="946" y="972"/>
                </a:lnTo>
                <a:lnTo>
                  <a:pt x="954" y="994"/>
                </a:lnTo>
                <a:lnTo>
                  <a:pt x="950" y="1013"/>
                </a:lnTo>
                <a:lnTo>
                  <a:pt x="948" y="1024"/>
                </a:lnTo>
                <a:lnTo>
                  <a:pt x="951" y="1055"/>
                </a:lnTo>
                <a:lnTo>
                  <a:pt x="914" y="1054"/>
                </a:lnTo>
                <a:lnTo>
                  <a:pt x="890" y="1054"/>
                </a:lnTo>
                <a:lnTo>
                  <a:pt x="876" y="1054"/>
                </a:lnTo>
                <a:lnTo>
                  <a:pt x="866" y="1054"/>
                </a:lnTo>
                <a:lnTo>
                  <a:pt x="864" y="1054"/>
                </a:lnTo>
                <a:lnTo>
                  <a:pt x="857" y="1054"/>
                </a:lnTo>
                <a:lnTo>
                  <a:pt x="797" y="1054"/>
                </a:lnTo>
                <a:lnTo>
                  <a:pt x="787" y="1055"/>
                </a:lnTo>
                <a:lnTo>
                  <a:pt x="781" y="1055"/>
                </a:lnTo>
                <a:lnTo>
                  <a:pt x="773" y="1055"/>
                </a:lnTo>
                <a:lnTo>
                  <a:pt x="771" y="1055"/>
                </a:lnTo>
                <a:lnTo>
                  <a:pt x="768" y="105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6" name="S_WA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GrpSpPr>
            <a:grpSpLocks/>
          </xdr:cNvGrpSpPr>
        </xdr:nvGrpSpPr>
        <xdr:grpSpPr bwMode="auto">
          <a:xfrm>
            <a:off x="0" y="85725"/>
            <a:ext cx="1405778" cy="765362"/>
            <a:chOff x="809619" y="1298580"/>
            <a:chExt cx="1162042" cy="647703"/>
          </a:xfrm>
          <a:grpFill/>
        </xdr:grpSpPr>
        <xdr:sp macro="" textlink="">
          <xdr:nvSpPr>
            <xdr:cNvPr id="75" name="myShape_WA2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>
              <a:spLocks/>
            </xdr:cNvSpPr>
          </xdr:nvSpPr>
          <xdr:spPr bwMode="auto">
            <a:xfrm>
              <a:off x="809619" y="1298580"/>
              <a:ext cx="1162042" cy="647703"/>
            </a:xfrm>
            <a:custGeom>
              <a:avLst/>
              <a:gdLst>
                <a:gd name="T0" fmla="*/ 2147483647 w 1466"/>
                <a:gd name="T1" fmla="*/ 2147483647 h 815"/>
                <a:gd name="T2" fmla="*/ 2147483647 w 1466"/>
                <a:gd name="T3" fmla="*/ 2147483647 h 815"/>
                <a:gd name="T4" fmla="*/ 2147483647 w 1466"/>
                <a:gd name="T5" fmla="*/ 2147483647 h 815"/>
                <a:gd name="T6" fmla="*/ 2147483647 w 1466"/>
                <a:gd name="T7" fmla="*/ 2147483647 h 815"/>
                <a:gd name="T8" fmla="*/ 2147483647 w 1466"/>
                <a:gd name="T9" fmla="*/ 2147483647 h 815"/>
                <a:gd name="T10" fmla="*/ 2147483647 w 1466"/>
                <a:gd name="T11" fmla="*/ 2147483647 h 815"/>
                <a:gd name="T12" fmla="*/ 2147483647 w 1466"/>
                <a:gd name="T13" fmla="*/ 2147483647 h 815"/>
                <a:gd name="T14" fmla="*/ 2147483647 w 1466"/>
                <a:gd name="T15" fmla="*/ 2147483647 h 815"/>
                <a:gd name="T16" fmla="*/ 2147483647 w 1466"/>
                <a:gd name="T17" fmla="*/ 2147483647 h 815"/>
                <a:gd name="T18" fmla="*/ 2147483647 w 1466"/>
                <a:gd name="T19" fmla="*/ 2147483647 h 815"/>
                <a:gd name="T20" fmla="*/ 2147483647 w 1466"/>
                <a:gd name="T21" fmla="*/ 2147483647 h 815"/>
                <a:gd name="T22" fmla="*/ 2147483647 w 1466"/>
                <a:gd name="T23" fmla="*/ 2147483647 h 815"/>
                <a:gd name="T24" fmla="*/ 2147483647 w 1466"/>
                <a:gd name="T25" fmla="*/ 2147483647 h 815"/>
                <a:gd name="T26" fmla="*/ 2147483647 w 1466"/>
                <a:gd name="T27" fmla="*/ 2147483647 h 815"/>
                <a:gd name="T28" fmla="*/ 2147483647 w 1466"/>
                <a:gd name="T29" fmla="*/ 2147483647 h 815"/>
                <a:gd name="T30" fmla="*/ 2147483647 w 1466"/>
                <a:gd name="T31" fmla="*/ 2147483647 h 815"/>
                <a:gd name="T32" fmla="*/ 2147483647 w 1466"/>
                <a:gd name="T33" fmla="*/ 2147483647 h 815"/>
                <a:gd name="T34" fmla="*/ 2147483647 w 1466"/>
                <a:gd name="T35" fmla="*/ 2147483647 h 815"/>
                <a:gd name="T36" fmla="*/ 2147483647 w 1466"/>
                <a:gd name="T37" fmla="*/ 2147483647 h 815"/>
                <a:gd name="T38" fmla="*/ 2147483647 w 1466"/>
                <a:gd name="T39" fmla="*/ 2147483647 h 815"/>
                <a:gd name="T40" fmla="*/ 2147483647 w 1466"/>
                <a:gd name="T41" fmla="*/ 2147483647 h 815"/>
                <a:gd name="T42" fmla="*/ 2147483647 w 1466"/>
                <a:gd name="T43" fmla="*/ 2147483647 h 815"/>
                <a:gd name="T44" fmla="*/ 2147483647 w 1466"/>
                <a:gd name="T45" fmla="*/ 2147483647 h 815"/>
                <a:gd name="T46" fmla="*/ 2147483647 w 1466"/>
                <a:gd name="T47" fmla="*/ 2147483647 h 815"/>
                <a:gd name="T48" fmla="*/ 2147483647 w 1466"/>
                <a:gd name="T49" fmla="*/ 2147483647 h 815"/>
                <a:gd name="T50" fmla="*/ 2147483647 w 1466"/>
                <a:gd name="T51" fmla="*/ 2147483647 h 815"/>
                <a:gd name="T52" fmla="*/ 2147483647 w 1466"/>
                <a:gd name="T53" fmla="*/ 2147483647 h 815"/>
                <a:gd name="T54" fmla="*/ 2147483647 w 1466"/>
                <a:gd name="T55" fmla="*/ 2147483647 h 815"/>
                <a:gd name="T56" fmla="*/ 2147483647 w 1466"/>
                <a:gd name="T57" fmla="*/ 2147483647 h 815"/>
                <a:gd name="T58" fmla="*/ 2147483647 w 1466"/>
                <a:gd name="T59" fmla="*/ 2147483647 h 815"/>
                <a:gd name="T60" fmla="*/ 0 w 1466"/>
                <a:gd name="T61" fmla="*/ 2147483647 h 815"/>
                <a:gd name="T62" fmla="*/ 2147483647 w 1466"/>
                <a:gd name="T63" fmla="*/ 2147483647 h 815"/>
                <a:gd name="T64" fmla="*/ 2147483647 w 1466"/>
                <a:gd name="T65" fmla="*/ 2147483647 h 815"/>
                <a:gd name="T66" fmla="*/ 2147483647 w 1466"/>
                <a:gd name="T67" fmla="*/ 2147483647 h 815"/>
                <a:gd name="T68" fmla="*/ 2147483647 w 1466"/>
                <a:gd name="T69" fmla="*/ 2147483647 h 815"/>
                <a:gd name="T70" fmla="*/ 2147483647 w 1466"/>
                <a:gd name="T71" fmla="*/ 2147483647 h 815"/>
                <a:gd name="T72" fmla="*/ 2147483647 w 1466"/>
                <a:gd name="T73" fmla="*/ 2147483647 h 815"/>
                <a:gd name="T74" fmla="*/ 2147483647 w 1466"/>
                <a:gd name="T75" fmla="*/ 2147483647 h 815"/>
                <a:gd name="T76" fmla="*/ 2147483647 w 1466"/>
                <a:gd name="T77" fmla="*/ 2147483647 h 815"/>
                <a:gd name="T78" fmla="*/ 2147483647 w 1466"/>
                <a:gd name="T79" fmla="*/ 2147483647 h 815"/>
                <a:gd name="T80" fmla="*/ 2147483647 w 1466"/>
                <a:gd name="T81" fmla="*/ 2147483647 h 815"/>
                <a:gd name="T82" fmla="*/ 2147483647 w 1466"/>
                <a:gd name="T83" fmla="*/ 2147483647 h 815"/>
                <a:gd name="T84" fmla="*/ 2147483647 w 1466"/>
                <a:gd name="T85" fmla="*/ 2147483647 h 815"/>
                <a:gd name="T86" fmla="*/ 2147483647 w 1466"/>
                <a:gd name="T87" fmla="*/ 2147483647 h 815"/>
                <a:gd name="T88" fmla="*/ 2147483647 w 1466"/>
                <a:gd name="T89" fmla="*/ 2147483647 h 815"/>
                <a:gd name="T90" fmla="*/ 2147483647 w 1466"/>
                <a:gd name="T91" fmla="*/ 2147483647 h 815"/>
                <a:gd name="T92" fmla="*/ 2147483647 w 1466"/>
                <a:gd name="T93" fmla="*/ 2147483647 h 815"/>
                <a:gd name="T94" fmla="*/ 2147483647 w 1466"/>
                <a:gd name="T95" fmla="*/ 2147483647 h 815"/>
                <a:gd name="T96" fmla="*/ 2147483647 w 1466"/>
                <a:gd name="T97" fmla="*/ 2147483647 h 815"/>
                <a:gd name="T98" fmla="*/ 2147483647 w 1466"/>
                <a:gd name="T99" fmla="*/ 2147483647 h 815"/>
                <a:gd name="T100" fmla="*/ 2147483647 w 1466"/>
                <a:gd name="T101" fmla="*/ 2147483647 h 815"/>
                <a:gd name="T102" fmla="*/ 2147483647 w 1466"/>
                <a:gd name="T103" fmla="*/ 2147483647 h 815"/>
                <a:gd name="T104" fmla="*/ 2147483647 w 1466"/>
                <a:gd name="T105" fmla="*/ 2147483647 h 815"/>
                <a:gd name="T106" fmla="*/ 2147483647 w 1466"/>
                <a:gd name="T107" fmla="*/ 0 h 815"/>
                <a:gd name="T108" fmla="*/ 2147483647 w 1466"/>
                <a:gd name="T109" fmla="*/ 2147483647 h 815"/>
                <a:gd name="T110" fmla="*/ 2147483647 w 1466"/>
                <a:gd name="T111" fmla="*/ 2147483647 h 815"/>
                <a:gd name="T112" fmla="*/ 2147483647 w 1466"/>
                <a:gd name="T113" fmla="*/ 2147483647 h 815"/>
                <a:gd name="T114" fmla="*/ 2147483647 w 1466"/>
                <a:gd name="T115" fmla="*/ 2147483647 h 815"/>
                <a:gd name="T116" fmla="*/ 2147483647 w 1466"/>
                <a:gd name="T117" fmla="*/ 2147483647 h 815"/>
                <a:gd name="T118" fmla="*/ 2147483647 w 1466"/>
                <a:gd name="T119" fmla="*/ 2147483647 h 815"/>
                <a:gd name="T120" fmla="*/ 2147483647 w 1466"/>
                <a:gd name="T121" fmla="*/ 2147483647 h 815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w 1466"/>
                <a:gd name="T184" fmla="*/ 0 h 815"/>
                <a:gd name="T185" fmla="*/ 1466 w 1466"/>
                <a:gd name="T186" fmla="*/ 815 h 815"/>
              </a:gdLst>
              <a:ahLst/>
              <a:cxnLst>
                <a:cxn ang="T122">
                  <a:pos x="T0" y="T1"/>
                </a:cxn>
                <a:cxn ang="T123">
                  <a:pos x="T2" y="T3"/>
                </a:cxn>
                <a:cxn ang="T124">
                  <a:pos x="T4" y="T5"/>
                </a:cxn>
                <a:cxn ang="T125">
                  <a:pos x="T6" y="T7"/>
                </a:cxn>
                <a:cxn ang="T126">
                  <a:pos x="T8" y="T9"/>
                </a:cxn>
                <a:cxn ang="T127">
                  <a:pos x="T10" y="T11"/>
                </a:cxn>
                <a:cxn ang="T128">
                  <a:pos x="T12" y="T13"/>
                </a:cxn>
                <a:cxn ang="T129">
                  <a:pos x="T14" y="T15"/>
                </a:cxn>
                <a:cxn ang="T130">
                  <a:pos x="T16" y="T17"/>
                </a:cxn>
                <a:cxn ang="T131">
                  <a:pos x="T18" y="T19"/>
                </a:cxn>
                <a:cxn ang="T132">
                  <a:pos x="T20" y="T21"/>
                </a:cxn>
                <a:cxn ang="T133">
                  <a:pos x="T22" y="T23"/>
                </a:cxn>
                <a:cxn ang="T134">
                  <a:pos x="T24" y="T25"/>
                </a:cxn>
                <a:cxn ang="T135">
                  <a:pos x="T26" y="T27"/>
                </a:cxn>
                <a:cxn ang="T136">
                  <a:pos x="T28" y="T29"/>
                </a:cxn>
                <a:cxn ang="T137">
                  <a:pos x="T30" y="T31"/>
                </a:cxn>
                <a:cxn ang="T138">
                  <a:pos x="T32" y="T33"/>
                </a:cxn>
                <a:cxn ang="T139">
                  <a:pos x="T34" y="T35"/>
                </a:cxn>
                <a:cxn ang="T140">
                  <a:pos x="T36" y="T37"/>
                </a:cxn>
                <a:cxn ang="T141">
                  <a:pos x="T38" y="T39"/>
                </a:cxn>
                <a:cxn ang="T142">
                  <a:pos x="T40" y="T41"/>
                </a:cxn>
                <a:cxn ang="T143">
                  <a:pos x="T42" y="T43"/>
                </a:cxn>
                <a:cxn ang="T144">
                  <a:pos x="T44" y="T45"/>
                </a:cxn>
                <a:cxn ang="T145">
                  <a:pos x="T46" y="T47"/>
                </a:cxn>
                <a:cxn ang="T146">
                  <a:pos x="T48" y="T49"/>
                </a:cxn>
                <a:cxn ang="T147">
                  <a:pos x="T50" y="T51"/>
                </a:cxn>
                <a:cxn ang="T148">
                  <a:pos x="T52" y="T53"/>
                </a:cxn>
                <a:cxn ang="T149">
                  <a:pos x="T54" y="T55"/>
                </a:cxn>
                <a:cxn ang="T150">
                  <a:pos x="T56" y="T57"/>
                </a:cxn>
                <a:cxn ang="T151">
                  <a:pos x="T58" y="T59"/>
                </a:cxn>
                <a:cxn ang="T152">
                  <a:pos x="T60" y="T61"/>
                </a:cxn>
                <a:cxn ang="T153">
                  <a:pos x="T62" y="T63"/>
                </a:cxn>
                <a:cxn ang="T154">
                  <a:pos x="T64" y="T65"/>
                </a:cxn>
                <a:cxn ang="T155">
                  <a:pos x="T66" y="T67"/>
                </a:cxn>
                <a:cxn ang="T156">
                  <a:pos x="T68" y="T69"/>
                </a:cxn>
                <a:cxn ang="T157">
                  <a:pos x="T70" y="T71"/>
                </a:cxn>
                <a:cxn ang="T158">
                  <a:pos x="T72" y="T73"/>
                </a:cxn>
                <a:cxn ang="T159">
                  <a:pos x="T74" y="T75"/>
                </a:cxn>
                <a:cxn ang="T160">
                  <a:pos x="T76" y="T77"/>
                </a:cxn>
                <a:cxn ang="T161">
                  <a:pos x="T78" y="T79"/>
                </a:cxn>
                <a:cxn ang="T162">
                  <a:pos x="T80" y="T81"/>
                </a:cxn>
                <a:cxn ang="T163">
                  <a:pos x="T82" y="T83"/>
                </a:cxn>
                <a:cxn ang="T164">
                  <a:pos x="T84" y="T85"/>
                </a:cxn>
                <a:cxn ang="T165">
                  <a:pos x="T86" y="T87"/>
                </a:cxn>
                <a:cxn ang="T166">
                  <a:pos x="T88" y="T89"/>
                </a:cxn>
                <a:cxn ang="T167">
                  <a:pos x="T90" y="T91"/>
                </a:cxn>
                <a:cxn ang="T168">
                  <a:pos x="T92" y="T93"/>
                </a:cxn>
                <a:cxn ang="T169">
                  <a:pos x="T94" y="T95"/>
                </a:cxn>
                <a:cxn ang="T170">
                  <a:pos x="T96" y="T97"/>
                </a:cxn>
                <a:cxn ang="T171">
                  <a:pos x="T98" y="T99"/>
                </a:cxn>
                <a:cxn ang="T172">
                  <a:pos x="T100" y="T101"/>
                </a:cxn>
                <a:cxn ang="T173">
                  <a:pos x="T102" y="T103"/>
                </a:cxn>
                <a:cxn ang="T174">
                  <a:pos x="T104" y="T105"/>
                </a:cxn>
                <a:cxn ang="T175">
                  <a:pos x="T106" y="T107"/>
                </a:cxn>
                <a:cxn ang="T176">
                  <a:pos x="T108" y="T109"/>
                </a:cxn>
                <a:cxn ang="T177">
                  <a:pos x="T110" y="T111"/>
                </a:cxn>
                <a:cxn ang="T178">
                  <a:pos x="T112" y="T113"/>
                </a:cxn>
                <a:cxn ang="T179">
                  <a:pos x="T114" y="T115"/>
                </a:cxn>
                <a:cxn ang="T180">
                  <a:pos x="T116" y="T117"/>
                </a:cxn>
                <a:cxn ang="T181">
                  <a:pos x="T118" y="T119"/>
                </a:cxn>
                <a:cxn ang="T182">
                  <a:pos x="T120" y="T121"/>
                </a:cxn>
              </a:cxnLst>
              <a:rect l="T183" t="T184" r="T185" b="T186"/>
              <a:pathLst>
                <a:path w="1466" h="815">
                  <a:moveTo>
                    <a:pt x="1442" y="609"/>
                  </a:moveTo>
                  <a:lnTo>
                    <a:pt x="1440" y="621"/>
                  </a:lnTo>
                  <a:lnTo>
                    <a:pt x="1457" y="649"/>
                  </a:lnTo>
                  <a:lnTo>
                    <a:pt x="1466" y="711"/>
                  </a:lnTo>
                  <a:lnTo>
                    <a:pt x="1386" y="709"/>
                  </a:lnTo>
                  <a:lnTo>
                    <a:pt x="1384" y="709"/>
                  </a:lnTo>
                  <a:lnTo>
                    <a:pt x="1361" y="709"/>
                  </a:lnTo>
                  <a:lnTo>
                    <a:pt x="1359" y="709"/>
                  </a:lnTo>
                  <a:lnTo>
                    <a:pt x="1356" y="709"/>
                  </a:lnTo>
                  <a:lnTo>
                    <a:pt x="1337" y="709"/>
                  </a:lnTo>
                  <a:lnTo>
                    <a:pt x="1333" y="709"/>
                  </a:lnTo>
                  <a:lnTo>
                    <a:pt x="1317" y="709"/>
                  </a:lnTo>
                  <a:lnTo>
                    <a:pt x="1268" y="709"/>
                  </a:lnTo>
                  <a:lnTo>
                    <a:pt x="1263" y="709"/>
                  </a:lnTo>
                  <a:lnTo>
                    <a:pt x="1216" y="709"/>
                  </a:lnTo>
                  <a:lnTo>
                    <a:pt x="1117" y="708"/>
                  </a:lnTo>
                  <a:lnTo>
                    <a:pt x="1078" y="709"/>
                  </a:lnTo>
                  <a:lnTo>
                    <a:pt x="1052" y="724"/>
                  </a:lnTo>
                  <a:lnTo>
                    <a:pt x="1028" y="723"/>
                  </a:lnTo>
                  <a:lnTo>
                    <a:pt x="995" y="729"/>
                  </a:lnTo>
                  <a:lnTo>
                    <a:pt x="969" y="727"/>
                  </a:lnTo>
                  <a:lnTo>
                    <a:pt x="951" y="743"/>
                  </a:lnTo>
                  <a:lnTo>
                    <a:pt x="913" y="748"/>
                  </a:lnTo>
                  <a:lnTo>
                    <a:pt x="906" y="750"/>
                  </a:lnTo>
                  <a:lnTo>
                    <a:pt x="895" y="750"/>
                  </a:lnTo>
                  <a:lnTo>
                    <a:pt x="889" y="753"/>
                  </a:lnTo>
                  <a:lnTo>
                    <a:pt x="849" y="774"/>
                  </a:lnTo>
                  <a:lnTo>
                    <a:pt x="799" y="781"/>
                  </a:lnTo>
                  <a:lnTo>
                    <a:pt x="767" y="772"/>
                  </a:lnTo>
                  <a:lnTo>
                    <a:pt x="760" y="776"/>
                  </a:lnTo>
                  <a:lnTo>
                    <a:pt x="729" y="786"/>
                  </a:lnTo>
                  <a:lnTo>
                    <a:pt x="717" y="794"/>
                  </a:lnTo>
                  <a:lnTo>
                    <a:pt x="667" y="801"/>
                  </a:lnTo>
                  <a:lnTo>
                    <a:pt x="662" y="786"/>
                  </a:lnTo>
                  <a:lnTo>
                    <a:pt x="619" y="780"/>
                  </a:lnTo>
                  <a:lnTo>
                    <a:pt x="615" y="780"/>
                  </a:lnTo>
                  <a:lnTo>
                    <a:pt x="608" y="775"/>
                  </a:lnTo>
                  <a:lnTo>
                    <a:pt x="604" y="774"/>
                  </a:lnTo>
                  <a:lnTo>
                    <a:pt x="564" y="781"/>
                  </a:lnTo>
                  <a:lnTo>
                    <a:pt x="550" y="778"/>
                  </a:lnTo>
                  <a:lnTo>
                    <a:pt x="529" y="792"/>
                  </a:lnTo>
                  <a:lnTo>
                    <a:pt x="496" y="808"/>
                  </a:lnTo>
                  <a:lnTo>
                    <a:pt x="481" y="809"/>
                  </a:lnTo>
                  <a:lnTo>
                    <a:pt x="468" y="815"/>
                  </a:lnTo>
                  <a:lnTo>
                    <a:pt x="433" y="812"/>
                  </a:lnTo>
                  <a:lnTo>
                    <a:pt x="372" y="790"/>
                  </a:lnTo>
                  <a:lnTo>
                    <a:pt x="372" y="774"/>
                  </a:lnTo>
                  <a:lnTo>
                    <a:pt x="373" y="772"/>
                  </a:lnTo>
                  <a:lnTo>
                    <a:pt x="373" y="768"/>
                  </a:lnTo>
                  <a:lnTo>
                    <a:pt x="367" y="745"/>
                  </a:lnTo>
                  <a:lnTo>
                    <a:pt x="362" y="718"/>
                  </a:lnTo>
                  <a:lnTo>
                    <a:pt x="328" y="678"/>
                  </a:lnTo>
                  <a:lnTo>
                    <a:pt x="288" y="669"/>
                  </a:lnTo>
                  <a:lnTo>
                    <a:pt x="281" y="673"/>
                  </a:lnTo>
                  <a:lnTo>
                    <a:pt x="259" y="674"/>
                  </a:lnTo>
                  <a:lnTo>
                    <a:pt x="244" y="649"/>
                  </a:lnTo>
                  <a:lnTo>
                    <a:pt x="238" y="645"/>
                  </a:lnTo>
                  <a:lnTo>
                    <a:pt x="203" y="647"/>
                  </a:lnTo>
                  <a:lnTo>
                    <a:pt x="192" y="641"/>
                  </a:lnTo>
                  <a:lnTo>
                    <a:pt x="163" y="652"/>
                  </a:lnTo>
                  <a:lnTo>
                    <a:pt x="146" y="646"/>
                  </a:lnTo>
                  <a:lnTo>
                    <a:pt x="141" y="635"/>
                  </a:lnTo>
                  <a:lnTo>
                    <a:pt x="134" y="646"/>
                  </a:lnTo>
                  <a:lnTo>
                    <a:pt x="126" y="646"/>
                  </a:lnTo>
                  <a:lnTo>
                    <a:pt x="129" y="557"/>
                  </a:lnTo>
                  <a:lnTo>
                    <a:pt x="135" y="600"/>
                  </a:lnTo>
                  <a:lnTo>
                    <a:pt x="143" y="592"/>
                  </a:lnTo>
                  <a:lnTo>
                    <a:pt x="156" y="588"/>
                  </a:lnTo>
                  <a:lnTo>
                    <a:pt x="148" y="562"/>
                  </a:lnTo>
                  <a:lnTo>
                    <a:pt x="164" y="546"/>
                  </a:lnTo>
                  <a:lnTo>
                    <a:pt x="164" y="536"/>
                  </a:lnTo>
                  <a:lnTo>
                    <a:pt x="141" y="544"/>
                  </a:lnTo>
                  <a:lnTo>
                    <a:pt x="122" y="535"/>
                  </a:lnTo>
                  <a:lnTo>
                    <a:pt x="122" y="521"/>
                  </a:lnTo>
                  <a:lnTo>
                    <a:pt x="118" y="503"/>
                  </a:lnTo>
                  <a:lnTo>
                    <a:pt x="112" y="495"/>
                  </a:lnTo>
                  <a:lnTo>
                    <a:pt x="123" y="503"/>
                  </a:lnTo>
                  <a:lnTo>
                    <a:pt x="164" y="487"/>
                  </a:lnTo>
                  <a:lnTo>
                    <a:pt x="164" y="483"/>
                  </a:lnTo>
                  <a:lnTo>
                    <a:pt x="137" y="475"/>
                  </a:lnTo>
                  <a:lnTo>
                    <a:pt x="117" y="463"/>
                  </a:lnTo>
                  <a:lnTo>
                    <a:pt x="117" y="486"/>
                  </a:lnTo>
                  <a:lnTo>
                    <a:pt x="106" y="490"/>
                  </a:lnTo>
                  <a:lnTo>
                    <a:pt x="102" y="425"/>
                  </a:lnTo>
                  <a:lnTo>
                    <a:pt x="95" y="402"/>
                  </a:lnTo>
                  <a:lnTo>
                    <a:pt x="80" y="389"/>
                  </a:lnTo>
                  <a:lnTo>
                    <a:pt x="74" y="347"/>
                  </a:lnTo>
                  <a:lnTo>
                    <a:pt x="51" y="291"/>
                  </a:lnTo>
                  <a:lnTo>
                    <a:pt x="50" y="286"/>
                  </a:lnTo>
                  <a:lnTo>
                    <a:pt x="22" y="264"/>
                  </a:lnTo>
                  <a:lnTo>
                    <a:pt x="10" y="236"/>
                  </a:lnTo>
                  <a:lnTo>
                    <a:pt x="12" y="226"/>
                  </a:lnTo>
                  <a:lnTo>
                    <a:pt x="0" y="200"/>
                  </a:lnTo>
                  <a:lnTo>
                    <a:pt x="12" y="156"/>
                  </a:lnTo>
                  <a:lnTo>
                    <a:pt x="1" y="144"/>
                  </a:lnTo>
                  <a:lnTo>
                    <a:pt x="14" y="143"/>
                  </a:lnTo>
                  <a:lnTo>
                    <a:pt x="141" y="196"/>
                  </a:lnTo>
                  <a:lnTo>
                    <a:pt x="244" y="203"/>
                  </a:lnTo>
                  <a:lnTo>
                    <a:pt x="245" y="207"/>
                  </a:lnTo>
                  <a:lnTo>
                    <a:pt x="313" y="207"/>
                  </a:lnTo>
                  <a:lnTo>
                    <a:pt x="341" y="221"/>
                  </a:lnTo>
                  <a:lnTo>
                    <a:pt x="356" y="222"/>
                  </a:lnTo>
                  <a:lnTo>
                    <a:pt x="356" y="207"/>
                  </a:lnTo>
                  <a:lnTo>
                    <a:pt x="374" y="209"/>
                  </a:lnTo>
                  <a:lnTo>
                    <a:pt x="365" y="216"/>
                  </a:lnTo>
                  <a:lnTo>
                    <a:pt x="373" y="228"/>
                  </a:lnTo>
                  <a:lnTo>
                    <a:pt x="376" y="225"/>
                  </a:lnTo>
                  <a:lnTo>
                    <a:pt x="395" y="268"/>
                  </a:lnTo>
                  <a:lnTo>
                    <a:pt x="374" y="292"/>
                  </a:lnTo>
                  <a:lnTo>
                    <a:pt x="375" y="297"/>
                  </a:lnTo>
                  <a:lnTo>
                    <a:pt x="407" y="266"/>
                  </a:lnTo>
                  <a:lnTo>
                    <a:pt x="419" y="266"/>
                  </a:lnTo>
                  <a:lnTo>
                    <a:pt x="425" y="296"/>
                  </a:lnTo>
                  <a:lnTo>
                    <a:pt x="421" y="297"/>
                  </a:lnTo>
                  <a:lnTo>
                    <a:pt x="421" y="351"/>
                  </a:lnTo>
                  <a:lnTo>
                    <a:pt x="424" y="352"/>
                  </a:lnTo>
                  <a:lnTo>
                    <a:pt x="434" y="371"/>
                  </a:lnTo>
                  <a:lnTo>
                    <a:pt x="443" y="382"/>
                  </a:lnTo>
                  <a:lnTo>
                    <a:pt x="421" y="395"/>
                  </a:lnTo>
                  <a:lnTo>
                    <a:pt x="414" y="387"/>
                  </a:lnTo>
                  <a:lnTo>
                    <a:pt x="411" y="387"/>
                  </a:lnTo>
                  <a:lnTo>
                    <a:pt x="421" y="402"/>
                  </a:lnTo>
                  <a:lnTo>
                    <a:pt x="437" y="397"/>
                  </a:lnTo>
                  <a:lnTo>
                    <a:pt x="454" y="384"/>
                  </a:lnTo>
                  <a:lnTo>
                    <a:pt x="445" y="367"/>
                  </a:lnTo>
                  <a:lnTo>
                    <a:pt x="441" y="289"/>
                  </a:lnTo>
                  <a:lnTo>
                    <a:pt x="462" y="247"/>
                  </a:lnTo>
                  <a:lnTo>
                    <a:pt x="470" y="245"/>
                  </a:lnTo>
                  <a:lnTo>
                    <a:pt x="472" y="233"/>
                  </a:lnTo>
                  <a:lnTo>
                    <a:pt x="447" y="207"/>
                  </a:lnTo>
                  <a:lnTo>
                    <a:pt x="440" y="184"/>
                  </a:lnTo>
                  <a:lnTo>
                    <a:pt x="435" y="207"/>
                  </a:lnTo>
                  <a:lnTo>
                    <a:pt x="445" y="222"/>
                  </a:lnTo>
                  <a:lnTo>
                    <a:pt x="428" y="207"/>
                  </a:lnTo>
                  <a:lnTo>
                    <a:pt x="421" y="206"/>
                  </a:lnTo>
                  <a:lnTo>
                    <a:pt x="416" y="178"/>
                  </a:lnTo>
                  <a:lnTo>
                    <a:pt x="438" y="176"/>
                  </a:lnTo>
                  <a:lnTo>
                    <a:pt x="443" y="167"/>
                  </a:lnTo>
                  <a:lnTo>
                    <a:pt x="443" y="166"/>
                  </a:lnTo>
                  <a:lnTo>
                    <a:pt x="421" y="152"/>
                  </a:lnTo>
                  <a:lnTo>
                    <a:pt x="406" y="143"/>
                  </a:lnTo>
                  <a:lnTo>
                    <a:pt x="392" y="178"/>
                  </a:lnTo>
                  <a:lnTo>
                    <a:pt x="412" y="224"/>
                  </a:lnTo>
                  <a:lnTo>
                    <a:pt x="419" y="224"/>
                  </a:lnTo>
                  <a:lnTo>
                    <a:pt x="418" y="214"/>
                  </a:lnTo>
                  <a:lnTo>
                    <a:pt x="445" y="229"/>
                  </a:lnTo>
                  <a:lnTo>
                    <a:pt x="445" y="259"/>
                  </a:lnTo>
                  <a:lnTo>
                    <a:pt x="422" y="240"/>
                  </a:lnTo>
                  <a:lnTo>
                    <a:pt x="401" y="229"/>
                  </a:lnTo>
                  <a:lnTo>
                    <a:pt x="397" y="198"/>
                  </a:lnTo>
                  <a:lnTo>
                    <a:pt x="374" y="186"/>
                  </a:lnTo>
                  <a:lnTo>
                    <a:pt x="390" y="139"/>
                  </a:lnTo>
                  <a:lnTo>
                    <a:pt x="389" y="89"/>
                  </a:lnTo>
                  <a:lnTo>
                    <a:pt x="421" y="128"/>
                  </a:lnTo>
                  <a:lnTo>
                    <a:pt x="423" y="84"/>
                  </a:lnTo>
                  <a:lnTo>
                    <a:pt x="421" y="61"/>
                  </a:lnTo>
                  <a:lnTo>
                    <a:pt x="399" y="60"/>
                  </a:lnTo>
                  <a:lnTo>
                    <a:pt x="401" y="84"/>
                  </a:lnTo>
                  <a:lnTo>
                    <a:pt x="374" y="32"/>
                  </a:lnTo>
                  <a:lnTo>
                    <a:pt x="373" y="1"/>
                  </a:lnTo>
                  <a:lnTo>
                    <a:pt x="729" y="0"/>
                  </a:lnTo>
                  <a:lnTo>
                    <a:pt x="1106" y="0"/>
                  </a:lnTo>
                  <a:lnTo>
                    <a:pt x="1226" y="0"/>
                  </a:lnTo>
                  <a:lnTo>
                    <a:pt x="1369" y="0"/>
                  </a:lnTo>
                  <a:lnTo>
                    <a:pt x="1444" y="1"/>
                  </a:lnTo>
                  <a:lnTo>
                    <a:pt x="1444" y="10"/>
                  </a:lnTo>
                  <a:lnTo>
                    <a:pt x="1444" y="20"/>
                  </a:lnTo>
                  <a:lnTo>
                    <a:pt x="1444" y="36"/>
                  </a:lnTo>
                  <a:lnTo>
                    <a:pt x="1443" y="170"/>
                  </a:lnTo>
                  <a:lnTo>
                    <a:pt x="1442" y="207"/>
                  </a:lnTo>
                  <a:lnTo>
                    <a:pt x="1442" y="226"/>
                  </a:lnTo>
                  <a:lnTo>
                    <a:pt x="1442" y="233"/>
                  </a:lnTo>
                  <a:lnTo>
                    <a:pt x="1442" y="236"/>
                  </a:lnTo>
                  <a:lnTo>
                    <a:pt x="1442" y="242"/>
                  </a:lnTo>
                  <a:lnTo>
                    <a:pt x="1442" y="295"/>
                  </a:lnTo>
                  <a:lnTo>
                    <a:pt x="1442" y="325"/>
                  </a:lnTo>
                  <a:lnTo>
                    <a:pt x="1442" y="386"/>
                  </a:lnTo>
                  <a:lnTo>
                    <a:pt x="1443" y="412"/>
                  </a:lnTo>
                  <a:lnTo>
                    <a:pt x="1443" y="414"/>
                  </a:lnTo>
                  <a:lnTo>
                    <a:pt x="1443" y="443"/>
                  </a:lnTo>
                  <a:lnTo>
                    <a:pt x="1442" y="532"/>
                  </a:lnTo>
                  <a:lnTo>
                    <a:pt x="1443" y="544"/>
                  </a:lnTo>
                  <a:lnTo>
                    <a:pt x="1443" y="581"/>
                  </a:lnTo>
                  <a:lnTo>
                    <a:pt x="1443" y="591"/>
                  </a:lnTo>
                  <a:lnTo>
                    <a:pt x="1442" y="60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6" name="myShape_WA1">
              <a:extLst>
                <a:ext uri="{FF2B5EF4-FFF2-40B4-BE49-F238E27FC236}">
                  <a16:creationId xmlns:a16="http://schemas.microsoft.com/office/drawing/2014/main" id="{00000000-0008-0000-0500-00004C000000}"/>
                </a:ext>
              </a:extLst>
            </xdr:cNvPr>
            <xdr:cNvSpPr>
              <a:spLocks/>
            </xdr:cNvSpPr>
          </xdr:nvSpPr>
          <xdr:spPr bwMode="auto">
            <a:xfrm>
              <a:off x="1046770" y="1361009"/>
              <a:ext cx="63240" cy="39018"/>
            </a:xfrm>
            <a:custGeom>
              <a:avLst/>
              <a:gdLst>
                <a:gd name="T0" fmla="*/ 0 w 74"/>
                <a:gd name="T1" fmla="*/ 0 h 49"/>
                <a:gd name="T2" fmla="*/ 2147483647 w 74"/>
                <a:gd name="T3" fmla="*/ 2147483647 h 49"/>
                <a:gd name="T4" fmla="*/ 2147483647 w 74"/>
                <a:gd name="T5" fmla="*/ 2147483647 h 49"/>
                <a:gd name="T6" fmla="*/ 2147483647 w 74"/>
                <a:gd name="T7" fmla="*/ 2147483647 h 49"/>
                <a:gd name="T8" fmla="*/ 2147483647 w 74"/>
                <a:gd name="T9" fmla="*/ 0 h 49"/>
                <a:gd name="T10" fmla="*/ 2147483647 w 74"/>
                <a:gd name="T11" fmla="*/ 2147483647 h 49"/>
                <a:gd name="T12" fmla="*/ 2147483647 w 74"/>
                <a:gd name="T13" fmla="*/ 2147483647 h 49"/>
                <a:gd name="T14" fmla="*/ 2147483647 w 74"/>
                <a:gd name="T15" fmla="*/ 2147483647 h 49"/>
                <a:gd name="T16" fmla="*/ 0 w 74"/>
                <a:gd name="T17" fmla="*/ 0 h 49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w 74"/>
                <a:gd name="T28" fmla="*/ 0 h 49"/>
                <a:gd name="T29" fmla="*/ 74 w 74"/>
                <a:gd name="T30" fmla="*/ 49 h 49"/>
              </a:gdLst>
              <a:ahLst/>
              <a:cxnLst>
                <a:cxn ang="T18">
                  <a:pos x="T0" y="T1"/>
                </a:cxn>
                <a:cxn ang="T19">
                  <a:pos x="T2" y="T3"/>
                </a:cxn>
                <a:cxn ang="T20">
                  <a:pos x="T4" y="T5"/>
                </a:cxn>
                <a:cxn ang="T21">
                  <a:pos x="T6" y="T7"/>
                </a:cxn>
                <a:cxn ang="T22">
                  <a:pos x="T8" y="T9"/>
                </a:cxn>
                <a:cxn ang="T23">
                  <a:pos x="T10" y="T11"/>
                </a:cxn>
                <a:cxn ang="T24">
                  <a:pos x="T12" y="T13"/>
                </a:cxn>
                <a:cxn ang="T25">
                  <a:pos x="T14" y="T15"/>
                </a:cxn>
                <a:cxn ang="T26">
                  <a:pos x="T16" y="T17"/>
                </a:cxn>
              </a:cxnLst>
              <a:rect l="T27" t="T28" r="T29" b="T30"/>
              <a:pathLst>
                <a:path w="74" h="49">
                  <a:moveTo>
                    <a:pt x="0" y="0"/>
                  </a:moveTo>
                  <a:lnTo>
                    <a:pt x="16" y="22"/>
                  </a:lnTo>
                  <a:lnTo>
                    <a:pt x="26" y="25"/>
                  </a:lnTo>
                  <a:lnTo>
                    <a:pt x="26" y="1"/>
                  </a:lnTo>
                  <a:lnTo>
                    <a:pt x="74" y="0"/>
                  </a:lnTo>
                  <a:lnTo>
                    <a:pt x="59" y="44"/>
                  </a:lnTo>
                  <a:lnTo>
                    <a:pt x="26" y="49"/>
                  </a:lnTo>
                  <a:lnTo>
                    <a:pt x="2" y="39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7" name="S_VT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>
            <a:spLocks/>
          </xdr:cNvSpPr>
        </xdr:nvSpPr>
        <xdr:spPr bwMode="auto">
          <a:xfrm>
            <a:off x="9228044" y="969869"/>
            <a:ext cx="355226" cy="499222"/>
          </a:xfrm>
          <a:custGeom>
            <a:avLst/>
            <a:gdLst>
              <a:gd name="T0" fmla="*/ 2147483647 w 363"/>
              <a:gd name="T1" fmla="*/ 2147483647 h 540"/>
              <a:gd name="T2" fmla="*/ 2147483647 w 363"/>
              <a:gd name="T3" fmla="*/ 2147483647 h 540"/>
              <a:gd name="T4" fmla="*/ 2147483647 w 363"/>
              <a:gd name="T5" fmla="*/ 2147483647 h 540"/>
              <a:gd name="T6" fmla="*/ 2147483647 w 363"/>
              <a:gd name="T7" fmla="*/ 2147483647 h 540"/>
              <a:gd name="T8" fmla="*/ 2147483647 w 363"/>
              <a:gd name="T9" fmla="*/ 2147483647 h 540"/>
              <a:gd name="T10" fmla="*/ 2147483647 w 363"/>
              <a:gd name="T11" fmla="*/ 2147483647 h 540"/>
              <a:gd name="T12" fmla="*/ 2147483647 w 363"/>
              <a:gd name="T13" fmla="*/ 2147483647 h 540"/>
              <a:gd name="T14" fmla="*/ 2147483647 w 363"/>
              <a:gd name="T15" fmla="*/ 2147483647 h 540"/>
              <a:gd name="T16" fmla="*/ 2147483647 w 363"/>
              <a:gd name="T17" fmla="*/ 2147483647 h 540"/>
              <a:gd name="T18" fmla="*/ 2147483647 w 363"/>
              <a:gd name="T19" fmla="*/ 2147483647 h 540"/>
              <a:gd name="T20" fmla="*/ 2147483647 w 363"/>
              <a:gd name="T21" fmla="*/ 2147483647 h 540"/>
              <a:gd name="T22" fmla="*/ 2147483647 w 363"/>
              <a:gd name="T23" fmla="*/ 2147483647 h 540"/>
              <a:gd name="T24" fmla="*/ 2147483647 w 363"/>
              <a:gd name="T25" fmla="*/ 2147483647 h 540"/>
              <a:gd name="T26" fmla="*/ 2147483647 w 363"/>
              <a:gd name="T27" fmla="*/ 2147483647 h 540"/>
              <a:gd name="T28" fmla="*/ 2147483647 w 363"/>
              <a:gd name="T29" fmla="*/ 2147483647 h 540"/>
              <a:gd name="T30" fmla="*/ 2147483647 w 363"/>
              <a:gd name="T31" fmla="*/ 2147483647 h 540"/>
              <a:gd name="T32" fmla="*/ 2147483647 w 363"/>
              <a:gd name="T33" fmla="*/ 2147483647 h 540"/>
              <a:gd name="T34" fmla="*/ 2147483647 w 363"/>
              <a:gd name="T35" fmla="*/ 2147483647 h 540"/>
              <a:gd name="T36" fmla="*/ 2147483647 w 363"/>
              <a:gd name="T37" fmla="*/ 2147483647 h 540"/>
              <a:gd name="T38" fmla="*/ 2147483647 w 363"/>
              <a:gd name="T39" fmla="*/ 2147483647 h 540"/>
              <a:gd name="T40" fmla="*/ 2147483647 w 363"/>
              <a:gd name="T41" fmla="*/ 2147483647 h 540"/>
              <a:gd name="T42" fmla="*/ 2147483647 w 363"/>
              <a:gd name="T43" fmla="*/ 2147483647 h 540"/>
              <a:gd name="T44" fmla="*/ 2147483647 w 363"/>
              <a:gd name="T45" fmla="*/ 2147483647 h 540"/>
              <a:gd name="T46" fmla="*/ 2147483647 w 363"/>
              <a:gd name="T47" fmla="*/ 2147483647 h 540"/>
              <a:gd name="T48" fmla="*/ 2147483647 w 363"/>
              <a:gd name="T49" fmla="*/ 2147483647 h 540"/>
              <a:gd name="T50" fmla="*/ 2147483647 w 363"/>
              <a:gd name="T51" fmla="*/ 2147483647 h 540"/>
              <a:gd name="T52" fmla="*/ 2147483647 w 363"/>
              <a:gd name="T53" fmla="*/ 2147483647 h 540"/>
              <a:gd name="T54" fmla="*/ 2147483647 w 363"/>
              <a:gd name="T55" fmla="*/ 2147483647 h 540"/>
              <a:gd name="T56" fmla="*/ 2147483647 w 363"/>
              <a:gd name="T57" fmla="*/ 2147483647 h 540"/>
              <a:gd name="T58" fmla="*/ 2147483647 w 363"/>
              <a:gd name="T59" fmla="*/ 2147483647 h 540"/>
              <a:gd name="T60" fmla="*/ 2147483647 w 363"/>
              <a:gd name="T61" fmla="*/ 2147483647 h 540"/>
              <a:gd name="T62" fmla="*/ 2147483647 w 363"/>
              <a:gd name="T63" fmla="*/ 2147483647 h 540"/>
              <a:gd name="T64" fmla="*/ 2147483647 w 363"/>
              <a:gd name="T65" fmla="*/ 2147483647 h 540"/>
              <a:gd name="T66" fmla="*/ 2147483647 w 363"/>
              <a:gd name="T67" fmla="*/ 2147483647 h 540"/>
              <a:gd name="T68" fmla="*/ 2147483647 w 363"/>
              <a:gd name="T69" fmla="*/ 2147483647 h 540"/>
              <a:gd name="T70" fmla="*/ 2147483647 w 363"/>
              <a:gd name="T71" fmla="*/ 2147483647 h 540"/>
              <a:gd name="T72" fmla="*/ 2147483647 w 363"/>
              <a:gd name="T73" fmla="*/ 2147483647 h 540"/>
              <a:gd name="T74" fmla="*/ 2147483647 w 363"/>
              <a:gd name="T75" fmla="*/ 2147483647 h 540"/>
              <a:gd name="T76" fmla="*/ 2147483647 w 363"/>
              <a:gd name="T77" fmla="*/ 2147483647 h 540"/>
              <a:gd name="T78" fmla="*/ 2147483647 w 363"/>
              <a:gd name="T79" fmla="*/ 2147483647 h 540"/>
              <a:gd name="T80" fmla="*/ 2147483647 w 363"/>
              <a:gd name="T81" fmla="*/ 2147483647 h 540"/>
              <a:gd name="T82" fmla="*/ 2147483647 w 363"/>
              <a:gd name="T83" fmla="*/ 0 h 540"/>
              <a:gd name="T84" fmla="*/ 2147483647 w 363"/>
              <a:gd name="T85" fmla="*/ 2147483647 h 540"/>
              <a:gd name="T86" fmla="*/ 2147483647 w 363"/>
              <a:gd name="T87" fmla="*/ 2147483647 h 540"/>
              <a:gd name="T88" fmla="*/ 2147483647 w 363"/>
              <a:gd name="T89" fmla="*/ 0 h 540"/>
              <a:gd name="T90" fmla="*/ 2147483647 w 363"/>
              <a:gd name="T91" fmla="*/ 2147483647 h 540"/>
              <a:gd name="T92" fmla="*/ 2147483647 w 363"/>
              <a:gd name="T93" fmla="*/ 2147483647 h 540"/>
              <a:gd name="T94" fmla="*/ 2147483647 w 363"/>
              <a:gd name="T95" fmla="*/ 2147483647 h 540"/>
              <a:gd name="T96" fmla="*/ 2147483647 w 363"/>
              <a:gd name="T97" fmla="*/ 2147483647 h 540"/>
              <a:gd name="T98" fmla="*/ 2147483647 w 363"/>
              <a:gd name="T99" fmla="*/ 2147483647 h 540"/>
              <a:gd name="T100" fmla="*/ 2147483647 w 363"/>
              <a:gd name="T101" fmla="*/ 2147483647 h 540"/>
              <a:gd name="T102" fmla="*/ 2147483647 w 363"/>
              <a:gd name="T103" fmla="*/ 2147483647 h 540"/>
              <a:gd name="T104" fmla="*/ 2147483647 w 363"/>
              <a:gd name="T105" fmla="*/ 2147483647 h 540"/>
              <a:gd name="T106" fmla="*/ 2147483647 w 363"/>
              <a:gd name="T107" fmla="*/ 2147483647 h 540"/>
              <a:gd name="T108" fmla="*/ 2147483647 w 363"/>
              <a:gd name="T109" fmla="*/ 2147483647 h 540"/>
              <a:gd name="T110" fmla="*/ 0 w 363"/>
              <a:gd name="T111" fmla="*/ 2147483647 h 540"/>
              <a:gd name="T112" fmla="*/ 2147483647 w 363"/>
              <a:gd name="T113" fmla="*/ 2147483647 h 540"/>
              <a:gd name="T114" fmla="*/ 2147483647 w 363"/>
              <a:gd name="T115" fmla="*/ 2147483647 h 540"/>
              <a:gd name="T116" fmla="*/ 2147483647 w 363"/>
              <a:gd name="T117" fmla="*/ 2147483647 h 540"/>
              <a:gd name="T118" fmla="*/ 2147483647 w 363"/>
              <a:gd name="T119" fmla="*/ 2147483647 h 54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363"/>
              <a:gd name="T181" fmla="*/ 0 h 540"/>
              <a:gd name="T182" fmla="*/ 363 w 363"/>
              <a:gd name="T183" fmla="*/ 540 h 540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363" h="540">
                <a:moveTo>
                  <a:pt x="13" y="298"/>
                </a:moveTo>
                <a:lnTo>
                  <a:pt x="2" y="328"/>
                </a:lnTo>
                <a:lnTo>
                  <a:pt x="25" y="328"/>
                </a:lnTo>
                <a:lnTo>
                  <a:pt x="35" y="402"/>
                </a:lnTo>
                <a:lnTo>
                  <a:pt x="34" y="417"/>
                </a:lnTo>
                <a:lnTo>
                  <a:pt x="32" y="446"/>
                </a:lnTo>
                <a:lnTo>
                  <a:pt x="30" y="489"/>
                </a:lnTo>
                <a:lnTo>
                  <a:pt x="29" y="516"/>
                </a:lnTo>
                <a:lnTo>
                  <a:pt x="30" y="536"/>
                </a:lnTo>
                <a:lnTo>
                  <a:pt x="32" y="536"/>
                </a:lnTo>
                <a:lnTo>
                  <a:pt x="68" y="537"/>
                </a:lnTo>
                <a:lnTo>
                  <a:pt x="74" y="537"/>
                </a:lnTo>
                <a:lnTo>
                  <a:pt x="77" y="537"/>
                </a:lnTo>
                <a:lnTo>
                  <a:pt x="80" y="537"/>
                </a:lnTo>
                <a:lnTo>
                  <a:pt x="82" y="537"/>
                </a:lnTo>
                <a:lnTo>
                  <a:pt x="95" y="537"/>
                </a:lnTo>
                <a:lnTo>
                  <a:pt x="129" y="538"/>
                </a:lnTo>
                <a:lnTo>
                  <a:pt x="175" y="540"/>
                </a:lnTo>
                <a:lnTo>
                  <a:pt x="183" y="540"/>
                </a:lnTo>
                <a:lnTo>
                  <a:pt x="168" y="488"/>
                </a:lnTo>
                <a:lnTo>
                  <a:pt x="182" y="476"/>
                </a:lnTo>
                <a:lnTo>
                  <a:pt x="184" y="437"/>
                </a:lnTo>
                <a:lnTo>
                  <a:pt x="188" y="421"/>
                </a:lnTo>
                <a:lnTo>
                  <a:pt x="188" y="420"/>
                </a:lnTo>
                <a:lnTo>
                  <a:pt x="197" y="359"/>
                </a:lnTo>
                <a:lnTo>
                  <a:pt x="198" y="340"/>
                </a:lnTo>
                <a:lnTo>
                  <a:pt x="207" y="334"/>
                </a:lnTo>
                <a:lnTo>
                  <a:pt x="207" y="328"/>
                </a:lnTo>
                <a:lnTo>
                  <a:pt x="221" y="301"/>
                </a:lnTo>
                <a:lnTo>
                  <a:pt x="230" y="294"/>
                </a:lnTo>
                <a:lnTo>
                  <a:pt x="248" y="240"/>
                </a:lnTo>
                <a:lnTo>
                  <a:pt x="261" y="211"/>
                </a:lnTo>
                <a:lnTo>
                  <a:pt x="260" y="203"/>
                </a:lnTo>
                <a:lnTo>
                  <a:pt x="258" y="181"/>
                </a:lnTo>
                <a:lnTo>
                  <a:pt x="269" y="162"/>
                </a:lnTo>
                <a:lnTo>
                  <a:pt x="299" y="157"/>
                </a:lnTo>
                <a:lnTo>
                  <a:pt x="303" y="151"/>
                </a:lnTo>
                <a:lnTo>
                  <a:pt x="313" y="143"/>
                </a:lnTo>
                <a:lnTo>
                  <a:pt x="346" y="122"/>
                </a:lnTo>
                <a:lnTo>
                  <a:pt x="337" y="63"/>
                </a:lnTo>
                <a:lnTo>
                  <a:pt x="363" y="24"/>
                </a:lnTo>
                <a:lnTo>
                  <a:pt x="362" y="0"/>
                </a:lnTo>
                <a:lnTo>
                  <a:pt x="287" y="2"/>
                </a:lnTo>
                <a:lnTo>
                  <a:pt x="165" y="2"/>
                </a:lnTo>
                <a:lnTo>
                  <a:pt x="45" y="0"/>
                </a:lnTo>
                <a:lnTo>
                  <a:pt x="35" y="1"/>
                </a:lnTo>
                <a:lnTo>
                  <a:pt x="17" y="1"/>
                </a:lnTo>
                <a:lnTo>
                  <a:pt x="11" y="36"/>
                </a:lnTo>
                <a:lnTo>
                  <a:pt x="11" y="103"/>
                </a:lnTo>
                <a:lnTo>
                  <a:pt x="14" y="107"/>
                </a:lnTo>
                <a:lnTo>
                  <a:pt x="19" y="110"/>
                </a:lnTo>
                <a:lnTo>
                  <a:pt x="19" y="111"/>
                </a:lnTo>
                <a:lnTo>
                  <a:pt x="24" y="122"/>
                </a:lnTo>
                <a:lnTo>
                  <a:pt x="23" y="177"/>
                </a:lnTo>
                <a:lnTo>
                  <a:pt x="8" y="194"/>
                </a:lnTo>
                <a:lnTo>
                  <a:pt x="0" y="222"/>
                </a:lnTo>
                <a:lnTo>
                  <a:pt x="11" y="285"/>
                </a:lnTo>
                <a:lnTo>
                  <a:pt x="11" y="288"/>
                </a:lnTo>
                <a:lnTo>
                  <a:pt x="12" y="288"/>
                </a:lnTo>
                <a:lnTo>
                  <a:pt x="13" y="29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8" name="S_VA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>
            <a:spLocks/>
          </xdr:cNvSpPr>
        </xdr:nvSpPr>
        <xdr:spPr bwMode="auto">
          <a:xfrm>
            <a:off x="7384116" y="2186828"/>
            <a:ext cx="1405778" cy="656105"/>
          </a:xfrm>
          <a:custGeom>
            <a:avLst/>
            <a:gdLst>
              <a:gd name="T0" fmla="*/ 2147483647 w 1460"/>
              <a:gd name="T1" fmla="*/ 2147483647 h 691"/>
              <a:gd name="T2" fmla="*/ 2147483647 w 1460"/>
              <a:gd name="T3" fmla="*/ 2147483647 h 691"/>
              <a:gd name="T4" fmla="*/ 2147483647 w 1460"/>
              <a:gd name="T5" fmla="*/ 2147483647 h 691"/>
              <a:gd name="T6" fmla="*/ 2147483647 w 1460"/>
              <a:gd name="T7" fmla="*/ 2147483647 h 691"/>
              <a:gd name="T8" fmla="*/ 2147483647 w 1460"/>
              <a:gd name="T9" fmla="*/ 2147483647 h 691"/>
              <a:gd name="T10" fmla="*/ 2147483647 w 1460"/>
              <a:gd name="T11" fmla="*/ 2147483647 h 691"/>
              <a:gd name="T12" fmla="*/ 2147483647 w 1460"/>
              <a:gd name="T13" fmla="*/ 2147483647 h 691"/>
              <a:gd name="T14" fmla="*/ 2147483647 w 1460"/>
              <a:gd name="T15" fmla="*/ 2147483647 h 691"/>
              <a:gd name="T16" fmla="*/ 2147483647 w 1460"/>
              <a:gd name="T17" fmla="*/ 2147483647 h 691"/>
              <a:gd name="T18" fmla="*/ 2147483647 w 1460"/>
              <a:gd name="T19" fmla="*/ 2147483647 h 691"/>
              <a:gd name="T20" fmla="*/ 2147483647 w 1460"/>
              <a:gd name="T21" fmla="*/ 2147483647 h 691"/>
              <a:gd name="T22" fmla="*/ 2147483647 w 1460"/>
              <a:gd name="T23" fmla="*/ 2147483647 h 691"/>
              <a:gd name="T24" fmla="*/ 2147483647 w 1460"/>
              <a:gd name="T25" fmla="*/ 2147483647 h 691"/>
              <a:gd name="T26" fmla="*/ 2147483647 w 1460"/>
              <a:gd name="T27" fmla="*/ 2147483647 h 691"/>
              <a:gd name="T28" fmla="*/ 2147483647 w 1460"/>
              <a:gd name="T29" fmla="*/ 2147483647 h 691"/>
              <a:gd name="T30" fmla="*/ 2147483647 w 1460"/>
              <a:gd name="T31" fmla="*/ 2147483647 h 691"/>
              <a:gd name="T32" fmla="*/ 2147483647 w 1460"/>
              <a:gd name="T33" fmla="*/ 2147483647 h 691"/>
              <a:gd name="T34" fmla="*/ 2147483647 w 1460"/>
              <a:gd name="T35" fmla="*/ 2147483647 h 691"/>
              <a:gd name="T36" fmla="*/ 2147483647 w 1460"/>
              <a:gd name="T37" fmla="*/ 2147483647 h 691"/>
              <a:gd name="T38" fmla="*/ 2147483647 w 1460"/>
              <a:gd name="T39" fmla="*/ 2147483647 h 691"/>
              <a:gd name="T40" fmla="*/ 2147483647 w 1460"/>
              <a:gd name="T41" fmla="*/ 2147483647 h 691"/>
              <a:gd name="T42" fmla="*/ 2147483647 w 1460"/>
              <a:gd name="T43" fmla="*/ 2147483647 h 691"/>
              <a:gd name="T44" fmla="*/ 2147483647 w 1460"/>
              <a:gd name="T45" fmla="*/ 2147483647 h 691"/>
              <a:gd name="T46" fmla="*/ 2147483647 w 1460"/>
              <a:gd name="T47" fmla="*/ 2147483647 h 691"/>
              <a:gd name="T48" fmla="*/ 2147483647 w 1460"/>
              <a:gd name="T49" fmla="*/ 2147483647 h 691"/>
              <a:gd name="T50" fmla="*/ 2147483647 w 1460"/>
              <a:gd name="T51" fmla="*/ 2147483647 h 691"/>
              <a:gd name="T52" fmla="*/ 2147483647 w 1460"/>
              <a:gd name="T53" fmla="*/ 2147483647 h 691"/>
              <a:gd name="T54" fmla="*/ 2147483647 w 1460"/>
              <a:gd name="T55" fmla="*/ 2147483647 h 691"/>
              <a:gd name="T56" fmla="*/ 2147483647 w 1460"/>
              <a:gd name="T57" fmla="*/ 2147483647 h 691"/>
              <a:gd name="T58" fmla="*/ 2147483647 w 1460"/>
              <a:gd name="T59" fmla="*/ 2147483647 h 691"/>
              <a:gd name="T60" fmla="*/ 2147483647 w 1460"/>
              <a:gd name="T61" fmla="*/ 2147483647 h 691"/>
              <a:gd name="T62" fmla="*/ 2147483647 w 1460"/>
              <a:gd name="T63" fmla="*/ 2147483647 h 691"/>
              <a:gd name="T64" fmla="*/ 2147483647 w 1460"/>
              <a:gd name="T65" fmla="*/ 2147483647 h 691"/>
              <a:gd name="T66" fmla="*/ 2147483647 w 1460"/>
              <a:gd name="T67" fmla="*/ 2147483647 h 691"/>
              <a:gd name="T68" fmla="*/ 2147483647 w 1460"/>
              <a:gd name="T69" fmla="*/ 2147483647 h 691"/>
              <a:gd name="T70" fmla="*/ 2147483647 w 1460"/>
              <a:gd name="T71" fmla="*/ 2147483647 h 691"/>
              <a:gd name="T72" fmla="*/ 2147483647 w 1460"/>
              <a:gd name="T73" fmla="*/ 2147483647 h 691"/>
              <a:gd name="T74" fmla="*/ 2147483647 w 1460"/>
              <a:gd name="T75" fmla="*/ 2147483647 h 691"/>
              <a:gd name="T76" fmla="*/ 2147483647 w 1460"/>
              <a:gd name="T77" fmla="*/ 2147483647 h 691"/>
              <a:gd name="T78" fmla="*/ 2147483647 w 1460"/>
              <a:gd name="T79" fmla="*/ 2147483647 h 691"/>
              <a:gd name="T80" fmla="*/ 2147483647 w 1460"/>
              <a:gd name="T81" fmla="*/ 2147483647 h 691"/>
              <a:gd name="T82" fmla="*/ 2147483647 w 1460"/>
              <a:gd name="T83" fmla="*/ 2147483647 h 691"/>
              <a:gd name="T84" fmla="*/ 2147483647 w 1460"/>
              <a:gd name="T85" fmla="*/ 2147483647 h 691"/>
              <a:gd name="T86" fmla="*/ 2147483647 w 1460"/>
              <a:gd name="T87" fmla="*/ 2147483647 h 691"/>
              <a:gd name="T88" fmla="*/ 2147483647 w 1460"/>
              <a:gd name="T89" fmla="*/ 2147483647 h 691"/>
              <a:gd name="T90" fmla="*/ 2147483647 w 1460"/>
              <a:gd name="T91" fmla="*/ 2147483647 h 691"/>
              <a:gd name="T92" fmla="*/ 2147483647 w 1460"/>
              <a:gd name="T93" fmla="*/ 2147483647 h 691"/>
              <a:gd name="T94" fmla="*/ 2147483647 w 1460"/>
              <a:gd name="T95" fmla="*/ 2147483647 h 691"/>
              <a:gd name="T96" fmla="*/ 2147483647 w 1460"/>
              <a:gd name="T97" fmla="*/ 2147483647 h 691"/>
              <a:gd name="T98" fmla="*/ 2147483647 w 1460"/>
              <a:gd name="T99" fmla="*/ 2147483647 h 691"/>
              <a:gd name="T100" fmla="*/ 2147483647 w 1460"/>
              <a:gd name="T101" fmla="*/ 2147483647 h 691"/>
              <a:gd name="T102" fmla="*/ 2147483647 w 1460"/>
              <a:gd name="T103" fmla="*/ 2147483647 h 691"/>
              <a:gd name="T104" fmla="*/ 2147483647 w 1460"/>
              <a:gd name="T105" fmla="*/ 2147483647 h 691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460"/>
              <a:gd name="T160" fmla="*/ 0 h 691"/>
              <a:gd name="T161" fmla="*/ 1460 w 1460"/>
              <a:gd name="T162" fmla="*/ 691 h 691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460" h="691">
                <a:moveTo>
                  <a:pt x="1362" y="542"/>
                </a:moveTo>
                <a:lnTo>
                  <a:pt x="1364" y="546"/>
                </a:lnTo>
                <a:lnTo>
                  <a:pt x="1365" y="544"/>
                </a:lnTo>
                <a:lnTo>
                  <a:pt x="1380" y="555"/>
                </a:lnTo>
                <a:lnTo>
                  <a:pt x="1380" y="556"/>
                </a:lnTo>
                <a:lnTo>
                  <a:pt x="1378" y="582"/>
                </a:lnTo>
                <a:lnTo>
                  <a:pt x="1379" y="587"/>
                </a:lnTo>
                <a:lnTo>
                  <a:pt x="1380" y="589"/>
                </a:lnTo>
                <a:lnTo>
                  <a:pt x="1389" y="593"/>
                </a:lnTo>
                <a:lnTo>
                  <a:pt x="1402" y="599"/>
                </a:lnTo>
                <a:lnTo>
                  <a:pt x="1412" y="602"/>
                </a:lnTo>
                <a:lnTo>
                  <a:pt x="1435" y="599"/>
                </a:lnTo>
                <a:lnTo>
                  <a:pt x="1460" y="689"/>
                </a:lnTo>
                <a:lnTo>
                  <a:pt x="1436" y="689"/>
                </a:lnTo>
                <a:lnTo>
                  <a:pt x="1412" y="688"/>
                </a:lnTo>
                <a:lnTo>
                  <a:pt x="1389" y="689"/>
                </a:lnTo>
                <a:lnTo>
                  <a:pt x="1384" y="689"/>
                </a:lnTo>
                <a:lnTo>
                  <a:pt x="1377" y="689"/>
                </a:lnTo>
                <a:lnTo>
                  <a:pt x="1372" y="689"/>
                </a:lnTo>
                <a:lnTo>
                  <a:pt x="1365" y="688"/>
                </a:lnTo>
                <a:lnTo>
                  <a:pt x="1344" y="688"/>
                </a:lnTo>
                <a:lnTo>
                  <a:pt x="1342" y="688"/>
                </a:lnTo>
                <a:lnTo>
                  <a:pt x="1335" y="688"/>
                </a:lnTo>
                <a:lnTo>
                  <a:pt x="1334" y="688"/>
                </a:lnTo>
                <a:lnTo>
                  <a:pt x="1295" y="688"/>
                </a:lnTo>
                <a:lnTo>
                  <a:pt x="1272" y="688"/>
                </a:lnTo>
                <a:lnTo>
                  <a:pt x="1265" y="688"/>
                </a:lnTo>
                <a:lnTo>
                  <a:pt x="1264" y="690"/>
                </a:lnTo>
                <a:lnTo>
                  <a:pt x="1230" y="690"/>
                </a:lnTo>
                <a:lnTo>
                  <a:pt x="1225" y="690"/>
                </a:lnTo>
                <a:lnTo>
                  <a:pt x="1218" y="689"/>
                </a:lnTo>
                <a:lnTo>
                  <a:pt x="1201" y="690"/>
                </a:lnTo>
                <a:lnTo>
                  <a:pt x="1193" y="690"/>
                </a:lnTo>
                <a:lnTo>
                  <a:pt x="1146" y="690"/>
                </a:lnTo>
                <a:lnTo>
                  <a:pt x="1142" y="690"/>
                </a:lnTo>
                <a:lnTo>
                  <a:pt x="1105" y="690"/>
                </a:lnTo>
                <a:lnTo>
                  <a:pt x="1098" y="690"/>
                </a:lnTo>
                <a:lnTo>
                  <a:pt x="1090" y="690"/>
                </a:lnTo>
                <a:lnTo>
                  <a:pt x="1079" y="690"/>
                </a:lnTo>
                <a:lnTo>
                  <a:pt x="1070" y="690"/>
                </a:lnTo>
                <a:lnTo>
                  <a:pt x="1061" y="690"/>
                </a:lnTo>
                <a:lnTo>
                  <a:pt x="1053" y="690"/>
                </a:lnTo>
                <a:lnTo>
                  <a:pt x="1020" y="690"/>
                </a:lnTo>
                <a:lnTo>
                  <a:pt x="1014" y="690"/>
                </a:lnTo>
                <a:lnTo>
                  <a:pt x="1000" y="690"/>
                </a:lnTo>
                <a:lnTo>
                  <a:pt x="991" y="690"/>
                </a:lnTo>
                <a:lnTo>
                  <a:pt x="984" y="690"/>
                </a:lnTo>
                <a:lnTo>
                  <a:pt x="976" y="690"/>
                </a:lnTo>
                <a:lnTo>
                  <a:pt x="968" y="691"/>
                </a:lnTo>
                <a:lnTo>
                  <a:pt x="945" y="691"/>
                </a:lnTo>
                <a:lnTo>
                  <a:pt x="924" y="690"/>
                </a:lnTo>
                <a:lnTo>
                  <a:pt x="921" y="690"/>
                </a:lnTo>
                <a:lnTo>
                  <a:pt x="916" y="690"/>
                </a:lnTo>
                <a:lnTo>
                  <a:pt x="913" y="690"/>
                </a:lnTo>
                <a:lnTo>
                  <a:pt x="909" y="690"/>
                </a:lnTo>
                <a:lnTo>
                  <a:pt x="906" y="690"/>
                </a:lnTo>
                <a:lnTo>
                  <a:pt x="848" y="690"/>
                </a:lnTo>
                <a:lnTo>
                  <a:pt x="833" y="690"/>
                </a:lnTo>
                <a:lnTo>
                  <a:pt x="828" y="691"/>
                </a:lnTo>
                <a:lnTo>
                  <a:pt x="804" y="691"/>
                </a:lnTo>
                <a:lnTo>
                  <a:pt x="779" y="691"/>
                </a:lnTo>
                <a:lnTo>
                  <a:pt x="769" y="691"/>
                </a:lnTo>
                <a:lnTo>
                  <a:pt x="757" y="690"/>
                </a:lnTo>
                <a:lnTo>
                  <a:pt x="740" y="690"/>
                </a:lnTo>
                <a:lnTo>
                  <a:pt x="710" y="690"/>
                </a:lnTo>
                <a:lnTo>
                  <a:pt x="687" y="690"/>
                </a:lnTo>
                <a:lnTo>
                  <a:pt x="682" y="690"/>
                </a:lnTo>
                <a:lnTo>
                  <a:pt x="677" y="690"/>
                </a:lnTo>
                <a:lnTo>
                  <a:pt x="664" y="690"/>
                </a:lnTo>
                <a:lnTo>
                  <a:pt x="632" y="690"/>
                </a:lnTo>
                <a:lnTo>
                  <a:pt x="604" y="688"/>
                </a:lnTo>
                <a:lnTo>
                  <a:pt x="594" y="688"/>
                </a:lnTo>
                <a:lnTo>
                  <a:pt x="582" y="687"/>
                </a:lnTo>
                <a:lnTo>
                  <a:pt x="572" y="687"/>
                </a:lnTo>
                <a:lnTo>
                  <a:pt x="555" y="686"/>
                </a:lnTo>
                <a:lnTo>
                  <a:pt x="542" y="686"/>
                </a:lnTo>
                <a:lnTo>
                  <a:pt x="534" y="686"/>
                </a:lnTo>
                <a:lnTo>
                  <a:pt x="530" y="687"/>
                </a:lnTo>
                <a:lnTo>
                  <a:pt x="527" y="687"/>
                </a:lnTo>
                <a:lnTo>
                  <a:pt x="525" y="686"/>
                </a:lnTo>
                <a:lnTo>
                  <a:pt x="524" y="686"/>
                </a:lnTo>
                <a:lnTo>
                  <a:pt x="519" y="686"/>
                </a:lnTo>
                <a:lnTo>
                  <a:pt x="490" y="685"/>
                </a:lnTo>
                <a:lnTo>
                  <a:pt x="443" y="683"/>
                </a:lnTo>
                <a:lnTo>
                  <a:pt x="434" y="683"/>
                </a:lnTo>
                <a:lnTo>
                  <a:pt x="417" y="683"/>
                </a:lnTo>
                <a:lnTo>
                  <a:pt x="411" y="681"/>
                </a:lnTo>
                <a:lnTo>
                  <a:pt x="383" y="679"/>
                </a:lnTo>
                <a:lnTo>
                  <a:pt x="373" y="679"/>
                </a:lnTo>
                <a:lnTo>
                  <a:pt x="380" y="674"/>
                </a:lnTo>
                <a:lnTo>
                  <a:pt x="360" y="674"/>
                </a:lnTo>
                <a:lnTo>
                  <a:pt x="345" y="673"/>
                </a:lnTo>
                <a:lnTo>
                  <a:pt x="327" y="673"/>
                </a:lnTo>
                <a:lnTo>
                  <a:pt x="325" y="678"/>
                </a:lnTo>
                <a:lnTo>
                  <a:pt x="285" y="678"/>
                </a:lnTo>
                <a:lnTo>
                  <a:pt x="280" y="678"/>
                </a:lnTo>
                <a:lnTo>
                  <a:pt x="274" y="677"/>
                </a:lnTo>
                <a:lnTo>
                  <a:pt x="267" y="678"/>
                </a:lnTo>
                <a:lnTo>
                  <a:pt x="266" y="678"/>
                </a:lnTo>
                <a:lnTo>
                  <a:pt x="258" y="677"/>
                </a:lnTo>
                <a:lnTo>
                  <a:pt x="243" y="678"/>
                </a:lnTo>
                <a:lnTo>
                  <a:pt x="219" y="678"/>
                </a:lnTo>
                <a:lnTo>
                  <a:pt x="199" y="678"/>
                </a:lnTo>
                <a:lnTo>
                  <a:pt x="197" y="678"/>
                </a:lnTo>
                <a:lnTo>
                  <a:pt x="189" y="678"/>
                </a:lnTo>
                <a:lnTo>
                  <a:pt x="158" y="678"/>
                </a:lnTo>
                <a:lnTo>
                  <a:pt x="149" y="678"/>
                </a:lnTo>
                <a:lnTo>
                  <a:pt x="129" y="678"/>
                </a:lnTo>
                <a:lnTo>
                  <a:pt x="77" y="678"/>
                </a:lnTo>
                <a:lnTo>
                  <a:pt x="75" y="677"/>
                </a:lnTo>
                <a:lnTo>
                  <a:pt x="38" y="677"/>
                </a:lnTo>
                <a:lnTo>
                  <a:pt x="9" y="677"/>
                </a:lnTo>
                <a:lnTo>
                  <a:pt x="5" y="677"/>
                </a:lnTo>
                <a:lnTo>
                  <a:pt x="0" y="676"/>
                </a:lnTo>
                <a:lnTo>
                  <a:pt x="8" y="671"/>
                </a:lnTo>
                <a:lnTo>
                  <a:pt x="33" y="660"/>
                </a:lnTo>
                <a:lnTo>
                  <a:pt x="39" y="661"/>
                </a:lnTo>
                <a:lnTo>
                  <a:pt x="101" y="641"/>
                </a:lnTo>
                <a:lnTo>
                  <a:pt x="102" y="632"/>
                </a:lnTo>
                <a:lnTo>
                  <a:pt x="148" y="608"/>
                </a:lnTo>
                <a:lnTo>
                  <a:pt x="149" y="607"/>
                </a:lnTo>
                <a:lnTo>
                  <a:pt x="151" y="588"/>
                </a:lnTo>
                <a:lnTo>
                  <a:pt x="173" y="577"/>
                </a:lnTo>
                <a:lnTo>
                  <a:pt x="180" y="553"/>
                </a:lnTo>
                <a:lnTo>
                  <a:pt x="207" y="536"/>
                </a:lnTo>
                <a:lnTo>
                  <a:pt x="209" y="535"/>
                </a:lnTo>
                <a:lnTo>
                  <a:pt x="231" y="524"/>
                </a:lnTo>
                <a:lnTo>
                  <a:pt x="243" y="521"/>
                </a:lnTo>
                <a:lnTo>
                  <a:pt x="254" y="512"/>
                </a:lnTo>
                <a:lnTo>
                  <a:pt x="276" y="493"/>
                </a:lnTo>
                <a:lnTo>
                  <a:pt x="298" y="474"/>
                </a:lnTo>
                <a:lnTo>
                  <a:pt x="319" y="456"/>
                </a:lnTo>
                <a:lnTo>
                  <a:pt x="327" y="461"/>
                </a:lnTo>
                <a:lnTo>
                  <a:pt x="322" y="464"/>
                </a:lnTo>
                <a:lnTo>
                  <a:pt x="326" y="493"/>
                </a:lnTo>
                <a:lnTo>
                  <a:pt x="361" y="526"/>
                </a:lnTo>
                <a:lnTo>
                  <a:pt x="373" y="535"/>
                </a:lnTo>
                <a:lnTo>
                  <a:pt x="417" y="518"/>
                </a:lnTo>
                <a:lnTo>
                  <a:pt x="432" y="503"/>
                </a:lnTo>
                <a:lnTo>
                  <a:pt x="441" y="511"/>
                </a:lnTo>
                <a:lnTo>
                  <a:pt x="453" y="523"/>
                </a:lnTo>
                <a:lnTo>
                  <a:pt x="458" y="526"/>
                </a:lnTo>
                <a:lnTo>
                  <a:pt x="477" y="518"/>
                </a:lnTo>
                <a:lnTo>
                  <a:pt x="504" y="511"/>
                </a:lnTo>
                <a:lnTo>
                  <a:pt x="504" y="513"/>
                </a:lnTo>
                <a:lnTo>
                  <a:pt x="528" y="501"/>
                </a:lnTo>
                <a:lnTo>
                  <a:pt x="522" y="492"/>
                </a:lnTo>
                <a:lnTo>
                  <a:pt x="526" y="481"/>
                </a:lnTo>
                <a:lnTo>
                  <a:pt x="543" y="494"/>
                </a:lnTo>
                <a:lnTo>
                  <a:pt x="594" y="472"/>
                </a:lnTo>
                <a:lnTo>
                  <a:pt x="599" y="482"/>
                </a:lnTo>
                <a:lnTo>
                  <a:pt x="628" y="464"/>
                </a:lnTo>
                <a:lnTo>
                  <a:pt x="641" y="440"/>
                </a:lnTo>
                <a:lnTo>
                  <a:pt x="646" y="434"/>
                </a:lnTo>
                <a:lnTo>
                  <a:pt x="641" y="430"/>
                </a:lnTo>
                <a:lnTo>
                  <a:pt x="634" y="426"/>
                </a:lnTo>
                <a:lnTo>
                  <a:pt x="630" y="419"/>
                </a:lnTo>
                <a:lnTo>
                  <a:pt x="644" y="398"/>
                </a:lnTo>
                <a:lnTo>
                  <a:pt x="657" y="375"/>
                </a:lnTo>
                <a:lnTo>
                  <a:pt x="676" y="357"/>
                </a:lnTo>
                <a:lnTo>
                  <a:pt x="687" y="348"/>
                </a:lnTo>
                <a:lnTo>
                  <a:pt x="688" y="346"/>
                </a:lnTo>
                <a:lnTo>
                  <a:pt x="694" y="330"/>
                </a:lnTo>
                <a:lnTo>
                  <a:pt x="698" y="316"/>
                </a:lnTo>
                <a:lnTo>
                  <a:pt x="710" y="296"/>
                </a:lnTo>
                <a:lnTo>
                  <a:pt x="725" y="283"/>
                </a:lnTo>
                <a:lnTo>
                  <a:pt x="734" y="262"/>
                </a:lnTo>
                <a:lnTo>
                  <a:pt x="737" y="258"/>
                </a:lnTo>
                <a:lnTo>
                  <a:pt x="753" y="206"/>
                </a:lnTo>
                <a:lnTo>
                  <a:pt x="767" y="213"/>
                </a:lnTo>
                <a:lnTo>
                  <a:pt x="785" y="238"/>
                </a:lnTo>
                <a:lnTo>
                  <a:pt x="816" y="249"/>
                </a:lnTo>
                <a:lnTo>
                  <a:pt x="828" y="238"/>
                </a:lnTo>
                <a:lnTo>
                  <a:pt x="832" y="233"/>
                </a:lnTo>
                <a:lnTo>
                  <a:pt x="835" y="228"/>
                </a:lnTo>
                <a:lnTo>
                  <a:pt x="835" y="226"/>
                </a:lnTo>
                <a:lnTo>
                  <a:pt x="863" y="166"/>
                </a:lnTo>
                <a:lnTo>
                  <a:pt x="874" y="147"/>
                </a:lnTo>
                <a:lnTo>
                  <a:pt x="875" y="145"/>
                </a:lnTo>
                <a:lnTo>
                  <a:pt x="899" y="166"/>
                </a:lnTo>
                <a:lnTo>
                  <a:pt x="921" y="129"/>
                </a:lnTo>
                <a:lnTo>
                  <a:pt x="954" y="110"/>
                </a:lnTo>
                <a:lnTo>
                  <a:pt x="960" y="96"/>
                </a:lnTo>
                <a:lnTo>
                  <a:pt x="966" y="89"/>
                </a:lnTo>
                <a:lnTo>
                  <a:pt x="978" y="80"/>
                </a:lnTo>
                <a:lnTo>
                  <a:pt x="991" y="38"/>
                </a:lnTo>
                <a:lnTo>
                  <a:pt x="996" y="0"/>
                </a:lnTo>
                <a:lnTo>
                  <a:pt x="1007" y="8"/>
                </a:lnTo>
                <a:lnTo>
                  <a:pt x="1012" y="11"/>
                </a:lnTo>
                <a:lnTo>
                  <a:pt x="1018" y="18"/>
                </a:lnTo>
                <a:lnTo>
                  <a:pt x="1031" y="29"/>
                </a:lnTo>
                <a:lnTo>
                  <a:pt x="1038" y="33"/>
                </a:lnTo>
                <a:lnTo>
                  <a:pt x="1055" y="47"/>
                </a:lnTo>
                <a:lnTo>
                  <a:pt x="1059" y="51"/>
                </a:lnTo>
                <a:lnTo>
                  <a:pt x="1061" y="52"/>
                </a:lnTo>
                <a:lnTo>
                  <a:pt x="1093" y="79"/>
                </a:lnTo>
                <a:lnTo>
                  <a:pt x="1104" y="51"/>
                </a:lnTo>
                <a:lnTo>
                  <a:pt x="1108" y="40"/>
                </a:lnTo>
                <a:lnTo>
                  <a:pt x="1114" y="34"/>
                </a:lnTo>
                <a:lnTo>
                  <a:pt x="1121" y="33"/>
                </a:lnTo>
                <a:lnTo>
                  <a:pt x="1128" y="37"/>
                </a:lnTo>
                <a:lnTo>
                  <a:pt x="1157" y="51"/>
                </a:lnTo>
                <a:lnTo>
                  <a:pt x="1163" y="57"/>
                </a:lnTo>
                <a:lnTo>
                  <a:pt x="1150" y="80"/>
                </a:lnTo>
                <a:lnTo>
                  <a:pt x="1178" y="95"/>
                </a:lnTo>
                <a:lnTo>
                  <a:pt x="1186" y="96"/>
                </a:lnTo>
                <a:lnTo>
                  <a:pt x="1201" y="104"/>
                </a:lnTo>
                <a:lnTo>
                  <a:pt x="1201" y="111"/>
                </a:lnTo>
                <a:lnTo>
                  <a:pt x="1221" y="118"/>
                </a:lnTo>
                <a:lnTo>
                  <a:pt x="1226" y="125"/>
                </a:lnTo>
                <a:lnTo>
                  <a:pt x="1239" y="140"/>
                </a:lnTo>
                <a:lnTo>
                  <a:pt x="1240" y="139"/>
                </a:lnTo>
                <a:lnTo>
                  <a:pt x="1239" y="147"/>
                </a:lnTo>
                <a:lnTo>
                  <a:pt x="1241" y="159"/>
                </a:lnTo>
                <a:lnTo>
                  <a:pt x="1241" y="160"/>
                </a:lnTo>
                <a:lnTo>
                  <a:pt x="1241" y="163"/>
                </a:lnTo>
                <a:lnTo>
                  <a:pt x="1240" y="169"/>
                </a:lnTo>
                <a:lnTo>
                  <a:pt x="1233" y="179"/>
                </a:lnTo>
                <a:lnTo>
                  <a:pt x="1225" y="185"/>
                </a:lnTo>
                <a:lnTo>
                  <a:pt x="1224" y="187"/>
                </a:lnTo>
                <a:lnTo>
                  <a:pt x="1224" y="196"/>
                </a:lnTo>
                <a:lnTo>
                  <a:pt x="1210" y="200"/>
                </a:lnTo>
                <a:lnTo>
                  <a:pt x="1208" y="197"/>
                </a:lnTo>
                <a:lnTo>
                  <a:pt x="1207" y="196"/>
                </a:lnTo>
                <a:lnTo>
                  <a:pt x="1201" y="198"/>
                </a:lnTo>
                <a:lnTo>
                  <a:pt x="1199" y="214"/>
                </a:lnTo>
                <a:lnTo>
                  <a:pt x="1192" y="227"/>
                </a:lnTo>
                <a:lnTo>
                  <a:pt x="1192" y="228"/>
                </a:lnTo>
                <a:lnTo>
                  <a:pt x="1189" y="244"/>
                </a:lnTo>
                <a:lnTo>
                  <a:pt x="1195" y="264"/>
                </a:lnTo>
                <a:lnTo>
                  <a:pt x="1201" y="267"/>
                </a:lnTo>
                <a:lnTo>
                  <a:pt x="1245" y="257"/>
                </a:lnTo>
                <a:lnTo>
                  <a:pt x="1249" y="281"/>
                </a:lnTo>
                <a:lnTo>
                  <a:pt x="1256" y="287"/>
                </a:lnTo>
                <a:lnTo>
                  <a:pt x="1258" y="297"/>
                </a:lnTo>
                <a:lnTo>
                  <a:pt x="1272" y="306"/>
                </a:lnTo>
                <a:lnTo>
                  <a:pt x="1318" y="310"/>
                </a:lnTo>
                <a:lnTo>
                  <a:pt x="1338" y="338"/>
                </a:lnTo>
                <a:lnTo>
                  <a:pt x="1391" y="372"/>
                </a:lnTo>
                <a:lnTo>
                  <a:pt x="1377" y="405"/>
                </a:lnTo>
                <a:lnTo>
                  <a:pt x="1376" y="421"/>
                </a:lnTo>
                <a:lnTo>
                  <a:pt x="1382" y="434"/>
                </a:lnTo>
                <a:lnTo>
                  <a:pt x="1342" y="430"/>
                </a:lnTo>
                <a:lnTo>
                  <a:pt x="1328" y="405"/>
                </a:lnTo>
                <a:lnTo>
                  <a:pt x="1315" y="395"/>
                </a:lnTo>
                <a:lnTo>
                  <a:pt x="1296" y="375"/>
                </a:lnTo>
                <a:lnTo>
                  <a:pt x="1290" y="375"/>
                </a:lnTo>
                <a:lnTo>
                  <a:pt x="1289" y="375"/>
                </a:lnTo>
                <a:lnTo>
                  <a:pt x="1296" y="388"/>
                </a:lnTo>
                <a:lnTo>
                  <a:pt x="1307" y="400"/>
                </a:lnTo>
                <a:lnTo>
                  <a:pt x="1318" y="406"/>
                </a:lnTo>
                <a:lnTo>
                  <a:pt x="1332" y="434"/>
                </a:lnTo>
                <a:lnTo>
                  <a:pt x="1368" y="447"/>
                </a:lnTo>
                <a:lnTo>
                  <a:pt x="1368" y="458"/>
                </a:lnTo>
                <a:lnTo>
                  <a:pt x="1373" y="464"/>
                </a:lnTo>
                <a:lnTo>
                  <a:pt x="1383" y="464"/>
                </a:lnTo>
                <a:lnTo>
                  <a:pt x="1389" y="494"/>
                </a:lnTo>
                <a:lnTo>
                  <a:pt x="1366" y="493"/>
                </a:lnTo>
                <a:lnTo>
                  <a:pt x="1360" y="489"/>
                </a:lnTo>
                <a:lnTo>
                  <a:pt x="1352" y="495"/>
                </a:lnTo>
                <a:lnTo>
                  <a:pt x="1365" y="519"/>
                </a:lnTo>
                <a:lnTo>
                  <a:pt x="1341" y="525"/>
                </a:lnTo>
                <a:lnTo>
                  <a:pt x="1342" y="527"/>
                </a:lnTo>
                <a:lnTo>
                  <a:pt x="1363" y="528"/>
                </a:lnTo>
                <a:lnTo>
                  <a:pt x="1362" y="54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9" name="S_UT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/>
          </xdr:cNvSpPr>
        </xdr:nvSpPr>
        <xdr:spPr bwMode="auto">
          <a:xfrm>
            <a:off x="1922929" y="1635499"/>
            <a:ext cx="898152" cy="1107701"/>
          </a:xfrm>
          <a:custGeom>
            <a:avLst/>
            <a:gdLst>
              <a:gd name="T0" fmla="*/ 0 w 936"/>
              <a:gd name="T1" fmla="*/ 2147483647 h 1183"/>
              <a:gd name="T2" fmla="*/ 0 w 936"/>
              <a:gd name="T3" fmla="*/ 2147483647 h 1183"/>
              <a:gd name="T4" fmla="*/ 0 w 936"/>
              <a:gd name="T5" fmla="*/ 2147483647 h 1183"/>
              <a:gd name="T6" fmla="*/ 2147483647 w 936"/>
              <a:gd name="T7" fmla="*/ 2147483647 h 1183"/>
              <a:gd name="T8" fmla="*/ 2147483647 w 936"/>
              <a:gd name="T9" fmla="*/ 2147483647 h 1183"/>
              <a:gd name="T10" fmla="*/ 2147483647 w 936"/>
              <a:gd name="T11" fmla="*/ 2147483647 h 1183"/>
              <a:gd name="T12" fmla="*/ 2147483647 w 936"/>
              <a:gd name="T13" fmla="*/ 2147483647 h 1183"/>
              <a:gd name="T14" fmla="*/ 2147483647 w 936"/>
              <a:gd name="T15" fmla="*/ 2147483647 h 1183"/>
              <a:gd name="T16" fmla="*/ 2147483647 w 936"/>
              <a:gd name="T17" fmla="*/ 2147483647 h 1183"/>
              <a:gd name="T18" fmla="*/ 2147483647 w 936"/>
              <a:gd name="T19" fmla="*/ 2147483647 h 1183"/>
              <a:gd name="T20" fmla="*/ 2147483647 w 936"/>
              <a:gd name="T21" fmla="*/ 2147483647 h 1183"/>
              <a:gd name="T22" fmla="*/ 2147483647 w 936"/>
              <a:gd name="T23" fmla="*/ 2147483647 h 1183"/>
              <a:gd name="T24" fmla="*/ 2147483647 w 936"/>
              <a:gd name="T25" fmla="*/ 2147483647 h 1183"/>
              <a:gd name="T26" fmla="*/ 2147483647 w 936"/>
              <a:gd name="T27" fmla="*/ 2147483647 h 1183"/>
              <a:gd name="T28" fmla="*/ 2147483647 w 936"/>
              <a:gd name="T29" fmla="*/ 2147483647 h 1183"/>
              <a:gd name="T30" fmla="*/ 2147483647 w 936"/>
              <a:gd name="T31" fmla="*/ 2147483647 h 1183"/>
              <a:gd name="T32" fmla="*/ 2147483647 w 936"/>
              <a:gd name="T33" fmla="*/ 2147483647 h 1183"/>
              <a:gd name="T34" fmla="*/ 2147483647 w 936"/>
              <a:gd name="T35" fmla="*/ 2147483647 h 1183"/>
              <a:gd name="T36" fmla="*/ 2147483647 w 936"/>
              <a:gd name="T37" fmla="*/ 2147483647 h 1183"/>
              <a:gd name="T38" fmla="*/ 2147483647 w 936"/>
              <a:gd name="T39" fmla="*/ 2147483647 h 1183"/>
              <a:gd name="T40" fmla="*/ 2147483647 w 936"/>
              <a:gd name="T41" fmla="*/ 2147483647 h 1183"/>
              <a:gd name="T42" fmla="*/ 2147483647 w 936"/>
              <a:gd name="T43" fmla="*/ 2147483647 h 1183"/>
              <a:gd name="T44" fmla="*/ 2147483647 w 936"/>
              <a:gd name="T45" fmla="*/ 2147483647 h 1183"/>
              <a:gd name="T46" fmla="*/ 2147483647 w 936"/>
              <a:gd name="T47" fmla="*/ 2147483647 h 1183"/>
              <a:gd name="T48" fmla="*/ 2147483647 w 936"/>
              <a:gd name="T49" fmla="*/ 2147483647 h 1183"/>
              <a:gd name="T50" fmla="*/ 2147483647 w 936"/>
              <a:gd name="T51" fmla="*/ 2147483647 h 1183"/>
              <a:gd name="T52" fmla="*/ 2147483647 w 936"/>
              <a:gd name="T53" fmla="*/ 2147483647 h 1183"/>
              <a:gd name="T54" fmla="*/ 2147483647 w 936"/>
              <a:gd name="T55" fmla="*/ 2147483647 h 1183"/>
              <a:gd name="T56" fmla="*/ 2147483647 w 936"/>
              <a:gd name="T57" fmla="*/ 2147483647 h 1183"/>
              <a:gd name="T58" fmla="*/ 2147483647 w 936"/>
              <a:gd name="T59" fmla="*/ 2147483647 h 1183"/>
              <a:gd name="T60" fmla="*/ 2147483647 w 936"/>
              <a:gd name="T61" fmla="*/ 2147483647 h 1183"/>
              <a:gd name="T62" fmla="*/ 2147483647 w 936"/>
              <a:gd name="T63" fmla="*/ 0 h 1183"/>
              <a:gd name="T64" fmla="*/ 2147483647 w 936"/>
              <a:gd name="T65" fmla="*/ 0 h 1183"/>
              <a:gd name="T66" fmla="*/ 2147483647 w 936"/>
              <a:gd name="T67" fmla="*/ 0 h 1183"/>
              <a:gd name="T68" fmla="*/ 2147483647 w 936"/>
              <a:gd name="T69" fmla="*/ 0 h 1183"/>
              <a:gd name="T70" fmla="*/ 2147483647 w 936"/>
              <a:gd name="T71" fmla="*/ 0 h 1183"/>
              <a:gd name="T72" fmla="*/ 2147483647 w 936"/>
              <a:gd name="T73" fmla="*/ 0 h 1183"/>
              <a:gd name="T74" fmla="*/ 2147483647 w 936"/>
              <a:gd name="T75" fmla="*/ 0 h 1183"/>
              <a:gd name="T76" fmla="*/ 2147483647 w 936"/>
              <a:gd name="T77" fmla="*/ 0 h 1183"/>
              <a:gd name="T78" fmla="*/ 2147483647 w 936"/>
              <a:gd name="T79" fmla="*/ 2147483647 h 1183"/>
              <a:gd name="T80" fmla="*/ 2147483647 w 936"/>
              <a:gd name="T81" fmla="*/ 2147483647 h 1183"/>
              <a:gd name="T82" fmla="*/ 2147483647 w 936"/>
              <a:gd name="T83" fmla="*/ 2147483647 h 1183"/>
              <a:gd name="T84" fmla="*/ 2147483647 w 936"/>
              <a:gd name="T85" fmla="*/ 2147483647 h 1183"/>
              <a:gd name="T86" fmla="*/ 0 w 936"/>
              <a:gd name="T87" fmla="*/ 2147483647 h 1183"/>
              <a:gd name="T88" fmla="*/ 0 w 936"/>
              <a:gd name="T89" fmla="*/ 2147483647 h 1183"/>
              <a:gd name="T90" fmla="*/ 0 w 936"/>
              <a:gd name="T91" fmla="*/ 2147483647 h 1183"/>
              <a:gd name="T92" fmla="*/ 0 w 936"/>
              <a:gd name="T93" fmla="*/ 2147483647 h 1183"/>
              <a:gd name="T94" fmla="*/ 0 w 936"/>
              <a:gd name="T95" fmla="*/ 2147483647 h 1183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936"/>
              <a:gd name="T145" fmla="*/ 0 h 1183"/>
              <a:gd name="T146" fmla="*/ 936 w 936"/>
              <a:gd name="T147" fmla="*/ 1183 h 1183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936" h="1183">
                <a:moveTo>
                  <a:pt x="0" y="911"/>
                </a:moveTo>
                <a:lnTo>
                  <a:pt x="0" y="1000"/>
                </a:lnTo>
                <a:lnTo>
                  <a:pt x="0" y="1005"/>
                </a:lnTo>
                <a:lnTo>
                  <a:pt x="0" y="1040"/>
                </a:lnTo>
                <a:lnTo>
                  <a:pt x="0" y="1080"/>
                </a:lnTo>
                <a:lnTo>
                  <a:pt x="0" y="1157"/>
                </a:lnTo>
                <a:lnTo>
                  <a:pt x="0" y="1182"/>
                </a:lnTo>
                <a:lnTo>
                  <a:pt x="61" y="1182"/>
                </a:lnTo>
                <a:lnTo>
                  <a:pt x="123" y="1182"/>
                </a:lnTo>
                <a:lnTo>
                  <a:pt x="215" y="1182"/>
                </a:lnTo>
                <a:lnTo>
                  <a:pt x="219" y="1182"/>
                </a:lnTo>
                <a:lnTo>
                  <a:pt x="243" y="1182"/>
                </a:lnTo>
                <a:lnTo>
                  <a:pt x="282" y="1182"/>
                </a:lnTo>
                <a:lnTo>
                  <a:pt x="430" y="1182"/>
                </a:lnTo>
                <a:lnTo>
                  <a:pt x="477" y="1182"/>
                </a:lnTo>
                <a:lnTo>
                  <a:pt x="493" y="1182"/>
                </a:lnTo>
                <a:lnTo>
                  <a:pt x="523" y="1182"/>
                </a:lnTo>
                <a:lnTo>
                  <a:pt x="570" y="1182"/>
                </a:lnTo>
                <a:lnTo>
                  <a:pt x="617" y="1182"/>
                </a:lnTo>
                <a:lnTo>
                  <a:pt x="665" y="1181"/>
                </a:lnTo>
                <a:lnTo>
                  <a:pt x="670" y="1183"/>
                </a:lnTo>
                <a:lnTo>
                  <a:pt x="757" y="1183"/>
                </a:lnTo>
                <a:lnTo>
                  <a:pt x="827" y="1183"/>
                </a:lnTo>
                <a:lnTo>
                  <a:pt x="851" y="1182"/>
                </a:lnTo>
                <a:lnTo>
                  <a:pt x="936" y="1183"/>
                </a:lnTo>
                <a:lnTo>
                  <a:pt x="936" y="1068"/>
                </a:lnTo>
                <a:lnTo>
                  <a:pt x="936" y="1064"/>
                </a:lnTo>
                <a:lnTo>
                  <a:pt x="936" y="1005"/>
                </a:lnTo>
                <a:lnTo>
                  <a:pt x="936" y="974"/>
                </a:lnTo>
                <a:lnTo>
                  <a:pt x="936" y="946"/>
                </a:lnTo>
                <a:lnTo>
                  <a:pt x="936" y="909"/>
                </a:lnTo>
                <a:lnTo>
                  <a:pt x="936" y="907"/>
                </a:lnTo>
                <a:lnTo>
                  <a:pt x="933" y="881"/>
                </a:lnTo>
                <a:lnTo>
                  <a:pt x="933" y="828"/>
                </a:lnTo>
                <a:lnTo>
                  <a:pt x="933" y="769"/>
                </a:lnTo>
                <a:lnTo>
                  <a:pt x="935" y="710"/>
                </a:lnTo>
                <a:lnTo>
                  <a:pt x="935" y="623"/>
                </a:lnTo>
                <a:lnTo>
                  <a:pt x="935" y="621"/>
                </a:lnTo>
                <a:lnTo>
                  <a:pt x="935" y="592"/>
                </a:lnTo>
                <a:lnTo>
                  <a:pt x="935" y="591"/>
                </a:lnTo>
                <a:lnTo>
                  <a:pt x="935" y="562"/>
                </a:lnTo>
                <a:lnTo>
                  <a:pt x="935" y="554"/>
                </a:lnTo>
                <a:lnTo>
                  <a:pt x="935" y="503"/>
                </a:lnTo>
                <a:lnTo>
                  <a:pt x="935" y="473"/>
                </a:lnTo>
                <a:lnTo>
                  <a:pt x="935" y="421"/>
                </a:lnTo>
                <a:lnTo>
                  <a:pt x="935" y="370"/>
                </a:lnTo>
                <a:lnTo>
                  <a:pt x="935" y="326"/>
                </a:lnTo>
                <a:lnTo>
                  <a:pt x="935" y="319"/>
                </a:lnTo>
                <a:lnTo>
                  <a:pt x="935" y="297"/>
                </a:lnTo>
                <a:lnTo>
                  <a:pt x="935" y="267"/>
                </a:lnTo>
                <a:lnTo>
                  <a:pt x="935" y="237"/>
                </a:lnTo>
                <a:lnTo>
                  <a:pt x="851" y="237"/>
                </a:lnTo>
                <a:lnTo>
                  <a:pt x="844" y="238"/>
                </a:lnTo>
                <a:lnTo>
                  <a:pt x="757" y="238"/>
                </a:lnTo>
                <a:lnTo>
                  <a:pt x="748" y="238"/>
                </a:lnTo>
                <a:lnTo>
                  <a:pt x="706" y="238"/>
                </a:lnTo>
                <a:lnTo>
                  <a:pt x="562" y="237"/>
                </a:lnTo>
                <a:lnTo>
                  <a:pt x="562" y="178"/>
                </a:lnTo>
                <a:lnTo>
                  <a:pt x="562" y="132"/>
                </a:lnTo>
                <a:lnTo>
                  <a:pt x="562" y="119"/>
                </a:lnTo>
                <a:lnTo>
                  <a:pt x="562" y="100"/>
                </a:lnTo>
                <a:lnTo>
                  <a:pt x="562" y="60"/>
                </a:lnTo>
                <a:lnTo>
                  <a:pt x="562" y="40"/>
                </a:lnTo>
                <a:lnTo>
                  <a:pt x="562" y="0"/>
                </a:lnTo>
                <a:lnTo>
                  <a:pt x="491" y="0"/>
                </a:lnTo>
                <a:lnTo>
                  <a:pt x="485" y="1"/>
                </a:lnTo>
                <a:lnTo>
                  <a:pt x="475" y="1"/>
                </a:lnTo>
                <a:lnTo>
                  <a:pt x="430" y="1"/>
                </a:lnTo>
                <a:lnTo>
                  <a:pt x="383" y="1"/>
                </a:lnTo>
                <a:lnTo>
                  <a:pt x="363" y="1"/>
                </a:lnTo>
                <a:lnTo>
                  <a:pt x="359" y="1"/>
                </a:lnTo>
                <a:lnTo>
                  <a:pt x="353" y="1"/>
                </a:lnTo>
                <a:lnTo>
                  <a:pt x="351" y="1"/>
                </a:lnTo>
                <a:lnTo>
                  <a:pt x="348" y="0"/>
                </a:lnTo>
                <a:lnTo>
                  <a:pt x="196" y="1"/>
                </a:lnTo>
                <a:lnTo>
                  <a:pt x="150" y="1"/>
                </a:lnTo>
                <a:lnTo>
                  <a:pt x="55" y="4"/>
                </a:lnTo>
                <a:lnTo>
                  <a:pt x="2" y="3"/>
                </a:lnTo>
                <a:lnTo>
                  <a:pt x="2" y="28"/>
                </a:lnTo>
                <a:lnTo>
                  <a:pt x="2" y="160"/>
                </a:lnTo>
                <a:lnTo>
                  <a:pt x="1" y="237"/>
                </a:lnTo>
                <a:lnTo>
                  <a:pt x="1" y="326"/>
                </a:lnTo>
                <a:lnTo>
                  <a:pt x="1" y="391"/>
                </a:lnTo>
                <a:lnTo>
                  <a:pt x="1" y="446"/>
                </a:lnTo>
                <a:lnTo>
                  <a:pt x="1" y="473"/>
                </a:lnTo>
                <a:lnTo>
                  <a:pt x="1" y="496"/>
                </a:lnTo>
                <a:lnTo>
                  <a:pt x="1" y="532"/>
                </a:lnTo>
                <a:lnTo>
                  <a:pt x="0" y="582"/>
                </a:lnTo>
                <a:lnTo>
                  <a:pt x="1" y="591"/>
                </a:lnTo>
                <a:lnTo>
                  <a:pt x="0" y="742"/>
                </a:lnTo>
                <a:lnTo>
                  <a:pt x="0" y="786"/>
                </a:lnTo>
                <a:lnTo>
                  <a:pt x="0" y="799"/>
                </a:lnTo>
                <a:lnTo>
                  <a:pt x="0" y="811"/>
                </a:lnTo>
                <a:lnTo>
                  <a:pt x="0" y="828"/>
                </a:lnTo>
                <a:lnTo>
                  <a:pt x="0" y="877"/>
                </a:lnTo>
                <a:lnTo>
                  <a:pt x="0" y="91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0" name="S_TX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>
            <a:spLocks/>
          </xdr:cNvSpPr>
        </xdr:nvSpPr>
        <xdr:spPr bwMode="auto">
          <a:xfrm>
            <a:off x="3252507" y="2842933"/>
            <a:ext cx="2361080" cy="2353235"/>
          </a:xfrm>
          <a:custGeom>
            <a:avLst/>
            <a:gdLst>
              <a:gd name="T0" fmla="*/ 2147483647 w 2449"/>
              <a:gd name="T1" fmla="*/ 2147483647 h 2510"/>
              <a:gd name="T2" fmla="*/ 2147483647 w 2449"/>
              <a:gd name="T3" fmla="*/ 2147483647 h 2510"/>
              <a:gd name="T4" fmla="*/ 2147483647 w 2449"/>
              <a:gd name="T5" fmla="*/ 2147483647 h 2510"/>
              <a:gd name="T6" fmla="*/ 2147483647 w 2449"/>
              <a:gd name="T7" fmla="*/ 2147483647 h 2510"/>
              <a:gd name="T8" fmla="*/ 2147483647 w 2449"/>
              <a:gd name="T9" fmla="*/ 2147483647 h 2510"/>
              <a:gd name="T10" fmla="*/ 2147483647 w 2449"/>
              <a:gd name="T11" fmla="*/ 2147483647 h 2510"/>
              <a:gd name="T12" fmla="*/ 2147483647 w 2449"/>
              <a:gd name="T13" fmla="*/ 2147483647 h 2510"/>
              <a:gd name="T14" fmla="*/ 2147483647 w 2449"/>
              <a:gd name="T15" fmla="*/ 2147483647 h 2510"/>
              <a:gd name="T16" fmla="*/ 2147483647 w 2449"/>
              <a:gd name="T17" fmla="*/ 2147483647 h 2510"/>
              <a:gd name="T18" fmla="*/ 2147483647 w 2449"/>
              <a:gd name="T19" fmla="*/ 2147483647 h 2510"/>
              <a:gd name="T20" fmla="*/ 2147483647 w 2449"/>
              <a:gd name="T21" fmla="*/ 2147483647 h 2510"/>
              <a:gd name="T22" fmla="*/ 2147483647 w 2449"/>
              <a:gd name="T23" fmla="*/ 2147483647 h 2510"/>
              <a:gd name="T24" fmla="*/ 2147483647 w 2449"/>
              <a:gd name="T25" fmla="*/ 2147483647 h 2510"/>
              <a:gd name="T26" fmla="*/ 2147483647 w 2449"/>
              <a:gd name="T27" fmla="*/ 2147483647 h 2510"/>
              <a:gd name="T28" fmla="*/ 2147483647 w 2449"/>
              <a:gd name="T29" fmla="*/ 2147483647 h 2510"/>
              <a:gd name="T30" fmla="*/ 2147483647 w 2449"/>
              <a:gd name="T31" fmla="*/ 2147483647 h 2510"/>
              <a:gd name="T32" fmla="*/ 2147483647 w 2449"/>
              <a:gd name="T33" fmla="*/ 2147483647 h 2510"/>
              <a:gd name="T34" fmla="*/ 2147483647 w 2449"/>
              <a:gd name="T35" fmla="*/ 2147483647 h 2510"/>
              <a:gd name="T36" fmla="*/ 2147483647 w 2449"/>
              <a:gd name="T37" fmla="*/ 2147483647 h 2510"/>
              <a:gd name="T38" fmla="*/ 2147483647 w 2449"/>
              <a:gd name="T39" fmla="*/ 2147483647 h 2510"/>
              <a:gd name="T40" fmla="*/ 2147483647 w 2449"/>
              <a:gd name="T41" fmla="*/ 2147483647 h 2510"/>
              <a:gd name="T42" fmla="*/ 2147483647 w 2449"/>
              <a:gd name="T43" fmla="*/ 2147483647 h 2510"/>
              <a:gd name="T44" fmla="*/ 2147483647 w 2449"/>
              <a:gd name="T45" fmla="*/ 2147483647 h 2510"/>
              <a:gd name="T46" fmla="*/ 2147483647 w 2449"/>
              <a:gd name="T47" fmla="*/ 2147483647 h 2510"/>
              <a:gd name="T48" fmla="*/ 2147483647 w 2449"/>
              <a:gd name="T49" fmla="*/ 2147483647 h 2510"/>
              <a:gd name="T50" fmla="*/ 2147483647 w 2449"/>
              <a:gd name="T51" fmla="*/ 2147483647 h 2510"/>
              <a:gd name="T52" fmla="*/ 2147483647 w 2449"/>
              <a:gd name="T53" fmla="*/ 2147483647 h 2510"/>
              <a:gd name="T54" fmla="*/ 2147483647 w 2449"/>
              <a:gd name="T55" fmla="*/ 2147483647 h 2510"/>
              <a:gd name="T56" fmla="*/ 2147483647 w 2449"/>
              <a:gd name="T57" fmla="*/ 2147483647 h 2510"/>
              <a:gd name="T58" fmla="*/ 2147483647 w 2449"/>
              <a:gd name="T59" fmla="*/ 2147483647 h 2510"/>
              <a:gd name="T60" fmla="*/ 2147483647 w 2449"/>
              <a:gd name="T61" fmla="*/ 2147483647 h 2510"/>
              <a:gd name="T62" fmla="*/ 2147483647 w 2449"/>
              <a:gd name="T63" fmla="*/ 2147483647 h 2510"/>
              <a:gd name="T64" fmla="*/ 2147483647 w 2449"/>
              <a:gd name="T65" fmla="*/ 2147483647 h 2510"/>
              <a:gd name="T66" fmla="*/ 2147483647 w 2449"/>
              <a:gd name="T67" fmla="*/ 2147483647 h 2510"/>
              <a:gd name="T68" fmla="*/ 2147483647 w 2449"/>
              <a:gd name="T69" fmla="*/ 2147483647 h 2510"/>
              <a:gd name="T70" fmla="*/ 2147483647 w 2449"/>
              <a:gd name="T71" fmla="*/ 2147483647 h 2510"/>
              <a:gd name="T72" fmla="*/ 2147483647 w 2449"/>
              <a:gd name="T73" fmla="*/ 2147483647 h 2510"/>
              <a:gd name="T74" fmla="*/ 2147483647 w 2449"/>
              <a:gd name="T75" fmla="*/ 2147483647 h 2510"/>
              <a:gd name="T76" fmla="*/ 2147483647 w 2449"/>
              <a:gd name="T77" fmla="*/ 2147483647 h 2510"/>
              <a:gd name="T78" fmla="*/ 2147483647 w 2449"/>
              <a:gd name="T79" fmla="*/ 2147483647 h 2510"/>
              <a:gd name="T80" fmla="*/ 2147483647 w 2449"/>
              <a:gd name="T81" fmla="*/ 2147483647 h 2510"/>
              <a:gd name="T82" fmla="*/ 2147483647 w 2449"/>
              <a:gd name="T83" fmla="*/ 2147483647 h 2510"/>
              <a:gd name="T84" fmla="*/ 2147483647 w 2449"/>
              <a:gd name="T85" fmla="*/ 2147483647 h 2510"/>
              <a:gd name="T86" fmla="*/ 2147483647 w 2449"/>
              <a:gd name="T87" fmla="*/ 2147483647 h 2510"/>
              <a:gd name="T88" fmla="*/ 2147483647 w 2449"/>
              <a:gd name="T89" fmla="*/ 2147483647 h 2510"/>
              <a:gd name="T90" fmla="*/ 2147483647 w 2449"/>
              <a:gd name="T91" fmla="*/ 2147483647 h 2510"/>
              <a:gd name="T92" fmla="*/ 2147483647 w 2449"/>
              <a:gd name="T93" fmla="*/ 2147483647 h 2510"/>
              <a:gd name="T94" fmla="*/ 2147483647 w 2449"/>
              <a:gd name="T95" fmla="*/ 2147483647 h 2510"/>
              <a:gd name="T96" fmla="*/ 2147483647 w 2449"/>
              <a:gd name="T97" fmla="*/ 2147483647 h 2510"/>
              <a:gd name="T98" fmla="*/ 2147483647 w 2449"/>
              <a:gd name="T99" fmla="*/ 2147483647 h 2510"/>
              <a:gd name="T100" fmla="*/ 2147483647 w 2449"/>
              <a:gd name="T101" fmla="*/ 2147483647 h 2510"/>
              <a:gd name="T102" fmla="*/ 2147483647 w 2449"/>
              <a:gd name="T103" fmla="*/ 2147483647 h 2510"/>
              <a:gd name="T104" fmla="*/ 2147483647 w 2449"/>
              <a:gd name="T105" fmla="*/ 2147483647 h 2510"/>
              <a:gd name="T106" fmla="*/ 2147483647 w 2449"/>
              <a:gd name="T107" fmla="*/ 2147483647 h 2510"/>
              <a:gd name="T108" fmla="*/ 2147483647 w 2449"/>
              <a:gd name="T109" fmla="*/ 2147483647 h 2510"/>
              <a:gd name="T110" fmla="*/ 2147483647 w 2449"/>
              <a:gd name="T111" fmla="*/ 2147483647 h 2510"/>
              <a:gd name="T112" fmla="*/ 2147483647 w 2449"/>
              <a:gd name="T113" fmla="*/ 2147483647 h 2510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2449"/>
              <a:gd name="T172" fmla="*/ 0 h 2510"/>
              <a:gd name="T173" fmla="*/ 2449 w 2449"/>
              <a:gd name="T174" fmla="*/ 2510 h 2510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2449" h="2510">
                <a:moveTo>
                  <a:pt x="1286" y="2072"/>
                </a:moveTo>
                <a:lnTo>
                  <a:pt x="1267" y="2044"/>
                </a:lnTo>
                <a:lnTo>
                  <a:pt x="1243" y="2006"/>
                </a:lnTo>
                <a:lnTo>
                  <a:pt x="1204" y="1961"/>
                </a:lnTo>
                <a:lnTo>
                  <a:pt x="1193" y="1950"/>
                </a:lnTo>
                <a:lnTo>
                  <a:pt x="1176" y="1894"/>
                </a:lnTo>
                <a:lnTo>
                  <a:pt x="1180" y="1890"/>
                </a:lnTo>
                <a:lnTo>
                  <a:pt x="1130" y="1797"/>
                </a:lnTo>
                <a:lnTo>
                  <a:pt x="1118" y="1753"/>
                </a:lnTo>
                <a:lnTo>
                  <a:pt x="1099" y="1732"/>
                </a:lnTo>
                <a:lnTo>
                  <a:pt x="1094" y="1715"/>
                </a:lnTo>
                <a:lnTo>
                  <a:pt x="1053" y="1683"/>
                </a:lnTo>
                <a:lnTo>
                  <a:pt x="1044" y="1664"/>
                </a:lnTo>
                <a:lnTo>
                  <a:pt x="1029" y="1661"/>
                </a:lnTo>
                <a:lnTo>
                  <a:pt x="1023" y="1651"/>
                </a:lnTo>
                <a:lnTo>
                  <a:pt x="1009" y="1649"/>
                </a:lnTo>
                <a:lnTo>
                  <a:pt x="1005" y="1624"/>
                </a:lnTo>
                <a:lnTo>
                  <a:pt x="998" y="1624"/>
                </a:lnTo>
                <a:lnTo>
                  <a:pt x="975" y="1594"/>
                </a:lnTo>
                <a:lnTo>
                  <a:pt x="955" y="1592"/>
                </a:lnTo>
                <a:lnTo>
                  <a:pt x="955" y="1588"/>
                </a:lnTo>
                <a:lnTo>
                  <a:pt x="914" y="1588"/>
                </a:lnTo>
                <a:lnTo>
                  <a:pt x="872" y="1579"/>
                </a:lnTo>
                <a:lnTo>
                  <a:pt x="871" y="1585"/>
                </a:lnTo>
                <a:lnTo>
                  <a:pt x="861" y="1581"/>
                </a:lnTo>
                <a:lnTo>
                  <a:pt x="859" y="1587"/>
                </a:lnTo>
                <a:lnTo>
                  <a:pt x="809" y="1564"/>
                </a:lnTo>
                <a:lnTo>
                  <a:pt x="768" y="1595"/>
                </a:lnTo>
                <a:lnTo>
                  <a:pt x="755" y="1595"/>
                </a:lnTo>
                <a:lnTo>
                  <a:pt x="725" y="1631"/>
                </a:lnTo>
                <a:lnTo>
                  <a:pt x="702" y="1713"/>
                </a:lnTo>
                <a:lnTo>
                  <a:pt x="664" y="1757"/>
                </a:lnTo>
                <a:lnTo>
                  <a:pt x="654" y="1779"/>
                </a:lnTo>
                <a:lnTo>
                  <a:pt x="624" y="1770"/>
                </a:lnTo>
                <a:lnTo>
                  <a:pt x="612" y="1767"/>
                </a:lnTo>
                <a:lnTo>
                  <a:pt x="584" y="1742"/>
                </a:lnTo>
                <a:lnTo>
                  <a:pt x="541" y="1721"/>
                </a:lnTo>
                <a:lnTo>
                  <a:pt x="534" y="1710"/>
                </a:lnTo>
                <a:lnTo>
                  <a:pt x="495" y="1700"/>
                </a:lnTo>
                <a:lnTo>
                  <a:pt x="472" y="1683"/>
                </a:lnTo>
                <a:lnTo>
                  <a:pt x="448" y="1653"/>
                </a:lnTo>
                <a:lnTo>
                  <a:pt x="401" y="1622"/>
                </a:lnTo>
                <a:lnTo>
                  <a:pt x="366" y="1536"/>
                </a:lnTo>
                <a:lnTo>
                  <a:pt x="359" y="1477"/>
                </a:lnTo>
                <a:lnTo>
                  <a:pt x="329" y="1412"/>
                </a:lnTo>
                <a:lnTo>
                  <a:pt x="311" y="1387"/>
                </a:lnTo>
                <a:lnTo>
                  <a:pt x="308" y="1377"/>
                </a:lnTo>
                <a:lnTo>
                  <a:pt x="237" y="1335"/>
                </a:lnTo>
                <a:lnTo>
                  <a:pt x="190" y="1276"/>
                </a:lnTo>
                <a:lnTo>
                  <a:pt x="166" y="1260"/>
                </a:lnTo>
                <a:lnTo>
                  <a:pt x="122" y="1208"/>
                </a:lnTo>
                <a:lnTo>
                  <a:pt x="97" y="1199"/>
                </a:lnTo>
                <a:lnTo>
                  <a:pt x="79" y="1181"/>
                </a:lnTo>
                <a:lnTo>
                  <a:pt x="43" y="1122"/>
                </a:lnTo>
                <a:lnTo>
                  <a:pt x="27" y="1121"/>
                </a:lnTo>
                <a:lnTo>
                  <a:pt x="22" y="1115"/>
                </a:lnTo>
                <a:lnTo>
                  <a:pt x="0" y="1088"/>
                </a:lnTo>
                <a:lnTo>
                  <a:pt x="6" y="1083"/>
                </a:lnTo>
                <a:lnTo>
                  <a:pt x="1" y="1069"/>
                </a:lnTo>
                <a:lnTo>
                  <a:pt x="5" y="1063"/>
                </a:lnTo>
                <a:lnTo>
                  <a:pt x="50" y="1063"/>
                </a:lnTo>
                <a:lnTo>
                  <a:pt x="73" y="1063"/>
                </a:lnTo>
                <a:lnTo>
                  <a:pt x="97" y="1062"/>
                </a:lnTo>
                <a:lnTo>
                  <a:pt x="121" y="1062"/>
                </a:lnTo>
                <a:lnTo>
                  <a:pt x="237" y="1063"/>
                </a:lnTo>
                <a:lnTo>
                  <a:pt x="290" y="1063"/>
                </a:lnTo>
                <a:lnTo>
                  <a:pt x="323" y="1063"/>
                </a:lnTo>
                <a:lnTo>
                  <a:pt x="336" y="1063"/>
                </a:lnTo>
                <a:lnTo>
                  <a:pt x="428" y="1063"/>
                </a:lnTo>
                <a:lnTo>
                  <a:pt x="446" y="1063"/>
                </a:lnTo>
                <a:lnTo>
                  <a:pt x="490" y="1063"/>
                </a:lnTo>
                <a:lnTo>
                  <a:pt x="498" y="1063"/>
                </a:lnTo>
                <a:lnTo>
                  <a:pt x="541" y="1063"/>
                </a:lnTo>
                <a:lnTo>
                  <a:pt x="544" y="1063"/>
                </a:lnTo>
                <a:lnTo>
                  <a:pt x="547" y="1063"/>
                </a:lnTo>
                <a:lnTo>
                  <a:pt x="565" y="1063"/>
                </a:lnTo>
                <a:lnTo>
                  <a:pt x="613" y="1063"/>
                </a:lnTo>
                <a:lnTo>
                  <a:pt x="620" y="1063"/>
                </a:lnTo>
                <a:lnTo>
                  <a:pt x="658" y="1063"/>
                </a:lnTo>
                <a:lnTo>
                  <a:pt x="670" y="1063"/>
                </a:lnTo>
                <a:lnTo>
                  <a:pt x="670" y="1043"/>
                </a:lnTo>
                <a:lnTo>
                  <a:pt x="670" y="1005"/>
                </a:lnTo>
                <a:lnTo>
                  <a:pt x="670" y="951"/>
                </a:lnTo>
                <a:lnTo>
                  <a:pt x="670" y="940"/>
                </a:lnTo>
                <a:lnTo>
                  <a:pt x="670" y="916"/>
                </a:lnTo>
                <a:lnTo>
                  <a:pt x="670" y="870"/>
                </a:lnTo>
                <a:lnTo>
                  <a:pt x="670" y="837"/>
                </a:lnTo>
                <a:lnTo>
                  <a:pt x="671" y="798"/>
                </a:lnTo>
                <a:lnTo>
                  <a:pt x="672" y="738"/>
                </a:lnTo>
                <a:lnTo>
                  <a:pt x="672" y="736"/>
                </a:lnTo>
                <a:lnTo>
                  <a:pt x="672" y="709"/>
                </a:lnTo>
                <a:lnTo>
                  <a:pt x="672" y="702"/>
                </a:lnTo>
                <a:lnTo>
                  <a:pt x="672" y="692"/>
                </a:lnTo>
                <a:lnTo>
                  <a:pt x="673" y="669"/>
                </a:lnTo>
                <a:lnTo>
                  <a:pt x="673" y="660"/>
                </a:lnTo>
                <a:lnTo>
                  <a:pt x="673" y="632"/>
                </a:lnTo>
                <a:lnTo>
                  <a:pt x="674" y="590"/>
                </a:lnTo>
                <a:lnTo>
                  <a:pt x="674" y="532"/>
                </a:lnTo>
                <a:lnTo>
                  <a:pt x="674" y="520"/>
                </a:lnTo>
                <a:lnTo>
                  <a:pt x="674" y="517"/>
                </a:lnTo>
                <a:lnTo>
                  <a:pt x="674" y="490"/>
                </a:lnTo>
                <a:lnTo>
                  <a:pt x="674" y="473"/>
                </a:lnTo>
                <a:lnTo>
                  <a:pt x="674" y="414"/>
                </a:lnTo>
                <a:lnTo>
                  <a:pt x="674" y="387"/>
                </a:lnTo>
                <a:lnTo>
                  <a:pt x="674" y="384"/>
                </a:lnTo>
                <a:lnTo>
                  <a:pt x="674" y="366"/>
                </a:lnTo>
                <a:lnTo>
                  <a:pt x="674" y="355"/>
                </a:lnTo>
                <a:lnTo>
                  <a:pt x="674" y="325"/>
                </a:lnTo>
                <a:lnTo>
                  <a:pt x="674" y="311"/>
                </a:lnTo>
                <a:lnTo>
                  <a:pt x="674" y="291"/>
                </a:lnTo>
                <a:lnTo>
                  <a:pt x="674" y="277"/>
                </a:lnTo>
                <a:lnTo>
                  <a:pt x="674" y="207"/>
                </a:lnTo>
                <a:lnTo>
                  <a:pt x="674" y="180"/>
                </a:lnTo>
                <a:lnTo>
                  <a:pt x="674" y="177"/>
                </a:lnTo>
                <a:lnTo>
                  <a:pt x="674" y="172"/>
                </a:lnTo>
                <a:lnTo>
                  <a:pt x="674" y="106"/>
                </a:lnTo>
                <a:lnTo>
                  <a:pt x="674" y="1"/>
                </a:lnTo>
                <a:lnTo>
                  <a:pt x="681" y="1"/>
                </a:lnTo>
                <a:lnTo>
                  <a:pt x="753" y="0"/>
                </a:lnTo>
                <a:lnTo>
                  <a:pt x="799" y="1"/>
                </a:lnTo>
                <a:lnTo>
                  <a:pt x="839" y="1"/>
                </a:lnTo>
                <a:lnTo>
                  <a:pt x="845" y="1"/>
                </a:lnTo>
                <a:lnTo>
                  <a:pt x="848" y="1"/>
                </a:lnTo>
                <a:lnTo>
                  <a:pt x="863" y="1"/>
                </a:lnTo>
                <a:lnTo>
                  <a:pt x="888" y="1"/>
                </a:lnTo>
                <a:lnTo>
                  <a:pt x="895" y="1"/>
                </a:lnTo>
                <a:lnTo>
                  <a:pt x="939" y="1"/>
                </a:lnTo>
                <a:lnTo>
                  <a:pt x="985" y="1"/>
                </a:lnTo>
                <a:lnTo>
                  <a:pt x="1009" y="1"/>
                </a:lnTo>
                <a:lnTo>
                  <a:pt x="1040" y="1"/>
                </a:lnTo>
                <a:lnTo>
                  <a:pt x="1056" y="1"/>
                </a:lnTo>
                <a:lnTo>
                  <a:pt x="1065" y="1"/>
                </a:lnTo>
                <a:lnTo>
                  <a:pt x="1079" y="1"/>
                </a:lnTo>
                <a:lnTo>
                  <a:pt x="1126" y="1"/>
                </a:lnTo>
                <a:lnTo>
                  <a:pt x="1140" y="1"/>
                </a:lnTo>
                <a:lnTo>
                  <a:pt x="1173" y="1"/>
                </a:lnTo>
                <a:lnTo>
                  <a:pt x="1175" y="1"/>
                </a:lnTo>
                <a:lnTo>
                  <a:pt x="1242" y="1"/>
                </a:lnTo>
                <a:lnTo>
                  <a:pt x="1243" y="1"/>
                </a:lnTo>
                <a:lnTo>
                  <a:pt x="1243" y="30"/>
                </a:lnTo>
                <a:lnTo>
                  <a:pt x="1243" y="106"/>
                </a:lnTo>
                <a:lnTo>
                  <a:pt x="1243" y="118"/>
                </a:lnTo>
                <a:lnTo>
                  <a:pt x="1243" y="138"/>
                </a:lnTo>
                <a:lnTo>
                  <a:pt x="1243" y="147"/>
                </a:lnTo>
                <a:lnTo>
                  <a:pt x="1243" y="159"/>
                </a:lnTo>
                <a:lnTo>
                  <a:pt x="1243" y="177"/>
                </a:lnTo>
                <a:lnTo>
                  <a:pt x="1243" y="208"/>
                </a:lnTo>
                <a:lnTo>
                  <a:pt x="1243" y="236"/>
                </a:lnTo>
                <a:lnTo>
                  <a:pt x="1243" y="244"/>
                </a:lnTo>
                <a:lnTo>
                  <a:pt x="1243" y="254"/>
                </a:lnTo>
                <a:lnTo>
                  <a:pt x="1243" y="286"/>
                </a:lnTo>
                <a:lnTo>
                  <a:pt x="1243" y="296"/>
                </a:lnTo>
                <a:lnTo>
                  <a:pt x="1243" y="311"/>
                </a:lnTo>
                <a:lnTo>
                  <a:pt x="1243" y="325"/>
                </a:lnTo>
                <a:lnTo>
                  <a:pt x="1243" y="347"/>
                </a:lnTo>
                <a:lnTo>
                  <a:pt x="1243" y="384"/>
                </a:lnTo>
                <a:lnTo>
                  <a:pt x="1243" y="400"/>
                </a:lnTo>
                <a:lnTo>
                  <a:pt x="1243" y="414"/>
                </a:lnTo>
                <a:lnTo>
                  <a:pt x="1243" y="459"/>
                </a:lnTo>
                <a:lnTo>
                  <a:pt x="1250" y="457"/>
                </a:lnTo>
                <a:lnTo>
                  <a:pt x="1251" y="457"/>
                </a:lnTo>
                <a:lnTo>
                  <a:pt x="1272" y="471"/>
                </a:lnTo>
                <a:lnTo>
                  <a:pt x="1290" y="492"/>
                </a:lnTo>
                <a:lnTo>
                  <a:pt x="1336" y="495"/>
                </a:lnTo>
                <a:lnTo>
                  <a:pt x="1341" y="498"/>
                </a:lnTo>
                <a:lnTo>
                  <a:pt x="1383" y="506"/>
                </a:lnTo>
                <a:lnTo>
                  <a:pt x="1391" y="512"/>
                </a:lnTo>
                <a:lnTo>
                  <a:pt x="1393" y="539"/>
                </a:lnTo>
                <a:lnTo>
                  <a:pt x="1407" y="545"/>
                </a:lnTo>
                <a:lnTo>
                  <a:pt x="1419" y="543"/>
                </a:lnTo>
                <a:lnTo>
                  <a:pt x="1439" y="545"/>
                </a:lnTo>
                <a:lnTo>
                  <a:pt x="1477" y="563"/>
                </a:lnTo>
                <a:lnTo>
                  <a:pt x="1500" y="554"/>
                </a:lnTo>
                <a:lnTo>
                  <a:pt x="1503" y="555"/>
                </a:lnTo>
                <a:lnTo>
                  <a:pt x="1513" y="561"/>
                </a:lnTo>
                <a:lnTo>
                  <a:pt x="1524" y="573"/>
                </a:lnTo>
                <a:lnTo>
                  <a:pt x="1538" y="574"/>
                </a:lnTo>
                <a:lnTo>
                  <a:pt x="1572" y="561"/>
                </a:lnTo>
                <a:lnTo>
                  <a:pt x="1585" y="564"/>
                </a:lnTo>
                <a:lnTo>
                  <a:pt x="1591" y="559"/>
                </a:lnTo>
                <a:lnTo>
                  <a:pt x="1600" y="558"/>
                </a:lnTo>
                <a:lnTo>
                  <a:pt x="1604" y="590"/>
                </a:lnTo>
                <a:lnTo>
                  <a:pt x="1621" y="590"/>
                </a:lnTo>
                <a:lnTo>
                  <a:pt x="1621" y="617"/>
                </a:lnTo>
                <a:lnTo>
                  <a:pt x="1640" y="627"/>
                </a:lnTo>
                <a:lnTo>
                  <a:pt x="1687" y="598"/>
                </a:lnTo>
                <a:lnTo>
                  <a:pt x="1699" y="615"/>
                </a:lnTo>
                <a:lnTo>
                  <a:pt x="1706" y="613"/>
                </a:lnTo>
                <a:lnTo>
                  <a:pt x="1711" y="611"/>
                </a:lnTo>
                <a:lnTo>
                  <a:pt x="1714" y="611"/>
                </a:lnTo>
                <a:lnTo>
                  <a:pt x="1733" y="634"/>
                </a:lnTo>
                <a:lnTo>
                  <a:pt x="1771" y="620"/>
                </a:lnTo>
                <a:lnTo>
                  <a:pt x="1769" y="648"/>
                </a:lnTo>
                <a:lnTo>
                  <a:pt x="1780" y="658"/>
                </a:lnTo>
                <a:lnTo>
                  <a:pt x="1815" y="603"/>
                </a:lnTo>
                <a:lnTo>
                  <a:pt x="1817" y="601"/>
                </a:lnTo>
                <a:lnTo>
                  <a:pt x="1851" y="632"/>
                </a:lnTo>
                <a:lnTo>
                  <a:pt x="1880" y="616"/>
                </a:lnTo>
                <a:lnTo>
                  <a:pt x="1881" y="616"/>
                </a:lnTo>
                <a:lnTo>
                  <a:pt x="1877" y="621"/>
                </a:lnTo>
                <a:lnTo>
                  <a:pt x="1897" y="645"/>
                </a:lnTo>
                <a:lnTo>
                  <a:pt x="1912" y="644"/>
                </a:lnTo>
                <a:lnTo>
                  <a:pt x="1921" y="656"/>
                </a:lnTo>
                <a:lnTo>
                  <a:pt x="1944" y="647"/>
                </a:lnTo>
                <a:lnTo>
                  <a:pt x="1991" y="621"/>
                </a:lnTo>
                <a:lnTo>
                  <a:pt x="2020" y="629"/>
                </a:lnTo>
                <a:lnTo>
                  <a:pt x="2036" y="620"/>
                </a:lnTo>
                <a:lnTo>
                  <a:pt x="2038" y="616"/>
                </a:lnTo>
                <a:lnTo>
                  <a:pt x="2065" y="611"/>
                </a:lnTo>
                <a:lnTo>
                  <a:pt x="2065" y="605"/>
                </a:lnTo>
                <a:lnTo>
                  <a:pt x="2073" y="606"/>
                </a:lnTo>
                <a:lnTo>
                  <a:pt x="2078" y="616"/>
                </a:lnTo>
                <a:lnTo>
                  <a:pt x="2076" y="618"/>
                </a:lnTo>
                <a:lnTo>
                  <a:pt x="2120" y="619"/>
                </a:lnTo>
                <a:lnTo>
                  <a:pt x="2126" y="620"/>
                </a:lnTo>
                <a:lnTo>
                  <a:pt x="2132" y="606"/>
                </a:lnTo>
                <a:lnTo>
                  <a:pt x="2149" y="605"/>
                </a:lnTo>
                <a:lnTo>
                  <a:pt x="2155" y="606"/>
                </a:lnTo>
                <a:lnTo>
                  <a:pt x="2155" y="613"/>
                </a:lnTo>
                <a:lnTo>
                  <a:pt x="2179" y="624"/>
                </a:lnTo>
                <a:lnTo>
                  <a:pt x="2201" y="650"/>
                </a:lnTo>
                <a:lnTo>
                  <a:pt x="2212" y="654"/>
                </a:lnTo>
                <a:lnTo>
                  <a:pt x="2211" y="646"/>
                </a:lnTo>
                <a:lnTo>
                  <a:pt x="2224" y="650"/>
                </a:lnTo>
                <a:lnTo>
                  <a:pt x="2224" y="659"/>
                </a:lnTo>
                <a:lnTo>
                  <a:pt x="2228" y="658"/>
                </a:lnTo>
                <a:lnTo>
                  <a:pt x="2226" y="661"/>
                </a:lnTo>
                <a:lnTo>
                  <a:pt x="2248" y="666"/>
                </a:lnTo>
                <a:lnTo>
                  <a:pt x="2267" y="681"/>
                </a:lnTo>
                <a:lnTo>
                  <a:pt x="2275" y="676"/>
                </a:lnTo>
                <a:lnTo>
                  <a:pt x="2295" y="698"/>
                </a:lnTo>
                <a:lnTo>
                  <a:pt x="2319" y="689"/>
                </a:lnTo>
                <a:lnTo>
                  <a:pt x="2357" y="696"/>
                </a:lnTo>
                <a:lnTo>
                  <a:pt x="2357" y="704"/>
                </a:lnTo>
                <a:lnTo>
                  <a:pt x="2357" y="738"/>
                </a:lnTo>
                <a:lnTo>
                  <a:pt x="2357" y="763"/>
                </a:lnTo>
                <a:lnTo>
                  <a:pt x="2357" y="768"/>
                </a:lnTo>
                <a:lnTo>
                  <a:pt x="2357" y="798"/>
                </a:lnTo>
                <a:lnTo>
                  <a:pt x="2357" y="823"/>
                </a:lnTo>
                <a:lnTo>
                  <a:pt x="2357" y="827"/>
                </a:lnTo>
                <a:lnTo>
                  <a:pt x="2357" y="856"/>
                </a:lnTo>
                <a:lnTo>
                  <a:pt x="2357" y="886"/>
                </a:lnTo>
                <a:lnTo>
                  <a:pt x="2357" y="890"/>
                </a:lnTo>
                <a:lnTo>
                  <a:pt x="2357" y="900"/>
                </a:lnTo>
                <a:lnTo>
                  <a:pt x="2357" y="916"/>
                </a:lnTo>
                <a:lnTo>
                  <a:pt x="2357" y="946"/>
                </a:lnTo>
                <a:lnTo>
                  <a:pt x="2357" y="970"/>
                </a:lnTo>
                <a:lnTo>
                  <a:pt x="2357" y="975"/>
                </a:lnTo>
                <a:lnTo>
                  <a:pt x="2357" y="1005"/>
                </a:lnTo>
                <a:lnTo>
                  <a:pt x="2357" y="1017"/>
                </a:lnTo>
                <a:lnTo>
                  <a:pt x="2357" y="1063"/>
                </a:lnTo>
                <a:lnTo>
                  <a:pt x="2362" y="1066"/>
                </a:lnTo>
                <a:lnTo>
                  <a:pt x="2363" y="1069"/>
                </a:lnTo>
                <a:lnTo>
                  <a:pt x="2364" y="1070"/>
                </a:lnTo>
                <a:lnTo>
                  <a:pt x="2365" y="1073"/>
                </a:lnTo>
                <a:lnTo>
                  <a:pt x="2388" y="1100"/>
                </a:lnTo>
                <a:lnTo>
                  <a:pt x="2387" y="1100"/>
                </a:lnTo>
                <a:lnTo>
                  <a:pt x="2396" y="1122"/>
                </a:lnTo>
                <a:lnTo>
                  <a:pt x="2396" y="1161"/>
                </a:lnTo>
                <a:lnTo>
                  <a:pt x="2417" y="1181"/>
                </a:lnTo>
                <a:lnTo>
                  <a:pt x="2412" y="1185"/>
                </a:lnTo>
                <a:lnTo>
                  <a:pt x="2440" y="1258"/>
                </a:lnTo>
                <a:lnTo>
                  <a:pt x="2449" y="1256"/>
                </a:lnTo>
                <a:lnTo>
                  <a:pt x="2444" y="1300"/>
                </a:lnTo>
                <a:lnTo>
                  <a:pt x="2448" y="1330"/>
                </a:lnTo>
                <a:lnTo>
                  <a:pt x="2448" y="1331"/>
                </a:lnTo>
                <a:lnTo>
                  <a:pt x="2439" y="1359"/>
                </a:lnTo>
                <a:lnTo>
                  <a:pt x="2419" y="1418"/>
                </a:lnTo>
                <a:lnTo>
                  <a:pt x="2414" y="1441"/>
                </a:lnTo>
                <a:lnTo>
                  <a:pt x="2412" y="1442"/>
                </a:lnTo>
                <a:lnTo>
                  <a:pt x="2412" y="1460"/>
                </a:lnTo>
                <a:lnTo>
                  <a:pt x="2420" y="1478"/>
                </a:lnTo>
                <a:lnTo>
                  <a:pt x="2422" y="1507"/>
                </a:lnTo>
                <a:lnTo>
                  <a:pt x="2417" y="1524"/>
                </a:lnTo>
                <a:lnTo>
                  <a:pt x="2414" y="1529"/>
                </a:lnTo>
                <a:lnTo>
                  <a:pt x="2409" y="1535"/>
                </a:lnTo>
                <a:lnTo>
                  <a:pt x="2393" y="1568"/>
                </a:lnTo>
                <a:lnTo>
                  <a:pt x="2386" y="1573"/>
                </a:lnTo>
                <a:lnTo>
                  <a:pt x="2388" y="1597"/>
                </a:lnTo>
                <a:lnTo>
                  <a:pt x="2398" y="1620"/>
                </a:lnTo>
                <a:lnTo>
                  <a:pt x="2387" y="1614"/>
                </a:lnTo>
                <a:lnTo>
                  <a:pt x="2357" y="1612"/>
                </a:lnTo>
                <a:lnTo>
                  <a:pt x="2300" y="1639"/>
                </a:lnTo>
                <a:lnTo>
                  <a:pt x="2296" y="1641"/>
                </a:lnTo>
                <a:lnTo>
                  <a:pt x="2229" y="1687"/>
                </a:lnTo>
                <a:lnTo>
                  <a:pt x="2219" y="1683"/>
                </a:lnTo>
                <a:lnTo>
                  <a:pt x="2254" y="1654"/>
                </a:lnTo>
                <a:lnTo>
                  <a:pt x="2272" y="1648"/>
                </a:lnTo>
                <a:lnTo>
                  <a:pt x="2272" y="1643"/>
                </a:lnTo>
                <a:lnTo>
                  <a:pt x="2248" y="1641"/>
                </a:lnTo>
                <a:lnTo>
                  <a:pt x="2225" y="1648"/>
                </a:lnTo>
                <a:lnTo>
                  <a:pt x="2225" y="1589"/>
                </a:lnTo>
                <a:lnTo>
                  <a:pt x="2212" y="1593"/>
                </a:lnTo>
                <a:lnTo>
                  <a:pt x="2202" y="1615"/>
                </a:lnTo>
                <a:lnTo>
                  <a:pt x="2190" y="1612"/>
                </a:lnTo>
                <a:lnTo>
                  <a:pt x="2186" y="1611"/>
                </a:lnTo>
                <a:lnTo>
                  <a:pt x="2184" y="1610"/>
                </a:lnTo>
                <a:lnTo>
                  <a:pt x="2182" y="1612"/>
                </a:lnTo>
                <a:lnTo>
                  <a:pt x="2176" y="1624"/>
                </a:lnTo>
                <a:lnTo>
                  <a:pt x="2179" y="1635"/>
                </a:lnTo>
                <a:lnTo>
                  <a:pt x="2174" y="1641"/>
                </a:lnTo>
                <a:lnTo>
                  <a:pt x="2179" y="1648"/>
                </a:lnTo>
                <a:lnTo>
                  <a:pt x="2195" y="1655"/>
                </a:lnTo>
                <a:lnTo>
                  <a:pt x="2201" y="1681"/>
                </a:lnTo>
                <a:lnTo>
                  <a:pt x="2229" y="1694"/>
                </a:lnTo>
                <a:lnTo>
                  <a:pt x="2156" y="1754"/>
                </a:lnTo>
                <a:lnTo>
                  <a:pt x="2107" y="1802"/>
                </a:lnTo>
                <a:lnTo>
                  <a:pt x="2084" y="1813"/>
                </a:lnTo>
                <a:lnTo>
                  <a:pt x="2083" y="1814"/>
                </a:lnTo>
                <a:lnTo>
                  <a:pt x="2010" y="1861"/>
                </a:lnTo>
                <a:lnTo>
                  <a:pt x="1944" y="1897"/>
                </a:lnTo>
                <a:lnTo>
                  <a:pt x="1920" y="1917"/>
                </a:lnTo>
                <a:lnTo>
                  <a:pt x="1897" y="1939"/>
                </a:lnTo>
                <a:lnTo>
                  <a:pt x="1875" y="1955"/>
                </a:lnTo>
                <a:lnTo>
                  <a:pt x="1832" y="1993"/>
                </a:lnTo>
                <a:lnTo>
                  <a:pt x="1798" y="2042"/>
                </a:lnTo>
                <a:lnTo>
                  <a:pt x="1797" y="2047"/>
                </a:lnTo>
                <a:lnTo>
                  <a:pt x="1798" y="2048"/>
                </a:lnTo>
                <a:lnTo>
                  <a:pt x="1779" y="2073"/>
                </a:lnTo>
                <a:lnTo>
                  <a:pt x="1762" y="2108"/>
                </a:lnTo>
                <a:lnTo>
                  <a:pt x="1739" y="2179"/>
                </a:lnTo>
                <a:lnTo>
                  <a:pt x="1738" y="2185"/>
                </a:lnTo>
                <a:lnTo>
                  <a:pt x="1733" y="2244"/>
                </a:lnTo>
                <a:lnTo>
                  <a:pt x="1751" y="2339"/>
                </a:lnTo>
                <a:lnTo>
                  <a:pt x="1762" y="2384"/>
                </a:lnTo>
                <a:lnTo>
                  <a:pt x="1776" y="2480"/>
                </a:lnTo>
                <a:lnTo>
                  <a:pt x="1737" y="2510"/>
                </a:lnTo>
                <a:lnTo>
                  <a:pt x="1711" y="2505"/>
                </a:lnTo>
                <a:lnTo>
                  <a:pt x="1688" y="2480"/>
                </a:lnTo>
                <a:lnTo>
                  <a:pt x="1642" y="2464"/>
                </a:lnTo>
                <a:lnTo>
                  <a:pt x="1571" y="2463"/>
                </a:lnTo>
                <a:lnTo>
                  <a:pt x="1564" y="2452"/>
                </a:lnTo>
                <a:lnTo>
                  <a:pt x="1556" y="2452"/>
                </a:lnTo>
                <a:lnTo>
                  <a:pt x="1508" y="2419"/>
                </a:lnTo>
                <a:lnTo>
                  <a:pt x="1490" y="2422"/>
                </a:lnTo>
                <a:lnTo>
                  <a:pt x="1477" y="2410"/>
                </a:lnTo>
                <a:lnTo>
                  <a:pt x="1477" y="2402"/>
                </a:lnTo>
                <a:lnTo>
                  <a:pt x="1429" y="2387"/>
                </a:lnTo>
                <a:lnTo>
                  <a:pt x="1398" y="2346"/>
                </a:lnTo>
                <a:lnTo>
                  <a:pt x="1380" y="2282"/>
                </a:lnTo>
                <a:lnTo>
                  <a:pt x="1355" y="2245"/>
                </a:lnTo>
                <a:lnTo>
                  <a:pt x="1345" y="2182"/>
                </a:lnTo>
                <a:lnTo>
                  <a:pt x="1336" y="2126"/>
                </a:lnTo>
                <a:lnTo>
                  <a:pt x="1313" y="2093"/>
                </a:lnTo>
                <a:lnTo>
                  <a:pt x="1289" y="2078"/>
                </a:lnTo>
                <a:lnTo>
                  <a:pt x="1286" y="207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1" name="S_TN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>
            <a:spLocks/>
          </xdr:cNvSpPr>
        </xdr:nvSpPr>
        <xdr:spPr bwMode="auto">
          <a:xfrm>
            <a:off x="6197413" y="2804833"/>
            <a:ext cx="1558178" cy="380439"/>
          </a:xfrm>
          <a:custGeom>
            <a:avLst/>
            <a:gdLst>
              <a:gd name="T0" fmla="*/ 2147483647 w 1621"/>
              <a:gd name="T1" fmla="*/ 2147483647 h 401"/>
              <a:gd name="T2" fmla="*/ 2147483647 w 1621"/>
              <a:gd name="T3" fmla="*/ 2147483647 h 401"/>
              <a:gd name="T4" fmla="*/ 2147483647 w 1621"/>
              <a:gd name="T5" fmla="*/ 2147483647 h 401"/>
              <a:gd name="T6" fmla="*/ 2147483647 w 1621"/>
              <a:gd name="T7" fmla="*/ 2147483647 h 401"/>
              <a:gd name="T8" fmla="*/ 2147483647 w 1621"/>
              <a:gd name="T9" fmla="*/ 2147483647 h 401"/>
              <a:gd name="T10" fmla="*/ 2147483647 w 1621"/>
              <a:gd name="T11" fmla="*/ 2147483647 h 401"/>
              <a:gd name="T12" fmla="*/ 2147483647 w 1621"/>
              <a:gd name="T13" fmla="*/ 2147483647 h 401"/>
              <a:gd name="T14" fmla="*/ 2147483647 w 1621"/>
              <a:gd name="T15" fmla="*/ 2147483647 h 401"/>
              <a:gd name="T16" fmla="*/ 2147483647 w 1621"/>
              <a:gd name="T17" fmla="*/ 2147483647 h 401"/>
              <a:gd name="T18" fmla="*/ 2147483647 w 1621"/>
              <a:gd name="T19" fmla="*/ 2147483647 h 401"/>
              <a:gd name="T20" fmla="*/ 2147483647 w 1621"/>
              <a:gd name="T21" fmla="*/ 2147483647 h 401"/>
              <a:gd name="T22" fmla="*/ 2147483647 w 1621"/>
              <a:gd name="T23" fmla="*/ 2147483647 h 401"/>
              <a:gd name="T24" fmla="*/ 2147483647 w 1621"/>
              <a:gd name="T25" fmla="*/ 2147483647 h 401"/>
              <a:gd name="T26" fmla="*/ 2147483647 w 1621"/>
              <a:gd name="T27" fmla="*/ 2147483647 h 401"/>
              <a:gd name="T28" fmla="*/ 2147483647 w 1621"/>
              <a:gd name="T29" fmla="*/ 2147483647 h 401"/>
              <a:gd name="T30" fmla="*/ 2147483647 w 1621"/>
              <a:gd name="T31" fmla="*/ 2147483647 h 401"/>
              <a:gd name="T32" fmla="*/ 2147483647 w 1621"/>
              <a:gd name="T33" fmla="*/ 2147483647 h 401"/>
              <a:gd name="T34" fmla="*/ 2147483647 w 1621"/>
              <a:gd name="T35" fmla="*/ 2147483647 h 401"/>
              <a:gd name="T36" fmla="*/ 2147483647 w 1621"/>
              <a:gd name="T37" fmla="*/ 2147483647 h 401"/>
              <a:gd name="T38" fmla="*/ 2147483647 w 1621"/>
              <a:gd name="T39" fmla="*/ 2147483647 h 401"/>
              <a:gd name="T40" fmla="*/ 2147483647 w 1621"/>
              <a:gd name="T41" fmla="*/ 2147483647 h 401"/>
              <a:gd name="T42" fmla="*/ 2147483647 w 1621"/>
              <a:gd name="T43" fmla="*/ 2147483647 h 401"/>
              <a:gd name="T44" fmla="*/ 2147483647 w 1621"/>
              <a:gd name="T45" fmla="*/ 2147483647 h 401"/>
              <a:gd name="T46" fmla="*/ 2147483647 w 1621"/>
              <a:gd name="T47" fmla="*/ 2147483647 h 401"/>
              <a:gd name="T48" fmla="*/ 2147483647 w 1621"/>
              <a:gd name="T49" fmla="*/ 2147483647 h 401"/>
              <a:gd name="T50" fmla="*/ 2147483647 w 1621"/>
              <a:gd name="T51" fmla="*/ 2147483647 h 401"/>
              <a:gd name="T52" fmla="*/ 2147483647 w 1621"/>
              <a:gd name="T53" fmla="*/ 2147483647 h 401"/>
              <a:gd name="T54" fmla="*/ 2147483647 w 1621"/>
              <a:gd name="T55" fmla="*/ 2147483647 h 401"/>
              <a:gd name="T56" fmla="*/ 2147483647 w 1621"/>
              <a:gd name="T57" fmla="*/ 2147483647 h 401"/>
              <a:gd name="T58" fmla="*/ 2147483647 w 1621"/>
              <a:gd name="T59" fmla="*/ 2147483647 h 401"/>
              <a:gd name="T60" fmla="*/ 2147483647 w 1621"/>
              <a:gd name="T61" fmla="*/ 2147483647 h 401"/>
              <a:gd name="T62" fmla="*/ 2147483647 w 1621"/>
              <a:gd name="T63" fmla="*/ 2147483647 h 401"/>
              <a:gd name="T64" fmla="*/ 2147483647 w 1621"/>
              <a:gd name="T65" fmla="*/ 2147483647 h 401"/>
              <a:gd name="T66" fmla="*/ 2147483647 w 1621"/>
              <a:gd name="T67" fmla="*/ 2147483647 h 401"/>
              <a:gd name="T68" fmla="*/ 2147483647 w 1621"/>
              <a:gd name="T69" fmla="*/ 2147483647 h 401"/>
              <a:gd name="T70" fmla="*/ 2147483647 w 1621"/>
              <a:gd name="T71" fmla="*/ 2147483647 h 401"/>
              <a:gd name="T72" fmla="*/ 2147483647 w 1621"/>
              <a:gd name="T73" fmla="*/ 2147483647 h 401"/>
              <a:gd name="T74" fmla="*/ 2147483647 w 1621"/>
              <a:gd name="T75" fmla="*/ 2147483647 h 401"/>
              <a:gd name="T76" fmla="*/ 2147483647 w 1621"/>
              <a:gd name="T77" fmla="*/ 2147483647 h 401"/>
              <a:gd name="T78" fmla="*/ 2147483647 w 1621"/>
              <a:gd name="T79" fmla="*/ 2147483647 h 401"/>
              <a:gd name="T80" fmla="*/ 2147483647 w 1621"/>
              <a:gd name="T81" fmla="*/ 2147483647 h 401"/>
              <a:gd name="T82" fmla="*/ 2147483647 w 1621"/>
              <a:gd name="T83" fmla="*/ 2147483647 h 401"/>
              <a:gd name="T84" fmla="*/ 2147483647 w 1621"/>
              <a:gd name="T85" fmla="*/ 2147483647 h 401"/>
              <a:gd name="T86" fmla="*/ 2147483647 w 1621"/>
              <a:gd name="T87" fmla="*/ 2147483647 h 401"/>
              <a:gd name="T88" fmla="*/ 2147483647 w 1621"/>
              <a:gd name="T89" fmla="*/ 2147483647 h 401"/>
              <a:gd name="T90" fmla="*/ 2147483647 w 1621"/>
              <a:gd name="T91" fmla="*/ 2147483647 h 401"/>
              <a:gd name="T92" fmla="*/ 2147483647 w 1621"/>
              <a:gd name="T93" fmla="*/ 2147483647 h 401"/>
              <a:gd name="T94" fmla="*/ 2147483647 w 1621"/>
              <a:gd name="T95" fmla="*/ 2147483647 h 401"/>
              <a:gd name="T96" fmla="*/ 2147483647 w 1621"/>
              <a:gd name="T97" fmla="*/ 2147483647 h 401"/>
              <a:gd name="T98" fmla="*/ 2147483647 w 1621"/>
              <a:gd name="T99" fmla="*/ 2147483647 h 401"/>
              <a:gd name="T100" fmla="*/ 2147483647 w 1621"/>
              <a:gd name="T101" fmla="*/ 2147483647 h 401"/>
              <a:gd name="T102" fmla="*/ 2147483647 w 1621"/>
              <a:gd name="T103" fmla="*/ 2147483647 h 401"/>
              <a:gd name="T104" fmla="*/ 2147483647 w 1621"/>
              <a:gd name="T105" fmla="*/ 2147483647 h 401"/>
              <a:gd name="T106" fmla="*/ 2147483647 w 1621"/>
              <a:gd name="T107" fmla="*/ 2147483647 h 401"/>
              <a:gd name="T108" fmla="*/ 2147483647 w 1621"/>
              <a:gd name="T109" fmla="*/ 2147483647 h 401"/>
              <a:gd name="T110" fmla="*/ 2147483647 w 1621"/>
              <a:gd name="T111" fmla="*/ 2147483647 h 401"/>
              <a:gd name="T112" fmla="*/ 2147483647 w 1621"/>
              <a:gd name="T113" fmla="*/ 2147483647 h 401"/>
              <a:gd name="T114" fmla="*/ 2147483647 w 1621"/>
              <a:gd name="T115" fmla="*/ 2147483647 h 401"/>
              <a:gd name="T116" fmla="*/ 2147483647 w 1621"/>
              <a:gd name="T117" fmla="*/ 2147483647 h 401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621"/>
              <a:gd name="T178" fmla="*/ 0 h 401"/>
              <a:gd name="T179" fmla="*/ 1621 w 1621"/>
              <a:gd name="T180" fmla="*/ 401 h 401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621" h="401">
                <a:moveTo>
                  <a:pt x="277" y="42"/>
                </a:moveTo>
                <a:lnTo>
                  <a:pt x="275" y="42"/>
                </a:lnTo>
                <a:lnTo>
                  <a:pt x="250" y="42"/>
                </a:lnTo>
                <a:lnTo>
                  <a:pt x="189" y="41"/>
                </a:lnTo>
                <a:lnTo>
                  <a:pt x="180" y="42"/>
                </a:lnTo>
                <a:lnTo>
                  <a:pt x="166" y="43"/>
                </a:lnTo>
                <a:lnTo>
                  <a:pt x="153" y="43"/>
                </a:lnTo>
                <a:lnTo>
                  <a:pt x="144" y="43"/>
                </a:lnTo>
                <a:lnTo>
                  <a:pt x="149" y="72"/>
                </a:lnTo>
                <a:lnTo>
                  <a:pt x="143" y="81"/>
                </a:lnTo>
                <a:lnTo>
                  <a:pt x="144" y="102"/>
                </a:lnTo>
                <a:lnTo>
                  <a:pt x="114" y="102"/>
                </a:lnTo>
                <a:lnTo>
                  <a:pt x="126" y="117"/>
                </a:lnTo>
                <a:lnTo>
                  <a:pt x="133" y="130"/>
                </a:lnTo>
                <a:lnTo>
                  <a:pt x="128" y="135"/>
                </a:lnTo>
                <a:lnTo>
                  <a:pt x="107" y="160"/>
                </a:lnTo>
                <a:lnTo>
                  <a:pt x="124" y="183"/>
                </a:lnTo>
                <a:lnTo>
                  <a:pt x="104" y="183"/>
                </a:lnTo>
                <a:lnTo>
                  <a:pt x="80" y="218"/>
                </a:lnTo>
                <a:lnTo>
                  <a:pt x="74" y="270"/>
                </a:lnTo>
                <a:lnTo>
                  <a:pt x="58" y="264"/>
                </a:lnTo>
                <a:lnTo>
                  <a:pt x="48" y="278"/>
                </a:lnTo>
                <a:lnTo>
                  <a:pt x="31" y="293"/>
                </a:lnTo>
                <a:lnTo>
                  <a:pt x="24" y="306"/>
                </a:lnTo>
                <a:lnTo>
                  <a:pt x="31" y="308"/>
                </a:lnTo>
                <a:lnTo>
                  <a:pt x="34" y="300"/>
                </a:lnTo>
                <a:lnTo>
                  <a:pt x="40" y="311"/>
                </a:lnTo>
                <a:lnTo>
                  <a:pt x="42" y="367"/>
                </a:lnTo>
                <a:lnTo>
                  <a:pt x="31" y="366"/>
                </a:lnTo>
                <a:lnTo>
                  <a:pt x="0" y="398"/>
                </a:lnTo>
                <a:lnTo>
                  <a:pt x="58" y="398"/>
                </a:lnTo>
                <a:lnTo>
                  <a:pt x="85" y="398"/>
                </a:lnTo>
                <a:lnTo>
                  <a:pt x="109" y="398"/>
                </a:lnTo>
                <a:lnTo>
                  <a:pt x="124" y="398"/>
                </a:lnTo>
                <a:lnTo>
                  <a:pt x="144" y="398"/>
                </a:lnTo>
                <a:lnTo>
                  <a:pt x="160" y="398"/>
                </a:lnTo>
                <a:lnTo>
                  <a:pt x="179" y="398"/>
                </a:lnTo>
                <a:lnTo>
                  <a:pt x="189" y="398"/>
                </a:lnTo>
                <a:lnTo>
                  <a:pt x="198" y="398"/>
                </a:lnTo>
                <a:lnTo>
                  <a:pt x="208" y="398"/>
                </a:lnTo>
                <a:lnTo>
                  <a:pt x="225" y="398"/>
                </a:lnTo>
                <a:lnTo>
                  <a:pt x="235" y="398"/>
                </a:lnTo>
                <a:lnTo>
                  <a:pt x="242" y="398"/>
                </a:lnTo>
                <a:lnTo>
                  <a:pt x="244" y="398"/>
                </a:lnTo>
                <a:lnTo>
                  <a:pt x="260" y="398"/>
                </a:lnTo>
                <a:lnTo>
                  <a:pt x="277" y="398"/>
                </a:lnTo>
                <a:lnTo>
                  <a:pt x="285" y="398"/>
                </a:lnTo>
                <a:lnTo>
                  <a:pt x="302" y="398"/>
                </a:lnTo>
                <a:lnTo>
                  <a:pt x="319" y="398"/>
                </a:lnTo>
                <a:lnTo>
                  <a:pt x="361" y="398"/>
                </a:lnTo>
                <a:lnTo>
                  <a:pt x="362" y="398"/>
                </a:lnTo>
                <a:lnTo>
                  <a:pt x="364" y="398"/>
                </a:lnTo>
                <a:lnTo>
                  <a:pt x="384" y="398"/>
                </a:lnTo>
                <a:lnTo>
                  <a:pt x="394" y="398"/>
                </a:lnTo>
                <a:lnTo>
                  <a:pt x="394" y="396"/>
                </a:lnTo>
                <a:lnTo>
                  <a:pt x="394" y="395"/>
                </a:lnTo>
                <a:lnTo>
                  <a:pt x="435" y="395"/>
                </a:lnTo>
                <a:lnTo>
                  <a:pt x="450" y="395"/>
                </a:lnTo>
                <a:lnTo>
                  <a:pt x="491" y="396"/>
                </a:lnTo>
                <a:lnTo>
                  <a:pt x="505" y="396"/>
                </a:lnTo>
                <a:lnTo>
                  <a:pt x="548" y="396"/>
                </a:lnTo>
                <a:lnTo>
                  <a:pt x="572" y="397"/>
                </a:lnTo>
                <a:lnTo>
                  <a:pt x="577" y="397"/>
                </a:lnTo>
                <a:lnTo>
                  <a:pt x="578" y="397"/>
                </a:lnTo>
                <a:lnTo>
                  <a:pt x="579" y="397"/>
                </a:lnTo>
                <a:lnTo>
                  <a:pt x="633" y="398"/>
                </a:lnTo>
                <a:lnTo>
                  <a:pt x="646" y="399"/>
                </a:lnTo>
                <a:lnTo>
                  <a:pt x="650" y="399"/>
                </a:lnTo>
                <a:lnTo>
                  <a:pt x="659" y="399"/>
                </a:lnTo>
                <a:lnTo>
                  <a:pt x="712" y="399"/>
                </a:lnTo>
                <a:lnTo>
                  <a:pt x="735" y="399"/>
                </a:lnTo>
                <a:lnTo>
                  <a:pt x="746" y="399"/>
                </a:lnTo>
                <a:lnTo>
                  <a:pt x="747" y="399"/>
                </a:lnTo>
                <a:lnTo>
                  <a:pt x="755" y="399"/>
                </a:lnTo>
                <a:lnTo>
                  <a:pt x="794" y="399"/>
                </a:lnTo>
                <a:lnTo>
                  <a:pt x="830" y="399"/>
                </a:lnTo>
                <a:lnTo>
                  <a:pt x="835" y="399"/>
                </a:lnTo>
                <a:lnTo>
                  <a:pt x="876" y="400"/>
                </a:lnTo>
                <a:lnTo>
                  <a:pt x="880" y="400"/>
                </a:lnTo>
                <a:lnTo>
                  <a:pt x="899" y="400"/>
                </a:lnTo>
                <a:lnTo>
                  <a:pt x="905" y="401"/>
                </a:lnTo>
                <a:lnTo>
                  <a:pt x="923" y="400"/>
                </a:lnTo>
                <a:lnTo>
                  <a:pt x="925" y="400"/>
                </a:lnTo>
                <a:lnTo>
                  <a:pt x="935" y="400"/>
                </a:lnTo>
                <a:lnTo>
                  <a:pt x="943" y="400"/>
                </a:lnTo>
                <a:lnTo>
                  <a:pt x="946" y="400"/>
                </a:lnTo>
                <a:lnTo>
                  <a:pt x="947" y="400"/>
                </a:lnTo>
                <a:lnTo>
                  <a:pt x="997" y="399"/>
                </a:lnTo>
                <a:lnTo>
                  <a:pt x="998" y="399"/>
                </a:lnTo>
                <a:lnTo>
                  <a:pt x="1008" y="399"/>
                </a:lnTo>
                <a:lnTo>
                  <a:pt x="1022" y="400"/>
                </a:lnTo>
                <a:lnTo>
                  <a:pt x="1029" y="399"/>
                </a:lnTo>
                <a:lnTo>
                  <a:pt x="1035" y="399"/>
                </a:lnTo>
                <a:lnTo>
                  <a:pt x="1039" y="399"/>
                </a:lnTo>
                <a:lnTo>
                  <a:pt x="1047" y="399"/>
                </a:lnTo>
                <a:lnTo>
                  <a:pt x="1064" y="399"/>
                </a:lnTo>
                <a:lnTo>
                  <a:pt x="1090" y="399"/>
                </a:lnTo>
                <a:lnTo>
                  <a:pt x="1110" y="399"/>
                </a:lnTo>
                <a:lnTo>
                  <a:pt x="1120" y="399"/>
                </a:lnTo>
                <a:lnTo>
                  <a:pt x="1120" y="397"/>
                </a:lnTo>
                <a:lnTo>
                  <a:pt x="1123" y="367"/>
                </a:lnTo>
                <a:lnTo>
                  <a:pt x="1125" y="348"/>
                </a:lnTo>
                <a:lnTo>
                  <a:pt x="1134" y="337"/>
                </a:lnTo>
                <a:lnTo>
                  <a:pt x="1162" y="338"/>
                </a:lnTo>
                <a:lnTo>
                  <a:pt x="1174" y="327"/>
                </a:lnTo>
                <a:lnTo>
                  <a:pt x="1179" y="308"/>
                </a:lnTo>
                <a:lnTo>
                  <a:pt x="1180" y="296"/>
                </a:lnTo>
                <a:lnTo>
                  <a:pt x="1187" y="287"/>
                </a:lnTo>
                <a:lnTo>
                  <a:pt x="1188" y="288"/>
                </a:lnTo>
                <a:lnTo>
                  <a:pt x="1203" y="274"/>
                </a:lnTo>
                <a:lnTo>
                  <a:pt x="1227" y="264"/>
                </a:lnTo>
                <a:lnTo>
                  <a:pt x="1243" y="262"/>
                </a:lnTo>
                <a:lnTo>
                  <a:pt x="1249" y="262"/>
                </a:lnTo>
                <a:lnTo>
                  <a:pt x="1274" y="264"/>
                </a:lnTo>
                <a:lnTo>
                  <a:pt x="1320" y="232"/>
                </a:lnTo>
                <a:lnTo>
                  <a:pt x="1319" y="228"/>
                </a:lnTo>
                <a:lnTo>
                  <a:pt x="1343" y="215"/>
                </a:lnTo>
                <a:lnTo>
                  <a:pt x="1367" y="214"/>
                </a:lnTo>
                <a:lnTo>
                  <a:pt x="1374" y="210"/>
                </a:lnTo>
                <a:lnTo>
                  <a:pt x="1385" y="188"/>
                </a:lnTo>
                <a:lnTo>
                  <a:pt x="1385" y="186"/>
                </a:lnTo>
                <a:lnTo>
                  <a:pt x="1386" y="173"/>
                </a:lnTo>
                <a:lnTo>
                  <a:pt x="1409" y="160"/>
                </a:lnTo>
                <a:lnTo>
                  <a:pt x="1438" y="147"/>
                </a:lnTo>
                <a:lnTo>
                  <a:pt x="1441" y="151"/>
                </a:lnTo>
                <a:lnTo>
                  <a:pt x="1439" y="160"/>
                </a:lnTo>
                <a:lnTo>
                  <a:pt x="1459" y="166"/>
                </a:lnTo>
                <a:lnTo>
                  <a:pt x="1460" y="165"/>
                </a:lnTo>
                <a:lnTo>
                  <a:pt x="1467" y="158"/>
                </a:lnTo>
                <a:lnTo>
                  <a:pt x="1476" y="143"/>
                </a:lnTo>
                <a:lnTo>
                  <a:pt x="1484" y="136"/>
                </a:lnTo>
                <a:lnTo>
                  <a:pt x="1507" y="129"/>
                </a:lnTo>
                <a:lnTo>
                  <a:pt x="1512" y="123"/>
                </a:lnTo>
                <a:lnTo>
                  <a:pt x="1529" y="130"/>
                </a:lnTo>
                <a:lnTo>
                  <a:pt x="1531" y="136"/>
                </a:lnTo>
                <a:lnTo>
                  <a:pt x="1539" y="136"/>
                </a:lnTo>
                <a:lnTo>
                  <a:pt x="1543" y="130"/>
                </a:lnTo>
                <a:lnTo>
                  <a:pt x="1549" y="130"/>
                </a:lnTo>
                <a:lnTo>
                  <a:pt x="1567" y="98"/>
                </a:lnTo>
                <a:lnTo>
                  <a:pt x="1569" y="93"/>
                </a:lnTo>
                <a:lnTo>
                  <a:pt x="1578" y="86"/>
                </a:lnTo>
                <a:lnTo>
                  <a:pt x="1601" y="81"/>
                </a:lnTo>
                <a:lnTo>
                  <a:pt x="1604" y="68"/>
                </a:lnTo>
                <a:lnTo>
                  <a:pt x="1610" y="43"/>
                </a:lnTo>
                <a:lnTo>
                  <a:pt x="1614" y="21"/>
                </a:lnTo>
                <a:lnTo>
                  <a:pt x="1621" y="16"/>
                </a:lnTo>
                <a:lnTo>
                  <a:pt x="1601" y="16"/>
                </a:lnTo>
                <a:lnTo>
                  <a:pt x="1586" y="15"/>
                </a:lnTo>
                <a:lnTo>
                  <a:pt x="1568" y="15"/>
                </a:lnTo>
                <a:lnTo>
                  <a:pt x="1566" y="20"/>
                </a:lnTo>
                <a:lnTo>
                  <a:pt x="1526" y="20"/>
                </a:lnTo>
                <a:lnTo>
                  <a:pt x="1521" y="20"/>
                </a:lnTo>
                <a:lnTo>
                  <a:pt x="1515" y="19"/>
                </a:lnTo>
                <a:lnTo>
                  <a:pt x="1508" y="20"/>
                </a:lnTo>
                <a:lnTo>
                  <a:pt x="1507" y="20"/>
                </a:lnTo>
                <a:lnTo>
                  <a:pt x="1499" y="19"/>
                </a:lnTo>
                <a:lnTo>
                  <a:pt x="1484" y="20"/>
                </a:lnTo>
                <a:lnTo>
                  <a:pt x="1460" y="20"/>
                </a:lnTo>
                <a:lnTo>
                  <a:pt x="1440" y="20"/>
                </a:lnTo>
                <a:lnTo>
                  <a:pt x="1438" y="20"/>
                </a:lnTo>
                <a:lnTo>
                  <a:pt x="1430" y="20"/>
                </a:lnTo>
                <a:lnTo>
                  <a:pt x="1399" y="20"/>
                </a:lnTo>
                <a:lnTo>
                  <a:pt x="1390" y="20"/>
                </a:lnTo>
                <a:lnTo>
                  <a:pt x="1370" y="20"/>
                </a:lnTo>
                <a:lnTo>
                  <a:pt x="1318" y="20"/>
                </a:lnTo>
                <a:lnTo>
                  <a:pt x="1316" y="19"/>
                </a:lnTo>
                <a:lnTo>
                  <a:pt x="1279" y="19"/>
                </a:lnTo>
                <a:lnTo>
                  <a:pt x="1250" y="19"/>
                </a:lnTo>
                <a:lnTo>
                  <a:pt x="1246" y="19"/>
                </a:lnTo>
                <a:lnTo>
                  <a:pt x="1241" y="18"/>
                </a:lnTo>
                <a:lnTo>
                  <a:pt x="1237" y="22"/>
                </a:lnTo>
                <a:lnTo>
                  <a:pt x="1219" y="22"/>
                </a:lnTo>
                <a:lnTo>
                  <a:pt x="1192" y="21"/>
                </a:lnTo>
                <a:lnTo>
                  <a:pt x="1180" y="21"/>
                </a:lnTo>
                <a:lnTo>
                  <a:pt x="1177" y="21"/>
                </a:lnTo>
                <a:lnTo>
                  <a:pt x="1164" y="21"/>
                </a:lnTo>
                <a:lnTo>
                  <a:pt x="1140" y="20"/>
                </a:lnTo>
                <a:lnTo>
                  <a:pt x="1138" y="20"/>
                </a:lnTo>
                <a:lnTo>
                  <a:pt x="1135" y="20"/>
                </a:lnTo>
                <a:lnTo>
                  <a:pt x="1131" y="20"/>
                </a:lnTo>
                <a:lnTo>
                  <a:pt x="1097" y="19"/>
                </a:lnTo>
                <a:lnTo>
                  <a:pt x="1078" y="19"/>
                </a:lnTo>
                <a:lnTo>
                  <a:pt x="1034" y="18"/>
                </a:lnTo>
                <a:lnTo>
                  <a:pt x="1033" y="18"/>
                </a:lnTo>
                <a:lnTo>
                  <a:pt x="1016" y="17"/>
                </a:lnTo>
                <a:lnTo>
                  <a:pt x="1003" y="16"/>
                </a:lnTo>
                <a:lnTo>
                  <a:pt x="998" y="15"/>
                </a:lnTo>
                <a:lnTo>
                  <a:pt x="992" y="15"/>
                </a:lnTo>
                <a:lnTo>
                  <a:pt x="970" y="13"/>
                </a:lnTo>
                <a:lnTo>
                  <a:pt x="941" y="13"/>
                </a:lnTo>
                <a:lnTo>
                  <a:pt x="938" y="13"/>
                </a:lnTo>
                <a:lnTo>
                  <a:pt x="937" y="13"/>
                </a:lnTo>
                <a:lnTo>
                  <a:pt x="930" y="14"/>
                </a:lnTo>
                <a:lnTo>
                  <a:pt x="911" y="14"/>
                </a:lnTo>
                <a:lnTo>
                  <a:pt x="899" y="15"/>
                </a:lnTo>
                <a:lnTo>
                  <a:pt x="876" y="15"/>
                </a:lnTo>
                <a:lnTo>
                  <a:pt x="846" y="14"/>
                </a:lnTo>
                <a:lnTo>
                  <a:pt x="838" y="14"/>
                </a:lnTo>
                <a:lnTo>
                  <a:pt x="824" y="13"/>
                </a:lnTo>
                <a:lnTo>
                  <a:pt x="810" y="12"/>
                </a:lnTo>
                <a:lnTo>
                  <a:pt x="806" y="12"/>
                </a:lnTo>
                <a:lnTo>
                  <a:pt x="783" y="11"/>
                </a:lnTo>
                <a:lnTo>
                  <a:pt x="768" y="10"/>
                </a:lnTo>
                <a:lnTo>
                  <a:pt x="750" y="8"/>
                </a:lnTo>
                <a:lnTo>
                  <a:pt x="743" y="7"/>
                </a:lnTo>
                <a:lnTo>
                  <a:pt x="729" y="6"/>
                </a:lnTo>
                <a:lnTo>
                  <a:pt x="712" y="6"/>
                </a:lnTo>
                <a:lnTo>
                  <a:pt x="703" y="8"/>
                </a:lnTo>
                <a:lnTo>
                  <a:pt x="700" y="11"/>
                </a:lnTo>
                <a:lnTo>
                  <a:pt x="696" y="6"/>
                </a:lnTo>
                <a:lnTo>
                  <a:pt x="676" y="7"/>
                </a:lnTo>
                <a:lnTo>
                  <a:pt x="663" y="7"/>
                </a:lnTo>
                <a:lnTo>
                  <a:pt x="650" y="7"/>
                </a:lnTo>
                <a:lnTo>
                  <a:pt x="642" y="7"/>
                </a:lnTo>
                <a:lnTo>
                  <a:pt x="607" y="8"/>
                </a:lnTo>
                <a:lnTo>
                  <a:pt x="597" y="8"/>
                </a:lnTo>
                <a:lnTo>
                  <a:pt x="595" y="8"/>
                </a:lnTo>
                <a:lnTo>
                  <a:pt x="572" y="8"/>
                </a:lnTo>
                <a:lnTo>
                  <a:pt x="556" y="8"/>
                </a:lnTo>
                <a:lnTo>
                  <a:pt x="532" y="10"/>
                </a:lnTo>
                <a:lnTo>
                  <a:pt x="514" y="10"/>
                </a:lnTo>
                <a:lnTo>
                  <a:pt x="499" y="10"/>
                </a:lnTo>
                <a:lnTo>
                  <a:pt x="489" y="10"/>
                </a:lnTo>
                <a:lnTo>
                  <a:pt x="459" y="11"/>
                </a:lnTo>
                <a:lnTo>
                  <a:pt x="459" y="4"/>
                </a:lnTo>
                <a:lnTo>
                  <a:pt x="419" y="0"/>
                </a:lnTo>
                <a:lnTo>
                  <a:pt x="420" y="6"/>
                </a:lnTo>
                <a:lnTo>
                  <a:pt x="422" y="13"/>
                </a:lnTo>
                <a:lnTo>
                  <a:pt x="422" y="43"/>
                </a:lnTo>
                <a:lnTo>
                  <a:pt x="379" y="43"/>
                </a:lnTo>
                <a:lnTo>
                  <a:pt x="362" y="43"/>
                </a:lnTo>
                <a:lnTo>
                  <a:pt x="341" y="42"/>
                </a:lnTo>
                <a:lnTo>
                  <a:pt x="338" y="42"/>
                </a:lnTo>
                <a:lnTo>
                  <a:pt x="335" y="42"/>
                </a:lnTo>
                <a:lnTo>
                  <a:pt x="330" y="42"/>
                </a:lnTo>
                <a:lnTo>
                  <a:pt x="289" y="42"/>
                </a:lnTo>
                <a:lnTo>
                  <a:pt x="278" y="42"/>
                </a:lnTo>
                <a:lnTo>
                  <a:pt x="277" y="4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2" name="S_SD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>
            <a:spLocks/>
          </xdr:cNvSpPr>
        </xdr:nvSpPr>
        <xdr:spPr bwMode="auto">
          <a:xfrm>
            <a:off x="3722034" y="755837"/>
            <a:ext cx="1364876" cy="770404"/>
          </a:xfrm>
          <a:custGeom>
            <a:avLst/>
            <a:gdLst>
              <a:gd name="T0" fmla="*/ 2147483647 w 1425"/>
              <a:gd name="T1" fmla="*/ 2147483647 h 817"/>
              <a:gd name="T2" fmla="*/ 2147483647 w 1425"/>
              <a:gd name="T3" fmla="*/ 2147483647 h 817"/>
              <a:gd name="T4" fmla="*/ 2147483647 w 1425"/>
              <a:gd name="T5" fmla="*/ 2147483647 h 817"/>
              <a:gd name="T6" fmla="*/ 2147483647 w 1425"/>
              <a:gd name="T7" fmla="*/ 2147483647 h 817"/>
              <a:gd name="T8" fmla="*/ 2147483647 w 1425"/>
              <a:gd name="T9" fmla="*/ 2147483647 h 817"/>
              <a:gd name="T10" fmla="*/ 2147483647 w 1425"/>
              <a:gd name="T11" fmla="*/ 2147483647 h 817"/>
              <a:gd name="T12" fmla="*/ 2147483647 w 1425"/>
              <a:gd name="T13" fmla="*/ 2147483647 h 817"/>
              <a:gd name="T14" fmla="*/ 2147483647 w 1425"/>
              <a:gd name="T15" fmla="*/ 2147483647 h 817"/>
              <a:gd name="T16" fmla="*/ 2147483647 w 1425"/>
              <a:gd name="T17" fmla="*/ 2147483647 h 817"/>
              <a:gd name="T18" fmla="*/ 2147483647 w 1425"/>
              <a:gd name="T19" fmla="*/ 2147483647 h 817"/>
              <a:gd name="T20" fmla="*/ 2147483647 w 1425"/>
              <a:gd name="T21" fmla="*/ 2147483647 h 817"/>
              <a:gd name="T22" fmla="*/ 2147483647 w 1425"/>
              <a:gd name="T23" fmla="*/ 2147483647 h 817"/>
              <a:gd name="T24" fmla="*/ 2147483647 w 1425"/>
              <a:gd name="T25" fmla="*/ 2147483647 h 817"/>
              <a:gd name="T26" fmla="*/ 2147483647 w 1425"/>
              <a:gd name="T27" fmla="*/ 2147483647 h 817"/>
              <a:gd name="T28" fmla="*/ 2147483647 w 1425"/>
              <a:gd name="T29" fmla="*/ 0 h 817"/>
              <a:gd name="T30" fmla="*/ 2147483647 w 1425"/>
              <a:gd name="T31" fmla="*/ 0 h 817"/>
              <a:gd name="T32" fmla="*/ 2147483647 w 1425"/>
              <a:gd name="T33" fmla="*/ 0 h 817"/>
              <a:gd name="T34" fmla="*/ 2147483647 w 1425"/>
              <a:gd name="T35" fmla="*/ 0 h 817"/>
              <a:gd name="T36" fmla="*/ 2147483647 w 1425"/>
              <a:gd name="T37" fmla="*/ 0 h 817"/>
              <a:gd name="T38" fmla="*/ 2147483647 w 1425"/>
              <a:gd name="T39" fmla="*/ 0 h 817"/>
              <a:gd name="T40" fmla="*/ 2147483647 w 1425"/>
              <a:gd name="T41" fmla="*/ 0 h 817"/>
              <a:gd name="T42" fmla="*/ 2147483647 w 1425"/>
              <a:gd name="T43" fmla="*/ 0 h 817"/>
              <a:gd name="T44" fmla="*/ 2147483647 w 1425"/>
              <a:gd name="T45" fmla="*/ 0 h 817"/>
              <a:gd name="T46" fmla="*/ 2147483647 w 1425"/>
              <a:gd name="T47" fmla="*/ 0 h 817"/>
              <a:gd name="T48" fmla="*/ 0 w 1425"/>
              <a:gd name="T49" fmla="*/ 0 h 817"/>
              <a:gd name="T50" fmla="*/ 0 w 1425"/>
              <a:gd name="T51" fmla="*/ 2147483647 h 817"/>
              <a:gd name="T52" fmla="*/ 0 w 1425"/>
              <a:gd name="T53" fmla="*/ 2147483647 h 817"/>
              <a:gd name="T54" fmla="*/ 0 w 1425"/>
              <a:gd name="T55" fmla="*/ 2147483647 h 817"/>
              <a:gd name="T56" fmla="*/ 0 w 1425"/>
              <a:gd name="T57" fmla="*/ 2147483647 h 817"/>
              <a:gd name="T58" fmla="*/ 0 w 1425"/>
              <a:gd name="T59" fmla="*/ 2147483647 h 817"/>
              <a:gd name="T60" fmla="*/ 0 w 1425"/>
              <a:gd name="T61" fmla="*/ 2147483647 h 817"/>
              <a:gd name="T62" fmla="*/ 0 w 1425"/>
              <a:gd name="T63" fmla="*/ 2147483647 h 817"/>
              <a:gd name="T64" fmla="*/ 2147483647 w 1425"/>
              <a:gd name="T65" fmla="*/ 2147483647 h 817"/>
              <a:gd name="T66" fmla="*/ 2147483647 w 1425"/>
              <a:gd name="T67" fmla="*/ 2147483647 h 817"/>
              <a:gd name="T68" fmla="*/ 2147483647 w 1425"/>
              <a:gd name="T69" fmla="*/ 2147483647 h 817"/>
              <a:gd name="T70" fmla="*/ 2147483647 w 1425"/>
              <a:gd name="T71" fmla="*/ 2147483647 h 817"/>
              <a:gd name="T72" fmla="*/ 2147483647 w 1425"/>
              <a:gd name="T73" fmla="*/ 2147483647 h 817"/>
              <a:gd name="T74" fmla="*/ 2147483647 w 1425"/>
              <a:gd name="T75" fmla="*/ 2147483647 h 817"/>
              <a:gd name="T76" fmla="*/ 2147483647 w 1425"/>
              <a:gd name="T77" fmla="*/ 2147483647 h 817"/>
              <a:gd name="T78" fmla="*/ 2147483647 w 1425"/>
              <a:gd name="T79" fmla="*/ 2147483647 h 817"/>
              <a:gd name="T80" fmla="*/ 2147483647 w 1425"/>
              <a:gd name="T81" fmla="*/ 2147483647 h 817"/>
              <a:gd name="T82" fmla="*/ 2147483647 w 1425"/>
              <a:gd name="T83" fmla="*/ 2147483647 h 817"/>
              <a:gd name="T84" fmla="*/ 2147483647 w 1425"/>
              <a:gd name="T85" fmla="*/ 2147483647 h 817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425"/>
              <a:gd name="T130" fmla="*/ 0 h 817"/>
              <a:gd name="T131" fmla="*/ 1425 w 1425"/>
              <a:gd name="T132" fmla="*/ 817 h 817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425" h="817">
                <a:moveTo>
                  <a:pt x="1290" y="743"/>
                </a:moveTo>
                <a:lnTo>
                  <a:pt x="1296" y="749"/>
                </a:lnTo>
                <a:lnTo>
                  <a:pt x="1317" y="753"/>
                </a:lnTo>
                <a:lnTo>
                  <a:pt x="1356" y="765"/>
                </a:lnTo>
                <a:lnTo>
                  <a:pt x="1375" y="785"/>
                </a:lnTo>
                <a:lnTo>
                  <a:pt x="1390" y="808"/>
                </a:lnTo>
                <a:lnTo>
                  <a:pt x="1410" y="814"/>
                </a:lnTo>
                <a:lnTo>
                  <a:pt x="1424" y="817"/>
                </a:lnTo>
                <a:lnTo>
                  <a:pt x="1418" y="814"/>
                </a:lnTo>
                <a:lnTo>
                  <a:pt x="1414" y="800"/>
                </a:lnTo>
                <a:lnTo>
                  <a:pt x="1413" y="791"/>
                </a:lnTo>
                <a:lnTo>
                  <a:pt x="1391" y="765"/>
                </a:lnTo>
                <a:lnTo>
                  <a:pt x="1407" y="717"/>
                </a:lnTo>
                <a:lnTo>
                  <a:pt x="1413" y="706"/>
                </a:lnTo>
                <a:lnTo>
                  <a:pt x="1413" y="684"/>
                </a:lnTo>
                <a:lnTo>
                  <a:pt x="1422" y="676"/>
                </a:lnTo>
                <a:lnTo>
                  <a:pt x="1425" y="666"/>
                </a:lnTo>
                <a:lnTo>
                  <a:pt x="1413" y="643"/>
                </a:lnTo>
                <a:lnTo>
                  <a:pt x="1404" y="635"/>
                </a:lnTo>
                <a:lnTo>
                  <a:pt x="1410" y="607"/>
                </a:lnTo>
                <a:lnTo>
                  <a:pt x="1395" y="578"/>
                </a:lnTo>
                <a:lnTo>
                  <a:pt x="1395" y="577"/>
                </a:lnTo>
                <a:lnTo>
                  <a:pt x="1413" y="577"/>
                </a:lnTo>
                <a:lnTo>
                  <a:pt x="1423" y="577"/>
                </a:lnTo>
                <a:lnTo>
                  <a:pt x="1423" y="548"/>
                </a:lnTo>
                <a:lnTo>
                  <a:pt x="1423" y="518"/>
                </a:lnTo>
                <a:lnTo>
                  <a:pt x="1423" y="495"/>
                </a:lnTo>
                <a:lnTo>
                  <a:pt x="1423" y="459"/>
                </a:lnTo>
                <a:lnTo>
                  <a:pt x="1423" y="431"/>
                </a:lnTo>
                <a:lnTo>
                  <a:pt x="1423" y="413"/>
                </a:lnTo>
                <a:lnTo>
                  <a:pt x="1423" y="331"/>
                </a:lnTo>
                <a:lnTo>
                  <a:pt x="1423" y="312"/>
                </a:lnTo>
                <a:lnTo>
                  <a:pt x="1423" y="311"/>
                </a:lnTo>
                <a:lnTo>
                  <a:pt x="1423" y="269"/>
                </a:lnTo>
                <a:lnTo>
                  <a:pt x="1423" y="228"/>
                </a:lnTo>
                <a:lnTo>
                  <a:pt x="1423" y="160"/>
                </a:lnTo>
                <a:lnTo>
                  <a:pt x="1420" y="146"/>
                </a:lnTo>
                <a:lnTo>
                  <a:pt x="1414" y="137"/>
                </a:lnTo>
                <a:lnTo>
                  <a:pt x="1391" y="127"/>
                </a:lnTo>
                <a:lnTo>
                  <a:pt x="1351" y="85"/>
                </a:lnTo>
                <a:lnTo>
                  <a:pt x="1348" y="75"/>
                </a:lnTo>
                <a:lnTo>
                  <a:pt x="1385" y="46"/>
                </a:lnTo>
                <a:lnTo>
                  <a:pt x="1402" y="2"/>
                </a:lnTo>
                <a:lnTo>
                  <a:pt x="1367" y="2"/>
                </a:lnTo>
                <a:lnTo>
                  <a:pt x="1320" y="2"/>
                </a:lnTo>
                <a:lnTo>
                  <a:pt x="1277" y="2"/>
                </a:lnTo>
                <a:lnTo>
                  <a:pt x="1273" y="2"/>
                </a:lnTo>
                <a:lnTo>
                  <a:pt x="1227" y="2"/>
                </a:lnTo>
                <a:lnTo>
                  <a:pt x="1137" y="2"/>
                </a:lnTo>
                <a:lnTo>
                  <a:pt x="1133" y="2"/>
                </a:lnTo>
                <a:lnTo>
                  <a:pt x="1132" y="2"/>
                </a:lnTo>
                <a:lnTo>
                  <a:pt x="1087" y="2"/>
                </a:lnTo>
                <a:lnTo>
                  <a:pt x="1063" y="2"/>
                </a:lnTo>
                <a:lnTo>
                  <a:pt x="998" y="1"/>
                </a:lnTo>
                <a:lnTo>
                  <a:pt x="993" y="1"/>
                </a:lnTo>
                <a:lnTo>
                  <a:pt x="945" y="1"/>
                </a:lnTo>
                <a:lnTo>
                  <a:pt x="899" y="1"/>
                </a:lnTo>
                <a:lnTo>
                  <a:pt x="829" y="1"/>
                </a:lnTo>
                <a:lnTo>
                  <a:pt x="812" y="1"/>
                </a:lnTo>
                <a:lnTo>
                  <a:pt x="782" y="1"/>
                </a:lnTo>
                <a:lnTo>
                  <a:pt x="759" y="1"/>
                </a:lnTo>
                <a:lnTo>
                  <a:pt x="758" y="1"/>
                </a:lnTo>
                <a:lnTo>
                  <a:pt x="666" y="0"/>
                </a:lnTo>
                <a:lnTo>
                  <a:pt x="665" y="0"/>
                </a:lnTo>
                <a:lnTo>
                  <a:pt x="663" y="0"/>
                </a:lnTo>
                <a:lnTo>
                  <a:pt x="548" y="0"/>
                </a:lnTo>
                <a:lnTo>
                  <a:pt x="525" y="0"/>
                </a:lnTo>
                <a:lnTo>
                  <a:pt x="385" y="0"/>
                </a:lnTo>
                <a:lnTo>
                  <a:pt x="361" y="0"/>
                </a:lnTo>
                <a:lnTo>
                  <a:pt x="292" y="0"/>
                </a:lnTo>
                <a:lnTo>
                  <a:pt x="209" y="0"/>
                </a:lnTo>
                <a:lnTo>
                  <a:pt x="198" y="0"/>
                </a:lnTo>
                <a:lnTo>
                  <a:pt x="81" y="0"/>
                </a:lnTo>
                <a:lnTo>
                  <a:pt x="11" y="0"/>
                </a:lnTo>
                <a:lnTo>
                  <a:pt x="3" y="0"/>
                </a:lnTo>
                <a:lnTo>
                  <a:pt x="3" y="15"/>
                </a:lnTo>
                <a:lnTo>
                  <a:pt x="3" y="46"/>
                </a:lnTo>
                <a:lnTo>
                  <a:pt x="3" y="164"/>
                </a:lnTo>
                <a:lnTo>
                  <a:pt x="4" y="173"/>
                </a:lnTo>
                <a:lnTo>
                  <a:pt x="4" y="223"/>
                </a:lnTo>
                <a:lnTo>
                  <a:pt x="4" y="224"/>
                </a:lnTo>
                <a:lnTo>
                  <a:pt x="0" y="224"/>
                </a:lnTo>
                <a:lnTo>
                  <a:pt x="0" y="283"/>
                </a:lnTo>
                <a:lnTo>
                  <a:pt x="0" y="325"/>
                </a:lnTo>
                <a:lnTo>
                  <a:pt x="0" y="342"/>
                </a:lnTo>
                <a:lnTo>
                  <a:pt x="0" y="401"/>
                </a:lnTo>
                <a:lnTo>
                  <a:pt x="0" y="417"/>
                </a:lnTo>
                <a:lnTo>
                  <a:pt x="0" y="426"/>
                </a:lnTo>
                <a:lnTo>
                  <a:pt x="0" y="459"/>
                </a:lnTo>
                <a:lnTo>
                  <a:pt x="0" y="495"/>
                </a:lnTo>
                <a:lnTo>
                  <a:pt x="0" y="518"/>
                </a:lnTo>
                <a:lnTo>
                  <a:pt x="0" y="548"/>
                </a:lnTo>
                <a:lnTo>
                  <a:pt x="0" y="577"/>
                </a:lnTo>
                <a:lnTo>
                  <a:pt x="0" y="578"/>
                </a:lnTo>
                <a:lnTo>
                  <a:pt x="0" y="582"/>
                </a:lnTo>
                <a:lnTo>
                  <a:pt x="0" y="607"/>
                </a:lnTo>
                <a:lnTo>
                  <a:pt x="0" y="666"/>
                </a:lnTo>
                <a:lnTo>
                  <a:pt x="0" y="696"/>
                </a:lnTo>
                <a:lnTo>
                  <a:pt x="8" y="696"/>
                </a:lnTo>
                <a:lnTo>
                  <a:pt x="11" y="695"/>
                </a:lnTo>
                <a:lnTo>
                  <a:pt x="103" y="695"/>
                </a:lnTo>
                <a:lnTo>
                  <a:pt x="151" y="695"/>
                </a:lnTo>
                <a:lnTo>
                  <a:pt x="158" y="696"/>
                </a:lnTo>
                <a:lnTo>
                  <a:pt x="197" y="696"/>
                </a:lnTo>
                <a:lnTo>
                  <a:pt x="221" y="696"/>
                </a:lnTo>
                <a:lnTo>
                  <a:pt x="225" y="696"/>
                </a:lnTo>
                <a:lnTo>
                  <a:pt x="237" y="696"/>
                </a:lnTo>
                <a:lnTo>
                  <a:pt x="296" y="696"/>
                </a:lnTo>
                <a:lnTo>
                  <a:pt x="338" y="696"/>
                </a:lnTo>
                <a:lnTo>
                  <a:pt x="370" y="696"/>
                </a:lnTo>
                <a:lnTo>
                  <a:pt x="432" y="696"/>
                </a:lnTo>
                <a:lnTo>
                  <a:pt x="446" y="697"/>
                </a:lnTo>
                <a:lnTo>
                  <a:pt x="529" y="696"/>
                </a:lnTo>
                <a:lnTo>
                  <a:pt x="604" y="696"/>
                </a:lnTo>
                <a:lnTo>
                  <a:pt x="665" y="696"/>
                </a:lnTo>
                <a:lnTo>
                  <a:pt x="722" y="696"/>
                </a:lnTo>
                <a:lnTo>
                  <a:pt x="846" y="696"/>
                </a:lnTo>
                <a:lnTo>
                  <a:pt x="898" y="696"/>
                </a:lnTo>
                <a:lnTo>
                  <a:pt x="1040" y="696"/>
                </a:lnTo>
                <a:lnTo>
                  <a:pt x="1063" y="717"/>
                </a:lnTo>
                <a:lnTo>
                  <a:pt x="1075" y="724"/>
                </a:lnTo>
                <a:lnTo>
                  <a:pt x="1087" y="726"/>
                </a:lnTo>
                <a:lnTo>
                  <a:pt x="1105" y="733"/>
                </a:lnTo>
                <a:lnTo>
                  <a:pt x="1133" y="752"/>
                </a:lnTo>
                <a:lnTo>
                  <a:pt x="1158" y="729"/>
                </a:lnTo>
                <a:lnTo>
                  <a:pt x="1201" y="731"/>
                </a:lnTo>
                <a:lnTo>
                  <a:pt x="1206" y="732"/>
                </a:lnTo>
                <a:lnTo>
                  <a:pt x="1227" y="729"/>
                </a:lnTo>
                <a:lnTo>
                  <a:pt x="1229" y="730"/>
                </a:lnTo>
                <a:lnTo>
                  <a:pt x="1273" y="730"/>
                </a:lnTo>
                <a:lnTo>
                  <a:pt x="1290" y="74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3" name="S_SC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 bwMode="auto">
          <a:xfrm>
            <a:off x="7441266" y="3137647"/>
            <a:ext cx="869576" cy="694205"/>
          </a:xfrm>
          <a:custGeom>
            <a:avLst/>
            <a:gdLst>
              <a:gd name="T0" fmla="*/ 2147483647 w 900"/>
              <a:gd name="T1" fmla="*/ 2147483647 h 744"/>
              <a:gd name="T2" fmla="*/ 2147483647 w 900"/>
              <a:gd name="T3" fmla="*/ 2147483647 h 744"/>
              <a:gd name="T4" fmla="*/ 2147483647 w 900"/>
              <a:gd name="T5" fmla="*/ 2147483647 h 744"/>
              <a:gd name="T6" fmla="*/ 2147483647 w 900"/>
              <a:gd name="T7" fmla="*/ 2147483647 h 744"/>
              <a:gd name="T8" fmla="*/ 2147483647 w 900"/>
              <a:gd name="T9" fmla="*/ 2147483647 h 744"/>
              <a:gd name="T10" fmla="*/ 2147483647 w 900"/>
              <a:gd name="T11" fmla="*/ 2147483647 h 744"/>
              <a:gd name="T12" fmla="*/ 2147483647 w 900"/>
              <a:gd name="T13" fmla="*/ 2147483647 h 744"/>
              <a:gd name="T14" fmla="*/ 2147483647 w 900"/>
              <a:gd name="T15" fmla="*/ 2147483647 h 744"/>
              <a:gd name="T16" fmla="*/ 2147483647 w 900"/>
              <a:gd name="T17" fmla="*/ 2147483647 h 744"/>
              <a:gd name="T18" fmla="*/ 2147483647 w 900"/>
              <a:gd name="T19" fmla="*/ 2147483647 h 744"/>
              <a:gd name="T20" fmla="*/ 2147483647 w 900"/>
              <a:gd name="T21" fmla="*/ 2147483647 h 744"/>
              <a:gd name="T22" fmla="*/ 2147483647 w 900"/>
              <a:gd name="T23" fmla="*/ 2147483647 h 744"/>
              <a:gd name="T24" fmla="*/ 2147483647 w 900"/>
              <a:gd name="T25" fmla="*/ 2147483647 h 744"/>
              <a:gd name="T26" fmla="*/ 2147483647 w 900"/>
              <a:gd name="T27" fmla="*/ 2147483647 h 744"/>
              <a:gd name="T28" fmla="*/ 2147483647 w 900"/>
              <a:gd name="T29" fmla="*/ 2147483647 h 744"/>
              <a:gd name="T30" fmla="*/ 2147483647 w 900"/>
              <a:gd name="T31" fmla="*/ 2147483647 h 744"/>
              <a:gd name="T32" fmla="*/ 2147483647 w 900"/>
              <a:gd name="T33" fmla="*/ 2147483647 h 744"/>
              <a:gd name="T34" fmla="*/ 2147483647 w 900"/>
              <a:gd name="T35" fmla="*/ 2147483647 h 744"/>
              <a:gd name="T36" fmla="*/ 2147483647 w 900"/>
              <a:gd name="T37" fmla="*/ 2147483647 h 744"/>
              <a:gd name="T38" fmla="*/ 2147483647 w 900"/>
              <a:gd name="T39" fmla="*/ 2147483647 h 744"/>
              <a:gd name="T40" fmla="*/ 2147483647 w 900"/>
              <a:gd name="T41" fmla="*/ 2147483647 h 744"/>
              <a:gd name="T42" fmla="*/ 2147483647 w 900"/>
              <a:gd name="T43" fmla="*/ 2147483647 h 744"/>
              <a:gd name="T44" fmla="*/ 2147483647 w 900"/>
              <a:gd name="T45" fmla="*/ 2147483647 h 744"/>
              <a:gd name="T46" fmla="*/ 2147483647 w 900"/>
              <a:gd name="T47" fmla="*/ 2147483647 h 744"/>
              <a:gd name="T48" fmla="*/ 2147483647 w 900"/>
              <a:gd name="T49" fmla="*/ 2147483647 h 744"/>
              <a:gd name="T50" fmla="*/ 2147483647 w 900"/>
              <a:gd name="T51" fmla="*/ 2147483647 h 744"/>
              <a:gd name="T52" fmla="*/ 2147483647 w 900"/>
              <a:gd name="T53" fmla="*/ 2147483647 h 744"/>
              <a:gd name="T54" fmla="*/ 2147483647 w 900"/>
              <a:gd name="T55" fmla="*/ 2147483647 h 744"/>
              <a:gd name="T56" fmla="*/ 2147483647 w 900"/>
              <a:gd name="T57" fmla="*/ 2147483647 h 744"/>
              <a:gd name="T58" fmla="*/ 2147483647 w 900"/>
              <a:gd name="T59" fmla="*/ 2147483647 h 744"/>
              <a:gd name="T60" fmla="*/ 2147483647 w 900"/>
              <a:gd name="T61" fmla="*/ 2147483647 h 744"/>
              <a:gd name="T62" fmla="*/ 2147483647 w 900"/>
              <a:gd name="T63" fmla="*/ 2147483647 h 744"/>
              <a:gd name="T64" fmla="*/ 2147483647 w 900"/>
              <a:gd name="T65" fmla="*/ 2147483647 h 744"/>
              <a:gd name="T66" fmla="*/ 2147483647 w 900"/>
              <a:gd name="T67" fmla="*/ 2147483647 h 744"/>
              <a:gd name="T68" fmla="*/ 2147483647 w 900"/>
              <a:gd name="T69" fmla="*/ 2147483647 h 744"/>
              <a:gd name="T70" fmla="*/ 2147483647 w 900"/>
              <a:gd name="T71" fmla="*/ 2147483647 h 744"/>
              <a:gd name="T72" fmla="*/ 2147483647 w 900"/>
              <a:gd name="T73" fmla="*/ 0 h 744"/>
              <a:gd name="T74" fmla="*/ 2147483647 w 900"/>
              <a:gd name="T75" fmla="*/ 2147483647 h 744"/>
              <a:gd name="T76" fmla="*/ 2147483647 w 900"/>
              <a:gd name="T77" fmla="*/ 2147483647 h 744"/>
              <a:gd name="T78" fmla="*/ 2147483647 w 900"/>
              <a:gd name="T79" fmla="*/ 2147483647 h 744"/>
              <a:gd name="T80" fmla="*/ 2147483647 w 900"/>
              <a:gd name="T81" fmla="*/ 2147483647 h 744"/>
              <a:gd name="T82" fmla="*/ 0 w 900"/>
              <a:gd name="T83" fmla="*/ 2147483647 h 744"/>
              <a:gd name="T84" fmla="*/ 2147483647 w 900"/>
              <a:gd name="T85" fmla="*/ 2147483647 h 744"/>
              <a:gd name="T86" fmla="*/ 2147483647 w 900"/>
              <a:gd name="T87" fmla="*/ 2147483647 h 744"/>
              <a:gd name="T88" fmla="*/ 2147483647 w 900"/>
              <a:gd name="T89" fmla="*/ 2147483647 h 744"/>
              <a:gd name="T90" fmla="*/ 2147483647 w 900"/>
              <a:gd name="T91" fmla="*/ 2147483647 h 744"/>
              <a:gd name="T92" fmla="*/ 2147483647 w 900"/>
              <a:gd name="T93" fmla="*/ 2147483647 h 744"/>
              <a:gd name="T94" fmla="*/ 2147483647 w 900"/>
              <a:gd name="T95" fmla="*/ 2147483647 h 744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900"/>
              <a:gd name="T145" fmla="*/ 0 h 744"/>
              <a:gd name="T146" fmla="*/ 900 w 900"/>
              <a:gd name="T147" fmla="*/ 744 h 744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900" h="744">
                <a:moveTo>
                  <a:pt x="142" y="279"/>
                </a:moveTo>
                <a:lnTo>
                  <a:pt x="142" y="281"/>
                </a:lnTo>
                <a:lnTo>
                  <a:pt x="143" y="282"/>
                </a:lnTo>
                <a:lnTo>
                  <a:pt x="147" y="293"/>
                </a:lnTo>
                <a:lnTo>
                  <a:pt x="183" y="319"/>
                </a:lnTo>
                <a:lnTo>
                  <a:pt x="206" y="341"/>
                </a:lnTo>
                <a:lnTo>
                  <a:pt x="213" y="357"/>
                </a:lnTo>
                <a:lnTo>
                  <a:pt x="218" y="371"/>
                </a:lnTo>
                <a:lnTo>
                  <a:pt x="230" y="380"/>
                </a:lnTo>
                <a:lnTo>
                  <a:pt x="232" y="378"/>
                </a:lnTo>
                <a:lnTo>
                  <a:pt x="247" y="389"/>
                </a:lnTo>
                <a:lnTo>
                  <a:pt x="247" y="390"/>
                </a:lnTo>
                <a:lnTo>
                  <a:pt x="248" y="390"/>
                </a:lnTo>
                <a:lnTo>
                  <a:pt x="249" y="392"/>
                </a:lnTo>
                <a:lnTo>
                  <a:pt x="267" y="430"/>
                </a:lnTo>
                <a:lnTo>
                  <a:pt x="277" y="445"/>
                </a:lnTo>
                <a:lnTo>
                  <a:pt x="281" y="461"/>
                </a:lnTo>
                <a:lnTo>
                  <a:pt x="298" y="472"/>
                </a:lnTo>
                <a:lnTo>
                  <a:pt x="300" y="485"/>
                </a:lnTo>
                <a:lnTo>
                  <a:pt x="306" y="490"/>
                </a:lnTo>
                <a:lnTo>
                  <a:pt x="325" y="496"/>
                </a:lnTo>
                <a:lnTo>
                  <a:pt x="339" y="508"/>
                </a:lnTo>
                <a:lnTo>
                  <a:pt x="348" y="517"/>
                </a:lnTo>
                <a:lnTo>
                  <a:pt x="346" y="535"/>
                </a:lnTo>
                <a:lnTo>
                  <a:pt x="364" y="580"/>
                </a:lnTo>
                <a:lnTo>
                  <a:pt x="362" y="608"/>
                </a:lnTo>
                <a:lnTo>
                  <a:pt x="368" y="615"/>
                </a:lnTo>
                <a:lnTo>
                  <a:pt x="370" y="616"/>
                </a:lnTo>
                <a:lnTo>
                  <a:pt x="370" y="615"/>
                </a:lnTo>
                <a:lnTo>
                  <a:pt x="387" y="624"/>
                </a:lnTo>
                <a:lnTo>
                  <a:pt x="417" y="683"/>
                </a:lnTo>
                <a:lnTo>
                  <a:pt x="413" y="697"/>
                </a:lnTo>
                <a:lnTo>
                  <a:pt x="413" y="702"/>
                </a:lnTo>
                <a:lnTo>
                  <a:pt x="418" y="727"/>
                </a:lnTo>
                <a:lnTo>
                  <a:pt x="440" y="732"/>
                </a:lnTo>
                <a:lnTo>
                  <a:pt x="460" y="744"/>
                </a:lnTo>
                <a:lnTo>
                  <a:pt x="462" y="736"/>
                </a:lnTo>
                <a:lnTo>
                  <a:pt x="463" y="736"/>
                </a:lnTo>
                <a:lnTo>
                  <a:pt x="486" y="722"/>
                </a:lnTo>
                <a:lnTo>
                  <a:pt x="501" y="703"/>
                </a:lnTo>
                <a:lnTo>
                  <a:pt x="486" y="692"/>
                </a:lnTo>
                <a:lnTo>
                  <a:pt x="479" y="667"/>
                </a:lnTo>
                <a:lnTo>
                  <a:pt x="510" y="694"/>
                </a:lnTo>
                <a:lnTo>
                  <a:pt x="534" y="684"/>
                </a:lnTo>
                <a:lnTo>
                  <a:pt x="546" y="662"/>
                </a:lnTo>
                <a:lnTo>
                  <a:pt x="531" y="634"/>
                </a:lnTo>
                <a:lnTo>
                  <a:pt x="546" y="638"/>
                </a:lnTo>
                <a:lnTo>
                  <a:pt x="554" y="643"/>
                </a:lnTo>
                <a:lnTo>
                  <a:pt x="561" y="639"/>
                </a:lnTo>
                <a:lnTo>
                  <a:pt x="562" y="639"/>
                </a:lnTo>
                <a:lnTo>
                  <a:pt x="565" y="643"/>
                </a:lnTo>
                <a:lnTo>
                  <a:pt x="572" y="637"/>
                </a:lnTo>
                <a:lnTo>
                  <a:pt x="602" y="617"/>
                </a:lnTo>
                <a:lnTo>
                  <a:pt x="629" y="609"/>
                </a:lnTo>
                <a:lnTo>
                  <a:pt x="650" y="578"/>
                </a:lnTo>
                <a:lnTo>
                  <a:pt x="677" y="566"/>
                </a:lnTo>
                <a:lnTo>
                  <a:pt x="707" y="536"/>
                </a:lnTo>
                <a:lnTo>
                  <a:pt x="705" y="519"/>
                </a:lnTo>
                <a:lnTo>
                  <a:pt x="743" y="518"/>
                </a:lnTo>
                <a:lnTo>
                  <a:pt x="763" y="491"/>
                </a:lnTo>
                <a:lnTo>
                  <a:pt x="767" y="490"/>
                </a:lnTo>
                <a:lnTo>
                  <a:pt x="786" y="433"/>
                </a:lnTo>
                <a:lnTo>
                  <a:pt x="814" y="384"/>
                </a:lnTo>
                <a:lnTo>
                  <a:pt x="851" y="342"/>
                </a:lnTo>
                <a:lnTo>
                  <a:pt x="861" y="334"/>
                </a:lnTo>
                <a:lnTo>
                  <a:pt x="900" y="318"/>
                </a:lnTo>
                <a:lnTo>
                  <a:pt x="894" y="312"/>
                </a:lnTo>
                <a:lnTo>
                  <a:pt x="881" y="298"/>
                </a:lnTo>
                <a:lnTo>
                  <a:pt x="879" y="296"/>
                </a:lnTo>
                <a:lnTo>
                  <a:pt x="838" y="251"/>
                </a:lnTo>
                <a:lnTo>
                  <a:pt x="812" y="224"/>
                </a:lnTo>
                <a:lnTo>
                  <a:pt x="801" y="212"/>
                </a:lnTo>
                <a:lnTo>
                  <a:pt x="765" y="173"/>
                </a:lnTo>
                <a:lnTo>
                  <a:pt x="751" y="158"/>
                </a:lnTo>
                <a:lnTo>
                  <a:pt x="729" y="136"/>
                </a:lnTo>
                <a:lnTo>
                  <a:pt x="728" y="135"/>
                </a:lnTo>
                <a:lnTo>
                  <a:pt x="728" y="134"/>
                </a:lnTo>
                <a:lnTo>
                  <a:pt x="701" y="106"/>
                </a:lnTo>
                <a:lnTo>
                  <a:pt x="688" y="93"/>
                </a:lnTo>
                <a:lnTo>
                  <a:pt x="686" y="93"/>
                </a:lnTo>
                <a:lnTo>
                  <a:pt x="674" y="93"/>
                </a:lnTo>
                <a:lnTo>
                  <a:pt x="650" y="93"/>
                </a:lnTo>
                <a:lnTo>
                  <a:pt x="641" y="92"/>
                </a:lnTo>
                <a:lnTo>
                  <a:pt x="627" y="92"/>
                </a:lnTo>
                <a:lnTo>
                  <a:pt x="577" y="91"/>
                </a:lnTo>
                <a:lnTo>
                  <a:pt x="567" y="91"/>
                </a:lnTo>
                <a:lnTo>
                  <a:pt x="566" y="91"/>
                </a:lnTo>
                <a:lnTo>
                  <a:pt x="541" y="90"/>
                </a:lnTo>
                <a:lnTo>
                  <a:pt x="522" y="90"/>
                </a:lnTo>
                <a:lnTo>
                  <a:pt x="478" y="90"/>
                </a:lnTo>
                <a:lnTo>
                  <a:pt x="481" y="62"/>
                </a:lnTo>
                <a:lnTo>
                  <a:pt x="470" y="46"/>
                </a:lnTo>
                <a:lnTo>
                  <a:pt x="467" y="43"/>
                </a:lnTo>
                <a:lnTo>
                  <a:pt x="464" y="37"/>
                </a:lnTo>
                <a:lnTo>
                  <a:pt x="458" y="29"/>
                </a:lnTo>
                <a:lnTo>
                  <a:pt x="440" y="31"/>
                </a:lnTo>
                <a:lnTo>
                  <a:pt x="431" y="14"/>
                </a:lnTo>
                <a:lnTo>
                  <a:pt x="434" y="12"/>
                </a:lnTo>
                <a:lnTo>
                  <a:pt x="414" y="9"/>
                </a:lnTo>
                <a:lnTo>
                  <a:pt x="393" y="8"/>
                </a:lnTo>
                <a:lnTo>
                  <a:pt x="378" y="8"/>
                </a:lnTo>
                <a:lnTo>
                  <a:pt x="371" y="7"/>
                </a:lnTo>
                <a:lnTo>
                  <a:pt x="346" y="6"/>
                </a:lnTo>
                <a:lnTo>
                  <a:pt x="300" y="4"/>
                </a:lnTo>
                <a:lnTo>
                  <a:pt x="296" y="4"/>
                </a:lnTo>
                <a:lnTo>
                  <a:pt x="277" y="3"/>
                </a:lnTo>
                <a:lnTo>
                  <a:pt x="259" y="2"/>
                </a:lnTo>
                <a:lnTo>
                  <a:pt x="241" y="2"/>
                </a:lnTo>
                <a:lnTo>
                  <a:pt x="228" y="1"/>
                </a:lnTo>
                <a:lnTo>
                  <a:pt x="213" y="0"/>
                </a:lnTo>
                <a:lnTo>
                  <a:pt x="208" y="0"/>
                </a:lnTo>
                <a:lnTo>
                  <a:pt x="206" y="0"/>
                </a:lnTo>
                <a:lnTo>
                  <a:pt x="187" y="2"/>
                </a:lnTo>
                <a:lnTo>
                  <a:pt x="159" y="8"/>
                </a:lnTo>
                <a:lnTo>
                  <a:pt x="145" y="13"/>
                </a:lnTo>
                <a:lnTo>
                  <a:pt x="131" y="17"/>
                </a:lnTo>
                <a:lnTo>
                  <a:pt x="125" y="17"/>
                </a:lnTo>
                <a:lnTo>
                  <a:pt x="110" y="31"/>
                </a:lnTo>
                <a:lnTo>
                  <a:pt x="89" y="32"/>
                </a:lnTo>
                <a:lnTo>
                  <a:pt x="85" y="33"/>
                </a:lnTo>
                <a:lnTo>
                  <a:pt x="66" y="39"/>
                </a:lnTo>
                <a:lnTo>
                  <a:pt x="65" y="41"/>
                </a:lnTo>
                <a:lnTo>
                  <a:pt x="46" y="47"/>
                </a:lnTo>
                <a:lnTo>
                  <a:pt x="42" y="62"/>
                </a:lnTo>
                <a:lnTo>
                  <a:pt x="19" y="81"/>
                </a:lnTo>
                <a:lnTo>
                  <a:pt x="0" y="113"/>
                </a:lnTo>
                <a:lnTo>
                  <a:pt x="0" y="114"/>
                </a:lnTo>
                <a:lnTo>
                  <a:pt x="3" y="121"/>
                </a:lnTo>
                <a:lnTo>
                  <a:pt x="21" y="136"/>
                </a:lnTo>
                <a:lnTo>
                  <a:pt x="42" y="151"/>
                </a:lnTo>
                <a:lnTo>
                  <a:pt x="47" y="156"/>
                </a:lnTo>
                <a:lnTo>
                  <a:pt x="56" y="165"/>
                </a:lnTo>
                <a:lnTo>
                  <a:pt x="56" y="166"/>
                </a:lnTo>
                <a:lnTo>
                  <a:pt x="59" y="169"/>
                </a:lnTo>
                <a:lnTo>
                  <a:pt x="67" y="171"/>
                </a:lnTo>
                <a:lnTo>
                  <a:pt x="67" y="170"/>
                </a:lnTo>
                <a:lnTo>
                  <a:pt x="89" y="173"/>
                </a:lnTo>
                <a:lnTo>
                  <a:pt x="97" y="195"/>
                </a:lnTo>
                <a:lnTo>
                  <a:pt x="109" y="215"/>
                </a:lnTo>
                <a:lnTo>
                  <a:pt x="113" y="219"/>
                </a:lnTo>
                <a:lnTo>
                  <a:pt x="114" y="224"/>
                </a:lnTo>
                <a:lnTo>
                  <a:pt x="114" y="233"/>
                </a:lnTo>
                <a:lnTo>
                  <a:pt x="127" y="253"/>
                </a:lnTo>
                <a:lnTo>
                  <a:pt x="137" y="268"/>
                </a:lnTo>
                <a:lnTo>
                  <a:pt x="142" y="27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14" name="S_RI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pSpPr>
            <a:grpSpLocks/>
          </xdr:cNvGrpSpPr>
        </xdr:nvGrpSpPr>
        <xdr:grpSpPr bwMode="auto">
          <a:xfrm>
            <a:off x="9507070" y="1625974"/>
            <a:ext cx="342900" cy="175932"/>
            <a:chOff x="8280327" y="1895717"/>
            <a:chExt cx="273309" cy="140302"/>
          </a:xfrm>
          <a:grpFill/>
        </xdr:grpSpPr>
        <xdr:sp macro="" textlink="">
          <xdr:nvSpPr>
            <xdr:cNvPr id="72" name="myShape_RI3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>
              <a:spLocks/>
            </xdr:cNvSpPr>
          </xdr:nvSpPr>
          <xdr:spPr bwMode="auto">
            <a:xfrm>
              <a:off x="8280327" y="1895717"/>
              <a:ext cx="106287" cy="132918"/>
            </a:xfrm>
            <a:custGeom>
              <a:avLst/>
              <a:gdLst>
                <a:gd name="T0" fmla="*/ 2147483647 w 145"/>
                <a:gd name="T1" fmla="*/ 2147483647 h 169"/>
                <a:gd name="T2" fmla="*/ 2147483647 w 145"/>
                <a:gd name="T3" fmla="*/ 2147483647 h 169"/>
                <a:gd name="T4" fmla="*/ 2147483647 w 145"/>
                <a:gd name="T5" fmla="*/ 2147483647 h 169"/>
                <a:gd name="T6" fmla="*/ 2147483647 w 145"/>
                <a:gd name="T7" fmla="*/ 2147483647 h 169"/>
                <a:gd name="T8" fmla="*/ 2147483647 w 145"/>
                <a:gd name="T9" fmla="*/ 2147483647 h 169"/>
                <a:gd name="T10" fmla="*/ 2147483647 w 145"/>
                <a:gd name="T11" fmla="*/ 2147483647 h 169"/>
                <a:gd name="T12" fmla="*/ 2147483647 w 145"/>
                <a:gd name="T13" fmla="*/ 2147483647 h 169"/>
                <a:gd name="T14" fmla="*/ 2147483647 w 145"/>
                <a:gd name="T15" fmla="*/ 2147483647 h 169"/>
                <a:gd name="T16" fmla="*/ 2147483647 w 145"/>
                <a:gd name="T17" fmla="*/ 2147483647 h 169"/>
                <a:gd name="T18" fmla="*/ 2147483647 w 145"/>
                <a:gd name="T19" fmla="*/ 2147483647 h 169"/>
                <a:gd name="T20" fmla="*/ 2147483647 w 145"/>
                <a:gd name="T21" fmla="*/ 2147483647 h 169"/>
                <a:gd name="T22" fmla="*/ 0 w 145"/>
                <a:gd name="T23" fmla="*/ 2147483647 h 169"/>
                <a:gd name="T24" fmla="*/ 0 w 145"/>
                <a:gd name="T25" fmla="*/ 2147483647 h 169"/>
                <a:gd name="T26" fmla="*/ 0 w 145"/>
                <a:gd name="T27" fmla="*/ 2147483647 h 169"/>
                <a:gd name="T28" fmla="*/ 2147483647 w 145"/>
                <a:gd name="T29" fmla="*/ 2147483647 h 169"/>
                <a:gd name="T30" fmla="*/ 2147483647 w 145"/>
                <a:gd name="T31" fmla="*/ 2147483647 h 169"/>
                <a:gd name="T32" fmla="*/ 2147483647 w 145"/>
                <a:gd name="T33" fmla="*/ 2147483647 h 169"/>
                <a:gd name="T34" fmla="*/ 2147483647 w 145"/>
                <a:gd name="T35" fmla="*/ 2147483647 h 169"/>
                <a:gd name="T36" fmla="*/ 2147483647 w 145"/>
                <a:gd name="T37" fmla="*/ 2147483647 h 169"/>
                <a:gd name="T38" fmla="*/ 2147483647 w 145"/>
                <a:gd name="T39" fmla="*/ 2147483647 h 169"/>
                <a:gd name="T40" fmla="*/ 2147483647 w 145"/>
                <a:gd name="T41" fmla="*/ 2147483647 h 169"/>
                <a:gd name="T42" fmla="*/ 2147483647 w 145"/>
                <a:gd name="T43" fmla="*/ 2147483647 h 169"/>
                <a:gd name="T44" fmla="*/ 2147483647 w 145"/>
                <a:gd name="T45" fmla="*/ 2147483647 h 169"/>
                <a:gd name="T46" fmla="*/ 2147483647 w 145"/>
                <a:gd name="T47" fmla="*/ 0 h 169"/>
                <a:gd name="T48" fmla="*/ 2147483647 w 145"/>
                <a:gd name="T49" fmla="*/ 0 h 169"/>
                <a:gd name="T50" fmla="*/ 2147483647 w 145"/>
                <a:gd name="T51" fmla="*/ 0 h 169"/>
                <a:gd name="T52" fmla="*/ 2147483647 w 145"/>
                <a:gd name="T53" fmla="*/ 0 h 169"/>
                <a:gd name="T54" fmla="*/ 2147483647 w 145"/>
                <a:gd name="T55" fmla="*/ 0 h 169"/>
                <a:gd name="T56" fmla="*/ 2147483647 w 145"/>
                <a:gd name="T57" fmla="*/ 0 h 169"/>
                <a:gd name="T58" fmla="*/ 2147483647 w 145"/>
                <a:gd name="T59" fmla="*/ 2147483647 h 169"/>
                <a:gd name="T60" fmla="*/ 2147483647 w 145"/>
                <a:gd name="T61" fmla="*/ 2147483647 h 169"/>
                <a:gd name="T62" fmla="*/ 2147483647 w 145"/>
                <a:gd name="T63" fmla="*/ 2147483647 h 169"/>
                <a:gd name="T64" fmla="*/ 2147483647 w 145"/>
                <a:gd name="T65" fmla="*/ 2147483647 h 169"/>
                <a:gd name="T66" fmla="*/ 2147483647 w 145"/>
                <a:gd name="T67" fmla="*/ 2147483647 h 169"/>
                <a:gd name="T68" fmla="*/ 2147483647 w 145"/>
                <a:gd name="T69" fmla="*/ 2147483647 h 169"/>
                <a:gd name="T70" fmla="*/ 2147483647 w 145"/>
                <a:gd name="T71" fmla="*/ 2147483647 h 169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w 145"/>
                <a:gd name="T109" fmla="*/ 0 h 169"/>
                <a:gd name="T110" fmla="*/ 145 w 145"/>
                <a:gd name="T111" fmla="*/ 169 h 169"/>
              </a:gdLst>
              <a:ahLst/>
              <a:cxnLst>
                <a:cxn ang="T72">
                  <a:pos x="T0" y="T1"/>
                </a:cxn>
                <a:cxn ang="T73">
                  <a:pos x="T2" y="T3"/>
                </a:cxn>
                <a:cxn ang="T74">
                  <a:pos x="T4" y="T5"/>
                </a:cxn>
                <a:cxn ang="T75">
                  <a:pos x="T6" y="T7"/>
                </a:cxn>
                <a:cxn ang="T76">
                  <a:pos x="T8" y="T9"/>
                </a:cxn>
                <a:cxn ang="T77">
                  <a:pos x="T10" y="T11"/>
                </a:cxn>
                <a:cxn ang="T78">
                  <a:pos x="T12" y="T13"/>
                </a:cxn>
                <a:cxn ang="T79">
                  <a:pos x="T14" y="T15"/>
                </a:cxn>
                <a:cxn ang="T80">
                  <a:pos x="T16" y="T17"/>
                </a:cxn>
                <a:cxn ang="T81">
                  <a:pos x="T18" y="T19"/>
                </a:cxn>
                <a:cxn ang="T82">
                  <a:pos x="T20" y="T21"/>
                </a:cxn>
                <a:cxn ang="T83">
                  <a:pos x="T22" y="T23"/>
                </a:cxn>
                <a:cxn ang="T84">
                  <a:pos x="T24" y="T25"/>
                </a:cxn>
                <a:cxn ang="T85">
                  <a:pos x="T26" y="T27"/>
                </a:cxn>
                <a:cxn ang="T86">
                  <a:pos x="T28" y="T29"/>
                </a:cxn>
                <a:cxn ang="T87">
                  <a:pos x="T30" y="T31"/>
                </a:cxn>
                <a:cxn ang="T88">
                  <a:pos x="T32" y="T33"/>
                </a:cxn>
                <a:cxn ang="T89">
                  <a:pos x="T34" y="T35"/>
                </a:cxn>
                <a:cxn ang="T90">
                  <a:pos x="T36" y="T37"/>
                </a:cxn>
                <a:cxn ang="T91">
                  <a:pos x="T38" y="T39"/>
                </a:cxn>
                <a:cxn ang="T92">
                  <a:pos x="T40" y="T41"/>
                </a:cxn>
                <a:cxn ang="T93">
                  <a:pos x="T42" y="T43"/>
                </a:cxn>
                <a:cxn ang="T94">
                  <a:pos x="T44" y="T45"/>
                </a:cxn>
                <a:cxn ang="T95">
                  <a:pos x="T46" y="T47"/>
                </a:cxn>
                <a:cxn ang="T96">
                  <a:pos x="T48" y="T49"/>
                </a:cxn>
                <a:cxn ang="T97">
                  <a:pos x="T50" y="T51"/>
                </a:cxn>
                <a:cxn ang="T98">
                  <a:pos x="T52" y="T53"/>
                </a:cxn>
                <a:cxn ang="T99">
                  <a:pos x="T54" y="T55"/>
                </a:cxn>
                <a:cxn ang="T100">
                  <a:pos x="T56" y="T57"/>
                </a:cxn>
                <a:cxn ang="T101">
                  <a:pos x="T58" y="T59"/>
                </a:cxn>
                <a:cxn ang="T102">
                  <a:pos x="T60" y="T61"/>
                </a:cxn>
                <a:cxn ang="T103">
                  <a:pos x="T62" y="T63"/>
                </a:cxn>
                <a:cxn ang="T104">
                  <a:pos x="T64" y="T65"/>
                </a:cxn>
                <a:cxn ang="T105">
                  <a:pos x="T66" y="T67"/>
                </a:cxn>
                <a:cxn ang="T106">
                  <a:pos x="T68" y="T69"/>
                </a:cxn>
                <a:cxn ang="T107">
                  <a:pos x="T70" y="T71"/>
                </a:cxn>
              </a:cxnLst>
              <a:rect l="T108" t="T109" r="T110" b="T111"/>
              <a:pathLst>
                <a:path w="145" h="169">
                  <a:moveTo>
                    <a:pt x="129" y="78"/>
                  </a:moveTo>
                  <a:lnTo>
                    <a:pt x="143" y="86"/>
                  </a:lnTo>
                  <a:lnTo>
                    <a:pt x="144" y="101"/>
                  </a:lnTo>
                  <a:lnTo>
                    <a:pt x="145" y="124"/>
                  </a:lnTo>
                  <a:lnTo>
                    <a:pt x="133" y="133"/>
                  </a:lnTo>
                  <a:lnTo>
                    <a:pt x="129" y="123"/>
                  </a:lnTo>
                  <a:lnTo>
                    <a:pt x="123" y="122"/>
                  </a:lnTo>
                  <a:lnTo>
                    <a:pt x="110" y="135"/>
                  </a:lnTo>
                  <a:lnTo>
                    <a:pt x="91" y="130"/>
                  </a:lnTo>
                  <a:lnTo>
                    <a:pt x="75" y="155"/>
                  </a:lnTo>
                  <a:lnTo>
                    <a:pt x="51" y="156"/>
                  </a:lnTo>
                  <a:lnTo>
                    <a:pt x="2" y="169"/>
                  </a:lnTo>
                  <a:lnTo>
                    <a:pt x="0" y="164"/>
                  </a:lnTo>
                  <a:lnTo>
                    <a:pt x="5" y="165"/>
                  </a:lnTo>
                  <a:lnTo>
                    <a:pt x="18" y="142"/>
                  </a:lnTo>
                  <a:lnTo>
                    <a:pt x="19" y="101"/>
                  </a:lnTo>
                  <a:lnTo>
                    <a:pt x="21" y="93"/>
                  </a:lnTo>
                  <a:lnTo>
                    <a:pt x="21" y="90"/>
                  </a:lnTo>
                  <a:lnTo>
                    <a:pt x="21" y="87"/>
                  </a:lnTo>
                  <a:lnTo>
                    <a:pt x="21" y="84"/>
                  </a:lnTo>
                  <a:lnTo>
                    <a:pt x="19" y="70"/>
                  </a:lnTo>
                  <a:lnTo>
                    <a:pt x="19" y="64"/>
                  </a:lnTo>
                  <a:lnTo>
                    <a:pt x="18" y="21"/>
                  </a:lnTo>
                  <a:lnTo>
                    <a:pt x="18" y="3"/>
                  </a:lnTo>
                  <a:lnTo>
                    <a:pt x="26" y="2"/>
                  </a:lnTo>
                  <a:lnTo>
                    <a:pt x="68" y="1"/>
                  </a:lnTo>
                  <a:lnTo>
                    <a:pt x="74" y="1"/>
                  </a:lnTo>
                  <a:lnTo>
                    <a:pt x="85" y="1"/>
                  </a:lnTo>
                  <a:lnTo>
                    <a:pt x="97" y="0"/>
                  </a:lnTo>
                  <a:lnTo>
                    <a:pt x="97" y="9"/>
                  </a:lnTo>
                  <a:lnTo>
                    <a:pt x="97" y="30"/>
                  </a:lnTo>
                  <a:lnTo>
                    <a:pt x="104" y="29"/>
                  </a:lnTo>
                  <a:lnTo>
                    <a:pt x="108" y="58"/>
                  </a:lnTo>
                  <a:lnTo>
                    <a:pt x="119" y="63"/>
                  </a:lnTo>
                  <a:lnTo>
                    <a:pt x="121" y="66"/>
                  </a:lnTo>
                  <a:lnTo>
                    <a:pt x="129" y="78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3" name="myShape_RI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>
              <a:spLocks/>
            </xdr:cNvSpPr>
          </xdr:nvSpPr>
          <xdr:spPr bwMode="auto">
            <a:xfrm>
              <a:off x="8432165" y="1991713"/>
              <a:ext cx="53143" cy="36922"/>
            </a:xfrm>
            <a:custGeom>
              <a:avLst/>
              <a:gdLst>
                <a:gd name="T0" fmla="*/ 0 w 73"/>
                <a:gd name="T1" fmla="*/ 2147483647 h 43"/>
                <a:gd name="T2" fmla="*/ 2147483647 w 73"/>
                <a:gd name="T3" fmla="*/ 2147483647 h 43"/>
                <a:gd name="T4" fmla="*/ 2147483647 w 73"/>
                <a:gd name="T5" fmla="*/ 2147483647 h 43"/>
                <a:gd name="T6" fmla="*/ 2147483647 w 73"/>
                <a:gd name="T7" fmla="*/ 2147483647 h 43"/>
                <a:gd name="T8" fmla="*/ 2147483647 w 73"/>
                <a:gd name="T9" fmla="*/ 2147483647 h 43"/>
                <a:gd name="T10" fmla="*/ 2147483647 w 73"/>
                <a:gd name="T11" fmla="*/ 0 h 43"/>
                <a:gd name="T12" fmla="*/ 2147483647 w 73"/>
                <a:gd name="T13" fmla="*/ 2147483647 h 43"/>
                <a:gd name="T14" fmla="*/ 0 w 73"/>
                <a:gd name="T15" fmla="*/ 2147483647 h 43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73"/>
                <a:gd name="T25" fmla="*/ 0 h 43"/>
                <a:gd name="T26" fmla="*/ 73 w 73"/>
                <a:gd name="T27" fmla="*/ 43 h 43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73" h="43">
                  <a:moveTo>
                    <a:pt x="0" y="33"/>
                  </a:moveTo>
                  <a:lnTo>
                    <a:pt x="11" y="43"/>
                  </a:lnTo>
                  <a:lnTo>
                    <a:pt x="17" y="37"/>
                  </a:lnTo>
                  <a:lnTo>
                    <a:pt x="73" y="31"/>
                  </a:lnTo>
                  <a:lnTo>
                    <a:pt x="69" y="18"/>
                  </a:lnTo>
                  <a:lnTo>
                    <a:pt x="45" y="0"/>
                  </a:lnTo>
                  <a:lnTo>
                    <a:pt x="16" y="26"/>
                  </a:lnTo>
                  <a:lnTo>
                    <a:pt x="0" y="3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4" name="myShape_RI1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>
              <a:spLocks/>
            </xdr:cNvSpPr>
          </xdr:nvSpPr>
          <xdr:spPr bwMode="auto">
            <a:xfrm>
              <a:off x="8515676" y="2006482"/>
              <a:ext cx="37960" cy="29537"/>
            </a:xfrm>
            <a:custGeom>
              <a:avLst/>
              <a:gdLst>
                <a:gd name="T0" fmla="*/ 0 w 55"/>
                <a:gd name="T1" fmla="*/ 2147483647 h 34"/>
                <a:gd name="T2" fmla="*/ 0 w 55"/>
                <a:gd name="T3" fmla="*/ 2147483647 h 34"/>
                <a:gd name="T4" fmla="*/ 2147483647 w 55"/>
                <a:gd name="T5" fmla="*/ 2147483647 h 34"/>
                <a:gd name="T6" fmla="*/ 2147483647 w 55"/>
                <a:gd name="T7" fmla="*/ 2147483647 h 34"/>
                <a:gd name="T8" fmla="*/ 2147483647 w 55"/>
                <a:gd name="T9" fmla="*/ 2147483647 h 34"/>
                <a:gd name="T10" fmla="*/ 2147483647 w 55"/>
                <a:gd name="T11" fmla="*/ 0 h 34"/>
                <a:gd name="T12" fmla="*/ 2147483647 w 55"/>
                <a:gd name="T13" fmla="*/ 2147483647 h 34"/>
                <a:gd name="T14" fmla="*/ 2147483647 w 55"/>
                <a:gd name="T15" fmla="*/ 2147483647 h 34"/>
                <a:gd name="T16" fmla="*/ 2147483647 w 55"/>
                <a:gd name="T17" fmla="*/ 2147483647 h 34"/>
                <a:gd name="T18" fmla="*/ 0 w 55"/>
                <a:gd name="T19" fmla="*/ 2147483647 h 34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w 55"/>
                <a:gd name="T31" fmla="*/ 0 h 34"/>
                <a:gd name="T32" fmla="*/ 55 w 55"/>
                <a:gd name="T33" fmla="*/ 34 h 34"/>
              </a:gdLst>
              <a:ahLst/>
              <a:cxnLst>
                <a:cxn ang="T20">
                  <a:pos x="T0" y="T1"/>
                </a:cxn>
                <a:cxn ang="T21">
                  <a:pos x="T2" y="T3"/>
                </a:cxn>
                <a:cxn ang="T22">
                  <a:pos x="T4" y="T5"/>
                </a:cxn>
                <a:cxn ang="T23">
                  <a:pos x="T6" y="T7"/>
                </a:cxn>
                <a:cxn ang="T24">
                  <a:pos x="T8" y="T9"/>
                </a:cxn>
                <a:cxn ang="T25">
                  <a:pos x="T10" y="T11"/>
                </a:cxn>
                <a:cxn ang="T26">
                  <a:pos x="T12" y="T13"/>
                </a:cxn>
                <a:cxn ang="T27">
                  <a:pos x="T14" y="T15"/>
                </a:cxn>
                <a:cxn ang="T28">
                  <a:pos x="T16" y="T17"/>
                </a:cxn>
                <a:cxn ang="T29">
                  <a:pos x="T18" y="T19"/>
                </a:cxn>
              </a:cxnLst>
              <a:rect l="T30" t="T31" r="T32" b="T33"/>
              <a:pathLst>
                <a:path w="55" h="34">
                  <a:moveTo>
                    <a:pt x="0" y="19"/>
                  </a:moveTo>
                  <a:lnTo>
                    <a:pt x="2" y="22"/>
                  </a:lnTo>
                  <a:lnTo>
                    <a:pt x="36" y="34"/>
                  </a:lnTo>
                  <a:lnTo>
                    <a:pt x="55" y="18"/>
                  </a:lnTo>
                  <a:lnTo>
                    <a:pt x="53" y="14"/>
                  </a:lnTo>
                  <a:lnTo>
                    <a:pt x="43" y="0"/>
                  </a:lnTo>
                  <a:lnTo>
                    <a:pt x="45" y="14"/>
                  </a:lnTo>
                  <a:lnTo>
                    <a:pt x="36" y="21"/>
                  </a:lnTo>
                  <a:lnTo>
                    <a:pt x="13" y="23"/>
                  </a:lnTo>
                  <a:lnTo>
                    <a:pt x="0" y="1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15" name="S_PA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 bwMode="auto">
          <a:xfrm>
            <a:off x="7955616" y="1568824"/>
            <a:ext cx="1043828" cy="565897"/>
          </a:xfrm>
          <a:custGeom>
            <a:avLst/>
            <a:gdLst>
              <a:gd name="T0" fmla="*/ 2147483647 w 1090"/>
              <a:gd name="T1" fmla="*/ 2147483647 h 603"/>
              <a:gd name="T2" fmla="*/ 2147483647 w 1090"/>
              <a:gd name="T3" fmla="*/ 2147483647 h 603"/>
              <a:gd name="T4" fmla="*/ 2147483647 w 1090"/>
              <a:gd name="T5" fmla="*/ 2147483647 h 603"/>
              <a:gd name="T6" fmla="*/ 2147483647 w 1090"/>
              <a:gd name="T7" fmla="*/ 2147483647 h 603"/>
              <a:gd name="T8" fmla="*/ 2147483647 w 1090"/>
              <a:gd name="T9" fmla="*/ 2147483647 h 603"/>
              <a:gd name="T10" fmla="*/ 2147483647 w 1090"/>
              <a:gd name="T11" fmla="*/ 2147483647 h 603"/>
              <a:gd name="T12" fmla="*/ 2147483647 w 1090"/>
              <a:gd name="T13" fmla="*/ 2147483647 h 603"/>
              <a:gd name="T14" fmla="*/ 2147483647 w 1090"/>
              <a:gd name="T15" fmla="*/ 2147483647 h 603"/>
              <a:gd name="T16" fmla="*/ 2147483647 w 1090"/>
              <a:gd name="T17" fmla="*/ 2147483647 h 603"/>
              <a:gd name="T18" fmla="*/ 2147483647 w 1090"/>
              <a:gd name="T19" fmla="*/ 2147483647 h 603"/>
              <a:gd name="T20" fmla="*/ 2147483647 w 1090"/>
              <a:gd name="T21" fmla="*/ 2147483647 h 603"/>
              <a:gd name="T22" fmla="*/ 2147483647 w 1090"/>
              <a:gd name="T23" fmla="*/ 2147483647 h 603"/>
              <a:gd name="T24" fmla="*/ 2147483647 w 1090"/>
              <a:gd name="T25" fmla="*/ 2147483647 h 603"/>
              <a:gd name="T26" fmla="*/ 2147483647 w 1090"/>
              <a:gd name="T27" fmla="*/ 2147483647 h 603"/>
              <a:gd name="T28" fmla="*/ 2147483647 w 1090"/>
              <a:gd name="T29" fmla="*/ 2147483647 h 603"/>
              <a:gd name="T30" fmla="*/ 2147483647 w 1090"/>
              <a:gd name="T31" fmla="*/ 2147483647 h 603"/>
              <a:gd name="T32" fmla="*/ 2147483647 w 1090"/>
              <a:gd name="T33" fmla="*/ 2147483647 h 603"/>
              <a:gd name="T34" fmla="*/ 2147483647 w 1090"/>
              <a:gd name="T35" fmla="*/ 2147483647 h 603"/>
              <a:gd name="T36" fmla="*/ 2147483647 w 1090"/>
              <a:gd name="T37" fmla="*/ 2147483647 h 603"/>
              <a:gd name="T38" fmla="*/ 2147483647 w 1090"/>
              <a:gd name="T39" fmla="*/ 2147483647 h 603"/>
              <a:gd name="T40" fmla="*/ 2147483647 w 1090"/>
              <a:gd name="T41" fmla="*/ 2147483647 h 603"/>
              <a:gd name="T42" fmla="*/ 2147483647 w 1090"/>
              <a:gd name="T43" fmla="*/ 2147483647 h 603"/>
              <a:gd name="T44" fmla="*/ 2147483647 w 1090"/>
              <a:gd name="T45" fmla="*/ 2147483647 h 603"/>
              <a:gd name="T46" fmla="*/ 2147483647 w 1090"/>
              <a:gd name="T47" fmla="*/ 2147483647 h 603"/>
              <a:gd name="T48" fmla="*/ 2147483647 w 1090"/>
              <a:gd name="T49" fmla="*/ 2147483647 h 603"/>
              <a:gd name="T50" fmla="*/ 2147483647 w 1090"/>
              <a:gd name="T51" fmla="*/ 2147483647 h 603"/>
              <a:gd name="T52" fmla="*/ 2147483647 w 1090"/>
              <a:gd name="T53" fmla="*/ 2147483647 h 603"/>
              <a:gd name="T54" fmla="*/ 2147483647 w 1090"/>
              <a:gd name="T55" fmla="*/ 2147483647 h 603"/>
              <a:gd name="T56" fmla="*/ 2147483647 w 1090"/>
              <a:gd name="T57" fmla="*/ 2147483647 h 603"/>
              <a:gd name="T58" fmla="*/ 2147483647 w 1090"/>
              <a:gd name="T59" fmla="*/ 2147483647 h 603"/>
              <a:gd name="T60" fmla="*/ 2147483647 w 1090"/>
              <a:gd name="T61" fmla="*/ 2147483647 h 603"/>
              <a:gd name="T62" fmla="*/ 2147483647 w 1090"/>
              <a:gd name="T63" fmla="*/ 2147483647 h 603"/>
              <a:gd name="T64" fmla="*/ 2147483647 w 1090"/>
              <a:gd name="T65" fmla="*/ 2147483647 h 603"/>
              <a:gd name="T66" fmla="*/ 2147483647 w 1090"/>
              <a:gd name="T67" fmla="*/ 2147483647 h 603"/>
              <a:gd name="T68" fmla="*/ 2147483647 w 1090"/>
              <a:gd name="T69" fmla="*/ 2147483647 h 603"/>
              <a:gd name="T70" fmla="*/ 0 w 1090"/>
              <a:gd name="T71" fmla="*/ 2147483647 h 603"/>
              <a:gd name="T72" fmla="*/ 0 w 1090"/>
              <a:gd name="T73" fmla="*/ 2147483647 h 603"/>
              <a:gd name="T74" fmla="*/ 0 w 1090"/>
              <a:gd name="T75" fmla="*/ 2147483647 h 603"/>
              <a:gd name="T76" fmla="*/ 0 w 1090"/>
              <a:gd name="T77" fmla="*/ 2147483647 h 603"/>
              <a:gd name="T78" fmla="*/ 0 w 1090"/>
              <a:gd name="T79" fmla="*/ 2147483647 h 603"/>
              <a:gd name="T80" fmla="*/ 0 w 1090"/>
              <a:gd name="T81" fmla="*/ 2147483647 h 603"/>
              <a:gd name="T82" fmla="*/ 0 w 1090"/>
              <a:gd name="T83" fmla="*/ 2147483647 h 603"/>
              <a:gd name="T84" fmla="*/ 0 w 1090"/>
              <a:gd name="T85" fmla="*/ 2147483647 h 603"/>
              <a:gd name="T86" fmla="*/ 0 w 1090"/>
              <a:gd name="T87" fmla="*/ 2147483647 h 603"/>
              <a:gd name="T88" fmla="*/ 0 w 1090"/>
              <a:gd name="T89" fmla="*/ 2147483647 h 603"/>
              <a:gd name="T90" fmla="*/ 0 w 1090"/>
              <a:gd name="T91" fmla="*/ 2147483647 h 603"/>
              <a:gd name="T92" fmla="*/ 0 w 1090"/>
              <a:gd name="T93" fmla="*/ 2147483647 h 603"/>
              <a:gd name="T94" fmla="*/ 2147483647 w 1090"/>
              <a:gd name="T95" fmla="*/ 2147483647 h 603"/>
              <a:gd name="T96" fmla="*/ 2147483647 w 1090"/>
              <a:gd name="T97" fmla="*/ 2147483647 h 603"/>
              <a:gd name="T98" fmla="*/ 2147483647 w 1090"/>
              <a:gd name="T99" fmla="*/ 2147483647 h 603"/>
              <a:gd name="T100" fmla="*/ 2147483647 w 1090"/>
              <a:gd name="T101" fmla="*/ 2147483647 h 603"/>
              <a:gd name="T102" fmla="*/ 2147483647 w 1090"/>
              <a:gd name="T103" fmla="*/ 2147483647 h 603"/>
              <a:gd name="T104" fmla="*/ 2147483647 w 1090"/>
              <a:gd name="T105" fmla="*/ 2147483647 h 603"/>
              <a:gd name="T106" fmla="*/ 2147483647 w 1090"/>
              <a:gd name="T107" fmla="*/ 2147483647 h 603"/>
              <a:gd name="T108" fmla="*/ 2147483647 w 1090"/>
              <a:gd name="T109" fmla="*/ 2147483647 h 603"/>
              <a:gd name="T110" fmla="*/ 2147483647 w 1090"/>
              <a:gd name="T111" fmla="*/ 2147483647 h 603"/>
              <a:gd name="T112" fmla="*/ 2147483647 w 1090"/>
              <a:gd name="T113" fmla="*/ 2147483647 h 603"/>
              <a:gd name="T114" fmla="*/ 2147483647 w 1090"/>
              <a:gd name="T115" fmla="*/ 2147483647 h 603"/>
              <a:gd name="T116" fmla="*/ 2147483647 w 1090"/>
              <a:gd name="T117" fmla="*/ 2147483647 h 60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090"/>
              <a:gd name="T178" fmla="*/ 0 h 603"/>
              <a:gd name="T179" fmla="*/ 1090 w 1090"/>
              <a:gd name="T180" fmla="*/ 603 h 603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090" h="603">
                <a:moveTo>
                  <a:pt x="659" y="603"/>
                </a:moveTo>
                <a:lnTo>
                  <a:pt x="674" y="603"/>
                </a:lnTo>
                <a:lnTo>
                  <a:pt x="678" y="603"/>
                </a:lnTo>
                <a:lnTo>
                  <a:pt x="698" y="603"/>
                </a:lnTo>
                <a:lnTo>
                  <a:pt x="709" y="603"/>
                </a:lnTo>
                <a:lnTo>
                  <a:pt x="732" y="603"/>
                </a:lnTo>
                <a:lnTo>
                  <a:pt x="739" y="603"/>
                </a:lnTo>
                <a:lnTo>
                  <a:pt x="748" y="603"/>
                </a:lnTo>
                <a:lnTo>
                  <a:pt x="752" y="603"/>
                </a:lnTo>
                <a:lnTo>
                  <a:pt x="801" y="603"/>
                </a:lnTo>
                <a:lnTo>
                  <a:pt x="802" y="603"/>
                </a:lnTo>
                <a:lnTo>
                  <a:pt x="820" y="603"/>
                </a:lnTo>
                <a:lnTo>
                  <a:pt x="849" y="603"/>
                </a:lnTo>
                <a:lnTo>
                  <a:pt x="868" y="602"/>
                </a:lnTo>
                <a:lnTo>
                  <a:pt x="885" y="602"/>
                </a:lnTo>
                <a:lnTo>
                  <a:pt x="888" y="602"/>
                </a:lnTo>
                <a:lnTo>
                  <a:pt x="891" y="595"/>
                </a:lnTo>
                <a:lnTo>
                  <a:pt x="921" y="575"/>
                </a:lnTo>
                <a:lnTo>
                  <a:pt x="924" y="575"/>
                </a:lnTo>
                <a:lnTo>
                  <a:pt x="939" y="576"/>
                </a:lnTo>
                <a:lnTo>
                  <a:pt x="955" y="584"/>
                </a:lnTo>
                <a:lnTo>
                  <a:pt x="963" y="578"/>
                </a:lnTo>
                <a:lnTo>
                  <a:pt x="986" y="571"/>
                </a:lnTo>
                <a:lnTo>
                  <a:pt x="994" y="569"/>
                </a:lnTo>
                <a:lnTo>
                  <a:pt x="995" y="567"/>
                </a:lnTo>
                <a:lnTo>
                  <a:pt x="996" y="566"/>
                </a:lnTo>
                <a:lnTo>
                  <a:pt x="1006" y="563"/>
                </a:lnTo>
                <a:lnTo>
                  <a:pt x="1009" y="560"/>
                </a:lnTo>
                <a:lnTo>
                  <a:pt x="1010" y="545"/>
                </a:lnTo>
                <a:lnTo>
                  <a:pt x="1021" y="539"/>
                </a:lnTo>
                <a:lnTo>
                  <a:pt x="1022" y="536"/>
                </a:lnTo>
                <a:lnTo>
                  <a:pt x="1032" y="530"/>
                </a:lnTo>
                <a:lnTo>
                  <a:pt x="1037" y="525"/>
                </a:lnTo>
                <a:lnTo>
                  <a:pt x="1056" y="517"/>
                </a:lnTo>
                <a:lnTo>
                  <a:pt x="1068" y="506"/>
                </a:lnTo>
                <a:lnTo>
                  <a:pt x="1085" y="502"/>
                </a:lnTo>
                <a:lnTo>
                  <a:pt x="1062" y="478"/>
                </a:lnTo>
                <a:lnTo>
                  <a:pt x="1056" y="466"/>
                </a:lnTo>
                <a:lnTo>
                  <a:pt x="1043" y="456"/>
                </a:lnTo>
                <a:lnTo>
                  <a:pt x="1042" y="448"/>
                </a:lnTo>
                <a:lnTo>
                  <a:pt x="1010" y="400"/>
                </a:lnTo>
                <a:lnTo>
                  <a:pt x="997" y="396"/>
                </a:lnTo>
                <a:lnTo>
                  <a:pt x="997" y="394"/>
                </a:lnTo>
                <a:lnTo>
                  <a:pt x="996" y="393"/>
                </a:lnTo>
                <a:lnTo>
                  <a:pt x="996" y="360"/>
                </a:lnTo>
                <a:lnTo>
                  <a:pt x="1022" y="330"/>
                </a:lnTo>
                <a:lnTo>
                  <a:pt x="1010" y="307"/>
                </a:lnTo>
                <a:lnTo>
                  <a:pt x="1007" y="303"/>
                </a:lnTo>
                <a:lnTo>
                  <a:pt x="1032" y="283"/>
                </a:lnTo>
                <a:lnTo>
                  <a:pt x="1039" y="277"/>
                </a:lnTo>
                <a:lnTo>
                  <a:pt x="1034" y="278"/>
                </a:lnTo>
                <a:lnTo>
                  <a:pt x="1053" y="258"/>
                </a:lnTo>
                <a:lnTo>
                  <a:pt x="1060" y="241"/>
                </a:lnTo>
                <a:lnTo>
                  <a:pt x="1078" y="219"/>
                </a:lnTo>
                <a:lnTo>
                  <a:pt x="1090" y="216"/>
                </a:lnTo>
                <a:lnTo>
                  <a:pt x="1088" y="212"/>
                </a:lnTo>
                <a:lnTo>
                  <a:pt x="1079" y="199"/>
                </a:lnTo>
                <a:lnTo>
                  <a:pt x="1078" y="200"/>
                </a:lnTo>
                <a:lnTo>
                  <a:pt x="1056" y="196"/>
                </a:lnTo>
                <a:lnTo>
                  <a:pt x="1032" y="180"/>
                </a:lnTo>
                <a:lnTo>
                  <a:pt x="1019" y="158"/>
                </a:lnTo>
                <a:lnTo>
                  <a:pt x="1024" y="152"/>
                </a:lnTo>
                <a:lnTo>
                  <a:pt x="1022" y="123"/>
                </a:lnTo>
                <a:lnTo>
                  <a:pt x="1005" y="100"/>
                </a:lnTo>
                <a:lnTo>
                  <a:pt x="1001" y="95"/>
                </a:lnTo>
                <a:lnTo>
                  <a:pt x="986" y="97"/>
                </a:lnTo>
                <a:lnTo>
                  <a:pt x="965" y="64"/>
                </a:lnTo>
                <a:lnTo>
                  <a:pt x="963" y="63"/>
                </a:lnTo>
                <a:lnTo>
                  <a:pt x="942" y="64"/>
                </a:lnTo>
                <a:lnTo>
                  <a:pt x="883" y="64"/>
                </a:lnTo>
                <a:lnTo>
                  <a:pt x="846" y="64"/>
                </a:lnTo>
                <a:lnTo>
                  <a:pt x="826" y="64"/>
                </a:lnTo>
                <a:lnTo>
                  <a:pt x="822" y="64"/>
                </a:lnTo>
                <a:lnTo>
                  <a:pt x="818" y="64"/>
                </a:lnTo>
                <a:lnTo>
                  <a:pt x="799" y="64"/>
                </a:lnTo>
                <a:lnTo>
                  <a:pt x="775" y="64"/>
                </a:lnTo>
                <a:lnTo>
                  <a:pt x="741" y="64"/>
                </a:lnTo>
                <a:lnTo>
                  <a:pt x="697" y="63"/>
                </a:lnTo>
                <a:lnTo>
                  <a:pt x="682" y="63"/>
                </a:lnTo>
                <a:lnTo>
                  <a:pt x="672" y="63"/>
                </a:lnTo>
                <a:lnTo>
                  <a:pt x="665" y="63"/>
                </a:lnTo>
                <a:lnTo>
                  <a:pt x="643" y="64"/>
                </a:lnTo>
                <a:lnTo>
                  <a:pt x="563" y="64"/>
                </a:lnTo>
                <a:lnTo>
                  <a:pt x="544" y="64"/>
                </a:lnTo>
                <a:lnTo>
                  <a:pt x="542" y="64"/>
                </a:lnTo>
                <a:lnTo>
                  <a:pt x="526" y="64"/>
                </a:lnTo>
                <a:lnTo>
                  <a:pt x="518" y="64"/>
                </a:lnTo>
                <a:lnTo>
                  <a:pt x="489" y="64"/>
                </a:lnTo>
                <a:lnTo>
                  <a:pt x="448" y="64"/>
                </a:lnTo>
                <a:lnTo>
                  <a:pt x="433" y="64"/>
                </a:lnTo>
                <a:lnTo>
                  <a:pt x="424" y="64"/>
                </a:lnTo>
                <a:lnTo>
                  <a:pt x="413" y="64"/>
                </a:lnTo>
                <a:lnTo>
                  <a:pt x="355" y="64"/>
                </a:lnTo>
                <a:lnTo>
                  <a:pt x="311" y="64"/>
                </a:lnTo>
                <a:lnTo>
                  <a:pt x="299" y="64"/>
                </a:lnTo>
                <a:lnTo>
                  <a:pt x="286" y="64"/>
                </a:lnTo>
                <a:lnTo>
                  <a:pt x="284" y="64"/>
                </a:lnTo>
                <a:lnTo>
                  <a:pt x="272" y="64"/>
                </a:lnTo>
                <a:lnTo>
                  <a:pt x="251" y="64"/>
                </a:lnTo>
                <a:lnTo>
                  <a:pt x="196" y="64"/>
                </a:lnTo>
                <a:lnTo>
                  <a:pt x="171" y="64"/>
                </a:lnTo>
                <a:lnTo>
                  <a:pt x="163" y="64"/>
                </a:lnTo>
                <a:lnTo>
                  <a:pt x="142" y="64"/>
                </a:lnTo>
                <a:lnTo>
                  <a:pt x="142" y="0"/>
                </a:lnTo>
                <a:lnTo>
                  <a:pt x="69" y="34"/>
                </a:lnTo>
                <a:lnTo>
                  <a:pt x="13" y="64"/>
                </a:lnTo>
                <a:lnTo>
                  <a:pt x="0" y="70"/>
                </a:lnTo>
                <a:lnTo>
                  <a:pt x="0" y="93"/>
                </a:lnTo>
                <a:lnTo>
                  <a:pt x="0" y="100"/>
                </a:lnTo>
                <a:lnTo>
                  <a:pt x="0" y="132"/>
                </a:lnTo>
                <a:lnTo>
                  <a:pt x="0" y="152"/>
                </a:lnTo>
                <a:lnTo>
                  <a:pt x="0" y="182"/>
                </a:lnTo>
                <a:lnTo>
                  <a:pt x="0" y="184"/>
                </a:lnTo>
                <a:lnTo>
                  <a:pt x="0" y="212"/>
                </a:lnTo>
                <a:lnTo>
                  <a:pt x="0" y="231"/>
                </a:lnTo>
                <a:lnTo>
                  <a:pt x="0" y="269"/>
                </a:lnTo>
                <a:lnTo>
                  <a:pt x="0" y="271"/>
                </a:lnTo>
                <a:lnTo>
                  <a:pt x="0" y="300"/>
                </a:lnTo>
                <a:lnTo>
                  <a:pt x="0" y="306"/>
                </a:lnTo>
                <a:lnTo>
                  <a:pt x="0" y="323"/>
                </a:lnTo>
                <a:lnTo>
                  <a:pt x="0" y="330"/>
                </a:lnTo>
                <a:lnTo>
                  <a:pt x="0" y="335"/>
                </a:lnTo>
                <a:lnTo>
                  <a:pt x="0" y="349"/>
                </a:lnTo>
                <a:lnTo>
                  <a:pt x="0" y="365"/>
                </a:lnTo>
                <a:lnTo>
                  <a:pt x="0" y="386"/>
                </a:lnTo>
                <a:lnTo>
                  <a:pt x="0" y="389"/>
                </a:lnTo>
                <a:lnTo>
                  <a:pt x="0" y="396"/>
                </a:lnTo>
                <a:lnTo>
                  <a:pt x="0" y="424"/>
                </a:lnTo>
                <a:lnTo>
                  <a:pt x="0" y="428"/>
                </a:lnTo>
                <a:lnTo>
                  <a:pt x="0" y="435"/>
                </a:lnTo>
                <a:lnTo>
                  <a:pt x="0" y="442"/>
                </a:lnTo>
                <a:lnTo>
                  <a:pt x="0" y="478"/>
                </a:lnTo>
                <a:lnTo>
                  <a:pt x="0" y="482"/>
                </a:lnTo>
                <a:lnTo>
                  <a:pt x="0" y="499"/>
                </a:lnTo>
                <a:lnTo>
                  <a:pt x="0" y="503"/>
                </a:lnTo>
                <a:lnTo>
                  <a:pt x="0" y="521"/>
                </a:lnTo>
                <a:lnTo>
                  <a:pt x="0" y="532"/>
                </a:lnTo>
                <a:lnTo>
                  <a:pt x="0" y="536"/>
                </a:lnTo>
                <a:lnTo>
                  <a:pt x="0" y="545"/>
                </a:lnTo>
                <a:lnTo>
                  <a:pt x="0" y="595"/>
                </a:lnTo>
                <a:lnTo>
                  <a:pt x="0" y="598"/>
                </a:lnTo>
                <a:lnTo>
                  <a:pt x="0" y="603"/>
                </a:lnTo>
                <a:lnTo>
                  <a:pt x="4" y="603"/>
                </a:lnTo>
                <a:lnTo>
                  <a:pt x="19" y="603"/>
                </a:lnTo>
                <a:lnTo>
                  <a:pt x="25" y="603"/>
                </a:lnTo>
                <a:lnTo>
                  <a:pt x="27" y="603"/>
                </a:lnTo>
                <a:lnTo>
                  <a:pt x="113" y="603"/>
                </a:lnTo>
                <a:lnTo>
                  <a:pt x="120" y="603"/>
                </a:lnTo>
                <a:lnTo>
                  <a:pt x="132" y="603"/>
                </a:lnTo>
                <a:lnTo>
                  <a:pt x="142" y="603"/>
                </a:lnTo>
                <a:lnTo>
                  <a:pt x="175" y="603"/>
                </a:lnTo>
                <a:lnTo>
                  <a:pt x="181" y="603"/>
                </a:lnTo>
                <a:lnTo>
                  <a:pt x="195" y="603"/>
                </a:lnTo>
                <a:lnTo>
                  <a:pt x="201" y="603"/>
                </a:lnTo>
                <a:lnTo>
                  <a:pt x="207" y="603"/>
                </a:lnTo>
                <a:lnTo>
                  <a:pt x="211" y="603"/>
                </a:lnTo>
                <a:lnTo>
                  <a:pt x="268" y="602"/>
                </a:lnTo>
                <a:lnTo>
                  <a:pt x="275" y="602"/>
                </a:lnTo>
                <a:lnTo>
                  <a:pt x="300" y="602"/>
                </a:lnTo>
                <a:lnTo>
                  <a:pt x="308" y="602"/>
                </a:lnTo>
                <a:lnTo>
                  <a:pt x="313" y="602"/>
                </a:lnTo>
                <a:lnTo>
                  <a:pt x="320" y="602"/>
                </a:lnTo>
                <a:lnTo>
                  <a:pt x="371" y="602"/>
                </a:lnTo>
                <a:lnTo>
                  <a:pt x="378" y="602"/>
                </a:lnTo>
                <a:lnTo>
                  <a:pt x="401" y="602"/>
                </a:lnTo>
                <a:lnTo>
                  <a:pt x="407" y="602"/>
                </a:lnTo>
                <a:lnTo>
                  <a:pt x="424" y="602"/>
                </a:lnTo>
                <a:lnTo>
                  <a:pt x="425" y="602"/>
                </a:lnTo>
                <a:lnTo>
                  <a:pt x="453" y="602"/>
                </a:lnTo>
                <a:lnTo>
                  <a:pt x="471" y="602"/>
                </a:lnTo>
                <a:lnTo>
                  <a:pt x="564" y="603"/>
                </a:lnTo>
                <a:lnTo>
                  <a:pt x="571" y="603"/>
                </a:lnTo>
                <a:lnTo>
                  <a:pt x="573" y="603"/>
                </a:lnTo>
                <a:lnTo>
                  <a:pt x="578" y="603"/>
                </a:lnTo>
                <a:lnTo>
                  <a:pt x="599" y="603"/>
                </a:lnTo>
                <a:lnTo>
                  <a:pt x="618" y="603"/>
                </a:lnTo>
                <a:lnTo>
                  <a:pt x="648" y="603"/>
                </a:lnTo>
                <a:lnTo>
                  <a:pt x="659" y="60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6" name="S_OR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 bwMode="auto">
          <a:xfrm>
            <a:off x="28575" y="694205"/>
            <a:ext cx="1462928" cy="941294"/>
          </a:xfrm>
          <a:custGeom>
            <a:avLst/>
            <a:gdLst>
              <a:gd name="T0" fmla="*/ 2147483647 w 1519"/>
              <a:gd name="T1" fmla="*/ 2147483647 h 1011"/>
              <a:gd name="T2" fmla="*/ 2147483647 w 1519"/>
              <a:gd name="T3" fmla="*/ 2147483647 h 1011"/>
              <a:gd name="T4" fmla="*/ 2147483647 w 1519"/>
              <a:gd name="T5" fmla="*/ 2147483647 h 1011"/>
              <a:gd name="T6" fmla="*/ 2147483647 w 1519"/>
              <a:gd name="T7" fmla="*/ 2147483647 h 1011"/>
              <a:gd name="T8" fmla="*/ 2147483647 w 1519"/>
              <a:gd name="T9" fmla="*/ 2147483647 h 1011"/>
              <a:gd name="T10" fmla="*/ 2147483647 w 1519"/>
              <a:gd name="T11" fmla="*/ 2147483647 h 1011"/>
              <a:gd name="T12" fmla="*/ 2147483647 w 1519"/>
              <a:gd name="T13" fmla="*/ 2147483647 h 1011"/>
              <a:gd name="T14" fmla="*/ 2147483647 w 1519"/>
              <a:gd name="T15" fmla="*/ 2147483647 h 1011"/>
              <a:gd name="T16" fmla="*/ 2147483647 w 1519"/>
              <a:gd name="T17" fmla="*/ 2147483647 h 1011"/>
              <a:gd name="T18" fmla="*/ 2147483647 w 1519"/>
              <a:gd name="T19" fmla="*/ 2147483647 h 1011"/>
              <a:gd name="T20" fmla="*/ 2147483647 w 1519"/>
              <a:gd name="T21" fmla="*/ 2147483647 h 1011"/>
              <a:gd name="T22" fmla="*/ 2147483647 w 1519"/>
              <a:gd name="T23" fmla="*/ 2147483647 h 1011"/>
              <a:gd name="T24" fmla="*/ 2147483647 w 1519"/>
              <a:gd name="T25" fmla="*/ 2147483647 h 1011"/>
              <a:gd name="T26" fmla="*/ 2147483647 w 1519"/>
              <a:gd name="T27" fmla="*/ 2147483647 h 1011"/>
              <a:gd name="T28" fmla="*/ 2147483647 w 1519"/>
              <a:gd name="T29" fmla="*/ 2147483647 h 1011"/>
              <a:gd name="T30" fmla="*/ 2147483647 w 1519"/>
              <a:gd name="T31" fmla="*/ 2147483647 h 1011"/>
              <a:gd name="T32" fmla="*/ 2147483647 w 1519"/>
              <a:gd name="T33" fmla="*/ 2147483647 h 1011"/>
              <a:gd name="T34" fmla="*/ 2147483647 w 1519"/>
              <a:gd name="T35" fmla="*/ 2147483647 h 1011"/>
              <a:gd name="T36" fmla="*/ 2147483647 w 1519"/>
              <a:gd name="T37" fmla="*/ 2147483647 h 1011"/>
              <a:gd name="T38" fmla="*/ 2147483647 w 1519"/>
              <a:gd name="T39" fmla="*/ 2147483647 h 1011"/>
              <a:gd name="T40" fmla="*/ 2147483647 w 1519"/>
              <a:gd name="T41" fmla="*/ 2147483647 h 1011"/>
              <a:gd name="T42" fmla="*/ 2147483647 w 1519"/>
              <a:gd name="T43" fmla="*/ 0 h 1011"/>
              <a:gd name="T44" fmla="*/ 2147483647 w 1519"/>
              <a:gd name="T45" fmla="*/ 2147483647 h 1011"/>
              <a:gd name="T46" fmla="*/ 2147483647 w 1519"/>
              <a:gd name="T47" fmla="*/ 2147483647 h 1011"/>
              <a:gd name="T48" fmla="*/ 2147483647 w 1519"/>
              <a:gd name="T49" fmla="*/ 2147483647 h 1011"/>
              <a:gd name="T50" fmla="*/ 2147483647 w 1519"/>
              <a:gd name="T51" fmla="*/ 2147483647 h 1011"/>
              <a:gd name="T52" fmla="*/ 2147483647 w 1519"/>
              <a:gd name="T53" fmla="*/ 2147483647 h 1011"/>
              <a:gd name="T54" fmla="*/ 2147483647 w 1519"/>
              <a:gd name="T55" fmla="*/ 2147483647 h 1011"/>
              <a:gd name="T56" fmla="*/ 2147483647 w 1519"/>
              <a:gd name="T57" fmla="*/ 2147483647 h 1011"/>
              <a:gd name="T58" fmla="*/ 2147483647 w 1519"/>
              <a:gd name="T59" fmla="*/ 2147483647 h 1011"/>
              <a:gd name="T60" fmla="*/ 2147483647 w 1519"/>
              <a:gd name="T61" fmla="*/ 2147483647 h 1011"/>
              <a:gd name="T62" fmla="*/ 2147483647 w 1519"/>
              <a:gd name="T63" fmla="*/ 2147483647 h 1011"/>
              <a:gd name="T64" fmla="*/ 2147483647 w 1519"/>
              <a:gd name="T65" fmla="*/ 2147483647 h 1011"/>
              <a:gd name="T66" fmla="*/ 2147483647 w 1519"/>
              <a:gd name="T67" fmla="*/ 2147483647 h 1011"/>
              <a:gd name="T68" fmla="*/ 2147483647 w 1519"/>
              <a:gd name="T69" fmla="*/ 2147483647 h 1011"/>
              <a:gd name="T70" fmla="*/ 2147483647 w 1519"/>
              <a:gd name="T71" fmla="*/ 2147483647 h 1011"/>
              <a:gd name="T72" fmla="*/ 2147483647 w 1519"/>
              <a:gd name="T73" fmla="*/ 2147483647 h 1011"/>
              <a:gd name="T74" fmla="*/ 2147483647 w 1519"/>
              <a:gd name="T75" fmla="*/ 2147483647 h 1011"/>
              <a:gd name="T76" fmla="*/ 2147483647 w 1519"/>
              <a:gd name="T77" fmla="*/ 2147483647 h 1011"/>
              <a:gd name="T78" fmla="*/ 2147483647 w 1519"/>
              <a:gd name="T79" fmla="*/ 2147483647 h 1011"/>
              <a:gd name="T80" fmla="*/ 2147483647 w 1519"/>
              <a:gd name="T81" fmla="*/ 2147483647 h 1011"/>
              <a:gd name="T82" fmla="*/ 2147483647 w 1519"/>
              <a:gd name="T83" fmla="*/ 2147483647 h 1011"/>
              <a:gd name="T84" fmla="*/ 2147483647 w 1519"/>
              <a:gd name="T85" fmla="*/ 2147483647 h 1011"/>
              <a:gd name="T86" fmla="*/ 2147483647 w 1519"/>
              <a:gd name="T87" fmla="*/ 2147483647 h 1011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1519"/>
              <a:gd name="T133" fmla="*/ 0 h 1011"/>
              <a:gd name="T134" fmla="*/ 1519 w 1519"/>
              <a:gd name="T135" fmla="*/ 1011 h 1011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1519" h="1011">
                <a:moveTo>
                  <a:pt x="1379" y="466"/>
                </a:moveTo>
                <a:lnTo>
                  <a:pt x="1406" y="478"/>
                </a:lnTo>
                <a:lnTo>
                  <a:pt x="1419" y="479"/>
                </a:lnTo>
                <a:lnTo>
                  <a:pt x="1439" y="500"/>
                </a:lnTo>
                <a:lnTo>
                  <a:pt x="1436" y="508"/>
                </a:lnTo>
                <a:lnTo>
                  <a:pt x="1433" y="509"/>
                </a:lnTo>
                <a:lnTo>
                  <a:pt x="1423" y="565"/>
                </a:lnTo>
                <a:lnTo>
                  <a:pt x="1419" y="569"/>
                </a:lnTo>
                <a:lnTo>
                  <a:pt x="1415" y="582"/>
                </a:lnTo>
                <a:lnTo>
                  <a:pt x="1415" y="612"/>
                </a:lnTo>
                <a:lnTo>
                  <a:pt x="1415" y="636"/>
                </a:lnTo>
                <a:lnTo>
                  <a:pt x="1415" y="734"/>
                </a:lnTo>
                <a:lnTo>
                  <a:pt x="1415" y="1008"/>
                </a:lnTo>
                <a:lnTo>
                  <a:pt x="1373" y="1009"/>
                </a:lnTo>
                <a:lnTo>
                  <a:pt x="1364" y="1009"/>
                </a:lnTo>
                <a:lnTo>
                  <a:pt x="1196" y="1009"/>
                </a:lnTo>
                <a:lnTo>
                  <a:pt x="1139" y="1011"/>
                </a:lnTo>
                <a:lnTo>
                  <a:pt x="1103" y="1011"/>
                </a:lnTo>
                <a:lnTo>
                  <a:pt x="985" y="1011"/>
                </a:lnTo>
                <a:lnTo>
                  <a:pt x="979" y="1011"/>
                </a:lnTo>
                <a:lnTo>
                  <a:pt x="952" y="1011"/>
                </a:lnTo>
                <a:lnTo>
                  <a:pt x="882" y="1009"/>
                </a:lnTo>
                <a:lnTo>
                  <a:pt x="859" y="1011"/>
                </a:lnTo>
                <a:lnTo>
                  <a:pt x="820" y="1011"/>
                </a:lnTo>
                <a:lnTo>
                  <a:pt x="812" y="1011"/>
                </a:lnTo>
                <a:lnTo>
                  <a:pt x="694" y="1011"/>
                </a:lnTo>
                <a:lnTo>
                  <a:pt x="659" y="1011"/>
                </a:lnTo>
                <a:lnTo>
                  <a:pt x="616" y="1009"/>
                </a:lnTo>
                <a:lnTo>
                  <a:pt x="588" y="1009"/>
                </a:lnTo>
                <a:lnTo>
                  <a:pt x="484" y="1008"/>
                </a:lnTo>
                <a:lnTo>
                  <a:pt x="452" y="1007"/>
                </a:lnTo>
                <a:lnTo>
                  <a:pt x="431" y="1007"/>
                </a:lnTo>
                <a:lnTo>
                  <a:pt x="289" y="1008"/>
                </a:lnTo>
                <a:lnTo>
                  <a:pt x="270" y="1007"/>
                </a:lnTo>
                <a:lnTo>
                  <a:pt x="254" y="1008"/>
                </a:lnTo>
                <a:lnTo>
                  <a:pt x="233" y="1009"/>
                </a:lnTo>
                <a:lnTo>
                  <a:pt x="217" y="1008"/>
                </a:lnTo>
                <a:lnTo>
                  <a:pt x="200" y="1009"/>
                </a:lnTo>
                <a:lnTo>
                  <a:pt x="181" y="1009"/>
                </a:lnTo>
                <a:lnTo>
                  <a:pt x="175" y="1011"/>
                </a:lnTo>
                <a:lnTo>
                  <a:pt x="144" y="1011"/>
                </a:lnTo>
                <a:lnTo>
                  <a:pt x="111" y="1009"/>
                </a:lnTo>
                <a:lnTo>
                  <a:pt x="87" y="1009"/>
                </a:lnTo>
                <a:lnTo>
                  <a:pt x="70" y="1009"/>
                </a:lnTo>
                <a:lnTo>
                  <a:pt x="42" y="984"/>
                </a:lnTo>
                <a:lnTo>
                  <a:pt x="32" y="857"/>
                </a:lnTo>
                <a:lnTo>
                  <a:pt x="0" y="811"/>
                </a:lnTo>
                <a:lnTo>
                  <a:pt x="21" y="784"/>
                </a:lnTo>
                <a:lnTo>
                  <a:pt x="40" y="691"/>
                </a:lnTo>
                <a:lnTo>
                  <a:pt x="50" y="684"/>
                </a:lnTo>
                <a:lnTo>
                  <a:pt x="70" y="628"/>
                </a:lnTo>
                <a:lnTo>
                  <a:pt x="81" y="570"/>
                </a:lnTo>
                <a:lnTo>
                  <a:pt x="81" y="569"/>
                </a:lnTo>
                <a:lnTo>
                  <a:pt x="89" y="471"/>
                </a:lnTo>
                <a:lnTo>
                  <a:pt x="107" y="295"/>
                </a:lnTo>
                <a:lnTo>
                  <a:pt x="108" y="292"/>
                </a:lnTo>
                <a:lnTo>
                  <a:pt x="107" y="290"/>
                </a:lnTo>
                <a:lnTo>
                  <a:pt x="117" y="241"/>
                </a:lnTo>
                <a:lnTo>
                  <a:pt x="118" y="124"/>
                </a:lnTo>
                <a:lnTo>
                  <a:pt x="116" y="116"/>
                </a:lnTo>
                <a:lnTo>
                  <a:pt x="120" y="34"/>
                </a:lnTo>
                <a:lnTo>
                  <a:pt x="106" y="10"/>
                </a:lnTo>
                <a:lnTo>
                  <a:pt x="111" y="8"/>
                </a:lnTo>
                <a:lnTo>
                  <a:pt x="134" y="24"/>
                </a:lnTo>
                <a:lnTo>
                  <a:pt x="157" y="15"/>
                </a:lnTo>
                <a:lnTo>
                  <a:pt x="173" y="2"/>
                </a:lnTo>
                <a:lnTo>
                  <a:pt x="208" y="0"/>
                </a:lnTo>
                <a:lnTo>
                  <a:pt x="214" y="4"/>
                </a:lnTo>
                <a:lnTo>
                  <a:pt x="229" y="29"/>
                </a:lnTo>
                <a:lnTo>
                  <a:pt x="251" y="28"/>
                </a:lnTo>
                <a:lnTo>
                  <a:pt x="258" y="24"/>
                </a:lnTo>
                <a:lnTo>
                  <a:pt x="298" y="33"/>
                </a:lnTo>
                <a:lnTo>
                  <a:pt x="332" y="73"/>
                </a:lnTo>
                <a:lnTo>
                  <a:pt x="337" y="100"/>
                </a:lnTo>
                <a:lnTo>
                  <a:pt x="343" y="123"/>
                </a:lnTo>
                <a:lnTo>
                  <a:pt x="343" y="127"/>
                </a:lnTo>
                <a:lnTo>
                  <a:pt x="342" y="129"/>
                </a:lnTo>
                <a:lnTo>
                  <a:pt x="342" y="145"/>
                </a:lnTo>
                <a:lnTo>
                  <a:pt x="403" y="167"/>
                </a:lnTo>
                <a:lnTo>
                  <a:pt x="438" y="170"/>
                </a:lnTo>
                <a:lnTo>
                  <a:pt x="451" y="164"/>
                </a:lnTo>
                <a:lnTo>
                  <a:pt x="466" y="163"/>
                </a:lnTo>
                <a:lnTo>
                  <a:pt x="499" y="147"/>
                </a:lnTo>
                <a:lnTo>
                  <a:pt x="520" y="133"/>
                </a:lnTo>
                <a:lnTo>
                  <a:pt x="534" y="136"/>
                </a:lnTo>
                <a:lnTo>
                  <a:pt x="574" y="129"/>
                </a:lnTo>
                <a:lnTo>
                  <a:pt x="578" y="130"/>
                </a:lnTo>
                <a:lnTo>
                  <a:pt x="585" y="135"/>
                </a:lnTo>
                <a:lnTo>
                  <a:pt x="589" y="135"/>
                </a:lnTo>
                <a:lnTo>
                  <a:pt x="632" y="141"/>
                </a:lnTo>
                <a:lnTo>
                  <a:pt x="637" y="156"/>
                </a:lnTo>
                <a:lnTo>
                  <a:pt x="687" y="149"/>
                </a:lnTo>
                <a:lnTo>
                  <a:pt x="699" y="141"/>
                </a:lnTo>
                <a:lnTo>
                  <a:pt x="730" y="131"/>
                </a:lnTo>
                <a:lnTo>
                  <a:pt x="737" y="127"/>
                </a:lnTo>
                <a:lnTo>
                  <a:pt x="769" y="136"/>
                </a:lnTo>
                <a:lnTo>
                  <a:pt x="819" y="129"/>
                </a:lnTo>
                <a:lnTo>
                  <a:pt x="859" y="108"/>
                </a:lnTo>
                <a:lnTo>
                  <a:pt x="865" y="105"/>
                </a:lnTo>
                <a:lnTo>
                  <a:pt x="876" y="105"/>
                </a:lnTo>
                <a:lnTo>
                  <a:pt x="883" y="103"/>
                </a:lnTo>
                <a:lnTo>
                  <a:pt x="921" y="98"/>
                </a:lnTo>
                <a:lnTo>
                  <a:pt x="939" y="82"/>
                </a:lnTo>
                <a:lnTo>
                  <a:pt x="965" y="84"/>
                </a:lnTo>
                <a:lnTo>
                  <a:pt x="998" y="78"/>
                </a:lnTo>
                <a:lnTo>
                  <a:pt x="1022" y="79"/>
                </a:lnTo>
                <a:lnTo>
                  <a:pt x="1048" y="64"/>
                </a:lnTo>
                <a:lnTo>
                  <a:pt x="1087" y="63"/>
                </a:lnTo>
                <a:lnTo>
                  <a:pt x="1186" y="64"/>
                </a:lnTo>
                <a:lnTo>
                  <a:pt x="1233" y="64"/>
                </a:lnTo>
                <a:lnTo>
                  <a:pt x="1238" y="64"/>
                </a:lnTo>
                <a:lnTo>
                  <a:pt x="1287" y="64"/>
                </a:lnTo>
                <a:lnTo>
                  <a:pt x="1303" y="64"/>
                </a:lnTo>
                <a:lnTo>
                  <a:pt x="1307" y="64"/>
                </a:lnTo>
                <a:lnTo>
                  <a:pt x="1326" y="64"/>
                </a:lnTo>
                <a:lnTo>
                  <a:pt x="1329" y="64"/>
                </a:lnTo>
                <a:lnTo>
                  <a:pt x="1331" y="64"/>
                </a:lnTo>
                <a:lnTo>
                  <a:pt x="1354" y="64"/>
                </a:lnTo>
                <a:lnTo>
                  <a:pt x="1356" y="64"/>
                </a:lnTo>
                <a:lnTo>
                  <a:pt x="1436" y="66"/>
                </a:lnTo>
                <a:lnTo>
                  <a:pt x="1443" y="75"/>
                </a:lnTo>
                <a:lnTo>
                  <a:pt x="1455" y="93"/>
                </a:lnTo>
                <a:lnTo>
                  <a:pt x="1458" y="98"/>
                </a:lnTo>
                <a:lnTo>
                  <a:pt x="1505" y="123"/>
                </a:lnTo>
                <a:lnTo>
                  <a:pt x="1519" y="152"/>
                </a:lnTo>
                <a:lnTo>
                  <a:pt x="1478" y="237"/>
                </a:lnTo>
                <a:lnTo>
                  <a:pt x="1477" y="239"/>
                </a:lnTo>
                <a:lnTo>
                  <a:pt x="1467" y="271"/>
                </a:lnTo>
                <a:lnTo>
                  <a:pt x="1460" y="282"/>
                </a:lnTo>
                <a:lnTo>
                  <a:pt x="1448" y="301"/>
                </a:lnTo>
                <a:lnTo>
                  <a:pt x="1439" y="338"/>
                </a:lnTo>
                <a:lnTo>
                  <a:pt x="1414" y="360"/>
                </a:lnTo>
                <a:lnTo>
                  <a:pt x="1376" y="448"/>
                </a:lnTo>
                <a:lnTo>
                  <a:pt x="1379" y="46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7" name="S_OK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 bwMode="auto">
          <a:xfrm>
            <a:off x="3912534" y="2733675"/>
            <a:ext cx="1539128" cy="746312"/>
          </a:xfrm>
          <a:custGeom>
            <a:avLst/>
            <a:gdLst>
              <a:gd name="T0" fmla="*/ 2147483647 w 1604"/>
              <a:gd name="T1" fmla="*/ 2147483647 h 799"/>
              <a:gd name="T2" fmla="*/ 2147483647 w 1604"/>
              <a:gd name="T3" fmla="*/ 2147483647 h 799"/>
              <a:gd name="T4" fmla="*/ 2147483647 w 1604"/>
              <a:gd name="T5" fmla="*/ 2147483647 h 799"/>
              <a:gd name="T6" fmla="*/ 2147483647 w 1604"/>
              <a:gd name="T7" fmla="*/ 0 h 799"/>
              <a:gd name="T8" fmla="*/ 2147483647 w 1604"/>
              <a:gd name="T9" fmla="*/ 0 h 799"/>
              <a:gd name="T10" fmla="*/ 2147483647 w 1604"/>
              <a:gd name="T11" fmla="*/ 0 h 799"/>
              <a:gd name="T12" fmla="*/ 2147483647 w 1604"/>
              <a:gd name="T13" fmla="*/ 0 h 799"/>
              <a:gd name="T14" fmla="*/ 2147483647 w 1604"/>
              <a:gd name="T15" fmla="*/ 0 h 799"/>
              <a:gd name="T16" fmla="*/ 2147483647 w 1604"/>
              <a:gd name="T17" fmla="*/ 0 h 799"/>
              <a:gd name="T18" fmla="*/ 2147483647 w 1604"/>
              <a:gd name="T19" fmla="*/ 0 h 799"/>
              <a:gd name="T20" fmla="*/ 2147483647 w 1604"/>
              <a:gd name="T21" fmla="*/ 2147483647 h 799"/>
              <a:gd name="T22" fmla="*/ 2147483647 w 1604"/>
              <a:gd name="T23" fmla="*/ 2147483647 h 799"/>
              <a:gd name="T24" fmla="*/ 2147483647 w 1604"/>
              <a:gd name="T25" fmla="*/ 0 h 799"/>
              <a:gd name="T26" fmla="*/ 2147483647 w 1604"/>
              <a:gd name="T27" fmla="*/ 0 h 799"/>
              <a:gd name="T28" fmla="*/ 2147483647 w 1604"/>
              <a:gd name="T29" fmla="*/ 0 h 799"/>
              <a:gd name="T30" fmla="*/ 2147483647 w 1604"/>
              <a:gd name="T31" fmla="*/ 0 h 799"/>
              <a:gd name="T32" fmla="*/ 2147483647 w 1604"/>
              <a:gd name="T33" fmla="*/ 2147483647 h 799"/>
              <a:gd name="T34" fmla="*/ 2147483647 w 1604"/>
              <a:gd name="T35" fmla="*/ 2147483647 h 799"/>
              <a:gd name="T36" fmla="*/ 2147483647 w 1604"/>
              <a:gd name="T37" fmla="*/ 2147483647 h 799"/>
              <a:gd name="T38" fmla="*/ 0 w 1604"/>
              <a:gd name="T39" fmla="*/ 0 h 799"/>
              <a:gd name="T40" fmla="*/ 2147483647 w 1604"/>
              <a:gd name="T41" fmla="*/ 2147483647 h 799"/>
              <a:gd name="T42" fmla="*/ 2147483647 w 1604"/>
              <a:gd name="T43" fmla="*/ 2147483647 h 799"/>
              <a:gd name="T44" fmla="*/ 2147483647 w 1604"/>
              <a:gd name="T45" fmla="*/ 2147483647 h 799"/>
              <a:gd name="T46" fmla="*/ 2147483647 w 1604"/>
              <a:gd name="T47" fmla="*/ 2147483647 h 799"/>
              <a:gd name="T48" fmla="*/ 2147483647 w 1604"/>
              <a:gd name="T49" fmla="*/ 2147483647 h 799"/>
              <a:gd name="T50" fmla="*/ 2147483647 w 1604"/>
              <a:gd name="T51" fmla="*/ 2147483647 h 799"/>
              <a:gd name="T52" fmla="*/ 2147483647 w 1604"/>
              <a:gd name="T53" fmla="*/ 2147483647 h 799"/>
              <a:gd name="T54" fmla="*/ 2147483647 w 1604"/>
              <a:gd name="T55" fmla="*/ 2147483647 h 799"/>
              <a:gd name="T56" fmla="*/ 2147483647 w 1604"/>
              <a:gd name="T57" fmla="*/ 2147483647 h 799"/>
              <a:gd name="T58" fmla="*/ 2147483647 w 1604"/>
              <a:gd name="T59" fmla="*/ 2147483647 h 799"/>
              <a:gd name="T60" fmla="*/ 2147483647 w 1604"/>
              <a:gd name="T61" fmla="*/ 2147483647 h 799"/>
              <a:gd name="T62" fmla="*/ 2147483647 w 1604"/>
              <a:gd name="T63" fmla="*/ 2147483647 h 799"/>
              <a:gd name="T64" fmla="*/ 2147483647 w 1604"/>
              <a:gd name="T65" fmla="*/ 2147483647 h 799"/>
              <a:gd name="T66" fmla="*/ 2147483647 w 1604"/>
              <a:gd name="T67" fmla="*/ 2147483647 h 799"/>
              <a:gd name="T68" fmla="*/ 2147483647 w 1604"/>
              <a:gd name="T69" fmla="*/ 2147483647 h 799"/>
              <a:gd name="T70" fmla="*/ 2147483647 w 1604"/>
              <a:gd name="T71" fmla="*/ 2147483647 h 799"/>
              <a:gd name="T72" fmla="*/ 2147483647 w 1604"/>
              <a:gd name="T73" fmla="*/ 2147483647 h 799"/>
              <a:gd name="T74" fmla="*/ 2147483647 w 1604"/>
              <a:gd name="T75" fmla="*/ 2147483647 h 799"/>
              <a:gd name="T76" fmla="*/ 2147483647 w 1604"/>
              <a:gd name="T77" fmla="*/ 2147483647 h 799"/>
              <a:gd name="T78" fmla="*/ 2147483647 w 1604"/>
              <a:gd name="T79" fmla="*/ 2147483647 h 799"/>
              <a:gd name="T80" fmla="*/ 2147483647 w 1604"/>
              <a:gd name="T81" fmla="*/ 2147483647 h 799"/>
              <a:gd name="T82" fmla="*/ 2147483647 w 1604"/>
              <a:gd name="T83" fmla="*/ 2147483647 h 799"/>
              <a:gd name="T84" fmla="*/ 2147483647 w 1604"/>
              <a:gd name="T85" fmla="*/ 2147483647 h 799"/>
              <a:gd name="T86" fmla="*/ 2147483647 w 1604"/>
              <a:gd name="T87" fmla="*/ 2147483647 h 799"/>
              <a:gd name="T88" fmla="*/ 2147483647 w 1604"/>
              <a:gd name="T89" fmla="*/ 2147483647 h 799"/>
              <a:gd name="T90" fmla="*/ 2147483647 w 1604"/>
              <a:gd name="T91" fmla="*/ 2147483647 h 799"/>
              <a:gd name="T92" fmla="*/ 2147483647 w 1604"/>
              <a:gd name="T93" fmla="*/ 2147483647 h 799"/>
              <a:gd name="T94" fmla="*/ 2147483647 w 1604"/>
              <a:gd name="T95" fmla="*/ 2147483647 h 799"/>
              <a:gd name="T96" fmla="*/ 2147483647 w 1604"/>
              <a:gd name="T97" fmla="*/ 2147483647 h 799"/>
              <a:gd name="T98" fmla="*/ 2147483647 w 1604"/>
              <a:gd name="T99" fmla="*/ 2147483647 h 799"/>
              <a:gd name="T100" fmla="*/ 2147483647 w 1604"/>
              <a:gd name="T101" fmla="*/ 2147483647 h 799"/>
              <a:gd name="T102" fmla="*/ 2147483647 w 1604"/>
              <a:gd name="T103" fmla="*/ 2147483647 h 799"/>
              <a:gd name="T104" fmla="*/ 2147483647 w 1604"/>
              <a:gd name="T105" fmla="*/ 2147483647 h 799"/>
              <a:gd name="T106" fmla="*/ 2147483647 w 1604"/>
              <a:gd name="T107" fmla="*/ 2147483647 h 799"/>
              <a:gd name="T108" fmla="*/ 2147483647 w 1604"/>
              <a:gd name="T109" fmla="*/ 2147483647 h 799"/>
              <a:gd name="T110" fmla="*/ 2147483647 w 1604"/>
              <a:gd name="T111" fmla="*/ 2147483647 h 79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604"/>
              <a:gd name="T169" fmla="*/ 0 h 799"/>
              <a:gd name="T170" fmla="*/ 1604 w 1604"/>
              <a:gd name="T171" fmla="*/ 799 h 79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604" h="799">
                <a:moveTo>
                  <a:pt x="1579" y="198"/>
                </a:moveTo>
                <a:lnTo>
                  <a:pt x="1575" y="164"/>
                </a:lnTo>
                <a:lnTo>
                  <a:pt x="1573" y="148"/>
                </a:lnTo>
                <a:lnTo>
                  <a:pt x="1568" y="119"/>
                </a:lnTo>
                <a:lnTo>
                  <a:pt x="1568" y="95"/>
                </a:lnTo>
                <a:lnTo>
                  <a:pt x="1568" y="84"/>
                </a:lnTo>
                <a:lnTo>
                  <a:pt x="1568" y="79"/>
                </a:lnTo>
                <a:lnTo>
                  <a:pt x="1568" y="77"/>
                </a:lnTo>
                <a:lnTo>
                  <a:pt x="1568" y="62"/>
                </a:lnTo>
                <a:lnTo>
                  <a:pt x="1568" y="56"/>
                </a:lnTo>
                <a:lnTo>
                  <a:pt x="1568" y="33"/>
                </a:lnTo>
                <a:lnTo>
                  <a:pt x="1568" y="10"/>
                </a:lnTo>
                <a:lnTo>
                  <a:pt x="1568" y="1"/>
                </a:lnTo>
                <a:lnTo>
                  <a:pt x="1567" y="1"/>
                </a:lnTo>
                <a:lnTo>
                  <a:pt x="1544" y="1"/>
                </a:lnTo>
                <a:lnTo>
                  <a:pt x="1495" y="0"/>
                </a:lnTo>
                <a:lnTo>
                  <a:pt x="1484" y="0"/>
                </a:lnTo>
                <a:lnTo>
                  <a:pt x="1451" y="0"/>
                </a:lnTo>
                <a:lnTo>
                  <a:pt x="1438" y="0"/>
                </a:lnTo>
                <a:lnTo>
                  <a:pt x="1421" y="0"/>
                </a:lnTo>
                <a:lnTo>
                  <a:pt x="1403" y="0"/>
                </a:lnTo>
                <a:lnTo>
                  <a:pt x="1399" y="0"/>
                </a:lnTo>
                <a:lnTo>
                  <a:pt x="1380" y="0"/>
                </a:lnTo>
                <a:lnTo>
                  <a:pt x="1371" y="0"/>
                </a:lnTo>
                <a:lnTo>
                  <a:pt x="1350" y="0"/>
                </a:lnTo>
                <a:lnTo>
                  <a:pt x="1334" y="0"/>
                </a:lnTo>
                <a:lnTo>
                  <a:pt x="1317" y="0"/>
                </a:lnTo>
                <a:lnTo>
                  <a:pt x="1310" y="0"/>
                </a:lnTo>
                <a:lnTo>
                  <a:pt x="1287" y="0"/>
                </a:lnTo>
                <a:lnTo>
                  <a:pt x="1228" y="0"/>
                </a:lnTo>
                <a:lnTo>
                  <a:pt x="1212" y="0"/>
                </a:lnTo>
                <a:lnTo>
                  <a:pt x="1194" y="0"/>
                </a:lnTo>
                <a:lnTo>
                  <a:pt x="1170" y="0"/>
                </a:lnTo>
                <a:lnTo>
                  <a:pt x="1147" y="0"/>
                </a:lnTo>
                <a:lnTo>
                  <a:pt x="1123" y="0"/>
                </a:lnTo>
                <a:lnTo>
                  <a:pt x="1095" y="0"/>
                </a:lnTo>
                <a:lnTo>
                  <a:pt x="1064" y="1"/>
                </a:lnTo>
                <a:lnTo>
                  <a:pt x="1052" y="0"/>
                </a:lnTo>
                <a:lnTo>
                  <a:pt x="1036" y="1"/>
                </a:lnTo>
                <a:lnTo>
                  <a:pt x="1030" y="0"/>
                </a:lnTo>
                <a:lnTo>
                  <a:pt x="995" y="0"/>
                </a:lnTo>
                <a:lnTo>
                  <a:pt x="973" y="1"/>
                </a:lnTo>
                <a:lnTo>
                  <a:pt x="936" y="1"/>
                </a:lnTo>
                <a:lnTo>
                  <a:pt x="927" y="1"/>
                </a:lnTo>
                <a:lnTo>
                  <a:pt x="915" y="1"/>
                </a:lnTo>
                <a:lnTo>
                  <a:pt x="912" y="1"/>
                </a:lnTo>
                <a:lnTo>
                  <a:pt x="881" y="1"/>
                </a:lnTo>
                <a:lnTo>
                  <a:pt x="872" y="1"/>
                </a:lnTo>
                <a:lnTo>
                  <a:pt x="866" y="1"/>
                </a:lnTo>
                <a:lnTo>
                  <a:pt x="843" y="1"/>
                </a:lnTo>
                <a:lnTo>
                  <a:pt x="834" y="0"/>
                </a:lnTo>
                <a:lnTo>
                  <a:pt x="796" y="0"/>
                </a:lnTo>
                <a:lnTo>
                  <a:pt x="784" y="0"/>
                </a:lnTo>
                <a:lnTo>
                  <a:pt x="750" y="0"/>
                </a:lnTo>
                <a:lnTo>
                  <a:pt x="685" y="0"/>
                </a:lnTo>
                <a:lnTo>
                  <a:pt x="679" y="0"/>
                </a:lnTo>
                <a:lnTo>
                  <a:pt x="664" y="0"/>
                </a:lnTo>
                <a:lnTo>
                  <a:pt x="655" y="0"/>
                </a:lnTo>
                <a:lnTo>
                  <a:pt x="648" y="0"/>
                </a:lnTo>
                <a:lnTo>
                  <a:pt x="575" y="0"/>
                </a:lnTo>
                <a:lnTo>
                  <a:pt x="562" y="0"/>
                </a:lnTo>
                <a:lnTo>
                  <a:pt x="561" y="0"/>
                </a:lnTo>
                <a:lnTo>
                  <a:pt x="554" y="0"/>
                </a:lnTo>
                <a:lnTo>
                  <a:pt x="545" y="0"/>
                </a:lnTo>
                <a:lnTo>
                  <a:pt x="539" y="0"/>
                </a:lnTo>
                <a:lnTo>
                  <a:pt x="456" y="0"/>
                </a:lnTo>
                <a:lnTo>
                  <a:pt x="443" y="0"/>
                </a:lnTo>
                <a:lnTo>
                  <a:pt x="385" y="1"/>
                </a:lnTo>
                <a:lnTo>
                  <a:pt x="375" y="1"/>
                </a:lnTo>
                <a:lnTo>
                  <a:pt x="362" y="1"/>
                </a:lnTo>
                <a:lnTo>
                  <a:pt x="351" y="1"/>
                </a:lnTo>
                <a:lnTo>
                  <a:pt x="304" y="1"/>
                </a:lnTo>
                <a:lnTo>
                  <a:pt x="271" y="1"/>
                </a:lnTo>
                <a:lnTo>
                  <a:pt x="235" y="2"/>
                </a:lnTo>
                <a:lnTo>
                  <a:pt x="224" y="2"/>
                </a:lnTo>
                <a:lnTo>
                  <a:pt x="182" y="2"/>
                </a:lnTo>
                <a:lnTo>
                  <a:pt x="180" y="2"/>
                </a:lnTo>
                <a:lnTo>
                  <a:pt x="71" y="1"/>
                </a:lnTo>
                <a:lnTo>
                  <a:pt x="45" y="0"/>
                </a:lnTo>
                <a:lnTo>
                  <a:pt x="0" y="0"/>
                </a:lnTo>
                <a:lnTo>
                  <a:pt x="0" y="30"/>
                </a:lnTo>
                <a:lnTo>
                  <a:pt x="0" y="66"/>
                </a:lnTo>
                <a:lnTo>
                  <a:pt x="0" y="119"/>
                </a:lnTo>
                <a:lnTo>
                  <a:pt x="72" y="118"/>
                </a:lnTo>
                <a:lnTo>
                  <a:pt x="118" y="119"/>
                </a:lnTo>
                <a:lnTo>
                  <a:pt x="158" y="119"/>
                </a:lnTo>
                <a:lnTo>
                  <a:pt x="164" y="119"/>
                </a:lnTo>
                <a:lnTo>
                  <a:pt x="167" y="119"/>
                </a:lnTo>
                <a:lnTo>
                  <a:pt x="182" y="119"/>
                </a:lnTo>
                <a:lnTo>
                  <a:pt x="207" y="119"/>
                </a:lnTo>
                <a:lnTo>
                  <a:pt x="214" y="119"/>
                </a:lnTo>
                <a:lnTo>
                  <a:pt x="258" y="119"/>
                </a:lnTo>
                <a:lnTo>
                  <a:pt x="304" y="119"/>
                </a:lnTo>
                <a:lnTo>
                  <a:pt x="328" y="119"/>
                </a:lnTo>
                <a:lnTo>
                  <a:pt x="359" y="119"/>
                </a:lnTo>
                <a:lnTo>
                  <a:pt x="375" y="119"/>
                </a:lnTo>
                <a:lnTo>
                  <a:pt x="384" y="119"/>
                </a:lnTo>
                <a:lnTo>
                  <a:pt x="398" y="119"/>
                </a:lnTo>
                <a:lnTo>
                  <a:pt x="445" y="119"/>
                </a:lnTo>
                <a:lnTo>
                  <a:pt x="459" y="119"/>
                </a:lnTo>
                <a:lnTo>
                  <a:pt x="492" y="119"/>
                </a:lnTo>
                <a:lnTo>
                  <a:pt x="494" y="119"/>
                </a:lnTo>
                <a:lnTo>
                  <a:pt x="561" y="119"/>
                </a:lnTo>
                <a:lnTo>
                  <a:pt x="562" y="119"/>
                </a:lnTo>
                <a:lnTo>
                  <a:pt x="562" y="148"/>
                </a:lnTo>
                <a:lnTo>
                  <a:pt x="562" y="224"/>
                </a:lnTo>
                <a:lnTo>
                  <a:pt x="562" y="236"/>
                </a:lnTo>
                <a:lnTo>
                  <a:pt x="562" y="256"/>
                </a:lnTo>
                <a:lnTo>
                  <a:pt x="562" y="265"/>
                </a:lnTo>
                <a:lnTo>
                  <a:pt x="562" y="277"/>
                </a:lnTo>
                <a:lnTo>
                  <a:pt x="562" y="295"/>
                </a:lnTo>
                <a:lnTo>
                  <a:pt x="562" y="326"/>
                </a:lnTo>
                <a:lnTo>
                  <a:pt x="562" y="354"/>
                </a:lnTo>
                <a:lnTo>
                  <a:pt x="562" y="362"/>
                </a:lnTo>
                <a:lnTo>
                  <a:pt x="562" y="372"/>
                </a:lnTo>
                <a:lnTo>
                  <a:pt x="562" y="404"/>
                </a:lnTo>
                <a:lnTo>
                  <a:pt x="562" y="414"/>
                </a:lnTo>
                <a:lnTo>
                  <a:pt x="562" y="429"/>
                </a:lnTo>
                <a:lnTo>
                  <a:pt x="562" y="443"/>
                </a:lnTo>
                <a:lnTo>
                  <a:pt x="562" y="465"/>
                </a:lnTo>
                <a:lnTo>
                  <a:pt x="562" y="502"/>
                </a:lnTo>
                <a:lnTo>
                  <a:pt x="562" y="518"/>
                </a:lnTo>
                <a:lnTo>
                  <a:pt x="562" y="532"/>
                </a:lnTo>
                <a:lnTo>
                  <a:pt x="562" y="577"/>
                </a:lnTo>
                <a:lnTo>
                  <a:pt x="569" y="575"/>
                </a:lnTo>
                <a:lnTo>
                  <a:pt x="570" y="575"/>
                </a:lnTo>
                <a:lnTo>
                  <a:pt x="591" y="589"/>
                </a:lnTo>
                <a:lnTo>
                  <a:pt x="609" y="610"/>
                </a:lnTo>
                <a:lnTo>
                  <a:pt x="655" y="613"/>
                </a:lnTo>
                <a:lnTo>
                  <a:pt x="660" y="616"/>
                </a:lnTo>
                <a:lnTo>
                  <a:pt x="702" y="624"/>
                </a:lnTo>
                <a:lnTo>
                  <a:pt x="710" y="630"/>
                </a:lnTo>
                <a:lnTo>
                  <a:pt x="712" y="657"/>
                </a:lnTo>
                <a:lnTo>
                  <a:pt x="726" y="663"/>
                </a:lnTo>
                <a:lnTo>
                  <a:pt x="738" y="661"/>
                </a:lnTo>
                <a:lnTo>
                  <a:pt x="758" y="663"/>
                </a:lnTo>
                <a:lnTo>
                  <a:pt x="796" y="681"/>
                </a:lnTo>
                <a:lnTo>
                  <a:pt x="819" y="672"/>
                </a:lnTo>
                <a:lnTo>
                  <a:pt x="822" y="673"/>
                </a:lnTo>
                <a:lnTo>
                  <a:pt x="832" y="679"/>
                </a:lnTo>
                <a:lnTo>
                  <a:pt x="843" y="691"/>
                </a:lnTo>
                <a:lnTo>
                  <a:pt x="857" y="692"/>
                </a:lnTo>
                <a:lnTo>
                  <a:pt x="891" y="679"/>
                </a:lnTo>
                <a:lnTo>
                  <a:pt x="904" y="682"/>
                </a:lnTo>
                <a:lnTo>
                  <a:pt x="910" y="677"/>
                </a:lnTo>
                <a:lnTo>
                  <a:pt x="919" y="676"/>
                </a:lnTo>
                <a:lnTo>
                  <a:pt x="923" y="708"/>
                </a:lnTo>
                <a:lnTo>
                  <a:pt x="940" y="708"/>
                </a:lnTo>
                <a:lnTo>
                  <a:pt x="940" y="735"/>
                </a:lnTo>
                <a:lnTo>
                  <a:pt x="959" y="745"/>
                </a:lnTo>
                <a:lnTo>
                  <a:pt x="1006" y="716"/>
                </a:lnTo>
                <a:lnTo>
                  <a:pt x="1018" y="733"/>
                </a:lnTo>
                <a:lnTo>
                  <a:pt x="1025" y="731"/>
                </a:lnTo>
                <a:lnTo>
                  <a:pt x="1030" y="729"/>
                </a:lnTo>
                <a:lnTo>
                  <a:pt x="1033" y="729"/>
                </a:lnTo>
                <a:lnTo>
                  <a:pt x="1052" y="752"/>
                </a:lnTo>
                <a:lnTo>
                  <a:pt x="1090" y="738"/>
                </a:lnTo>
                <a:lnTo>
                  <a:pt x="1088" y="766"/>
                </a:lnTo>
                <a:lnTo>
                  <a:pt x="1099" y="776"/>
                </a:lnTo>
                <a:lnTo>
                  <a:pt x="1134" y="721"/>
                </a:lnTo>
                <a:lnTo>
                  <a:pt x="1136" y="719"/>
                </a:lnTo>
                <a:lnTo>
                  <a:pt x="1170" y="750"/>
                </a:lnTo>
                <a:lnTo>
                  <a:pt x="1199" y="734"/>
                </a:lnTo>
                <a:lnTo>
                  <a:pt x="1200" y="734"/>
                </a:lnTo>
                <a:lnTo>
                  <a:pt x="1196" y="739"/>
                </a:lnTo>
                <a:lnTo>
                  <a:pt x="1216" y="763"/>
                </a:lnTo>
                <a:lnTo>
                  <a:pt x="1231" y="762"/>
                </a:lnTo>
                <a:lnTo>
                  <a:pt x="1240" y="774"/>
                </a:lnTo>
                <a:lnTo>
                  <a:pt x="1263" y="765"/>
                </a:lnTo>
                <a:lnTo>
                  <a:pt x="1310" y="739"/>
                </a:lnTo>
                <a:lnTo>
                  <a:pt x="1339" y="747"/>
                </a:lnTo>
                <a:lnTo>
                  <a:pt x="1355" y="738"/>
                </a:lnTo>
                <a:lnTo>
                  <a:pt x="1357" y="734"/>
                </a:lnTo>
                <a:lnTo>
                  <a:pt x="1384" y="729"/>
                </a:lnTo>
                <a:lnTo>
                  <a:pt x="1384" y="723"/>
                </a:lnTo>
                <a:lnTo>
                  <a:pt x="1392" y="724"/>
                </a:lnTo>
                <a:lnTo>
                  <a:pt x="1397" y="734"/>
                </a:lnTo>
                <a:lnTo>
                  <a:pt x="1395" y="736"/>
                </a:lnTo>
                <a:lnTo>
                  <a:pt x="1439" y="737"/>
                </a:lnTo>
                <a:lnTo>
                  <a:pt x="1445" y="738"/>
                </a:lnTo>
                <a:lnTo>
                  <a:pt x="1451" y="724"/>
                </a:lnTo>
                <a:lnTo>
                  <a:pt x="1468" y="723"/>
                </a:lnTo>
                <a:lnTo>
                  <a:pt x="1474" y="724"/>
                </a:lnTo>
                <a:lnTo>
                  <a:pt x="1474" y="731"/>
                </a:lnTo>
                <a:lnTo>
                  <a:pt x="1498" y="742"/>
                </a:lnTo>
                <a:lnTo>
                  <a:pt x="1520" y="768"/>
                </a:lnTo>
                <a:lnTo>
                  <a:pt x="1531" y="772"/>
                </a:lnTo>
                <a:lnTo>
                  <a:pt x="1530" y="764"/>
                </a:lnTo>
                <a:lnTo>
                  <a:pt x="1543" y="768"/>
                </a:lnTo>
                <a:lnTo>
                  <a:pt x="1543" y="777"/>
                </a:lnTo>
                <a:lnTo>
                  <a:pt x="1547" y="776"/>
                </a:lnTo>
                <a:lnTo>
                  <a:pt x="1545" y="779"/>
                </a:lnTo>
                <a:lnTo>
                  <a:pt x="1567" y="784"/>
                </a:lnTo>
                <a:lnTo>
                  <a:pt x="1586" y="799"/>
                </a:lnTo>
                <a:lnTo>
                  <a:pt x="1594" y="794"/>
                </a:lnTo>
                <a:lnTo>
                  <a:pt x="1595" y="734"/>
                </a:lnTo>
                <a:lnTo>
                  <a:pt x="1595" y="729"/>
                </a:lnTo>
                <a:lnTo>
                  <a:pt x="1595" y="723"/>
                </a:lnTo>
                <a:lnTo>
                  <a:pt x="1595" y="719"/>
                </a:lnTo>
                <a:lnTo>
                  <a:pt x="1596" y="679"/>
                </a:lnTo>
                <a:lnTo>
                  <a:pt x="1596" y="665"/>
                </a:lnTo>
                <a:lnTo>
                  <a:pt x="1597" y="650"/>
                </a:lnTo>
                <a:lnTo>
                  <a:pt x="1598" y="600"/>
                </a:lnTo>
                <a:lnTo>
                  <a:pt x="1598" y="590"/>
                </a:lnTo>
                <a:lnTo>
                  <a:pt x="1598" y="556"/>
                </a:lnTo>
                <a:lnTo>
                  <a:pt x="1599" y="547"/>
                </a:lnTo>
                <a:lnTo>
                  <a:pt x="1599" y="537"/>
                </a:lnTo>
                <a:lnTo>
                  <a:pt x="1600" y="502"/>
                </a:lnTo>
                <a:lnTo>
                  <a:pt x="1600" y="500"/>
                </a:lnTo>
                <a:lnTo>
                  <a:pt x="1600" y="488"/>
                </a:lnTo>
                <a:lnTo>
                  <a:pt x="1602" y="414"/>
                </a:lnTo>
                <a:lnTo>
                  <a:pt x="1604" y="384"/>
                </a:lnTo>
                <a:lnTo>
                  <a:pt x="1604" y="381"/>
                </a:lnTo>
                <a:lnTo>
                  <a:pt x="1604" y="380"/>
                </a:lnTo>
                <a:lnTo>
                  <a:pt x="1604" y="379"/>
                </a:lnTo>
                <a:lnTo>
                  <a:pt x="1600" y="354"/>
                </a:lnTo>
                <a:lnTo>
                  <a:pt x="1600" y="352"/>
                </a:lnTo>
                <a:lnTo>
                  <a:pt x="1596" y="322"/>
                </a:lnTo>
                <a:lnTo>
                  <a:pt x="1595" y="313"/>
                </a:lnTo>
                <a:lnTo>
                  <a:pt x="1594" y="306"/>
                </a:lnTo>
                <a:lnTo>
                  <a:pt x="1592" y="293"/>
                </a:lnTo>
                <a:lnTo>
                  <a:pt x="1591" y="284"/>
                </a:lnTo>
                <a:lnTo>
                  <a:pt x="1589" y="266"/>
                </a:lnTo>
                <a:lnTo>
                  <a:pt x="1581" y="213"/>
                </a:lnTo>
                <a:lnTo>
                  <a:pt x="1580" y="206"/>
                </a:lnTo>
                <a:lnTo>
                  <a:pt x="1579" y="19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8" name="S_OH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 bwMode="auto">
          <a:xfrm>
            <a:off x="7181290" y="1635499"/>
            <a:ext cx="774326" cy="793937"/>
          </a:xfrm>
          <a:custGeom>
            <a:avLst/>
            <a:gdLst>
              <a:gd name="T0" fmla="*/ 2147483647 w 804"/>
              <a:gd name="T1" fmla="*/ 2147483647 h 841"/>
              <a:gd name="T2" fmla="*/ 2147483647 w 804"/>
              <a:gd name="T3" fmla="*/ 2147483647 h 841"/>
              <a:gd name="T4" fmla="*/ 2147483647 w 804"/>
              <a:gd name="T5" fmla="*/ 2147483647 h 841"/>
              <a:gd name="T6" fmla="*/ 2147483647 w 804"/>
              <a:gd name="T7" fmla="*/ 2147483647 h 841"/>
              <a:gd name="T8" fmla="*/ 2147483647 w 804"/>
              <a:gd name="T9" fmla="*/ 2147483647 h 841"/>
              <a:gd name="T10" fmla="*/ 2147483647 w 804"/>
              <a:gd name="T11" fmla="*/ 2147483647 h 841"/>
              <a:gd name="T12" fmla="*/ 0 w 804"/>
              <a:gd name="T13" fmla="*/ 2147483647 h 841"/>
              <a:gd name="T14" fmla="*/ 0 w 804"/>
              <a:gd name="T15" fmla="*/ 2147483647 h 841"/>
              <a:gd name="T16" fmla="*/ 2147483647 w 804"/>
              <a:gd name="T17" fmla="*/ 2147483647 h 841"/>
              <a:gd name="T18" fmla="*/ 2147483647 w 804"/>
              <a:gd name="T19" fmla="*/ 2147483647 h 841"/>
              <a:gd name="T20" fmla="*/ 2147483647 w 804"/>
              <a:gd name="T21" fmla="*/ 2147483647 h 841"/>
              <a:gd name="T22" fmla="*/ 2147483647 w 804"/>
              <a:gd name="T23" fmla="*/ 2147483647 h 841"/>
              <a:gd name="T24" fmla="*/ 2147483647 w 804"/>
              <a:gd name="T25" fmla="*/ 2147483647 h 841"/>
              <a:gd name="T26" fmla="*/ 2147483647 w 804"/>
              <a:gd name="T27" fmla="*/ 2147483647 h 841"/>
              <a:gd name="T28" fmla="*/ 2147483647 w 804"/>
              <a:gd name="T29" fmla="*/ 2147483647 h 841"/>
              <a:gd name="T30" fmla="*/ 2147483647 w 804"/>
              <a:gd name="T31" fmla="*/ 2147483647 h 841"/>
              <a:gd name="T32" fmla="*/ 2147483647 w 804"/>
              <a:gd name="T33" fmla="*/ 2147483647 h 841"/>
              <a:gd name="T34" fmla="*/ 2147483647 w 804"/>
              <a:gd name="T35" fmla="*/ 2147483647 h 841"/>
              <a:gd name="T36" fmla="*/ 2147483647 w 804"/>
              <a:gd name="T37" fmla="*/ 2147483647 h 841"/>
              <a:gd name="T38" fmla="*/ 2147483647 w 804"/>
              <a:gd name="T39" fmla="*/ 2147483647 h 841"/>
              <a:gd name="T40" fmla="*/ 2147483647 w 804"/>
              <a:gd name="T41" fmla="*/ 2147483647 h 841"/>
              <a:gd name="T42" fmla="*/ 2147483647 w 804"/>
              <a:gd name="T43" fmla="*/ 2147483647 h 841"/>
              <a:gd name="T44" fmla="*/ 2147483647 w 804"/>
              <a:gd name="T45" fmla="*/ 2147483647 h 841"/>
              <a:gd name="T46" fmla="*/ 2147483647 w 804"/>
              <a:gd name="T47" fmla="*/ 2147483647 h 841"/>
              <a:gd name="T48" fmla="*/ 2147483647 w 804"/>
              <a:gd name="T49" fmla="*/ 2147483647 h 841"/>
              <a:gd name="T50" fmla="*/ 2147483647 w 804"/>
              <a:gd name="T51" fmla="*/ 2147483647 h 841"/>
              <a:gd name="T52" fmla="*/ 2147483647 w 804"/>
              <a:gd name="T53" fmla="*/ 2147483647 h 841"/>
              <a:gd name="T54" fmla="*/ 2147483647 w 804"/>
              <a:gd name="T55" fmla="*/ 2147483647 h 841"/>
              <a:gd name="T56" fmla="*/ 2147483647 w 804"/>
              <a:gd name="T57" fmla="*/ 2147483647 h 841"/>
              <a:gd name="T58" fmla="*/ 2147483647 w 804"/>
              <a:gd name="T59" fmla="*/ 2147483647 h 841"/>
              <a:gd name="T60" fmla="*/ 2147483647 w 804"/>
              <a:gd name="T61" fmla="*/ 2147483647 h 841"/>
              <a:gd name="T62" fmla="*/ 2147483647 w 804"/>
              <a:gd name="T63" fmla="*/ 2147483647 h 841"/>
              <a:gd name="T64" fmla="*/ 2147483647 w 804"/>
              <a:gd name="T65" fmla="*/ 2147483647 h 841"/>
              <a:gd name="T66" fmla="*/ 2147483647 w 804"/>
              <a:gd name="T67" fmla="*/ 2147483647 h 841"/>
              <a:gd name="T68" fmla="*/ 2147483647 w 804"/>
              <a:gd name="T69" fmla="*/ 2147483647 h 841"/>
              <a:gd name="T70" fmla="*/ 2147483647 w 804"/>
              <a:gd name="T71" fmla="*/ 2147483647 h 841"/>
              <a:gd name="T72" fmla="*/ 2147483647 w 804"/>
              <a:gd name="T73" fmla="*/ 2147483647 h 841"/>
              <a:gd name="T74" fmla="*/ 2147483647 w 804"/>
              <a:gd name="T75" fmla="*/ 2147483647 h 841"/>
              <a:gd name="T76" fmla="*/ 2147483647 w 804"/>
              <a:gd name="T77" fmla="*/ 2147483647 h 841"/>
              <a:gd name="T78" fmla="*/ 2147483647 w 804"/>
              <a:gd name="T79" fmla="*/ 2147483647 h 841"/>
              <a:gd name="T80" fmla="*/ 2147483647 w 804"/>
              <a:gd name="T81" fmla="*/ 2147483647 h 841"/>
              <a:gd name="T82" fmla="*/ 2147483647 w 804"/>
              <a:gd name="T83" fmla="*/ 2147483647 h 841"/>
              <a:gd name="T84" fmla="*/ 2147483647 w 804"/>
              <a:gd name="T85" fmla="*/ 2147483647 h 841"/>
              <a:gd name="T86" fmla="*/ 2147483647 w 804"/>
              <a:gd name="T87" fmla="*/ 2147483647 h 841"/>
              <a:gd name="T88" fmla="*/ 2147483647 w 804"/>
              <a:gd name="T89" fmla="*/ 2147483647 h 841"/>
              <a:gd name="T90" fmla="*/ 2147483647 w 804"/>
              <a:gd name="T91" fmla="*/ 2147483647 h 841"/>
              <a:gd name="T92" fmla="*/ 2147483647 w 804"/>
              <a:gd name="T93" fmla="*/ 2147483647 h 841"/>
              <a:gd name="T94" fmla="*/ 2147483647 w 804"/>
              <a:gd name="T95" fmla="*/ 2147483647 h 841"/>
              <a:gd name="T96" fmla="*/ 2147483647 w 804"/>
              <a:gd name="T97" fmla="*/ 2147483647 h 841"/>
              <a:gd name="T98" fmla="*/ 2147483647 w 804"/>
              <a:gd name="T99" fmla="*/ 2147483647 h 841"/>
              <a:gd name="T100" fmla="*/ 2147483647 w 804"/>
              <a:gd name="T101" fmla="*/ 2147483647 h 841"/>
              <a:gd name="T102" fmla="*/ 2147483647 w 804"/>
              <a:gd name="T103" fmla="*/ 2147483647 h 841"/>
              <a:gd name="T104" fmla="*/ 2147483647 w 804"/>
              <a:gd name="T105" fmla="*/ 2147483647 h 841"/>
              <a:gd name="T106" fmla="*/ 2147483647 w 804"/>
              <a:gd name="T107" fmla="*/ 2147483647 h 841"/>
              <a:gd name="T108" fmla="*/ 2147483647 w 804"/>
              <a:gd name="T109" fmla="*/ 2147483647 h 841"/>
              <a:gd name="T110" fmla="*/ 2147483647 w 804"/>
              <a:gd name="T111" fmla="*/ 2147483647 h 841"/>
              <a:gd name="T112" fmla="*/ 2147483647 w 804"/>
              <a:gd name="T113" fmla="*/ 2147483647 h 841"/>
              <a:gd name="T114" fmla="*/ 2147483647 w 804"/>
              <a:gd name="T115" fmla="*/ 2147483647 h 841"/>
              <a:gd name="T116" fmla="*/ 2147483647 w 804"/>
              <a:gd name="T117" fmla="*/ 2147483647 h 841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804"/>
              <a:gd name="T178" fmla="*/ 0 h 841"/>
              <a:gd name="T179" fmla="*/ 804 w 804"/>
              <a:gd name="T180" fmla="*/ 841 h 841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804" h="841">
                <a:moveTo>
                  <a:pt x="208" y="787"/>
                </a:moveTo>
                <a:lnTo>
                  <a:pt x="200" y="785"/>
                </a:lnTo>
                <a:lnTo>
                  <a:pt x="180" y="762"/>
                </a:lnTo>
                <a:lnTo>
                  <a:pt x="171" y="758"/>
                </a:lnTo>
                <a:lnTo>
                  <a:pt x="154" y="754"/>
                </a:lnTo>
                <a:lnTo>
                  <a:pt x="153" y="754"/>
                </a:lnTo>
                <a:lnTo>
                  <a:pt x="143" y="756"/>
                </a:lnTo>
                <a:lnTo>
                  <a:pt x="130" y="753"/>
                </a:lnTo>
                <a:lnTo>
                  <a:pt x="110" y="744"/>
                </a:lnTo>
                <a:lnTo>
                  <a:pt x="110" y="732"/>
                </a:lnTo>
                <a:lnTo>
                  <a:pt x="104" y="721"/>
                </a:lnTo>
                <a:lnTo>
                  <a:pt x="101" y="716"/>
                </a:lnTo>
                <a:lnTo>
                  <a:pt x="93" y="698"/>
                </a:lnTo>
                <a:lnTo>
                  <a:pt x="83" y="692"/>
                </a:lnTo>
                <a:lnTo>
                  <a:pt x="62" y="677"/>
                </a:lnTo>
                <a:lnTo>
                  <a:pt x="58" y="680"/>
                </a:lnTo>
                <a:lnTo>
                  <a:pt x="37" y="686"/>
                </a:lnTo>
                <a:lnTo>
                  <a:pt x="36" y="685"/>
                </a:lnTo>
                <a:lnTo>
                  <a:pt x="12" y="668"/>
                </a:lnTo>
                <a:lnTo>
                  <a:pt x="7" y="673"/>
                </a:lnTo>
                <a:lnTo>
                  <a:pt x="0" y="678"/>
                </a:lnTo>
                <a:lnTo>
                  <a:pt x="0" y="673"/>
                </a:lnTo>
                <a:lnTo>
                  <a:pt x="0" y="661"/>
                </a:lnTo>
                <a:lnTo>
                  <a:pt x="0" y="630"/>
                </a:lnTo>
                <a:lnTo>
                  <a:pt x="1" y="594"/>
                </a:lnTo>
                <a:lnTo>
                  <a:pt x="1" y="584"/>
                </a:lnTo>
                <a:lnTo>
                  <a:pt x="1" y="579"/>
                </a:lnTo>
                <a:lnTo>
                  <a:pt x="1" y="569"/>
                </a:lnTo>
                <a:lnTo>
                  <a:pt x="1" y="563"/>
                </a:lnTo>
                <a:lnTo>
                  <a:pt x="1" y="558"/>
                </a:lnTo>
                <a:lnTo>
                  <a:pt x="1" y="532"/>
                </a:lnTo>
                <a:lnTo>
                  <a:pt x="1" y="508"/>
                </a:lnTo>
                <a:lnTo>
                  <a:pt x="1" y="496"/>
                </a:lnTo>
                <a:lnTo>
                  <a:pt x="1" y="486"/>
                </a:lnTo>
                <a:lnTo>
                  <a:pt x="2" y="466"/>
                </a:lnTo>
                <a:lnTo>
                  <a:pt x="2" y="465"/>
                </a:lnTo>
                <a:lnTo>
                  <a:pt x="2" y="436"/>
                </a:lnTo>
                <a:lnTo>
                  <a:pt x="3" y="408"/>
                </a:lnTo>
                <a:lnTo>
                  <a:pt x="3" y="394"/>
                </a:lnTo>
                <a:lnTo>
                  <a:pt x="3" y="383"/>
                </a:lnTo>
                <a:lnTo>
                  <a:pt x="3" y="369"/>
                </a:lnTo>
                <a:lnTo>
                  <a:pt x="3" y="349"/>
                </a:lnTo>
                <a:lnTo>
                  <a:pt x="3" y="332"/>
                </a:lnTo>
                <a:lnTo>
                  <a:pt x="3" y="319"/>
                </a:lnTo>
                <a:lnTo>
                  <a:pt x="3" y="294"/>
                </a:lnTo>
                <a:lnTo>
                  <a:pt x="3" y="290"/>
                </a:lnTo>
                <a:lnTo>
                  <a:pt x="3" y="260"/>
                </a:lnTo>
                <a:lnTo>
                  <a:pt x="3" y="248"/>
                </a:lnTo>
                <a:lnTo>
                  <a:pt x="3" y="233"/>
                </a:lnTo>
                <a:lnTo>
                  <a:pt x="3" y="230"/>
                </a:lnTo>
                <a:lnTo>
                  <a:pt x="3" y="201"/>
                </a:lnTo>
                <a:lnTo>
                  <a:pt x="3" y="171"/>
                </a:lnTo>
                <a:lnTo>
                  <a:pt x="3" y="167"/>
                </a:lnTo>
                <a:lnTo>
                  <a:pt x="3" y="145"/>
                </a:lnTo>
                <a:lnTo>
                  <a:pt x="3" y="142"/>
                </a:lnTo>
                <a:lnTo>
                  <a:pt x="3" y="129"/>
                </a:lnTo>
                <a:lnTo>
                  <a:pt x="3" y="105"/>
                </a:lnTo>
                <a:lnTo>
                  <a:pt x="2" y="66"/>
                </a:lnTo>
                <a:lnTo>
                  <a:pt x="12" y="65"/>
                </a:lnTo>
                <a:lnTo>
                  <a:pt x="64" y="64"/>
                </a:lnTo>
                <a:lnTo>
                  <a:pt x="78" y="64"/>
                </a:lnTo>
                <a:lnTo>
                  <a:pt x="85" y="63"/>
                </a:lnTo>
                <a:lnTo>
                  <a:pt x="117" y="62"/>
                </a:lnTo>
                <a:lnTo>
                  <a:pt x="175" y="60"/>
                </a:lnTo>
                <a:lnTo>
                  <a:pt x="198" y="60"/>
                </a:lnTo>
                <a:lnTo>
                  <a:pt x="229" y="58"/>
                </a:lnTo>
                <a:lnTo>
                  <a:pt x="235" y="58"/>
                </a:lnTo>
                <a:lnTo>
                  <a:pt x="255" y="58"/>
                </a:lnTo>
                <a:lnTo>
                  <a:pt x="269" y="68"/>
                </a:lnTo>
                <a:lnTo>
                  <a:pt x="293" y="75"/>
                </a:lnTo>
                <a:lnTo>
                  <a:pt x="309" y="83"/>
                </a:lnTo>
                <a:lnTo>
                  <a:pt x="340" y="103"/>
                </a:lnTo>
                <a:lnTo>
                  <a:pt x="387" y="101"/>
                </a:lnTo>
                <a:lnTo>
                  <a:pt x="396" y="114"/>
                </a:lnTo>
                <a:lnTo>
                  <a:pt x="411" y="127"/>
                </a:lnTo>
                <a:lnTo>
                  <a:pt x="433" y="140"/>
                </a:lnTo>
                <a:lnTo>
                  <a:pt x="462" y="129"/>
                </a:lnTo>
                <a:lnTo>
                  <a:pt x="480" y="127"/>
                </a:lnTo>
                <a:lnTo>
                  <a:pt x="502" y="116"/>
                </a:lnTo>
                <a:lnTo>
                  <a:pt x="533" y="111"/>
                </a:lnTo>
                <a:lnTo>
                  <a:pt x="551" y="116"/>
                </a:lnTo>
                <a:lnTo>
                  <a:pt x="574" y="115"/>
                </a:lnTo>
                <a:lnTo>
                  <a:pt x="622" y="81"/>
                </a:lnTo>
                <a:lnTo>
                  <a:pt x="638" y="65"/>
                </a:lnTo>
                <a:lnTo>
                  <a:pt x="644" y="62"/>
                </a:lnTo>
                <a:lnTo>
                  <a:pt x="713" y="29"/>
                </a:lnTo>
                <a:lnTo>
                  <a:pt x="714" y="29"/>
                </a:lnTo>
                <a:lnTo>
                  <a:pt x="804" y="0"/>
                </a:lnTo>
                <a:lnTo>
                  <a:pt x="804" y="23"/>
                </a:lnTo>
                <a:lnTo>
                  <a:pt x="804" y="30"/>
                </a:lnTo>
                <a:lnTo>
                  <a:pt x="804" y="62"/>
                </a:lnTo>
                <a:lnTo>
                  <a:pt x="804" y="82"/>
                </a:lnTo>
                <a:lnTo>
                  <a:pt x="804" y="112"/>
                </a:lnTo>
                <a:lnTo>
                  <a:pt x="804" y="114"/>
                </a:lnTo>
                <a:lnTo>
                  <a:pt x="804" y="142"/>
                </a:lnTo>
                <a:lnTo>
                  <a:pt x="804" y="161"/>
                </a:lnTo>
                <a:lnTo>
                  <a:pt x="804" y="199"/>
                </a:lnTo>
                <a:lnTo>
                  <a:pt x="804" y="201"/>
                </a:lnTo>
                <a:lnTo>
                  <a:pt x="804" y="230"/>
                </a:lnTo>
                <a:lnTo>
                  <a:pt x="804" y="236"/>
                </a:lnTo>
                <a:lnTo>
                  <a:pt x="804" y="253"/>
                </a:lnTo>
                <a:lnTo>
                  <a:pt x="804" y="260"/>
                </a:lnTo>
                <a:lnTo>
                  <a:pt x="804" y="265"/>
                </a:lnTo>
                <a:lnTo>
                  <a:pt x="804" y="279"/>
                </a:lnTo>
                <a:lnTo>
                  <a:pt x="804" y="295"/>
                </a:lnTo>
                <a:lnTo>
                  <a:pt x="804" y="316"/>
                </a:lnTo>
                <a:lnTo>
                  <a:pt x="797" y="319"/>
                </a:lnTo>
                <a:lnTo>
                  <a:pt x="784" y="320"/>
                </a:lnTo>
                <a:lnTo>
                  <a:pt x="777" y="329"/>
                </a:lnTo>
                <a:lnTo>
                  <a:pt x="786" y="349"/>
                </a:lnTo>
                <a:lnTo>
                  <a:pt x="784" y="372"/>
                </a:lnTo>
                <a:lnTo>
                  <a:pt x="783" y="373"/>
                </a:lnTo>
                <a:lnTo>
                  <a:pt x="787" y="378"/>
                </a:lnTo>
                <a:lnTo>
                  <a:pt x="784" y="404"/>
                </a:lnTo>
                <a:lnTo>
                  <a:pt x="774" y="423"/>
                </a:lnTo>
                <a:lnTo>
                  <a:pt x="770" y="429"/>
                </a:lnTo>
                <a:lnTo>
                  <a:pt x="768" y="436"/>
                </a:lnTo>
                <a:lnTo>
                  <a:pt x="764" y="459"/>
                </a:lnTo>
                <a:lnTo>
                  <a:pt x="762" y="474"/>
                </a:lnTo>
                <a:lnTo>
                  <a:pt x="752" y="486"/>
                </a:lnTo>
                <a:lnTo>
                  <a:pt x="748" y="502"/>
                </a:lnTo>
                <a:lnTo>
                  <a:pt x="740" y="525"/>
                </a:lnTo>
                <a:lnTo>
                  <a:pt x="746" y="533"/>
                </a:lnTo>
                <a:lnTo>
                  <a:pt x="737" y="554"/>
                </a:lnTo>
                <a:lnTo>
                  <a:pt x="737" y="555"/>
                </a:lnTo>
                <a:lnTo>
                  <a:pt x="724" y="560"/>
                </a:lnTo>
                <a:lnTo>
                  <a:pt x="714" y="569"/>
                </a:lnTo>
                <a:lnTo>
                  <a:pt x="707" y="576"/>
                </a:lnTo>
                <a:lnTo>
                  <a:pt x="697" y="584"/>
                </a:lnTo>
                <a:lnTo>
                  <a:pt x="697" y="585"/>
                </a:lnTo>
                <a:lnTo>
                  <a:pt x="691" y="595"/>
                </a:lnTo>
                <a:lnTo>
                  <a:pt x="667" y="611"/>
                </a:lnTo>
                <a:lnTo>
                  <a:pt x="659" y="614"/>
                </a:lnTo>
                <a:lnTo>
                  <a:pt x="645" y="622"/>
                </a:lnTo>
                <a:lnTo>
                  <a:pt x="620" y="614"/>
                </a:lnTo>
                <a:lnTo>
                  <a:pt x="607" y="640"/>
                </a:lnTo>
                <a:lnTo>
                  <a:pt x="584" y="644"/>
                </a:lnTo>
                <a:lnTo>
                  <a:pt x="579" y="652"/>
                </a:lnTo>
                <a:lnTo>
                  <a:pt x="574" y="659"/>
                </a:lnTo>
                <a:lnTo>
                  <a:pt x="572" y="660"/>
                </a:lnTo>
                <a:lnTo>
                  <a:pt x="574" y="664"/>
                </a:lnTo>
                <a:lnTo>
                  <a:pt x="575" y="673"/>
                </a:lnTo>
                <a:lnTo>
                  <a:pt x="574" y="680"/>
                </a:lnTo>
                <a:lnTo>
                  <a:pt x="564" y="717"/>
                </a:lnTo>
                <a:lnTo>
                  <a:pt x="551" y="731"/>
                </a:lnTo>
                <a:lnTo>
                  <a:pt x="544" y="732"/>
                </a:lnTo>
                <a:lnTo>
                  <a:pt x="527" y="697"/>
                </a:lnTo>
                <a:lnTo>
                  <a:pt x="518" y="703"/>
                </a:lnTo>
                <a:lnTo>
                  <a:pt x="509" y="713"/>
                </a:lnTo>
                <a:lnTo>
                  <a:pt x="491" y="762"/>
                </a:lnTo>
                <a:lnTo>
                  <a:pt x="495" y="792"/>
                </a:lnTo>
                <a:lnTo>
                  <a:pt x="487" y="799"/>
                </a:lnTo>
                <a:lnTo>
                  <a:pt x="480" y="797"/>
                </a:lnTo>
                <a:lnTo>
                  <a:pt x="479" y="797"/>
                </a:lnTo>
                <a:lnTo>
                  <a:pt x="474" y="801"/>
                </a:lnTo>
                <a:lnTo>
                  <a:pt x="470" y="821"/>
                </a:lnTo>
                <a:lnTo>
                  <a:pt x="457" y="836"/>
                </a:lnTo>
                <a:lnTo>
                  <a:pt x="433" y="841"/>
                </a:lnTo>
                <a:lnTo>
                  <a:pt x="416" y="839"/>
                </a:lnTo>
                <a:lnTo>
                  <a:pt x="411" y="826"/>
                </a:lnTo>
                <a:lnTo>
                  <a:pt x="403" y="820"/>
                </a:lnTo>
                <a:lnTo>
                  <a:pt x="387" y="807"/>
                </a:lnTo>
                <a:lnTo>
                  <a:pt x="374" y="805"/>
                </a:lnTo>
                <a:lnTo>
                  <a:pt x="367" y="792"/>
                </a:lnTo>
                <a:lnTo>
                  <a:pt x="362" y="762"/>
                </a:lnTo>
                <a:lnTo>
                  <a:pt x="335" y="767"/>
                </a:lnTo>
                <a:lnTo>
                  <a:pt x="313" y="792"/>
                </a:lnTo>
                <a:lnTo>
                  <a:pt x="296" y="791"/>
                </a:lnTo>
                <a:lnTo>
                  <a:pt x="290" y="793"/>
                </a:lnTo>
                <a:lnTo>
                  <a:pt x="285" y="798"/>
                </a:lnTo>
                <a:lnTo>
                  <a:pt x="270" y="783"/>
                </a:lnTo>
                <a:lnTo>
                  <a:pt x="241" y="772"/>
                </a:lnTo>
                <a:lnTo>
                  <a:pt x="223" y="779"/>
                </a:lnTo>
                <a:lnTo>
                  <a:pt x="219" y="789"/>
                </a:lnTo>
                <a:lnTo>
                  <a:pt x="211" y="790"/>
                </a:lnTo>
                <a:lnTo>
                  <a:pt x="209" y="789"/>
                </a:lnTo>
                <a:lnTo>
                  <a:pt x="208" y="78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19" name="S_NY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 bwMode="auto">
          <a:xfrm>
            <a:off x="8091767" y="969869"/>
            <a:ext cx="1405778" cy="998444"/>
          </a:xfrm>
          <a:custGeom>
            <a:avLst/>
            <a:gdLst>
              <a:gd name="T0" fmla="*/ 2147483647 w 1462"/>
              <a:gd name="T1" fmla="*/ 2147483647 h 1066"/>
              <a:gd name="T2" fmla="*/ 2147483647 w 1462"/>
              <a:gd name="T3" fmla="*/ 2147483647 h 1066"/>
              <a:gd name="T4" fmla="*/ 2147483647 w 1462"/>
              <a:gd name="T5" fmla="*/ 2147483647 h 1066"/>
              <a:gd name="T6" fmla="*/ 2147483647 w 1462"/>
              <a:gd name="T7" fmla="*/ 2147483647 h 1066"/>
              <a:gd name="T8" fmla="*/ 2147483647 w 1462"/>
              <a:gd name="T9" fmla="*/ 2147483647 h 1066"/>
              <a:gd name="T10" fmla="*/ 2147483647 w 1462"/>
              <a:gd name="T11" fmla="*/ 2147483647 h 1066"/>
              <a:gd name="T12" fmla="*/ 2147483647 w 1462"/>
              <a:gd name="T13" fmla="*/ 2147483647 h 1066"/>
              <a:gd name="T14" fmla="*/ 2147483647 w 1462"/>
              <a:gd name="T15" fmla="*/ 2147483647 h 1066"/>
              <a:gd name="T16" fmla="*/ 2147483647 w 1462"/>
              <a:gd name="T17" fmla="*/ 2147483647 h 1066"/>
              <a:gd name="T18" fmla="*/ 2147483647 w 1462"/>
              <a:gd name="T19" fmla="*/ 2147483647 h 1066"/>
              <a:gd name="T20" fmla="*/ 2147483647 w 1462"/>
              <a:gd name="T21" fmla="*/ 2147483647 h 1066"/>
              <a:gd name="T22" fmla="*/ 2147483647 w 1462"/>
              <a:gd name="T23" fmla="*/ 2147483647 h 1066"/>
              <a:gd name="T24" fmla="*/ 2147483647 w 1462"/>
              <a:gd name="T25" fmla="*/ 2147483647 h 1066"/>
              <a:gd name="T26" fmla="*/ 2147483647 w 1462"/>
              <a:gd name="T27" fmla="*/ 2147483647 h 1066"/>
              <a:gd name="T28" fmla="*/ 0 w 1462"/>
              <a:gd name="T29" fmla="*/ 2147483647 h 1066"/>
              <a:gd name="T30" fmla="*/ 2147483647 w 1462"/>
              <a:gd name="T31" fmla="*/ 2147483647 h 1066"/>
              <a:gd name="T32" fmla="*/ 2147483647 w 1462"/>
              <a:gd name="T33" fmla="*/ 2147483647 h 1066"/>
              <a:gd name="T34" fmla="*/ 2147483647 w 1462"/>
              <a:gd name="T35" fmla="*/ 2147483647 h 1066"/>
              <a:gd name="T36" fmla="*/ 2147483647 w 1462"/>
              <a:gd name="T37" fmla="*/ 2147483647 h 1066"/>
              <a:gd name="T38" fmla="*/ 2147483647 w 1462"/>
              <a:gd name="T39" fmla="*/ 2147483647 h 1066"/>
              <a:gd name="T40" fmla="*/ 2147483647 w 1462"/>
              <a:gd name="T41" fmla="*/ 2147483647 h 1066"/>
              <a:gd name="T42" fmla="*/ 2147483647 w 1462"/>
              <a:gd name="T43" fmla="*/ 2147483647 h 1066"/>
              <a:gd name="T44" fmla="*/ 2147483647 w 1462"/>
              <a:gd name="T45" fmla="*/ 2147483647 h 1066"/>
              <a:gd name="T46" fmla="*/ 2147483647 w 1462"/>
              <a:gd name="T47" fmla="*/ 2147483647 h 1066"/>
              <a:gd name="T48" fmla="*/ 2147483647 w 1462"/>
              <a:gd name="T49" fmla="*/ 2147483647 h 1066"/>
              <a:gd name="T50" fmla="*/ 2147483647 w 1462"/>
              <a:gd name="T51" fmla="*/ 2147483647 h 1066"/>
              <a:gd name="T52" fmla="*/ 2147483647 w 1462"/>
              <a:gd name="T53" fmla="*/ 2147483647 h 1066"/>
              <a:gd name="T54" fmla="*/ 2147483647 w 1462"/>
              <a:gd name="T55" fmla="*/ 2147483647 h 1066"/>
              <a:gd name="T56" fmla="*/ 2147483647 w 1462"/>
              <a:gd name="T57" fmla="*/ 2147483647 h 1066"/>
              <a:gd name="T58" fmla="*/ 2147483647 w 1462"/>
              <a:gd name="T59" fmla="*/ 2147483647 h 1066"/>
              <a:gd name="T60" fmla="*/ 2147483647 w 1462"/>
              <a:gd name="T61" fmla="*/ 2147483647 h 1066"/>
              <a:gd name="T62" fmla="*/ 2147483647 w 1462"/>
              <a:gd name="T63" fmla="*/ 2147483647 h 1066"/>
              <a:gd name="T64" fmla="*/ 2147483647 w 1462"/>
              <a:gd name="T65" fmla="*/ 2147483647 h 1066"/>
              <a:gd name="T66" fmla="*/ 2147483647 w 1462"/>
              <a:gd name="T67" fmla="*/ 2147483647 h 1066"/>
              <a:gd name="T68" fmla="*/ 2147483647 w 1462"/>
              <a:gd name="T69" fmla="*/ 2147483647 h 1066"/>
              <a:gd name="T70" fmla="*/ 2147483647 w 1462"/>
              <a:gd name="T71" fmla="*/ 2147483647 h 1066"/>
              <a:gd name="T72" fmla="*/ 2147483647 w 1462"/>
              <a:gd name="T73" fmla="*/ 2147483647 h 1066"/>
              <a:gd name="T74" fmla="*/ 2147483647 w 1462"/>
              <a:gd name="T75" fmla="*/ 2147483647 h 1066"/>
              <a:gd name="T76" fmla="*/ 2147483647 w 1462"/>
              <a:gd name="T77" fmla="*/ 2147483647 h 1066"/>
              <a:gd name="T78" fmla="*/ 2147483647 w 1462"/>
              <a:gd name="T79" fmla="*/ 2147483647 h 1066"/>
              <a:gd name="T80" fmla="*/ 2147483647 w 1462"/>
              <a:gd name="T81" fmla="*/ 2147483647 h 1066"/>
              <a:gd name="T82" fmla="*/ 2147483647 w 1462"/>
              <a:gd name="T83" fmla="*/ 2147483647 h 1066"/>
              <a:gd name="T84" fmla="*/ 2147483647 w 1462"/>
              <a:gd name="T85" fmla="*/ 2147483647 h 1066"/>
              <a:gd name="T86" fmla="*/ 2147483647 w 1462"/>
              <a:gd name="T87" fmla="*/ 2147483647 h 1066"/>
              <a:gd name="T88" fmla="*/ 2147483647 w 1462"/>
              <a:gd name="T89" fmla="*/ 2147483647 h 1066"/>
              <a:gd name="T90" fmla="*/ 2147483647 w 1462"/>
              <a:gd name="T91" fmla="*/ 2147483647 h 1066"/>
              <a:gd name="T92" fmla="*/ 2147483647 w 1462"/>
              <a:gd name="T93" fmla="*/ 2147483647 h 1066"/>
              <a:gd name="T94" fmla="*/ 2147483647 w 1462"/>
              <a:gd name="T95" fmla="*/ 2147483647 h 1066"/>
              <a:gd name="T96" fmla="*/ 2147483647 w 1462"/>
              <a:gd name="T97" fmla="*/ 2147483647 h 1066"/>
              <a:gd name="T98" fmla="*/ 2147483647 w 1462"/>
              <a:gd name="T99" fmla="*/ 2147483647 h 1066"/>
              <a:gd name="T100" fmla="*/ 2147483647 w 1462"/>
              <a:gd name="T101" fmla="*/ 2147483647 h 1066"/>
              <a:gd name="T102" fmla="*/ 2147483647 w 1462"/>
              <a:gd name="T103" fmla="*/ 2147483647 h 106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1462"/>
              <a:gd name="T157" fmla="*/ 0 h 1066"/>
              <a:gd name="T158" fmla="*/ 1462 w 1462"/>
              <a:gd name="T159" fmla="*/ 1066 h 1066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1462" h="1066">
                <a:moveTo>
                  <a:pt x="1098" y="948"/>
                </a:moveTo>
                <a:lnTo>
                  <a:pt x="1096" y="948"/>
                </a:lnTo>
                <a:lnTo>
                  <a:pt x="1052" y="923"/>
                </a:lnTo>
                <a:lnTo>
                  <a:pt x="1038" y="916"/>
                </a:lnTo>
                <a:lnTo>
                  <a:pt x="1036" y="915"/>
                </a:lnTo>
                <a:lnTo>
                  <a:pt x="1033" y="914"/>
                </a:lnTo>
                <a:lnTo>
                  <a:pt x="1027" y="911"/>
                </a:lnTo>
                <a:lnTo>
                  <a:pt x="1015" y="903"/>
                </a:lnTo>
                <a:lnTo>
                  <a:pt x="1009" y="900"/>
                </a:lnTo>
                <a:lnTo>
                  <a:pt x="991" y="888"/>
                </a:lnTo>
                <a:lnTo>
                  <a:pt x="975" y="878"/>
                </a:lnTo>
                <a:lnTo>
                  <a:pt x="948" y="863"/>
                </a:lnTo>
                <a:lnTo>
                  <a:pt x="946" y="859"/>
                </a:lnTo>
                <a:lnTo>
                  <a:pt x="937" y="846"/>
                </a:lnTo>
                <a:lnTo>
                  <a:pt x="936" y="847"/>
                </a:lnTo>
                <a:lnTo>
                  <a:pt x="914" y="843"/>
                </a:lnTo>
                <a:lnTo>
                  <a:pt x="890" y="827"/>
                </a:lnTo>
                <a:lnTo>
                  <a:pt x="877" y="805"/>
                </a:lnTo>
                <a:lnTo>
                  <a:pt x="882" y="799"/>
                </a:lnTo>
                <a:lnTo>
                  <a:pt x="880" y="770"/>
                </a:lnTo>
                <a:lnTo>
                  <a:pt x="863" y="747"/>
                </a:lnTo>
                <a:lnTo>
                  <a:pt x="859" y="742"/>
                </a:lnTo>
                <a:lnTo>
                  <a:pt x="844" y="744"/>
                </a:lnTo>
                <a:lnTo>
                  <a:pt x="823" y="711"/>
                </a:lnTo>
                <a:lnTo>
                  <a:pt x="821" y="710"/>
                </a:lnTo>
                <a:lnTo>
                  <a:pt x="800" y="711"/>
                </a:lnTo>
                <a:lnTo>
                  <a:pt x="741" y="711"/>
                </a:lnTo>
                <a:lnTo>
                  <a:pt x="704" y="711"/>
                </a:lnTo>
                <a:lnTo>
                  <a:pt x="684" y="711"/>
                </a:lnTo>
                <a:lnTo>
                  <a:pt x="680" y="711"/>
                </a:lnTo>
                <a:lnTo>
                  <a:pt x="676" y="711"/>
                </a:lnTo>
                <a:lnTo>
                  <a:pt x="657" y="711"/>
                </a:lnTo>
                <a:lnTo>
                  <a:pt x="633" y="711"/>
                </a:lnTo>
                <a:lnTo>
                  <a:pt x="599" y="711"/>
                </a:lnTo>
                <a:lnTo>
                  <a:pt x="555" y="710"/>
                </a:lnTo>
                <a:lnTo>
                  <a:pt x="540" y="710"/>
                </a:lnTo>
                <a:lnTo>
                  <a:pt x="530" y="710"/>
                </a:lnTo>
                <a:lnTo>
                  <a:pt x="523" y="710"/>
                </a:lnTo>
                <a:lnTo>
                  <a:pt x="501" y="711"/>
                </a:lnTo>
                <a:lnTo>
                  <a:pt x="421" y="711"/>
                </a:lnTo>
                <a:lnTo>
                  <a:pt x="402" y="711"/>
                </a:lnTo>
                <a:lnTo>
                  <a:pt x="400" y="711"/>
                </a:lnTo>
                <a:lnTo>
                  <a:pt x="384" y="711"/>
                </a:lnTo>
                <a:lnTo>
                  <a:pt x="376" y="711"/>
                </a:lnTo>
                <a:lnTo>
                  <a:pt x="347" y="711"/>
                </a:lnTo>
                <a:lnTo>
                  <a:pt x="306" y="711"/>
                </a:lnTo>
                <a:lnTo>
                  <a:pt x="291" y="711"/>
                </a:lnTo>
                <a:lnTo>
                  <a:pt x="282" y="711"/>
                </a:lnTo>
                <a:lnTo>
                  <a:pt x="271" y="711"/>
                </a:lnTo>
                <a:lnTo>
                  <a:pt x="213" y="711"/>
                </a:lnTo>
                <a:lnTo>
                  <a:pt x="169" y="711"/>
                </a:lnTo>
                <a:lnTo>
                  <a:pt x="157" y="711"/>
                </a:lnTo>
                <a:lnTo>
                  <a:pt x="144" y="711"/>
                </a:lnTo>
                <a:lnTo>
                  <a:pt x="142" y="711"/>
                </a:lnTo>
                <a:lnTo>
                  <a:pt x="130" y="711"/>
                </a:lnTo>
                <a:lnTo>
                  <a:pt x="109" y="711"/>
                </a:lnTo>
                <a:lnTo>
                  <a:pt x="54" y="711"/>
                </a:lnTo>
                <a:lnTo>
                  <a:pt x="29" y="711"/>
                </a:lnTo>
                <a:lnTo>
                  <a:pt x="21" y="711"/>
                </a:lnTo>
                <a:lnTo>
                  <a:pt x="0" y="711"/>
                </a:lnTo>
                <a:lnTo>
                  <a:pt x="0" y="647"/>
                </a:lnTo>
                <a:lnTo>
                  <a:pt x="25" y="633"/>
                </a:lnTo>
                <a:lnTo>
                  <a:pt x="82" y="593"/>
                </a:lnTo>
                <a:lnTo>
                  <a:pt x="116" y="577"/>
                </a:lnTo>
                <a:lnTo>
                  <a:pt x="142" y="544"/>
                </a:lnTo>
                <a:lnTo>
                  <a:pt x="161" y="534"/>
                </a:lnTo>
                <a:lnTo>
                  <a:pt x="157" y="488"/>
                </a:lnTo>
                <a:lnTo>
                  <a:pt x="140" y="478"/>
                </a:lnTo>
                <a:lnTo>
                  <a:pt x="139" y="459"/>
                </a:lnTo>
                <a:lnTo>
                  <a:pt x="131" y="448"/>
                </a:lnTo>
                <a:lnTo>
                  <a:pt x="129" y="413"/>
                </a:lnTo>
                <a:lnTo>
                  <a:pt x="243" y="387"/>
                </a:lnTo>
                <a:lnTo>
                  <a:pt x="303" y="386"/>
                </a:lnTo>
                <a:lnTo>
                  <a:pt x="304" y="386"/>
                </a:lnTo>
                <a:lnTo>
                  <a:pt x="330" y="388"/>
                </a:lnTo>
                <a:lnTo>
                  <a:pt x="376" y="396"/>
                </a:lnTo>
                <a:lnTo>
                  <a:pt x="416" y="419"/>
                </a:lnTo>
                <a:lnTo>
                  <a:pt x="446" y="410"/>
                </a:lnTo>
                <a:lnTo>
                  <a:pt x="492" y="407"/>
                </a:lnTo>
                <a:lnTo>
                  <a:pt x="516" y="411"/>
                </a:lnTo>
                <a:lnTo>
                  <a:pt x="568" y="394"/>
                </a:lnTo>
                <a:lnTo>
                  <a:pt x="569" y="394"/>
                </a:lnTo>
                <a:lnTo>
                  <a:pt x="580" y="386"/>
                </a:lnTo>
                <a:lnTo>
                  <a:pt x="588" y="376"/>
                </a:lnTo>
                <a:lnTo>
                  <a:pt x="618" y="357"/>
                </a:lnTo>
                <a:lnTo>
                  <a:pt x="657" y="351"/>
                </a:lnTo>
                <a:lnTo>
                  <a:pt x="666" y="328"/>
                </a:lnTo>
                <a:lnTo>
                  <a:pt x="666" y="314"/>
                </a:lnTo>
                <a:lnTo>
                  <a:pt x="660" y="284"/>
                </a:lnTo>
                <a:lnTo>
                  <a:pt x="652" y="280"/>
                </a:lnTo>
                <a:lnTo>
                  <a:pt x="651" y="268"/>
                </a:lnTo>
                <a:lnTo>
                  <a:pt x="663" y="272"/>
                </a:lnTo>
                <a:lnTo>
                  <a:pt x="680" y="260"/>
                </a:lnTo>
                <a:lnTo>
                  <a:pt x="657" y="246"/>
                </a:lnTo>
                <a:lnTo>
                  <a:pt x="650" y="248"/>
                </a:lnTo>
                <a:lnTo>
                  <a:pt x="654" y="238"/>
                </a:lnTo>
                <a:lnTo>
                  <a:pt x="631" y="230"/>
                </a:lnTo>
                <a:lnTo>
                  <a:pt x="645" y="191"/>
                </a:lnTo>
                <a:lnTo>
                  <a:pt x="673" y="182"/>
                </a:lnTo>
                <a:lnTo>
                  <a:pt x="673" y="172"/>
                </a:lnTo>
                <a:lnTo>
                  <a:pt x="720" y="149"/>
                </a:lnTo>
                <a:lnTo>
                  <a:pt x="730" y="143"/>
                </a:lnTo>
                <a:lnTo>
                  <a:pt x="739" y="127"/>
                </a:lnTo>
                <a:lnTo>
                  <a:pt x="833" y="41"/>
                </a:lnTo>
                <a:lnTo>
                  <a:pt x="864" y="28"/>
                </a:lnTo>
                <a:lnTo>
                  <a:pt x="867" y="23"/>
                </a:lnTo>
                <a:lnTo>
                  <a:pt x="916" y="1"/>
                </a:lnTo>
                <a:lnTo>
                  <a:pt x="941" y="4"/>
                </a:lnTo>
                <a:lnTo>
                  <a:pt x="943" y="3"/>
                </a:lnTo>
                <a:lnTo>
                  <a:pt x="946" y="2"/>
                </a:lnTo>
                <a:lnTo>
                  <a:pt x="1072" y="3"/>
                </a:lnTo>
                <a:lnTo>
                  <a:pt x="1077" y="3"/>
                </a:lnTo>
                <a:lnTo>
                  <a:pt x="1148" y="2"/>
                </a:lnTo>
                <a:lnTo>
                  <a:pt x="1200" y="0"/>
                </a:lnTo>
                <a:lnTo>
                  <a:pt x="1194" y="35"/>
                </a:lnTo>
                <a:lnTo>
                  <a:pt x="1194" y="102"/>
                </a:lnTo>
                <a:lnTo>
                  <a:pt x="1197" y="106"/>
                </a:lnTo>
                <a:lnTo>
                  <a:pt x="1202" y="109"/>
                </a:lnTo>
                <a:lnTo>
                  <a:pt x="1202" y="110"/>
                </a:lnTo>
                <a:lnTo>
                  <a:pt x="1207" y="121"/>
                </a:lnTo>
                <a:lnTo>
                  <a:pt x="1206" y="176"/>
                </a:lnTo>
                <a:lnTo>
                  <a:pt x="1191" y="193"/>
                </a:lnTo>
                <a:lnTo>
                  <a:pt x="1183" y="221"/>
                </a:lnTo>
                <a:lnTo>
                  <a:pt x="1194" y="284"/>
                </a:lnTo>
                <a:lnTo>
                  <a:pt x="1194" y="287"/>
                </a:lnTo>
                <a:lnTo>
                  <a:pt x="1195" y="287"/>
                </a:lnTo>
                <a:lnTo>
                  <a:pt x="1196" y="297"/>
                </a:lnTo>
                <a:lnTo>
                  <a:pt x="1185" y="327"/>
                </a:lnTo>
                <a:lnTo>
                  <a:pt x="1208" y="327"/>
                </a:lnTo>
                <a:lnTo>
                  <a:pt x="1218" y="401"/>
                </a:lnTo>
                <a:lnTo>
                  <a:pt x="1217" y="416"/>
                </a:lnTo>
                <a:lnTo>
                  <a:pt x="1215" y="445"/>
                </a:lnTo>
                <a:lnTo>
                  <a:pt x="1213" y="488"/>
                </a:lnTo>
                <a:lnTo>
                  <a:pt x="1212" y="515"/>
                </a:lnTo>
                <a:lnTo>
                  <a:pt x="1213" y="535"/>
                </a:lnTo>
                <a:lnTo>
                  <a:pt x="1215" y="535"/>
                </a:lnTo>
                <a:lnTo>
                  <a:pt x="1210" y="551"/>
                </a:lnTo>
                <a:lnTo>
                  <a:pt x="1207" y="564"/>
                </a:lnTo>
                <a:lnTo>
                  <a:pt x="1198" y="591"/>
                </a:lnTo>
                <a:lnTo>
                  <a:pt x="1173" y="681"/>
                </a:lnTo>
                <a:lnTo>
                  <a:pt x="1169" y="691"/>
                </a:lnTo>
                <a:lnTo>
                  <a:pt x="1172" y="700"/>
                </a:lnTo>
                <a:lnTo>
                  <a:pt x="1174" y="700"/>
                </a:lnTo>
                <a:lnTo>
                  <a:pt x="1173" y="711"/>
                </a:lnTo>
                <a:lnTo>
                  <a:pt x="1169" y="770"/>
                </a:lnTo>
                <a:lnTo>
                  <a:pt x="1167" y="790"/>
                </a:lnTo>
                <a:lnTo>
                  <a:pt x="1167" y="799"/>
                </a:lnTo>
                <a:lnTo>
                  <a:pt x="1166" y="805"/>
                </a:lnTo>
                <a:lnTo>
                  <a:pt x="1165" y="823"/>
                </a:lnTo>
                <a:lnTo>
                  <a:pt x="1164" y="845"/>
                </a:lnTo>
                <a:lnTo>
                  <a:pt x="1164" y="851"/>
                </a:lnTo>
                <a:lnTo>
                  <a:pt x="1163" y="860"/>
                </a:lnTo>
                <a:lnTo>
                  <a:pt x="1175" y="897"/>
                </a:lnTo>
                <a:lnTo>
                  <a:pt x="1129" y="923"/>
                </a:lnTo>
                <a:lnTo>
                  <a:pt x="1143" y="951"/>
                </a:lnTo>
                <a:lnTo>
                  <a:pt x="1124" y="967"/>
                </a:lnTo>
                <a:lnTo>
                  <a:pt x="1121" y="977"/>
                </a:lnTo>
                <a:lnTo>
                  <a:pt x="1118" y="978"/>
                </a:lnTo>
                <a:lnTo>
                  <a:pt x="1120" y="980"/>
                </a:lnTo>
                <a:lnTo>
                  <a:pt x="1122" y="984"/>
                </a:lnTo>
                <a:lnTo>
                  <a:pt x="1142" y="977"/>
                </a:lnTo>
                <a:lnTo>
                  <a:pt x="1148" y="972"/>
                </a:lnTo>
                <a:lnTo>
                  <a:pt x="1172" y="966"/>
                </a:lnTo>
                <a:lnTo>
                  <a:pt x="1193" y="960"/>
                </a:lnTo>
                <a:lnTo>
                  <a:pt x="1218" y="968"/>
                </a:lnTo>
                <a:lnTo>
                  <a:pt x="1241" y="953"/>
                </a:lnTo>
                <a:lnTo>
                  <a:pt x="1332" y="952"/>
                </a:lnTo>
                <a:lnTo>
                  <a:pt x="1383" y="918"/>
                </a:lnTo>
                <a:lnTo>
                  <a:pt x="1408" y="909"/>
                </a:lnTo>
                <a:lnTo>
                  <a:pt x="1398" y="918"/>
                </a:lnTo>
                <a:lnTo>
                  <a:pt x="1405" y="937"/>
                </a:lnTo>
                <a:lnTo>
                  <a:pt x="1429" y="947"/>
                </a:lnTo>
                <a:lnTo>
                  <a:pt x="1459" y="931"/>
                </a:lnTo>
                <a:lnTo>
                  <a:pt x="1462" y="940"/>
                </a:lnTo>
                <a:lnTo>
                  <a:pt x="1405" y="965"/>
                </a:lnTo>
                <a:lnTo>
                  <a:pt x="1218" y="1037"/>
                </a:lnTo>
                <a:lnTo>
                  <a:pt x="1185" y="1040"/>
                </a:lnTo>
                <a:lnTo>
                  <a:pt x="1148" y="1045"/>
                </a:lnTo>
                <a:lnTo>
                  <a:pt x="1123" y="1045"/>
                </a:lnTo>
                <a:lnTo>
                  <a:pt x="1101" y="1051"/>
                </a:lnTo>
                <a:lnTo>
                  <a:pt x="1089" y="1055"/>
                </a:lnTo>
                <a:lnTo>
                  <a:pt x="1090" y="1050"/>
                </a:lnTo>
                <a:lnTo>
                  <a:pt x="1077" y="1049"/>
                </a:lnTo>
                <a:lnTo>
                  <a:pt x="1070" y="1040"/>
                </a:lnTo>
                <a:lnTo>
                  <a:pt x="1054" y="1056"/>
                </a:lnTo>
                <a:lnTo>
                  <a:pt x="1030" y="1066"/>
                </a:lnTo>
                <a:lnTo>
                  <a:pt x="1029" y="1066"/>
                </a:lnTo>
                <a:lnTo>
                  <a:pt x="1031" y="1061"/>
                </a:lnTo>
                <a:lnTo>
                  <a:pt x="1030" y="1055"/>
                </a:lnTo>
                <a:lnTo>
                  <a:pt x="1040" y="1043"/>
                </a:lnTo>
                <a:lnTo>
                  <a:pt x="1040" y="1037"/>
                </a:lnTo>
                <a:lnTo>
                  <a:pt x="1040" y="1035"/>
                </a:lnTo>
                <a:lnTo>
                  <a:pt x="1047" y="1031"/>
                </a:lnTo>
                <a:lnTo>
                  <a:pt x="1051" y="1031"/>
                </a:lnTo>
                <a:lnTo>
                  <a:pt x="1061" y="1029"/>
                </a:lnTo>
                <a:lnTo>
                  <a:pt x="1067" y="1029"/>
                </a:lnTo>
                <a:lnTo>
                  <a:pt x="1071" y="1022"/>
                </a:lnTo>
                <a:lnTo>
                  <a:pt x="1073" y="1014"/>
                </a:lnTo>
                <a:lnTo>
                  <a:pt x="1075" y="1005"/>
                </a:lnTo>
                <a:lnTo>
                  <a:pt x="1081" y="995"/>
                </a:lnTo>
                <a:lnTo>
                  <a:pt x="1089" y="977"/>
                </a:lnTo>
                <a:lnTo>
                  <a:pt x="1090" y="975"/>
                </a:lnTo>
                <a:lnTo>
                  <a:pt x="1090" y="974"/>
                </a:lnTo>
                <a:lnTo>
                  <a:pt x="1091" y="974"/>
                </a:lnTo>
                <a:lnTo>
                  <a:pt x="1092" y="967"/>
                </a:lnTo>
                <a:lnTo>
                  <a:pt x="1097" y="954"/>
                </a:lnTo>
                <a:lnTo>
                  <a:pt x="1097" y="951"/>
                </a:lnTo>
                <a:lnTo>
                  <a:pt x="1098" y="94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0" name="S_NV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 bwMode="auto">
          <a:xfrm>
            <a:off x="853328" y="1635499"/>
            <a:ext cx="1069601" cy="1540248"/>
          </a:xfrm>
          <a:custGeom>
            <a:avLst/>
            <a:gdLst>
              <a:gd name="T0" fmla="*/ 2147483647 w 1116"/>
              <a:gd name="T1" fmla="*/ 2147483647 h 1654"/>
              <a:gd name="T2" fmla="*/ 2147483647 w 1116"/>
              <a:gd name="T3" fmla="*/ 2147483647 h 1654"/>
              <a:gd name="T4" fmla="*/ 2147483647 w 1116"/>
              <a:gd name="T5" fmla="*/ 2147483647 h 1654"/>
              <a:gd name="T6" fmla="*/ 2147483647 w 1116"/>
              <a:gd name="T7" fmla="*/ 2147483647 h 1654"/>
              <a:gd name="T8" fmla="*/ 2147483647 w 1116"/>
              <a:gd name="T9" fmla="*/ 2147483647 h 1654"/>
              <a:gd name="T10" fmla="*/ 2147483647 w 1116"/>
              <a:gd name="T11" fmla="*/ 2147483647 h 1654"/>
              <a:gd name="T12" fmla="*/ 2147483647 w 1116"/>
              <a:gd name="T13" fmla="*/ 2147483647 h 1654"/>
              <a:gd name="T14" fmla="*/ 2147483647 w 1116"/>
              <a:gd name="T15" fmla="*/ 2147483647 h 1654"/>
              <a:gd name="T16" fmla="*/ 2147483647 w 1116"/>
              <a:gd name="T17" fmla="*/ 2147483647 h 1654"/>
              <a:gd name="T18" fmla="*/ 2147483647 w 1116"/>
              <a:gd name="T19" fmla="*/ 2147483647 h 1654"/>
              <a:gd name="T20" fmla="*/ 2147483647 w 1116"/>
              <a:gd name="T21" fmla="*/ 2147483647 h 1654"/>
              <a:gd name="T22" fmla="*/ 2147483647 w 1116"/>
              <a:gd name="T23" fmla="*/ 2147483647 h 1654"/>
              <a:gd name="T24" fmla="*/ 2147483647 w 1116"/>
              <a:gd name="T25" fmla="*/ 2147483647 h 1654"/>
              <a:gd name="T26" fmla="*/ 2147483647 w 1116"/>
              <a:gd name="T27" fmla="*/ 2147483647 h 1654"/>
              <a:gd name="T28" fmla="*/ 2147483647 w 1116"/>
              <a:gd name="T29" fmla="*/ 2147483647 h 1654"/>
              <a:gd name="T30" fmla="*/ 2147483647 w 1116"/>
              <a:gd name="T31" fmla="*/ 2147483647 h 1654"/>
              <a:gd name="T32" fmla="*/ 2147483647 w 1116"/>
              <a:gd name="T33" fmla="*/ 2147483647 h 1654"/>
              <a:gd name="T34" fmla="*/ 2147483647 w 1116"/>
              <a:gd name="T35" fmla="*/ 2147483647 h 1654"/>
              <a:gd name="T36" fmla="*/ 2147483647 w 1116"/>
              <a:gd name="T37" fmla="*/ 2147483647 h 1654"/>
              <a:gd name="T38" fmla="*/ 2147483647 w 1116"/>
              <a:gd name="T39" fmla="*/ 2147483647 h 1654"/>
              <a:gd name="T40" fmla="*/ 2147483647 w 1116"/>
              <a:gd name="T41" fmla="*/ 2147483647 h 1654"/>
              <a:gd name="T42" fmla="*/ 2147483647 w 1116"/>
              <a:gd name="T43" fmla="*/ 2147483647 h 1654"/>
              <a:gd name="T44" fmla="*/ 2147483647 w 1116"/>
              <a:gd name="T45" fmla="*/ 2147483647 h 1654"/>
              <a:gd name="T46" fmla="*/ 2147483647 w 1116"/>
              <a:gd name="T47" fmla="*/ 2147483647 h 1654"/>
              <a:gd name="T48" fmla="*/ 2147483647 w 1116"/>
              <a:gd name="T49" fmla="*/ 2147483647 h 1654"/>
              <a:gd name="T50" fmla="*/ 2147483647 w 1116"/>
              <a:gd name="T51" fmla="*/ 2147483647 h 1654"/>
              <a:gd name="T52" fmla="*/ 2147483647 w 1116"/>
              <a:gd name="T53" fmla="*/ 2147483647 h 1654"/>
              <a:gd name="T54" fmla="*/ 2147483647 w 1116"/>
              <a:gd name="T55" fmla="*/ 2147483647 h 1654"/>
              <a:gd name="T56" fmla="*/ 2147483647 w 1116"/>
              <a:gd name="T57" fmla="*/ 2147483647 h 1654"/>
              <a:gd name="T58" fmla="*/ 2147483647 w 1116"/>
              <a:gd name="T59" fmla="*/ 2147483647 h 1654"/>
              <a:gd name="T60" fmla="*/ 2147483647 w 1116"/>
              <a:gd name="T61" fmla="*/ 2147483647 h 1654"/>
              <a:gd name="T62" fmla="*/ 2147483647 w 1116"/>
              <a:gd name="T63" fmla="*/ 0 h 1654"/>
              <a:gd name="T64" fmla="*/ 2147483647 w 1116"/>
              <a:gd name="T65" fmla="*/ 0 h 1654"/>
              <a:gd name="T66" fmla="*/ 2147483647 w 1116"/>
              <a:gd name="T67" fmla="*/ 0 h 1654"/>
              <a:gd name="T68" fmla="*/ 2147483647 w 1116"/>
              <a:gd name="T69" fmla="*/ 0 h 1654"/>
              <a:gd name="T70" fmla="*/ 2147483647 w 1116"/>
              <a:gd name="T71" fmla="*/ 0 h 1654"/>
              <a:gd name="T72" fmla="*/ 2147483647 w 1116"/>
              <a:gd name="T73" fmla="*/ 0 h 1654"/>
              <a:gd name="T74" fmla="*/ 2147483647 w 1116"/>
              <a:gd name="T75" fmla="*/ 0 h 1654"/>
              <a:gd name="T76" fmla="*/ 2147483647 w 1116"/>
              <a:gd name="T77" fmla="*/ 0 h 1654"/>
              <a:gd name="T78" fmla="*/ 2147483647 w 1116"/>
              <a:gd name="T79" fmla="*/ 0 h 1654"/>
              <a:gd name="T80" fmla="*/ 2147483647 w 1116"/>
              <a:gd name="T81" fmla="*/ 0 h 1654"/>
              <a:gd name="T82" fmla="*/ 2147483647 w 1116"/>
              <a:gd name="T83" fmla="*/ 2147483647 h 1654"/>
              <a:gd name="T84" fmla="*/ 2147483647 w 1116"/>
              <a:gd name="T85" fmla="*/ 2147483647 h 1654"/>
              <a:gd name="T86" fmla="*/ 2147483647 w 1116"/>
              <a:gd name="T87" fmla="*/ 2147483647 h 1654"/>
              <a:gd name="T88" fmla="*/ 2147483647 w 1116"/>
              <a:gd name="T89" fmla="*/ 2147483647 h 1654"/>
              <a:gd name="T90" fmla="*/ 2147483647 w 1116"/>
              <a:gd name="T91" fmla="*/ 2147483647 h 1654"/>
              <a:gd name="T92" fmla="*/ 0 w 1116"/>
              <a:gd name="T93" fmla="*/ 2147483647 h 1654"/>
              <a:gd name="T94" fmla="*/ 0 w 1116"/>
              <a:gd name="T95" fmla="*/ 2147483647 h 1654"/>
              <a:gd name="T96" fmla="*/ 2147483647 w 1116"/>
              <a:gd name="T97" fmla="*/ 2147483647 h 1654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1116"/>
              <a:gd name="T148" fmla="*/ 0 h 1654"/>
              <a:gd name="T149" fmla="*/ 1116 w 1116"/>
              <a:gd name="T150" fmla="*/ 1654 h 1654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1116" h="1654">
                <a:moveTo>
                  <a:pt x="1" y="683"/>
                </a:moveTo>
                <a:lnTo>
                  <a:pt x="1" y="694"/>
                </a:lnTo>
                <a:lnTo>
                  <a:pt x="1" y="710"/>
                </a:lnTo>
                <a:lnTo>
                  <a:pt x="11" y="720"/>
                </a:lnTo>
                <a:lnTo>
                  <a:pt x="19" y="725"/>
                </a:lnTo>
                <a:lnTo>
                  <a:pt x="31" y="736"/>
                </a:lnTo>
                <a:lnTo>
                  <a:pt x="68" y="769"/>
                </a:lnTo>
                <a:lnTo>
                  <a:pt x="79" y="777"/>
                </a:lnTo>
                <a:lnTo>
                  <a:pt x="94" y="791"/>
                </a:lnTo>
                <a:lnTo>
                  <a:pt x="127" y="820"/>
                </a:lnTo>
                <a:lnTo>
                  <a:pt x="136" y="828"/>
                </a:lnTo>
                <a:lnTo>
                  <a:pt x="141" y="832"/>
                </a:lnTo>
                <a:lnTo>
                  <a:pt x="158" y="848"/>
                </a:lnTo>
                <a:lnTo>
                  <a:pt x="202" y="887"/>
                </a:lnTo>
                <a:lnTo>
                  <a:pt x="234" y="915"/>
                </a:lnTo>
                <a:lnTo>
                  <a:pt x="295" y="970"/>
                </a:lnTo>
                <a:lnTo>
                  <a:pt x="366" y="1035"/>
                </a:lnTo>
                <a:lnTo>
                  <a:pt x="398" y="1064"/>
                </a:lnTo>
                <a:lnTo>
                  <a:pt x="406" y="1073"/>
                </a:lnTo>
                <a:lnTo>
                  <a:pt x="448" y="1111"/>
                </a:lnTo>
                <a:lnTo>
                  <a:pt x="461" y="1123"/>
                </a:lnTo>
                <a:lnTo>
                  <a:pt x="530" y="1188"/>
                </a:lnTo>
                <a:lnTo>
                  <a:pt x="647" y="1301"/>
                </a:lnTo>
                <a:lnTo>
                  <a:pt x="702" y="1353"/>
                </a:lnTo>
                <a:lnTo>
                  <a:pt x="768" y="1417"/>
                </a:lnTo>
                <a:lnTo>
                  <a:pt x="769" y="1418"/>
                </a:lnTo>
                <a:lnTo>
                  <a:pt x="796" y="1445"/>
                </a:lnTo>
                <a:lnTo>
                  <a:pt x="818" y="1468"/>
                </a:lnTo>
                <a:lnTo>
                  <a:pt x="889" y="1537"/>
                </a:lnTo>
                <a:lnTo>
                  <a:pt x="951" y="1599"/>
                </a:lnTo>
                <a:lnTo>
                  <a:pt x="1005" y="1654"/>
                </a:lnTo>
                <a:lnTo>
                  <a:pt x="1013" y="1596"/>
                </a:lnTo>
                <a:lnTo>
                  <a:pt x="993" y="1477"/>
                </a:lnTo>
                <a:lnTo>
                  <a:pt x="998" y="1448"/>
                </a:lnTo>
                <a:lnTo>
                  <a:pt x="983" y="1397"/>
                </a:lnTo>
                <a:lnTo>
                  <a:pt x="1029" y="1384"/>
                </a:lnTo>
                <a:lnTo>
                  <a:pt x="1076" y="1414"/>
                </a:lnTo>
                <a:lnTo>
                  <a:pt x="1113" y="1373"/>
                </a:lnTo>
                <a:lnTo>
                  <a:pt x="1114" y="1219"/>
                </a:lnTo>
                <a:lnTo>
                  <a:pt x="1114" y="1182"/>
                </a:lnTo>
                <a:lnTo>
                  <a:pt x="1114" y="1157"/>
                </a:lnTo>
                <a:lnTo>
                  <a:pt x="1114" y="1080"/>
                </a:lnTo>
                <a:lnTo>
                  <a:pt x="1114" y="1040"/>
                </a:lnTo>
                <a:lnTo>
                  <a:pt x="1114" y="1005"/>
                </a:lnTo>
                <a:lnTo>
                  <a:pt x="1114" y="1000"/>
                </a:lnTo>
                <a:lnTo>
                  <a:pt x="1114" y="911"/>
                </a:lnTo>
                <a:lnTo>
                  <a:pt x="1114" y="877"/>
                </a:lnTo>
                <a:lnTo>
                  <a:pt x="1114" y="828"/>
                </a:lnTo>
                <a:lnTo>
                  <a:pt x="1114" y="811"/>
                </a:lnTo>
                <a:lnTo>
                  <a:pt x="1114" y="799"/>
                </a:lnTo>
                <a:lnTo>
                  <a:pt x="1114" y="786"/>
                </a:lnTo>
                <a:lnTo>
                  <a:pt x="1114" y="742"/>
                </a:lnTo>
                <a:lnTo>
                  <a:pt x="1115" y="591"/>
                </a:lnTo>
                <a:lnTo>
                  <a:pt x="1114" y="582"/>
                </a:lnTo>
                <a:lnTo>
                  <a:pt x="1115" y="532"/>
                </a:lnTo>
                <a:lnTo>
                  <a:pt x="1115" y="496"/>
                </a:lnTo>
                <a:lnTo>
                  <a:pt x="1115" y="473"/>
                </a:lnTo>
                <a:lnTo>
                  <a:pt x="1115" y="446"/>
                </a:lnTo>
                <a:lnTo>
                  <a:pt x="1115" y="391"/>
                </a:lnTo>
                <a:lnTo>
                  <a:pt x="1115" y="326"/>
                </a:lnTo>
                <a:lnTo>
                  <a:pt x="1115" y="237"/>
                </a:lnTo>
                <a:lnTo>
                  <a:pt x="1116" y="160"/>
                </a:lnTo>
                <a:lnTo>
                  <a:pt x="1116" y="28"/>
                </a:lnTo>
                <a:lnTo>
                  <a:pt x="1116" y="3"/>
                </a:lnTo>
                <a:lnTo>
                  <a:pt x="1079" y="3"/>
                </a:lnTo>
                <a:lnTo>
                  <a:pt x="1076" y="3"/>
                </a:lnTo>
                <a:lnTo>
                  <a:pt x="1071" y="3"/>
                </a:lnTo>
                <a:lnTo>
                  <a:pt x="1011" y="3"/>
                </a:lnTo>
                <a:lnTo>
                  <a:pt x="983" y="1"/>
                </a:lnTo>
                <a:lnTo>
                  <a:pt x="930" y="1"/>
                </a:lnTo>
                <a:lnTo>
                  <a:pt x="740" y="1"/>
                </a:lnTo>
                <a:lnTo>
                  <a:pt x="568" y="1"/>
                </a:lnTo>
                <a:lnTo>
                  <a:pt x="557" y="0"/>
                </a:lnTo>
                <a:lnTo>
                  <a:pt x="515" y="1"/>
                </a:lnTo>
                <a:lnTo>
                  <a:pt x="506" y="1"/>
                </a:lnTo>
                <a:lnTo>
                  <a:pt x="338" y="1"/>
                </a:lnTo>
                <a:lnTo>
                  <a:pt x="281" y="3"/>
                </a:lnTo>
                <a:lnTo>
                  <a:pt x="245" y="3"/>
                </a:lnTo>
                <a:lnTo>
                  <a:pt x="127" y="3"/>
                </a:lnTo>
                <a:lnTo>
                  <a:pt x="121" y="3"/>
                </a:lnTo>
                <a:lnTo>
                  <a:pt x="94" y="3"/>
                </a:lnTo>
                <a:lnTo>
                  <a:pt x="24" y="1"/>
                </a:lnTo>
                <a:lnTo>
                  <a:pt x="1" y="3"/>
                </a:lnTo>
                <a:lnTo>
                  <a:pt x="1" y="55"/>
                </a:lnTo>
                <a:lnTo>
                  <a:pt x="1" y="154"/>
                </a:lnTo>
                <a:lnTo>
                  <a:pt x="1" y="194"/>
                </a:lnTo>
                <a:lnTo>
                  <a:pt x="2" y="356"/>
                </a:lnTo>
                <a:lnTo>
                  <a:pt x="1" y="484"/>
                </a:lnTo>
                <a:lnTo>
                  <a:pt x="1" y="539"/>
                </a:lnTo>
                <a:lnTo>
                  <a:pt x="1" y="562"/>
                </a:lnTo>
                <a:lnTo>
                  <a:pt x="1" y="591"/>
                </a:lnTo>
                <a:lnTo>
                  <a:pt x="1" y="605"/>
                </a:lnTo>
                <a:lnTo>
                  <a:pt x="0" y="621"/>
                </a:lnTo>
                <a:lnTo>
                  <a:pt x="0" y="635"/>
                </a:lnTo>
                <a:lnTo>
                  <a:pt x="0" y="651"/>
                </a:lnTo>
                <a:lnTo>
                  <a:pt x="0" y="670"/>
                </a:lnTo>
                <a:lnTo>
                  <a:pt x="0" y="680"/>
                </a:lnTo>
                <a:lnTo>
                  <a:pt x="1" y="68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1" name="S_NM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 bwMode="auto">
          <a:xfrm>
            <a:off x="2821081" y="2733675"/>
            <a:ext cx="1091453" cy="1255059"/>
          </a:xfrm>
          <a:custGeom>
            <a:avLst/>
            <a:gdLst>
              <a:gd name="T0" fmla="*/ 2147483647 w 1131"/>
              <a:gd name="T1" fmla="*/ 2147483647 h 1339"/>
              <a:gd name="T2" fmla="*/ 2147483647 w 1131"/>
              <a:gd name="T3" fmla="*/ 2147483647 h 1339"/>
              <a:gd name="T4" fmla="*/ 2147483647 w 1131"/>
              <a:gd name="T5" fmla="*/ 2147483647 h 1339"/>
              <a:gd name="T6" fmla="*/ 2147483647 w 1131"/>
              <a:gd name="T7" fmla="*/ 2147483647 h 1339"/>
              <a:gd name="T8" fmla="*/ 2147483647 w 1131"/>
              <a:gd name="T9" fmla="*/ 2147483647 h 1339"/>
              <a:gd name="T10" fmla="*/ 2147483647 w 1131"/>
              <a:gd name="T11" fmla="*/ 2147483647 h 1339"/>
              <a:gd name="T12" fmla="*/ 2147483647 w 1131"/>
              <a:gd name="T13" fmla="*/ 2147483647 h 1339"/>
              <a:gd name="T14" fmla="*/ 2147483647 w 1131"/>
              <a:gd name="T15" fmla="*/ 2147483647 h 1339"/>
              <a:gd name="T16" fmla="*/ 2147483647 w 1131"/>
              <a:gd name="T17" fmla="*/ 2147483647 h 1339"/>
              <a:gd name="T18" fmla="*/ 2147483647 w 1131"/>
              <a:gd name="T19" fmla="*/ 2147483647 h 1339"/>
              <a:gd name="T20" fmla="*/ 2147483647 w 1131"/>
              <a:gd name="T21" fmla="*/ 2147483647 h 1339"/>
              <a:gd name="T22" fmla="*/ 2147483647 w 1131"/>
              <a:gd name="T23" fmla="*/ 2147483647 h 1339"/>
              <a:gd name="T24" fmla="*/ 2147483647 w 1131"/>
              <a:gd name="T25" fmla="*/ 2147483647 h 1339"/>
              <a:gd name="T26" fmla="*/ 2147483647 w 1131"/>
              <a:gd name="T27" fmla="*/ 2147483647 h 1339"/>
              <a:gd name="T28" fmla="*/ 2147483647 w 1131"/>
              <a:gd name="T29" fmla="*/ 2147483647 h 1339"/>
              <a:gd name="T30" fmla="*/ 2147483647 w 1131"/>
              <a:gd name="T31" fmla="*/ 2147483647 h 1339"/>
              <a:gd name="T32" fmla="*/ 2147483647 w 1131"/>
              <a:gd name="T33" fmla="*/ 2147483647 h 1339"/>
              <a:gd name="T34" fmla="*/ 2147483647 w 1131"/>
              <a:gd name="T35" fmla="*/ 2147483647 h 1339"/>
              <a:gd name="T36" fmla="*/ 2147483647 w 1131"/>
              <a:gd name="T37" fmla="*/ 2147483647 h 1339"/>
              <a:gd name="T38" fmla="*/ 2147483647 w 1131"/>
              <a:gd name="T39" fmla="*/ 2147483647 h 1339"/>
              <a:gd name="T40" fmla="*/ 2147483647 w 1131"/>
              <a:gd name="T41" fmla="*/ 2147483647 h 1339"/>
              <a:gd name="T42" fmla="*/ 2147483647 w 1131"/>
              <a:gd name="T43" fmla="*/ 2147483647 h 1339"/>
              <a:gd name="T44" fmla="*/ 2147483647 w 1131"/>
              <a:gd name="T45" fmla="*/ 2147483647 h 1339"/>
              <a:gd name="T46" fmla="*/ 2147483647 w 1131"/>
              <a:gd name="T47" fmla="*/ 2147483647 h 1339"/>
              <a:gd name="T48" fmla="*/ 2147483647 w 1131"/>
              <a:gd name="T49" fmla="*/ 2147483647 h 1339"/>
              <a:gd name="T50" fmla="*/ 2147483647 w 1131"/>
              <a:gd name="T51" fmla="*/ 2147483647 h 1339"/>
              <a:gd name="T52" fmla="*/ 2147483647 w 1131"/>
              <a:gd name="T53" fmla="*/ 2147483647 h 1339"/>
              <a:gd name="T54" fmla="*/ 2147483647 w 1131"/>
              <a:gd name="T55" fmla="*/ 2147483647 h 1339"/>
              <a:gd name="T56" fmla="*/ 2147483647 w 1131"/>
              <a:gd name="T57" fmla="*/ 2147483647 h 1339"/>
              <a:gd name="T58" fmla="*/ 2147483647 w 1131"/>
              <a:gd name="T59" fmla="*/ 2147483647 h 1339"/>
              <a:gd name="T60" fmla="*/ 2147483647 w 1131"/>
              <a:gd name="T61" fmla="*/ 2147483647 h 1339"/>
              <a:gd name="T62" fmla="*/ 2147483647 w 1131"/>
              <a:gd name="T63" fmla="*/ 2147483647 h 1339"/>
              <a:gd name="T64" fmla="*/ 2147483647 w 1131"/>
              <a:gd name="T65" fmla="*/ 2147483647 h 1339"/>
              <a:gd name="T66" fmla="*/ 2147483647 w 1131"/>
              <a:gd name="T67" fmla="*/ 2147483647 h 1339"/>
              <a:gd name="T68" fmla="*/ 2147483647 w 1131"/>
              <a:gd name="T69" fmla="*/ 0 h 1339"/>
              <a:gd name="T70" fmla="*/ 2147483647 w 1131"/>
              <a:gd name="T71" fmla="*/ 0 h 1339"/>
              <a:gd name="T72" fmla="*/ 2147483647 w 1131"/>
              <a:gd name="T73" fmla="*/ 2147483647 h 1339"/>
              <a:gd name="T74" fmla="*/ 2147483647 w 1131"/>
              <a:gd name="T75" fmla="*/ 2147483647 h 1339"/>
              <a:gd name="T76" fmla="*/ 2147483647 w 1131"/>
              <a:gd name="T77" fmla="*/ 2147483647 h 1339"/>
              <a:gd name="T78" fmla="*/ 2147483647 w 1131"/>
              <a:gd name="T79" fmla="*/ 2147483647 h 1339"/>
              <a:gd name="T80" fmla="*/ 2147483647 w 1131"/>
              <a:gd name="T81" fmla="*/ 2147483647 h 1339"/>
              <a:gd name="T82" fmla="*/ 2147483647 w 1131"/>
              <a:gd name="T83" fmla="*/ 0 h 1339"/>
              <a:gd name="T84" fmla="*/ 2147483647 w 1131"/>
              <a:gd name="T85" fmla="*/ 0 h 1339"/>
              <a:gd name="T86" fmla="*/ 2147483647 w 1131"/>
              <a:gd name="T87" fmla="*/ 0 h 1339"/>
              <a:gd name="T88" fmla="*/ 2147483647 w 1131"/>
              <a:gd name="T89" fmla="*/ 0 h 1339"/>
              <a:gd name="T90" fmla="*/ 2147483647 w 1131"/>
              <a:gd name="T91" fmla="*/ 2147483647 h 1339"/>
              <a:gd name="T92" fmla="*/ 2147483647 w 1131"/>
              <a:gd name="T93" fmla="*/ 2147483647 h 1339"/>
              <a:gd name="T94" fmla="*/ 2147483647 w 1131"/>
              <a:gd name="T95" fmla="*/ 2147483647 h 1339"/>
              <a:gd name="T96" fmla="*/ 2147483647 w 1131"/>
              <a:gd name="T97" fmla="*/ 2147483647 h 1339"/>
              <a:gd name="T98" fmla="*/ 2147483647 w 1131"/>
              <a:gd name="T99" fmla="*/ 2147483647 h 1339"/>
              <a:gd name="T100" fmla="*/ 2147483647 w 1131"/>
              <a:gd name="T101" fmla="*/ 2147483647 h 1339"/>
              <a:gd name="T102" fmla="*/ 2147483647 w 1131"/>
              <a:gd name="T103" fmla="*/ 2147483647 h 1339"/>
              <a:gd name="T104" fmla="*/ 2147483647 w 1131"/>
              <a:gd name="T105" fmla="*/ 2147483647 h 1339"/>
              <a:gd name="T106" fmla="*/ 0 w 1131"/>
              <a:gd name="T107" fmla="*/ 2147483647 h 1339"/>
              <a:gd name="T108" fmla="*/ 0 w 1131"/>
              <a:gd name="T109" fmla="*/ 2147483647 h 1339"/>
              <a:gd name="T110" fmla="*/ 0 w 1131"/>
              <a:gd name="T111" fmla="*/ 2147483647 h 1339"/>
              <a:gd name="T112" fmla="*/ 0 w 1131"/>
              <a:gd name="T113" fmla="*/ 2147483647 h 1339"/>
              <a:gd name="T114" fmla="*/ 0 w 1131"/>
              <a:gd name="T115" fmla="*/ 2147483647 h 1339"/>
              <a:gd name="T116" fmla="*/ 2147483647 w 1131"/>
              <a:gd name="T117" fmla="*/ 2147483647 h 1339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131"/>
              <a:gd name="T178" fmla="*/ 0 h 1339"/>
              <a:gd name="T179" fmla="*/ 1131 w 1131"/>
              <a:gd name="T180" fmla="*/ 1339 h 1339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131" h="1339">
                <a:moveTo>
                  <a:pt x="33" y="1339"/>
                </a:moveTo>
                <a:lnTo>
                  <a:pt x="157" y="1339"/>
                </a:lnTo>
                <a:lnTo>
                  <a:pt x="157" y="1233"/>
                </a:lnTo>
                <a:lnTo>
                  <a:pt x="328" y="1233"/>
                </a:lnTo>
                <a:lnTo>
                  <a:pt x="472" y="1233"/>
                </a:lnTo>
                <a:lnTo>
                  <a:pt x="450" y="1206"/>
                </a:lnTo>
                <a:lnTo>
                  <a:pt x="456" y="1201"/>
                </a:lnTo>
                <a:lnTo>
                  <a:pt x="451" y="1187"/>
                </a:lnTo>
                <a:lnTo>
                  <a:pt x="455" y="1181"/>
                </a:lnTo>
                <a:lnTo>
                  <a:pt x="500" y="1181"/>
                </a:lnTo>
                <a:lnTo>
                  <a:pt x="523" y="1181"/>
                </a:lnTo>
                <a:lnTo>
                  <a:pt x="547" y="1180"/>
                </a:lnTo>
                <a:lnTo>
                  <a:pt x="571" y="1180"/>
                </a:lnTo>
                <a:lnTo>
                  <a:pt x="687" y="1181"/>
                </a:lnTo>
                <a:lnTo>
                  <a:pt x="740" y="1181"/>
                </a:lnTo>
                <a:lnTo>
                  <a:pt x="773" y="1181"/>
                </a:lnTo>
                <a:lnTo>
                  <a:pt x="786" y="1181"/>
                </a:lnTo>
                <a:lnTo>
                  <a:pt x="878" y="1181"/>
                </a:lnTo>
                <a:lnTo>
                  <a:pt x="896" y="1181"/>
                </a:lnTo>
                <a:lnTo>
                  <a:pt x="940" y="1181"/>
                </a:lnTo>
                <a:lnTo>
                  <a:pt x="948" y="1181"/>
                </a:lnTo>
                <a:lnTo>
                  <a:pt x="991" y="1181"/>
                </a:lnTo>
                <a:lnTo>
                  <a:pt x="994" y="1181"/>
                </a:lnTo>
                <a:lnTo>
                  <a:pt x="997" y="1181"/>
                </a:lnTo>
                <a:lnTo>
                  <a:pt x="1015" y="1181"/>
                </a:lnTo>
                <a:lnTo>
                  <a:pt x="1063" y="1181"/>
                </a:lnTo>
                <a:lnTo>
                  <a:pt x="1070" y="1181"/>
                </a:lnTo>
                <a:lnTo>
                  <a:pt x="1108" y="1181"/>
                </a:lnTo>
                <a:lnTo>
                  <a:pt x="1120" y="1181"/>
                </a:lnTo>
                <a:lnTo>
                  <a:pt x="1120" y="1161"/>
                </a:lnTo>
                <a:lnTo>
                  <a:pt x="1120" y="1123"/>
                </a:lnTo>
                <a:lnTo>
                  <a:pt x="1120" y="1069"/>
                </a:lnTo>
                <a:lnTo>
                  <a:pt x="1120" y="1058"/>
                </a:lnTo>
                <a:lnTo>
                  <a:pt x="1120" y="1034"/>
                </a:lnTo>
                <a:lnTo>
                  <a:pt x="1120" y="988"/>
                </a:lnTo>
                <a:lnTo>
                  <a:pt x="1120" y="955"/>
                </a:lnTo>
                <a:lnTo>
                  <a:pt x="1121" y="916"/>
                </a:lnTo>
                <a:lnTo>
                  <a:pt x="1122" y="856"/>
                </a:lnTo>
                <a:lnTo>
                  <a:pt x="1122" y="854"/>
                </a:lnTo>
                <a:lnTo>
                  <a:pt x="1122" y="827"/>
                </a:lnTo>
                <a:lnTo>
                  <a:pt x="1122" y="820"/>
                </a:lnTo>
                <a:lnTo>
                  <a:pt x="1122" y="810"/>
                </a:lnTo>
                <a:lnTo>
                  <a:pt x="1123" y="787"/>
                </a:lnTo>
                <a:lnTo>
                  <a:pt x="1123" y="778"/>
                </a:lnTo>
                <a:lnTo>
                  <a:pt x="1123" y="750"/>
                </a:lnTo>
                <a:lnTo>
                  <a:pt x="1124" y="708"/>
                </a:lnTo>
                <a:lnTo>
                  <a:pt x="1124" y="650"/>
                </a:lnTo>
                <a:lnTo>
                  <a:pt x="1124" y="638"/>
                </a:lnTo>
                <a:lnTo>
                  <a:pt x="1124" y="635"/>
                </a:lnTo>
                <a:lnTo>
                  <a:pt x="1124" y="608"/>
                </a:lnTo>
                <a:lnTo>
                  <a:pt x="1124" y="591"/>
                </a:lnTo>
                <a:lnTo>
                  <a:pt x="1124" y="532"/>
                </a:lnTo>
                <a:lnTo>
                  <a:pt x="1124" y="505"/>
                </a:lnTo>
                <a:lnTo>
                  <a:pt x="1124" y="502"/>
                </a:lnTo>
                <a:lnTo>
                  <a:pt x="1124" y="484"/>
                </a:lnTo>
                <a:lnTo>
                  <a:pt x="1124" y="473"/>
                </a:lnTo>
                <a:lnTo>
                  <a:pt x="1124" y="443"/>
                </a:lnTo>
                <a:lnTo>
                  <a:pt x="1124" y="429"/>
                </a:lnTo>
                <a:lnTo>
                  <a:pt x="1124" y="409"/>
                </a:lnTo>
                <a:lnTo>
                  <a:pt x="1124" y="395"/>
                </a:lnTo>
                <a:lnTo>
                  <a:pt x="1124" y="325"/>
                </a:lnTo>
                <a:lnTo>
                  <a:pt x="1124" y="298"/>
                </a:lnTo>
                <a:lnTo>
                  <a:pt x="1124" y="295"/>
                </a:lnTo>
                <a:lnTo>
                  <a:pt x="1124" y="290"/>
                </a:lnTo>
                <a:lnTo>
                  <a:pt x="1124" y="224"/>
                </a:lnTo>
                <a:lnTo>
                  <a:pt x="1124" y="119"/>
                </a:lnTo>
                <a:lnTo>
                  <a:pt x="1131" y="119"/>
                </a:lnTo>
                <a:lnTo>
                  <a:pt x="1131" y="66"/>
                </a:lnTo>
                <a:lnTo>
                  <a:pt x="1131" y="30"/>
                </a:lnTo>
                <a:lnTo>
                  <a:pt x="1131" y="0"/>
                </a:lnTo>
                <a:lnTo>
                  <a:pt x="1115" y="0"/>
                </a:lnTo>
                <a:lnTo>
                  <a:pt x="1072" y="0"/>
                </a:lnTo>
                <a:lnTo>
                  <a:pt x="1062" y="0"/>
                </a:lnTo>
                <a:lnTo>
                  <a:pt x="943" y="1"/>
                </a:lnTo>
                <a:lnTo>
                  <a:pt x="875" y="2"/>
                </a:lnTo>
                <a:lnTo>
                  <a:pt x="770" y="2"/>
                </a:lnTo>
                <a:lnTo>
                  <a:pt x="729" y="1"/>
                </a:lnTo>
                <a:lnTo>
                  <a:pt x="716" y="1"/>
                </a:lnTo>
                <a:lnTo>
                  <a:pt x="623" y="1"/>
                </a:lnTo>
                <a:lnTo>
                  <a:pt x="618" y="1"/>
                </a:lnTo>
                <a:lnTo>
                  <a:pt x="594" y="1"/>
                </a:lnTo>
                <a:lnTo>
                  <a:pt x="569" y="1"/>
                </a:lnTo>
                <a:lnTo>
                  <a:pt x="482" y="2"/>
                </a:lnTo>
                <a:lnTo>
                  <a:pt x="305" y="0"/>
                </a:lnTo>
                <a:lnTo>
                  <a:pt x="300" y="0"/>
                </a:lnTo>
                <a:lnTo>
                  <a:pt x="293" y="0"/>
                </a:lnTo>
                <a:lnTo>
                  <a:pt x="291" y="0"/>
                </a:lnTo>
                <a:lnTo>
                  <a:pt x="173" y="0"/>
                </a:lnTo>
                <a:lnTo>
                  <a:pt x="125" y="0"/>
                </a:lnTo>
                <a:lnTo>
                  <a:pt x="71" y="0"/>
                </a:lnTo>
                <a:lnTo>
                  <a:pt x="56" y="1"/>
                </a:lnTo>
                <a:lnTo>
                  <a:pt x="1" y="1"/>
                </a:lnTo>
                <a:lnTo>
                  <a:pt x="1" y="59"/>
                </a:lnTo>
                <a:lnTo>
                  <a:pt x="1" y="119"/>
                </a:lnTo>
                <a:lnTo>
                  <a:pt x="1" y="235"/>
                </a:lnTo>
                <a:lnTo>
                  <a:pt x="1" y="347"/>
                </a:lnTo>
                <a:lnTo>
                  <a:pt x="1" y="354"/>
                </a:lnTo>
                <a:lnTo>
                  <a:pt x="1" y="483"/>
                </a:lnTo>
                <a:lnTo>
                  <a:pt x="1" y="523"/>
                </a:lnTo>
                <a:lnTo>
                  <a:pt x="1" y="528"/>
                </a:lnTo>
                <a:lnTo>
                  <a:pt x="1" y="572"/>
                </a:lnTo>
                <a:lnTo>
                  <a:pt x="1" y="621"/>
                </a:lnTo>
                <a:lnTo>
                  <a:pt x="0" y="708"/>
                </a:lnTo>
                <a:lnTo>
                  <a:pt x="1" y="762"/>
                </a:lnTo>
                <a:lnTo>
                  <a:pt x="1" y="766"/>
                </a:lnTo>
                <a:lnTo>
                  <a:pt x="1" y="768"/>
                </a:lnTo>
                <a:lnTo>
                  <a:pt x="0" y="896"/>
                </a:lnTo>
                <a:lnTo>
                  <a:pt x="0" y="910"/>
                </a:lnTo>
                <a:lnTo>
                  <a:pt x="0" y="945"/>
                </a:lnTo>
                <a:lnTo>
                  <a:pt x="0" y="997"/>
                </a:lnTo>
                <a:lnTo>
                  <a:pt x="0" y="1004"/>
                </a:lnTo>
                <a:lnTo>
                  <a:pt x="0" y="1064"/>
                </a:lnTo>
                <a:lnTo>
                  <a:pt x="0" y="1081"/>
                </a:lnTo>
                <a:lnTo>
                  <a:pt x="0" y="1288"/>
                </a:lnTo>
                <a:lnTo>
                  <a:pt x="0" y="1294"/>
                </a:lnTo>
                <a:lnTo>
                  <a:pt x="0" y="1339"/>
                </a:lnTo>
                <a:lnTo>
                  <a:pt x="30" y="1339"/>
                </a:lnTo>
                <a:lnTo>
                  <a:pt x="33" y="133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2" name="S_NJ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>
            <a:spLocks/>
          </xdr:cNvSpPr>
        </xdr:nvSpPr>
        <xdr:spPr bwMode="auto">
          <a:xfrm>
            <a:off x="8847044" y="1773331"/>
            <a:ext cx="295275" cy="537322"/>
          </a:xfrm>
          <a:custGeom>
            <a:avLst/>
            <a:gdLst>
              <a:gd name="T0" fmla="*/ 2147483647 w 312"/>
              <a:gd name="T1" fmla="*/ 2147483647 h 573"/>
              <a:gd name="T2" fmla="*/ 2147483647 w 312"/>
              <a:gd name="T3" fmla="*/ 2147483647 h 573"/>
              <a:gd name="T4" fmla="*/ 2147483647 w 312"/>
              <a:gd name="T5" fmla="*/ 2147483647 h 573"/>
              <a:gd name="T6" fmla="*/ 2147483647 w 312"/>
              <a:gd name="T7" fmla="*/ 2147483647 h 573"/>
              <a:gd name="T8" fmla="*/ 2147483647 w 312"/>
              <a:gd name="T9" fmla="*/ 2147483647 h 573"/>
              <a:gd name="T10" fmla="*/ 2147483647 w 312"/>
              <a:gd name="T11" fmla="*/ 2147483647 h 573"/>
              <a:gd name="T12" fmla="*/ 2147483647 w 312"/>
              <a:gd name="T13" fmla="*/ 2147483647 h 573"/>
              <a:gd name="T14" fmla="*/ 2147483647 w 312"/>
              <a:gd name="T15" fmla="*/ 2147483647 h 573"/>
              <a:gd name="T16" fmla="*/ 2147483647 w 312"/>
              <a:gd name="T17" fmla="*/ 2147483647 h 573"/>
              <a:gd name="T18" fmla="*/ 2147483647 w 312"/>
              <a:gd name="T19" fmla="*/ 2147483647 h 573"/>
              <a:gd name="T20" fmla="*/ 2147483647 w 312"/>
              <a:gd name="T21" fmla="*/ 2147483647 h 573"/>
              <a:gd name="T22" fmla="*/ 2147483647 w 312"/>
              <a:gd name="T23" fmla="*/ 2147483647 h 573"/>
              <a:gd name="T24" fmla="*/ 2147483647 w 312"/>
              <a:gd name="T25" fmla="*/ 2147483647 h 573"/>
              <a:gd name="T26" fmla="*/ 2147483647 w 312"/>
              <a:gd name="T27" fmla="*/ 2147483647 h 573"/>
              <a:gd name="T28" fmla="*/ 2147483647 w 312"/>
              <a:gd name="T29" fmla="*/ 2147483647 h 573"/>
              <a:gd name="T30" fmla="*/ 2147483647 w 312"/>
              <a:gd name="T31" fmla="*/ 2147483647 h 573"/>
              <a:gd name="T32" fmla="*/ 2147483647 w 312"/>
              <a:gd name="T33" fmla="*/ 2147483647 h 573"/>
              <a:gd name="T34" fmla="*/ 2147483647 w 312"/>
              <a:gd name="T35" fmla="*/ 2147483647 h 573"/>
              <a:gd name="T36" fmla="*/ 2147483647 w 312"/>
              <a:gd name="T37" fmla="*/ 2147483647 h 573"/>
              <a:gd name="T38" fmla="*/ 2147483647 w 312"/>
              <a:gd name="T39" fmla="*/ 2147483647 h 573"/>
              <a:gd name="T40" fmla="*/ 2147483647 w 312"/>
              <a:gd name="T41" fmla="*/ 2147483647 h 573"/>
              <a:gd name="T42" fmla="*/ 2147483647 w 312"/>
              <a:gd name="T43" fmla="*/ 0 h 573"/>
              <a:gd name="T44" fmla="*/ 2147483647 w 312"/>
              <a:gd name="T45" fmla="*/ 2147483647 h 573"/>
              <a:gd name="T46" fmla="*/ 2147483647 w 312"/>
              <a:gd name="T47" fmla="*/ 2147483647 h 573"/>
              <a:gd name="T48" fmla="*/ 2147483647 w 312"/>
              <a:gd name="T49" fmla="*/ 2147483647 h 573"/>
              <a:gd name="T50" fmla="*/ 2147483647 w 312"/>
              <a:gd name="T51" fmla="*/ 2147483647 h 573"/>
              <a:gd name="T52" fmla="*/ 2147483647 w 312"/>
              <a:gd name="T53" fmla="*/ 2147483647 h 573"/>
              <a:gd name="T54" fmla="*/ 2147483647 w 312"/>
              <a:gd name="T55" fmla="*/ 2147483647 h 573"/>
              <a:gd name="T56" fmla="*/ 2147483647 w 312"/>
              <a:gd name="T57" fmla="*/ 2147483647 h 573"/>
              <a:gd name="T58" fmla="*/ 2147483647 w 312"/>
              <a:gd name="T59" fmla="*/ 2147483647 h 573"/>
              <a:gd name="T60" fmla="*/ 2147483647 w 312"/>
              <a:gd name="T61" fmla="*/ 2147483647 h 573"/>
              <a:gd name="T62" fmla="*/ 2147483647 w 312"/>
              <a:gd name="T63" fmla="*/ 2147483647 h 573"/>
              <a:gd name="T64" fmla="*/ 2147483647 w 312"/>
              <a:gd name="T65" fmla="*/ 2147483647 h 573"/>
              <a:gd name="T66" fmla="*/ 2147483647 w 312"/>
              <a:gd name="T67" fmla="*/ 2147483647 h 573"/>
              <a:gd name="T68" fmla="*/ 2147483647 w 312"/>
              <a:gd name="T69" fmla="*/ 2147483647 h 573"/>
              <a:gd name="T70" fmla="*/ 2147483647 w 312"/>
              <a:gd name="T71" fmla="*/ 2147483647 h 573"/>
              <a:gd name="T72" fmla="*/ 2147483647 w 312"/>
              <a:gd name="T73" fmla="*/ 2147483647 h 573"/>
              <a:gd name="T74" fmla="*/ 2147483647 w 312"/>
              <a:gd name="T75" fmla="*/ 2147483647 h 573"/>
              <a:gd name="T76" fmla="*/ 2147483647 w 312"/>
              <a:gd name="T77" fmla="*/ 2147483647 h 573"/>
              <a:gd name="T78" fmla="*/ 0 w 312"/>
              <a:gd name="T79" fmla="*/ 2147483647 h 573"/>
              <a:gd name="T80" fmla="*/ 0 w 312"/>
              <a:gd name="T81" fmla="*/ 2147483647 h 573"/>
              <a:gd name="T82" fmla="*/ 2147483647 w 312"/>
              <a:gd name="T83" fmla="*/ 2147483647 h 573"/>
              <a:gd name="T84" fmla="*/ 2147483647 w 312"/>
              <a:gd name="T85" fmla="*/ 2147483647 h 573"/>
              <a:gd name="T86" fmla="*/ 2147483647 w 312"/>
              <a:gd name="T87" fmla="*/ 2147483647 h 573"/>
              <a:gd name="T88" fmla="*/ 2147483647 w 312"/>
              <a:gd name="T89" fmla="*/ 2147483647 h 573"/>
              <a:gd name="T90" fmla="*/ 2147483647 w 312"/>
              <a:gd name="T91" fmla="*/ 2147483647 h 573"/>
              <a:gd name="T92" fmla="*/ 2147483647 w 312"/>
              <a:gd name="T93" fmla="*/ 2147483647 h 573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312"/>
              <a:gd name="T142" fmla="*/ 0 h 573"/>
              <a:gd name="T143" fmla="*/ 312 w 312"/>
              <a:gd name="T144" fmla="*/ 573 h 573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312" h="573">
                <a:moveTo>
                  <a:pt x="230" y="438"/>
                </a:moveTo>
                <a:lnTo>
                  <a:pt x="237" y="437"/>
                </a:lnTo>
                <a:lnTo>
                  <a:pt x="273" y="376"/>
                </a:lnTo>
                <a:lnTo>
                  <a:pt x="286" y="297"/>
                </a:lnTo>
                <a:lnTo>
                  <a:pt x="297" y="232"/>
                </a:lnTo>
                <a:lnTo>
                  <a:pt x="294" y="209"/>
                </a:lnTo>
                <a:lnTo>
                  <a:pt x="292" y="219"/>
                </a:lnTo>
                <a:lnTo>
                  <a:pt x="258" y="212"/>
                </a:lnTo>
                <a:lnTo>
                  <a:pt x="253" y="217"/>
                </a:lnTo>
                <a:lnTo>
                  <a:pt x="245" y="211"/>
                </a:lnTo>
                <a:lnTo>
                  <a:pt x="243" y="203"/>
                </a:lnTo>
                <a:lnTo>
                  <a:pt x="245" y="198"/>
                </a:lnTo>
                <a:lnTo>
                  <a:pt x="244" y="192"/>
                </a:lnTo>
                <a:lnTo>
                  <a:pt x="254" y="180"/>
                </a:lnTo>
                <a:lnTo>
                  <a:pt x="254" y="174"/>
                </a:lnTo>
                <a:lnTo>
                  <a:pt x="254" y="172"/>
                </a:lnTo>
                <a:lnTo>
                  <a:pt x="261" y="168"/>
                </a:lnTo>
                <a:lnTo>
                  <a:pt x="265" y="168"/>
                </a:lnTo>
                <a:lnTo>
                  <a:pt x="275" y="166"/>
                </a:lnTo>
                <a:lnTo>
                  <a:pt x="281" y="166"/>
                </a:lnTo>
                <a:lnTo>
                  <a:pt x="285" y="159"/>
                </a:lnTo>
                <a:lnTo>
                  <a:pt x="287" y="151"/>
                </a:lnTo>
                <a:lnTo>
                  <a:pt x="289" y="142"/>
                </a:lnTo>
                <a:lnTo>
                  <a:pt x="295" y="132"/>
                </a:lnTo>
                <a:lnTo>
                  <a:pt x="303" y="114"/>
                </a:lnTo>
                <a:lnTo>
                  <a:pt x="304" y="112"/>
                </a:lnTo>
                <a:lnTo>
                  <a:pt x="304" y="111"/>
                </a:lnTo>
                <a:lnTo>
                  <a:pt x="305" y="111"/>
                </a:lnTo>
                <a:lnTo>
                  <a:pt x="306" y="104"/>
                </a:lnTo>
                <a:lnTo>
                  <a:pt x="311" y="91"/>
                </a:lnTo>
                <a:lnTo>
                  <a:pt x="311" y="88"/>
                </a:lnTo>
                <a:lnTo>
                  <a:pt x="312" y="85"/>
                </a:lnTo>
                <a:lnTo>
                  <a:pt x="310" y="85"/>
                </a:lnTo>
                <a:lnTo>
                  <a:pt x="266" y="60"/>
                </a:lnTo>
                <a:lnTo>
                  <a:pt x="252" y="53"/>
                </a:lnTo>
                <a:lnTo>
                  <a:pt x="250" y="52"/>
                </a:lnTo>
                <a:lnTo>
                  <a:pt x="247" y="51"/>
                </a:lnTo>
                <a:lnTo>
                  <a:pt x="241" y="48"/>
                </a:lnTo>
                <a:lnTo>
                  <a:pt x="229" y="40"/>
                </a:lnTo>
                <a:lnTo>
                  <a:pt x="223" y="37"/>
                </a:lnTo>
                <a:lnTo>
                  <a:pt x="205" y="25"/>
                </a:lnTo>
                <a:lnTo>
                  <a:pt x="189" y="15"/>
                </a:lnTo>
                <a:lnTo>
                  <a:pt x="162" y="0"/>
                </a:lnTo>
                <a:lnTo>
                  <a:pt x="150" y="3"/>
                </a:lnTo>
                <a:lnTo>
                  <a:pt x="132" y="25"/>
                </a:lnTo>
                <a:lnTo>
                  <a:pt x="125" y="42"/>
                </a:lnTo>
                <a:lnTo>
                  <a:pt x="106" y="62"/>
                </a:lnTo>
                <a:lnTo>
                  <a:pt x="111" y="61"/>
                </a:lnTo>
                <a:lnTo>
                  <a:pt x="104" y="67"/>
                </a:lnTo>
                <a:lnTo>
                  <a:pt x="79" y="87"/>
                </a:lnTo>
                <a:lnTo>
                  <a:pt x="82" y="91"/>
                </a:lnTo>
                <a:lnTo>
                  <a:pt x="94" y="114"/>
                </a:lnTo>
                <a:lnTo>
                  <a:pt x="68" y="144"/>
                </a:lnTo>
                <a:lnTo>
                  <a:pt x="68" y="177"/>
                </a:lnTo>
                <a:lnTo>
                  <a:pt x="69" y="178"/>
                </a:lnTo>
                <a:lnTo>
                  <a:pt x="69" y="180"/>
                </a:lnTo>
                <a:lnTo>
                  <a:pt x="82" y="184"/>
                </a:lnTo>
                <a:lnTo>
                  <a:pt x="114" y="232"/>
                </a:lnTo>
                <a:lnTo>
                  <a:pt x="115" y="240"/>
                </a:lnTo>
                <a:lnTo>
                  <a:pt x="128" y="250"/>
                </a:lnTo>
                <a:lnTo>
                  <a:pt x="134" y="262"/>
                </a:lnTo>
                <a:lnTo>
                  <a:pt x="157" y="286"/>
                </a:lnTo>
                <a:lnTo>
                  <a:pt x="140" y="290"/>
                </a:lnTo>
                <a:lnTo>
                  <a:pt x="128" y="301"/>
                </a:lnTo>
                <a:lnTo>
                  <a:pt x="109" y="309"/>
                </a:lnTo>
                <a:lnTo>
                  <a:pt x="104" y="314"/>
                </a:lnTo>
                <a:lnTo>
                  <a:pt x="94" y="320"/>
                </a:lnTo>
                <a:lnTo>
                  <a:pt x="93" y="323"/>
                </a:lnTo>
                <a:lnTo>
                  <a:pt x="82" y="329"/>
                </a:lnTo>
                <a:lnTo>
                  <a:pt x="81" y="344"/>
                </a:lnTo>
                <a:lnTo>
                  <a:pt x="78" y="347"/>
                </a:lnTo>
                <a:lnTo>
                  <a:pt x="68" y="350"/>
                </a:lnTo>
                <a:lnTo>
                  <a:pt x="67" y="351"/>
                </a:lnTo>
                <a:lnTo>
                  <a:pt x="66" y="353"/>
                </a:lnTo>
                <a:lnTo>
                  <a:pt x="58" y="355"/>
                </a:lnTo>
                <a:lnTo>
                  <a:pt x="35" y="362"/>
                </a:lnTo>
                <a:lnTo>
                  <a:pt x="27" y="368"/>
                </a:lnTo>
                <a:lnTo>
                  <a:pt x="22" y="373"/>
                </a:lnTo>
                <a:lnTo>
                  <a:pt x="11" y="391"/>
                </a:lnTo>
                <a:lnTo>
                  <a:pt x="0" y="408"/>
                </a:lnTo>
                <a:lnTo>
                  <a:pt x="2" y="416"/>
                </a:lnTo>
                <a:lnTo>
                  <a:pt x="2" y="439"/>
                </a:lnTo>
                <a:lnTo>
                  <a:pt x="28" y="467"/>
                </a:lnTo>
                <a:lnTo>
                  <a:pt x="50" y="487"/>
                </a:lnTo>
                <a:lnTo>
                  <a:pt x="58" y="487"/>
                </a:lnTo>
                <a:lnTo>
                  <a:pt x="82" y="512"/>
                </a:lnTo>
                <a:lnTo>
                  <a:pt x="83" y="508"/>
                </a:lnTo>
                <a:lnTo>
                  <a:pt x="120" y="515"/>
                </a:lnTo>
                <a:lnTo>
                  <a:pt x="112" y="573"/>
                </a:lnTo>
                <a:lnTo>
                  <a:pt x="128" y="571"/>
                </a:lnTo>
                <a:lnTo>
                  <a:pt x="145" y="557"/>
                </a:lnTo>
                <a:lnTo>
                  <a:pt x="191" y="486"/>
                </a:lnTo>
                <a:lnTo>
                  <a:pt x="192" y="485"/>
                </a:lnTo>
                <a:lnTo>
                  <a:pt x="234" y="443"/>
                </a:lnTo>
                <a:lnTo>
                  <a:pt x="230" y="438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3" name="S_NH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>
            <a:spLocks/>
          </xdr:cNvSpPr>
        </xdr:nvSpPr>
        <xdr:spPr bwMode="auto">
          <a:xfrm>
            <a:off x="9389969" y="903194"/>
            <a:ext cx="326651" cy="575422"/>
          </a:xfrm>
          <a:custGeom>
            <a:avLst/>
            <a:gdLst>
              <a:gd name="T0" fmla="*/ 2147483647 w 343"/>
              <a:gd name="T1" fmla="*/ 2147483647 h 616"/>
              <a:gd name="T2" fmla="*/ 2147483647 w 343"/>
              <a:gd name="T3" fmla="*/ 2147483647 h 616"/>
              <a:gd name="T4" fmla="*/ 2147483647 w 343"/>
              <a:gd name="T5" fmla="*/ 2147483647 h 616"/>
              <a:gd name="T6" fmla="*/ 2147483647 w 343"/>
              <a:gd name="T7" fmla="*/ 2147483647 h 616"/>
              <a:gd name="T8" fmla="*/ 2147483647 w 343"/>
              <a:gd name="T9" fmla="*/ 2147483647 h 616"/>
              <a:gd name="T10" fmla="*/ 2147483647 w 343"/>
              <a:gd name="T11" fmla="*/ 2147483647 h 616"/>
              <a:gd name="T12" fmla="*/ 2147483647 w 343"/>
              <a:gd name="T13" fmla="*/ 2147483647 h 616"/>
              <a:gd name="T14" fmla="*/ 2147483647 w 343"/>
              <a:gd name="T15" fmla="*/ 2147483647 h 616"/>
              <a:gd name="T16" fmla="*/ 2147483647 w 343"/>
              <a:gd name="T17" fmla="*/ 2147483647 h 616"/>
              <a:gd name="T18" fmla="*/ 2147483647 w 343"/>
              <a:gd name="T19" fmla="*/ 2147483647 h 616"/>
              <a:gd name="T20" fmla="*/ 2147483647 w 343"/>
              <a:gd name="T21" fmla="*/ 2147483647 h 616"/>
              <a:gd name="T22" fmla="*/ 2147483647 w 343"/>
              <a:gd name="T23" fmla="*/ 2147483647 h 616"/>
              <a:gd name="T24" fmla="*/ 2147483647 w 343"/>
              <a:gd name="T25" fmla="*/ 2147483647 h 616"/>
              <a:gd name="T26" fmla="*/ 2147483647 w 343"/>
              <a:gd name="T27" fmla="*/ 2147483647 h 616"/>
              <a:gd name="T28" fmla="*/ 2147483647 w 343"/>
              <a:gd name="T29" fmla="*/ 2147483647 h 616"/>
              <a:gd name="T30" fmla="*/ 2147483647 w 343"/>
              <a:gd name="T31" fmla="*/ 2147483647 h 616"/>
              <a:gd name="T32" fmla="*/ 2147483647 w 343"/>
              <a:gd name="T33" fmla="*/ 2147483647 h 616"/>
              <a:gd name="T34" fmla="*/ 2147483647 w 343"/>
              <a:gd name="T35" fmla="*/ 2147483647 h 616"/>
              <a:gd name="T36" fmla="*/ 2147483647 w 343"/>
              <a:gd name="T37" fmla="*/ 2147483647 h 616"/>
              <a:gd name="T38" fmla="*/ 2147483647 w 343"/>
              <a:gd name="T39" fmla="*/ 2147483647 h 616"/>
              <a:gd name="T40" fmla="*/ 2147483647 w 343"/>
              <a:gd name="T41" fmla="*/ 0 h 616"/>
              <a:gd name="T42" fmla="*/ 2147483647 w 343"/>
              <a:gd name="T43" fmla="*/ 2147483647 h 616"/>
              <a:gd name="T44" fmla="*/ 2147483647 w 343"/>
              <a:gd name="T45" fmla="*/ 2147483647 h 616"/>
              <a:gd name="T46" fmla="*/ 2147483647 w 343"/>
              <a:gd name="T47" fmla="*/ 2147483647 h 616"/>
              <a:gd name="T48" fmla="*/ 2147483647 w 343"/>
              <a:gd name="T49" fmla="*/ 2147483647 h 616"/>
              <a:gd name="T50" fmla="*/ 2147483647 w 343"/>
              <a:gd name="T51" fmla="*/ 2147483647 h 616"/>
              <a:gd name="T52" fmla="*/ 2147483647 w 343"/>
              <a:gd name="T53" fmla="*/ 2147483647 h 616"/>
              <a:gd name="T54" fmla="*/ 2147483647 w 343"/>
              <a:gd name="T55" fmla="*/ 2147483647 h 616"/>
              <a:gd name="T56" fmla="*/ 2147483647 w 343"/>
              <a:gd name="T57" fmla="*/ 2147483647 h 616"/>
              <a:gd name="T58" fmla="*/ 2147483647 w 343"/>
              <a:gd name="T59" fmla="*/ 2147483647 h 616"/>
              <a:gd name="T60" fmla="*/ 2147483647 w 343"/>
              <a:gd name="T61" fmla="*/ 2147483647 h 616"/>
              <a:gd name="T62" fmla="*/ 2147483647 w 343"/>
              <a:gd name="T63" fmla="*/ 2147483647 h 616"/>
              <a:gd name="T64" fmla="*/ 2147483647 w 343"/>
              <a:gd name="T65" fmla="*/ 2147483647 h 616"/>
              <a:gd name="T66" fmla="*/ 2147483647 w 343"/>
              <a:gd name="T67" fmla="*/ 2147483647 h 616"/>
              <a:gd name="T68" fmla="*/ 2147483647 w 343"/>
              <a:gd name="T69" fmla="*/ 2147483647 h 616"/>
              <a:gd name="T70" fmla="*/ 2147483647 w 343"/>
              <a:gd name="T71" fmla="*/ 2147483647 h 616"/>
              <a:gd name="T72" fmla="*/ 2147483647 w 343"/>
              <a:gd name="T73" fmla="*/ 2147483647 h 616"/>
              <a:gd name="T74" fmla="*/ 2147483647 w 343"/>
              <a:gd name="T75" fmla="*/ 2147483647 h 616"/>
              <a:gd name="T76" fmla="*/ 2147483647 w 343"/>
              <a:gd name="T77" fmla="*/ 2147483647 h 616"/>
              <a:gd name="T78" fmla="*/ 2147483647 w 343"/>
              <a:gd name="T79" fmla="*/ 2147483647 h 616"/>
              <a:gd name="T80" fmla="*/ 2147483647 w 343"/>
              <a:gd name="T81" fmla="*/ 2147483647 h 616"/>
              <a:gd name="T82" fmla="*/ 2147483647 w 343"/>
              <a:gd name="T83" fmla="*/ 2147483647 h 616"/>
              <a:gd name="T84" fmla="*/ 2147483647 w 343"/>
              <a:gd name="T85" fmla="*/ 2147483647 h 616"/>
              <a:gd name="T86" fmla="*/ 2147483647 w 343"/>
              <a:gd name="T87" fmla="*/ 2147483647 h 616"/>
              <a:gd name="T88" fmla="*/ 2147483647 w 343"/>
              <a:gd name="T89" fmla="*/ 2147483647 h 616"/>
              <a:gd name="T90" fmla="*/ 2147483647 w 343"/>
              <a:gd name="T91" fmla="*/ 2147483647 h 616"/>
              <a:gd name="T92" fmla="*/ 2147483647 w 343"/>
              <a:gd name="T93" fmla="*/ 2147483647 h 616"/>
              <a:gd name="T94" fmla="*/ 2147483647 w 343"/>
              <a:gd name="T95" fmla="*/ 2147483647 h 616"/>
              <a:gd name="T96" fmla="*/ 2147483647 w 343"/>
              <a:gd name="T97" fmla="*/ 2147483647 h 616"/>
              <a:gd name="T98" fmla="*/ 2147483647 w 343"/>
              <a:gd name="T99" fmla="*/ 2147483647 h 616"/>
              <a:gd name="T100" fmla="*/ 2147483647 w 343"/>
              <a:gd name="T101" fmla="*/ 2147483647 h 616"/>
              <a:gd name="T102" fmla="*/ 2147483647 w 343"/>
              <a:gd name="T103" fmla="*/ 2147483647 h 616"/>
              <a:gd name="T104" fmla="*/ 2147483647 w 343"/>
              <a:gd name="T105" fmla="*/ 2147483647 h 616"/>
              <a:gd name="T106" fmla="*/ 2147483647 w 343"/>
              <a:gd name="T107" fmla="*/ 2147483647 h 616"/>
              <a:gd name="T108" fmla="*/ 2147483647 w 343"/>
              <a:gd name="T109" fmla="*/ 2147483647 h 616"/>
              <a:gd name="T110" fmla="*/ 0 w 343"/>
              <a:gd name="T111" fmla="*/ 2147483647 h 616"/>
              <a:gd name="T112" fmla="*/ 2147483647 w 343"/>
              <a:gd name="T113" fmla="*/ 2147483647 h 616"/>
              <a:gd name="T114" fmla="*/ 2147483647 w 343"/>
              <a:gd name="T115" fmla="*/ 2147483647 h 616"/>
              <a:gd name="T116" fmla="*/ 2147483647 w 343"/>
              <a:gd name="T117" fmla="*/ 2147483647 h 616"/>
              <a:gd name="T118" fmla="*/ 2147483647 w 343"/>
              <a:gd name="T119" fmla="*/ 2147483647 h 616"/>
              <a:gd name="T120" fmla="*/ 2147483647 w 343"/>
              <a:gd name="T121" fmla="*/ 2147483647 h 616"/>
              <a:gd name="T122" fmla="*/ 2147483647 w 343"/>
              <a:gd name="T123" fmla="*/ 2147483647 h 616"/>
              <a:gd name="T124" fmla="*/ 2147483647 w 343"/>
              <a:gd name="T125" fmla="*/ 2147483647 h 61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343"/>
              <a:gd name="T190" fmla="*/ 0 h 616"/>
              <a:gd name="T191" fmla="*/ 343 w 343"/>
              <a:gd name="T192" fmla="*/ 616 h 61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343" h="616">
                <a:moveTo>
                  <a:pt x="39" y="402"/>
                </a:moveTo>
                <a:lnTo>
                  <a:pt x="39" y="396"/>
                </a:lnTo>
                <a:lnTo>
                  <a:pt x="53" y="369"/>
                </a:lnTo>
                <a:lnTo>
                  <a:pt x="62" y="362"/>
                </a:lnTo>
                <a:lnTo>
                  <a:pt x="80" y="308"/>
                </a:lnTo>
                <a:lnTo>
                  <a:pt x="93" y="279"/>
                </a:lnTo>
                <a:lnTo>
                  <a:pt x="92" y="271"/>
                </a:lnTo>
                <a:lnTo>
                  <a:pt x="90" y="249"/>
                </a:lnTo>
                <a:lnTo>
                  <a:pt x="101" y="230"/>
                </a:lnTo>
                <a:lnTo>
                  <a:pt x="131" y="225"/>
                </a:lnTo>
                <a:lnTo>
                  <a:pt x="135" y="219"/>
                </a:lnTo>
                <a:lnTo>
                  <a:pt x="145" y="211"/>
                </a:lnTo>
                <a:lnTo>
                  <a:pt x="178" y="190"/>
                </a:lnTo>
                <a:lnTo>
                  <a:pt x="169" y="131"/>
                </a:lnTo>
                <a:lnTo>
                  <a:pt x="195" y="92"/>
                </a:lnTo>
                <a:lnTo>
                  <a:pt x="194" y="68"/>
                </a:lnTo>
                <a:lnTo>
                  <a:pt x="205" y="15"/>
                </a:lnTo>
                <a:lnTo>
                  <a:pt x="241" y="8"/>
                </a:lnTo>
                <a:lnTo>
                  <a:pt x="244" y="12"/>
                </a:lnTo>
                <a:lnTo>
                  <a:pt x="264" y="12"/>
                </a:lnTo>
                <a:lnTo>
                  <a:pt x="269" y="0"/>
                </a:lnTo>
                <a:lnTo>
                  <a:pt x="273" y="12"/>
                </a:lnTo>
                <a:lnTo>
                  <a:pt x="273" y="23"/>
                </a:lnTo>
                <a:lnTo>
                  <a:pt x="281" y="131"/>
                </a:lnTo>
                <a:lnTo>
                  <a:pt x="286" y="240"/>
                </a:lnTo>
                <a:lnTo>
                  <a:pt x="286" y="249"/>
                </a:lnTo>
                <a:lnTo>
                  <a:pt x="288" y="307"/>
                </a:lnTo>
                <a:lnTo>
                  <a:pt x="289" y="357"/>
                </a:lnTo>
                <a:lnTo>
                  <a:pt x="290" y="366"/>
                </a:lnTo>
                <a:lnTo>
                  <a:pt x="295" y="415"/>
                </a:lnTo>
                <a:lnTo>
                  <a:pt x="295" y="417"/>
                </a:lnTo>
                <a:lnTo>
                  <a:pt x="295" y="463"/>
                </a:lnTo>
                <a:lnTo>
                  <a:pt x="317" y="485"/>
                </a:lnTo>
                <a:lnTo>
                  <a:pt x="321" y="515"/>
                </a:lnTo>
                <a:lnTo>
                  <a:pt x="334" y="525"/>
                </a:lnTo>
                <a:lnTo>
                  <a:pt x="334" y="526"/>
                </a:lnTo>
                <a:lnTo>
                  <a:pt x="343" y="530"/>
                </a:lnTo>
                <a:lnTo>
                  <a:pt x="342" y="530"/>
                </a:lnTo>
                <a:lnTo>
                  <a:pt x="326" y="563"/>
                </a:lnTo>
                <a:lnTo>
                  <a:pt x="322" y="574"/>
                </a:lnTo>
                <a:lnTo>
                  <a:pt x="282" y="577"/>
                </a:lnTo>
                <a:lnTo>
                  <a:pt x="275" y="590"/>
                </a:lnTo>
                <a:lnTo>
                  <a:pt x="242" y="605"/>
                </a:lnTo>
                <a:lnTo>
                  <a:pt x="241" y="605"/>
                </a:lnTo>
                <a:lnTo>
                  <a:pt x="240" y="606"/>
                </a:lnTo>
                <a:lnTo>
                  <a:pt x="238" y="608"/>
                </a:lnTo>
                <a:lnTo>
                  <a:pt x="233" y="616"/>
                </a:lnTo>
                <a:lnTo>
                  <a:pt x="119" y="612"/>
                </a:lnTo>
                <a:lnTo>
                  <a:pt x="114" y="611"/>
                </a:lnTo>
                <a:lnTo>
                  <a:pt x="107" y="611"/>
                </a:lnTo>
                <a:lnTo>
                  <a:pt x="88" y="611"/>
                </a:lnTo>
                <a:lnTo>
                  <a:pt x="47" y="609"/>
                </a:lnTo>
                <a:lnTo>
                  <a:pt x="36" y="609"/>
                </a:lnTo>
                <a:lnTo>
                  <a:pt x="31" y="609"/>
                </a:lnTo>
                <a:lnTo>
                  <a:pt x="15" y="608"/>
                </a:lnTo>
                <a:lnTo>
                  <a:pt x="0" y="556"/>
                </a:lnTo>
                <a:lnTo>
                  <a:pt x="14" y="544"/>
                </a:lnTo>
                <a:lnTo>
                  <a:pt x="16" y="505"/>
                </a:lnTo>
                <a:lnTo>
                  <a:pt x="20" y="489"/>
                </a:lnTo>
                <a:lnTo>
                  <a:pt x="20" y="488"/>
                </a:lnTo>
                <a:lnTo>
                  <a:pt x="29" y="427"/>
                </a:lnTo>
                <a:lnTo>
                  <a:pt x="30" y="408"/>
                </a:lnTo>
                <a:lnTo>
                  <a:pt x="39" y="40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4" name="S_NE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>
            <a:spLocks/>
          </xdr:cNvSpPr>
        </xdr:nvSpPr>
        <xdr:spPr bwMode="auto">
          <a:xfrm>
            <a:off x="3722034" y="1411941"/>
            <a:ext cx="1577228" cy="665630"/>
          </a:xfrm>
          <a:custGeom>
            <a:avLst/>
            <a:gdLst>
              <a:gd name="T0" fmla="*/ 2147483647 w 1637"/>
              <a:gd name="T1" fmla="*/ 2147483647 h 709"/>
              <a:gd name="T2" fmla="*/ 2147483647 w 1637"/>
              <a:gd name="T3" fmla="*/ 2147483647 h 709"/>
              <a:gd name="T4" fmla="*/ 2147483647 w 1637"/>
              <a:gd name="T5" fmla="*/ 2147483647 h 709"/>
              <a:gd name="T6" fmla="*/ 2147483647 w 1637"/>
              <a:gd name="T7" fmla="*/ 2147483647 h 709"/>
              <a:gd name="T8" fmla="*/ 2147483647 w 1637"/>
              <a:gd name="T9" fmla="*/ 2147483647 h 709"/>
              <a:gd name="T10" fmla="*/ 2147483647 w 1637"/>
              <a:gd name="T11" fmla="*/ 2147483647 h 709"/>
              <a:gd name="T12" fmla="*/ 2147483647 w 1637"/>
              <a:gd name="T13" fmla="*/ 2147483647 h 709"/>
              <a:gd name="T14" fmla="*/ 2147483647 w 1637"/>
              <a:gd name="T15" fmla="*/ 2147483647 h 709"/>
              <a:gd name="T16" fmla="*/ 2147483647 w 1637"/>
              <a:gd name="T17" fmla="*/ 2147483647 h 709"/>
              <a:gd name="T18" fmla="*/ 2147483647 w 1637"/>
              <a:gd name="T19" fmla="*/ 2147483647 h 709"/>
              <a:gd name="T20" fmla="*/ 2147483647 w 1637"/>
              <a:gd name="T21" fmla="*/ 2147483647 h 709"/>
              <a:gd name="T22" fmla="*/ 2147483647 w 1637"/>
              <a:gd name="T23" fmla="*/ 2147483647 h 709"/>
              <a:gd name="T24" fmla="*/ 0 w 1637"/>
              <a:gd name="T25" fmla="*/ 2147483647 h 709"/>
              <a:gd name="T26" fmla="*/ 0 w 1637"/>
              <a:gd name="T27" fmla="*/ 2147483647 h 709"/>
              <a:gd name="T28" fmla="*/ 0 w 1637"/>
              <a:gd name="T29" fmla="*/ 2147483647 h 709"/>
              <a:gd name="T30" fmla="*/ 0 w 1637"/>
              <a:gd name="T31" fmla="*/ 2147483647 h 709"/>
              <a:gd name="T32" fmla="*/ 0 w 1637"/>
              <a:gd name="T33" fmla="*/ 2147483647 h 709"/>
              <a:gd name="T34" fmla="*/ 0 w 1637"/>
              <a:gd name="T35" fmla="*/ 2147483647 h 709"/>
              <a:gd name="T36" fmla="*/ 2147483647 w 1637"/>
              <a:gd name="T37" fmla="*/ 0 h 709"/>
              <a:gd name="T38" fmla="*/ 2147483647 w 1637"/>
              <a:gd name="T39" fmla="*/ 2147483647 h 709"/>
              <a:gd name="T40" fmla="*/ 2147483647 w 1637"/>
              <a:gd name="T41" fmla="*/ 2147483647 h 709"/>
              <a:gd name="T42" fmla="*/ 2147483647 w 1637"/>
              <a:gd name="T43" fmla="*/ 2147483647 h 709"/>
              <a:gd name="T44" fmla="*/ 2147483647 w 1637"/>
              <a:gd name="T45" fmla="*/ 2147483647 h 709"/>
              <a:gd name="T46" fmla="*/ 2147483647 w 1637"/>
              <a:gd name="T47" fmla="*/ 2147483647 h 709"/>
              <a:gd name="T48" fmla="*/ 2147483647 w 1637"/>
              <a:gd name="T49" fmla="*/ 2147483647 h 709"/>
              <a:gd name="T50" fmla="*/ 2147483647 w 1637"/>
              <a:gd name="T51" fmla="*/ 2147483647 h 709"/>
              <a:gd name="T52" fmla="*/ 2147483647 w 1637"/>
              <a:gd name="T53" fmla="*/ 2147483647 h 709"/>
              <a:gd name="T54" fmla="*/ 2147483647 w 1637"/>
              <a:gd name="T55" fmla="*/ 2147483647 h 709"/>
              <a:gd name="T56" fmla="*/ 2147483647 w 1637"/>
              <a:gd name="T57" fmla="*/ 2147483647 h 709"/>
              <a:gd name="T58" fmla="*/ 2147483647 w 1637"/>
              <a:gd name="T59" fmla="*/ 2147483647 h 709"/>
              <a:gd name="T60" fmla="*/ 2147483647 w 1637"/>
              <a:gd name="T61" fmla="*/ 2147483647 h 709"/>
              <a:gd name="T62" fmla="*/ 2147483647 w 1637"/>
              <a:gd name="T63" fmla="*/ 2147483647 h 709"/>
              <a:gd name="T64" fmla="*/ 2147483647 w 1637"/>
              <a:gd name="T65" fmla="*/ 2147483647 h 709"/>
              <a:gd name="T66" fmla="*/ 2147483647 w 1637"/>
              <a:gd name="T67" fmla="*/ 2147483647 h 709"/>
              <a:gd name="T68" fmla="*/ 2147483647 w 1637"/>
              <a:gd name="T69" fmla="*/ 2147483647 h 709"/>
              <a:gd name="T70" fmla="*/ 2147483647 w 1637"/>
              <a:gd name="T71" fmla="*/ 2147483647 h 709"/>
              <a:gd name="T72" fmla="*/ 2147483647 w 1637"/>
              <a:gd name="T73" fmla="*/ 2147483647 h 709"/>
              <a:gd name="T74" fmla="*/ 2147483647 w 1637"/>
              <a:gd name="T75" fmla="*/ 2147483647 h 709"/>
              <a:gd name="T76" fmla="*/ 2147483647 w 1637"/>
              <a:gd name="T77" fmla="*/ 2147483647 h 709"/>
              <a:gd name="T78" fmla="*/ 2147483647 w 1637"/>
              <a:gd name="T79" fmla="*/ 2147483647 h 709"/>
              <a:gd name="T80" fmla="*/ 2147483647 w 1637"/>
              <a:gd name="T81" fmla="*/ 2147483647 h 709"/>
              <a:gd name="T82" fmla="*/ 2147483647 w 1637"/>
              <a:gd name="T83" fmla="*/ 2147483647 h 709"/>
              <a:gd name="T84" fmla="*/ 2147483647 w 1637"/>
              <a:gd name="T85" fmla="*/ 2147483647 h 709"/>
              <a:gd name="T86" fmla="*/ 2147483647 w 1637"/>
              <a:gd name="T87" fmla="*/ 2147483647 h 709"/>
              <a:gd name="T88" fmla="*/ 2147483647 w 1637"/>
              <a:gd name="T89" fmla="*/ 2147483647 h 709"/>
              <a:gd name="T90" fmla="*/ 2147483647 w 1637"/>
              <a:gd name="T91" fmla="*/ 2147483647 h 709"/>
              <a:gd name="T92" fmla="*/ 2147483647 w 1637"/>
              <a:gd name="T93" fmla="*/ 2147483647 h 709"/>
              <a:gd name="T94" fmla="*/ 2147483647 w 1637"/>
              <a:gd name="T95" fmla="*/ 2147483647 h 709"/>
              <a:gd name="T96" fmla="*/ 2147483647 w 1637"/>
              <a:gd name="T97" fmla="*/ 2147483647 h 709"/>
              <a:gd name="T98" fmla="*/ 2147483647 w 1637"/>
              <a:gd name="T99" fmla="*/ 2147483647 h 709"/>
              <a:gd name="T100" fmla="*/ 2147483647 w 1637"/>
              <a:gd name="T101" fmla="*/ 2147483647 h 709"/>
              <a:gd name="T102" fmla="*/ 2147483647 w 1637"/>
              <a:gd name="T103" fmla="*/ 2147483647 h 709"/>
              <a:gd name="T104" fmla="*/ 2147483647 w 1637"/>
              <a:gd name="T105" fmla="*/ 2147483647 h 709"/>
              <a:gd name="T106" fmla="*/ 2147483647 w 1637"/>
              <a:gd name="T107" fmla="*/ 2147483647 h 709"/>
              <a:gd name="T108" fmla="*/ 2147483647 w 1637"/>
              <a:gd name="T109" fmla="*/ 2147483647 h 709"/>
              <a:gd name="T110" fmla="*/ 2147483647 w 1637"/>
              <a:gd name="T111" fmla="*/ 2147483647 h 709"/>
              <a:gd name="T112" fmla="*/ 2147483647 w 1637"/>
              <a:gd name="T113" fmla="*/ 2147483647 h 709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637"/>
              <a:gd name="T172" fmla="*/ 0 h 709"/>
              <a:gd name="T173" fmla="*/ 1637 w 1637"/>
              <a:gd name="T174" fmla="*/ 709 h 709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637" h="709">
                <a:moveTo>
                  <a:pt x="997" y="709"/>
                </a:moveTo>
                <a:lnTo>
                  <a:pt x="993" y="709"/>
                </a:lnTo>
                <a:lnTo>
                  <a:pt x="969" y="709"/>
                </a:lnTo>
                <a:lnTo>
                  <a:pt x="934" y="709"/>
                </a:lnTo>
                <a:lnTo>
                  <a:pt x="923" y="709"/>
                </a:lnTo>
                <a:lnTo>
                  <a:pt x="912" y="709"/>
                </a:lnTo>
                <a:lnTo>
                  <a:pt x="888" y="709"/>
                </a:lnTo>
                <a:lnTo>
                  <a:pt x="876" y="709"/>
                </a:lnTo>
                <a:lnTo>
                  <a:pt x="829" y="709"/>
                </a:lnTo>
                <a:lnTo>
                  <a:pt x="793" y="709"/>
                </a:lnTo>
                <a:lnTo>
                  <a:pt x="736" y="709"/>
                </a:lnTo>
                <a:lnTo>
                  <a:pt x="726" y="709"/>
                </a:lnTo>
                <a:lnTo>
                  <a:pt x="723" y="709"/>
                </a:lnTo>
                <a:lnTo>
                  <a:pt x="689" y="709"/>
                </a:lnTo>
                <a:lnTo>
                  <a:pt x="654" y="709"/>
                </a:lnTo>
                <a:lnTo>
                  <a:pt x="621" y="709"/>
                </a:lnTo>
                <a:lnTo>
                  <a:pt x="619" y="709"/>
                </a:lnTo>
                <a:lnTo>
                  <a:pt x="617" y="709"/>
                </a:lnTo>
                <a:lnTo>
                  <a:pt x="595" y="709"/>
                </a:lnTo>
                <a:lnTo>
                  <a:pt x="548" y="708"/>
                </a:lnTo>
                <a:lnTo>
                  <a:pt x="511" y="708"/>
                </a:lnTo>
                <a:lnTo>
                  <a:pt x="501" y="708"/>
                </a:lnTo>
                <a:lnTo>
                  <a:pt x="495" y="709"/>
                </a:lnTo>
                <a:lnTo>
                  <a:pt x="375" y="708"/>
                </a:lnTo>
                <a:lnTo>
                  <a:pt x="375" y="627"/>
                </a:lnTo>
                <a:lnTo>
                  <a:pt x="375" y="606"/>
                </a:lnTo>
                <a:lnTo>
                  <a:pt x="375" y="592"/>
                </a:lnTo>
                <a:lnTo>
                  <a:pt x="375" y="562"/>
                </a:lnTo>
                <a:lnTo>
                  <a:pt x="375" y="545"/>
                </a:lnTo>
                <a:lnTo>
                  <a:pt x="375" y="533"/>
                </a:lnTo>
                <a:lnTo>
                  <a:pt x="375" y="473"/>
                </a:lnTo>
                <a:lnTo>
                  <a:pt x="269" y="473"/>
                </a:lnTo>
                <a:lnTo>
                  <a:pt x="268" y="473"/>
                </a:lnTo>
                <a:lnTo>
                  <a:pt x="263" y="473"/>
                </a:lnTo>
                <a:lnTo>
                  <a:pt x="127" y="473"/>
                </a:lnTo>
                <a:lnTo>
                  <a:pt x="90" y="473"/>
                </a:lnTo>
                <a:lnTo>
                  <a:pt x="91" y="473"/>
                </a:lnTo>
                <a:lnTo>
                  <a:pt x="81" y="473"/>
                </a:lnTo>
                <a:lnTo>
                  <a:pt x="0" y="473"/>
                </a:lnTo>
                <a:lnTo>
                  <a:pt x="0" y="444"/>
                </a:lnTo>
                <a:lnTo>
                  <a:pt x="0" y="401"/>
                </a:lnTo>
                <a:lnTo>
                  <a:pt x="0" y="381"/>
                </a:lnTo>
                <a:lnTo>
                  <a:pt x="0" y="355"/>
                </a:lnTo>
                <a:lnTo>
                  <a:pt x="0" y="340"/>
                </a:lnTo>
                <a:lnTo>
                  <a:pt x="0" y="325"/>
                </a:lnTo>
                <a:lnTo>
                  <a:pt x="0" y="308"/>
                </a:lnTo>
                <a:lnTo>
                  <a:pt x="0" y="296"/>
                </a:lnTo>
                <a:lnTo>
                  <a:pt x="0" y="266"/>
                </a:lnTo>
                <a:lnTo>
                  <a:pt x="0" y="236"/>
                </a:lnTo>
                <a:lnTo>
                  <a:pt x="0" y="207"/>
                </a:lnTo>
                <a:lnTo>
                  <a:pt x="0" y="178"/>
                </a:lnTo>
                <a:lnTo>
                  <a:pt x="0" y="97"/>
                </a:lnTo>
                <a:lnTo>
                  <a:pt x="0" y="44"/>
                </a:lnTo>
                <a:lnTo>
                  <a:pt x="0" y="12"/>
                </a:lnTo>
                <a:lnTo>
                  <a:pt x="0" y="1"/>
                </a:lnTo>
                <a:lnTo>
                  <a:pt x="8" y="1"/>
                </a:lnTo>
                <a:lnTo>
                  <a:pt x="11" y="0"/>
                </a:lnTo>
                <a:lnTo>
                  <a:pt x="103" y="0"/>
                </a:lnTo>
                <a:lnTo>
                  <a:pt x="151" y="0"/>
                </a:lnTo>
                <a:lnTo>
                  <a:pt x="158" y="1"/>
                </a:lnTo>
                <a:lnTo>
                  <a:pt x="197" y="1"/>
                </a:lnTo>
                <a:lnTo>
                  <a:pt x="221" y="1"/>
                </a:lnTo>
                <a:lnTo>
                  <a:pt x="225" y="1"/>
                </a:lnTo>
                <a:lnTo>
                  <a:pt x="237" y="1"/>
                </a:lnTo>
                <a:lnTo>
                  <a:pt x="296" y="1"/>
                </a:lnTo>
                <a:lnTo>
                  <a:pt x="338" y="1"/>
                </a:lnTo>
                <a:lnTo>
                  <a:pt x="370" y="1"/>
                </a:lnTo>
                <a:lnTo>
                  <a:pt x="432" y="1"/>
                </a:lnTo>
                <a:lnTo>
                  <a:pt x="446" y="2"/>
                </a:lnTo>
                <a:lnTo>
                  <a:pt x="529" y="1"/>
                </a:lnTo>
                <a:lnTo>
                  <a:pt x="604" y="1"/>
                </a:lnTo>
                <a:lnTo>
                  <a:pt x="665" y="1"/>
                </a:lnTo>
                <a:lnTo>
                  <a:pt x="722" y="1"/>
                </a:lnTo>
                <a:lnTo>
                  <a:pt x="846" y="1"/>
                </a:lnTo>
                <a:lnTo>
                  <a:pt x="898" y="1"/>
                </a:lnTo>
                <a:lnTo>
                  <a:pt x="1040" y="1"/>
                </a:lnTo>
                <a:lnTo>
                  <a:pt x="1063" y="22"/>
                </a:lnTo>
                <a:lnTo>
                  <a:pt x="1075" y="29"/>
                </a:lnTo>
                <a:lnTo>
                  <a:pt x="1087" y="31"/>
                </a:lnTo>
                <a:lnTo>
                  <a:pt x="1105" y="38"/>
                </a:lnTo>
                <a:lnTo>
                  <a:pt x="1133" y="57"/>
                </a:lnTo>
                <a:lnTo>
                  <a:pt x="1158" y="34"/>
                </a:lnTo>
                <a:lnTo>
                  <a:pt x="1201" y="36"/>
                </a:lnTo>
                <a:lnTo>
                  <a:pt x="1206" y="37"/>
                </a:lnTo>
                <a:lnTo>
                  <a:pt x="1227" y="34"/>
                </a:lnTo>
                <a:lnTo>
                  <a:pt x="1229" y="35"/>
                </a:lnTo>
                <a:lnTo>
                  <a:pt x="1273" y="35"/>
                </a:lnTo>
                <a:lnTo>
                  <a:pt x="1290" y="48"/>
                </a:lnTo>
                <a:lnTo>
                  <a:pt x="1296" y="54"/>
                </a:lnTo>
                <a:lnTo>
                  <a:pt x="1317" y="58"/>
                </a:lnTo>
                <a:lnTo>
                  <a:pt x="1356" y="70"/>
                </a:lnTo>
                <a:lnTo>
                  <a:pt x="1375" y="90"/>
                </a:lnTo>
                <a:lnTo>
                  <a:pt x="1390" y="113"/>
                </a:lnTo>
                <a:lnTo>
                  <a:pt x="1410" y="119"/>
                </a:lnTo>
                <a:lnTo>
                  <a:pt x="1424" y="122"/>
                </a:lnTo>
                <a:lnTo>
                  <a:pt x="1440" y="172"/>
                </a:lnTo>
                <a:lnTo>
                  <a:pt x="1446" y="178"/>
                </a:lnTo>
                <a:lnTo>
                  <a:pt x="1445" y="180"/>
                </a:lnTo>
                <a:lnTo>
                  <a:pt x="1441" y="186"/>
                </a:lnTo>
                <a:lnTo>
                  <a:pt x="1454" y="207"/>
                </a:lnTo>
                <a:lnTo>
                  <a:pt x="1456" y="226"/>
                </a:lnTo>
                <a:lnTo>
                  <a:pt x="1462" y="237"/>
                </a:lnTo>
                <a:lnTo>
                  <a:pt x="1473" y="237"/>
                </a:lnTo>
                <a:lnTo>
                  <a:pt x="1482" y="268"/>
                </a:lnTo>
                <a:lnTo>
                  <a:pt x="1484" y="271"/>
                </a:lnTo>
                <a:lnTo>
                  <a:pt x="1490" y="296"/>
                </a:lnTo>
                <a:lnTo>
                  <a:pt x="1485" y="312"/>
                </a:lnTo>
                <a:lnTo>
                  <a:pt x="1486" y="326"/>
                </a:lnTo>
                <a:lnTo>
                  <a:pt x="1507" y="346"/>
                </a:lnTo>
                <a:lnTo>
                  <a:pt x="1508" y="353"/>
                </a:lnTo>
                <a:lnTo>
                  <a:pt x="1506" y="355"/>
                </a:lnTo>
                <a:lnTo>
                  <a:pt x="1507" y="362"/>
                </a:lnTo>
                <a:lnTo>
                  <a:pt x="1519" y="381"/>
                </a:lnTo>
                <a:lnTo>
                  <a:pt x="1531" y="405"/>
                </a:lnTo>
                <a:lnTo>
                  <a:pt x="1522" y="414"/>
                </a:lnTo>
                <a:lnTo>
                  <a:pt x="1521" y="428"/>
                </a:lnTo>
                <a:lnTo>
                  <a:pt x="1531" y="429"/>
                </a:lnTo>
                <a:lnTo>
                  <a:pt x="1532" y="433"/>
                </a:lnTo>
                <a:lnTo>
                  <a:pt x="1530" y="435"/>
                </a:lnTo>
                <a:lnTo>
                  <a:pt x="1532" y="444"/>
                </a:lnTo>
                <a:lnTo>
                  <a:pt x="1529" y="459"/>
                </a:lnTo>
                <a:lnTo>
                  <a:pt x="1530" y="461"/>
                </a:lnTo>
                <a:lnTo>
                  <a:pt x="1531" y="461"/>
                </a:lnTo>
                <a:lnTo>
                  <a:pt x="1532" y="473"/>
                </a:lnTo>
                <a:lnTo>
                  <a:pt x="1543" y="496"/>
                </a:lnTo>
                <a:lnTo>
                  <a:pt x="1543" y="498"/>
                </a:lnTo>
                <a:lnTo>
                  <a:pt x="1539" y="503"/>
                </a:lnTo>
                <a:lnTo>
                  <a:pt x="1538" y="524"/>
                </a:lnTo>
                <a:lnTo>
                  <a:pt x="1530" y="533"/>
                </a:lnTo>
                <a:lnTo>
                  <a:pt x="1554" y="566"/>
                </a:lnTo>
                <a:lnTo>
                  <a:pt x="1551" y="571"/>
                </a:lnTo>
                <a:lnTo>
                  <a:pt x="1550" y="572"/>
                </a:lnTo>
                <a:lnTo>
                  <a:pt x="1554" y="585"/>
                </a:lnTo>
                <a:lnTo>
                  <a:pt x="1562" y="586"/>
                </a:lnTo>
                <a:lnTo>
                  <a:pt x="1567" y="577"/>
                </a:lnTo>
                <a:lnTo>
                  <a:pt x="1577" y="636"/>
                </a:lnTo>
                <a:lnTo>
                  <a:pt x="1591" y="647"/>
                </a:lnTo>
                <a:lnTo>
                  <a:pt x="1600" y="651"/>
                </a:lnTo>
                <a:lnTo>
                  <a:pt x="1624" y="703"/>
                </a:lnTo>
                <a:lnTo>
                  <a:pt x="1637" y="709"/>
                </a:lnTo>
                <a:lnTo>
                  <a:pt x="1630" y="709"/>
                </a:lnTo>
                <a:lnTo>
                  <a:pt x="1547" y="709"/>
                </a:lnTo>
                <a:lnTo>
                  <a:pt x="1531" y="709"/>
                </a:lnTo>
                <a:lnTo>
                  <a:pt x="1507" y="709"/>
                </a:lnTo>
                <a:lnTo>
                  <a:pt x="1505" y="709"/>
                </a:lnTo>
                <a:lnTo>
                  <a:pt x="1484" y="709"/>
                </a:lnTo>
                <a:lnTo>
                  <a:pt x="1462" y="709"/>
                </a:lnTo>
                <a:lnTo>
                  <a:pt x="1460" y="709"/>
                </a:lnTo>
                <a:lnTo>
                  <a:pt x="1437" y="709"/>
                </a:lnTo>
                <a:lnTo>
                  <a:pt x="1421" y="709"/>
                </a:lnTo>
                <a:lnTo>
                  <a:pt x="1413" y="709"/>
                </a:lnTo>
                <a:lnTo>
                  <a:pt x="1367" y="709"/>
                </a:lnTo>
                <a:lnTo>
                  <a:pt x="1356" y="709"/>
                </a:lnTo>
                <a:lnTo>
                  <a:pt x="1344" y="709"/>
                </a:lnTo>
                <a:lnTo>
                  <a:pt x="1336" y="709"/>
                </a:lnTo>
                <a:lnTo>
                  <a:pt x="1296" y="709"/>
                </a:lnTo>
                <a:lnTo>
                  <a:pt x="1273" y="709"/>
                </a:lnTo>
                <a:lnTo>
                  <a:pt x="1252" y="709"/>
                </a:lnTo>
                <a:lnTo>
                  <a:pt x="1249" y="709"/>
                </a:lnTo>
                <a:lnTo>
                  <a:pt x="1203" y="709"/>
                </a:lnTo>
                <a:lnTo>
                  <a:pt x="1167" y="709"/>
                </a:lnTo>
                <a:lnTo>
                  <a:pt x="1156" y="709"/>
                </a:lnTo>
                <a:lnTo>
                  <a:pt x="1146" y="709"/>
                </a:lnTo>
                <a:lnTo>
                  <a:pt x="1133" y="709"/>
                </a:lnTo>
                <a:lnTo>
                  <a:pt x="1109" y="709"/>
                </a:lnTo>
                <a:lnTo>
                  <a:pt x="1082" y="709"/>
                </a:lnTo>
                <a:lnTo>
                  <a:pt x="1063" y="709"/>
                </a:lnTo>
                <a:lnTo>
                  <a:pt x="1040" y="709"/>
                </a:lnTo>
                <a:lnTo>
                  <a:pt x="1039" y="709"/>
                </a:lnTo>
                <a:lnTo>
                  <a:pt x="1016" y="709"/>
                </a:lnTo>
                <a:lnTo>
                  <a:pt x="997" y="70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5" name="S_ND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>
            <a:spLocks/>
          </xdr:cNvSpPr>
        </xdr:nvSpPr>
        <xdr:spPr bwMode="auto">
          <a:xfrm>
            <a:off x="3722034" y="85725"/>
            <a:ext cx="1345826" cy="679637"/>
          </a:xfrm>
          <a:custGeom>
            <a:avLst/>
            <a:gdLst>
              <a:gd name="T0" fmla="*/ 2147483647 w 1400"/>
              <a:gd name="T1" fmla="*/ 2147483647 h 724"/>
              <a:gd name="T2" fmla="*/ 2147483647 w 1400"/>
              <a:gd name="T3" fmla="*/ 2147483647 h 724"/>
              <a:gd name="T4" fmla="*/ 2147483647 w 1400"/>
              <a:gd name="T5" fmla="*/ 2147483647 h 724"/>
              <a:gd name="T6" fmla="*/ 2147483647 w 1400"/>
              <a:gd name="T7" fmla="*/ 2147483647 h 724"/>
              <a:gd name="T8" fmla="*/ 2147483647 w 1400"/>
              <a:gd name="T9" fmla="*/ 2147483647 h 724"/>
              <a:gd name="T10" fmla="*/ 2147483647 w 1400"/>
              <a:gd name="T11" fmla="*/ 2147483647 h 724"/>
              <a:gd name="T12" fmla="*/ 2147483647 w 1400"/>
              <a:gd name="T13" fmla="*/ 2147483647 h 724"/>
              <a:gd name="T14" fmla="*/ 2147483647 w 1400"/>
              <a:gd name="T15" fmla="*/ 2147483647 h 724"/>
              <a:gd name="T16" fmla="*/ 2147483647 w 1400"/>
              <a:gd name="T17" fmla="*/ 2147483647 h 724"/>
              <a:gd name="T18" fmla="*/ 2147483647 w 1400"/>
              <a:gd name="T19" fmla="*/ 2147483647 h 724"/>
              <a:gd name="T20" fmla="*/ 2147483647 w 1400"/>
              <a:gd name="T21" fmla="*/ 2147483647 h 724"/>
              <a:gd name="T22" fmla="*/ 2147483647 w 1400"/>
              <a:gd name="T23" fmla="*/ 2147483647 h 724"/>
              <a:gd name="T24" fmla="*/ 2147483647 w 1400"/>
              <a:gd name="T25" fmla="*/ 2147483647 h 724"/>
              <a:gd name="T26" fmla="*/ 2147483647 w 1400"/>
              <a:gd name="T27" fmla="*/ 2147483647 h 724"/>
              <a:gd name="T28" fmla="*/ 2147483647 w 1400"/>
              <a:gd name="T29" fmla="*/ 2147483647 h 724"/>
              <a:gd name="T30" fmla="*/ 2147483647 w 1400"/>
              <a:gd name="T31" fmla="*/ 2147483647 h 724"/>
              <a:gd name="T32" fmla="*/ 2147483647 w 1400"/>
              <a:gd name="T33" fmla="*/ 2147483647 h 724"/>
              <a:gd name="T34" fmla="*/ 2147483647 w 1400"/>
              <a:gd name="T35" fmla="*/ 2147483647 h 724"/>
              <a:gd name="T36" fmla="*/ 2147483647 w 1400"/>
              <a:gd name="T37" fmla="*/ 2147483647 h 724"/>
              <a:gd name="T38" fmla="*/ 2147483647 w 1400"/>
              <a:gd name="T39" fmla="*/ 2147483647 h 724"/>
              <a:gd name="T40" fmla="*/ 2147483647 w 1400"/>
              <a:gd name="T41" fmla="*/ 2147483647 h 724"/>
              <a:gd name="T42" fmla="*/ 2147483647 w 1400"/>
              <a:gd name="T43" fmla="*/ 2147483647 h 724"/>
              <a:gd name="T44" fmla="*/ 2147483647 w 1400"/>
              <a:gd name="T45" fmla="*/ 2147483647 h 724"/>
              <a:gd name="T46" fmla="*/ 2147483647 w 1400"/>
              <a:gd name="T47" fmla="*/ 2147483647 h 724"/>
              <a:gd name="T48" fmla="*/ 2147483647 w 1400"/>
              <a:gd name="T49" fmla="*/ 2147483647 h 724"/>
              <a:gd name="T50" fmla="*/ 2147483647 w 1400"/>
              <a:gd name="T51" fmla="*/ 2147483647 h 724"/>
              <a:gd name="T52" fmla="*/ 2147483647 w 1400"/>
              <a:gd name="T53" fmla="*/ 2147483647 h 724"/>
              <a:gd name="T54" fmla="*/ 2147483647 w 1400"/>
              <a:gd name="T55" fmla="*/ 2147483647 h 724"/>
              <a:gd name="T56" fmla="*/ 2147483647 w 1400"/>
              <a:gd name="T57" fmla="*/ 0 h 724"/>
              <a:gd name="T58" fmla="*/ 2147483647 w 1400"/>
              <a:gd name="T59" fmla="*/ 2147483647 h 724"/>
              <a:gd name="T60" fmla="*/ 2147483647 w 1400"/>
              <a:gd name="T61" fmla="*/ 2147483647 h 724"/>
              <a:gd name="T62" fmla="*/ 2147483647 w 1400"/>
              <a:gd name="T63" fmla="*/ 2147483647 h 724"/>
              <a:gd name="T64" fmla="*/ 0 w 1400"/>
              <a:gd name="T65" fmla="*/ 2147483647 h 724"/>
              <a:gd name="T66" fmla="*/ 0 w 1400"/>
              <a:gd name="T67" fmla="*/ 2147483647 h 724"/>
              <a:gd name="T68" fmla="*/ 0 w 1400"/>
              <a:gd name="T69" fmla="*/ 2147483647 h 724"/>
              <a:gd name="T70" fmla="*/ 0 w 1400"/>
              <a:gd name="T71" fmla="*/ 2147483647 h 724"/>
              <a:gd name="T72" fmla="*/ 2147483647 w 1400"/>
              <a:gd name="T73" fmla="*/ 2147483647 h 724"/>
              <a:gd name="T74" fmla="*/ 2147483647 w 1400"/>
              <a:gd name="T75" fmla="*/ 2147483647 h 724"/>
              <a:gd name="T76" fmla="*/ 2147483647 w 1400"/>
              <a:gd name="T77" fmla="*/ 2147483647 h 724"/>
              <a:gd name="T78" fmla="*/ 2147483647 w 1400"/>
              <a:gd name="T79" fmla="*/ 2147483647 h 724"/>
              <a:gd name="T80" fmla="*/ 2147483647 w 1400"/>
              <a:gd name="T81" fmla="*/ 2147483647 h 724"/>
              <a:gd name="T82" fmla="*/ 2147483647 w 1400"/>
              <a:gd name="T83" fmla="*/ 2147483647 h 724"/>
              <a:gd name="T84" fmla="*/ 2147483647 w 1400"/>
              <a:gd name="T85" fmla="*/ 2147483647 h 724"/>
              <a:gd name="T86" fmla="*/ 2147483647 w 1400"/>
              <a:gd name="T87" fmla="*/ 2147483647 h 724"/>
              <a:gd name="T88" fmla="*/ 2147483647 w 1400"/>
              <a:gd name="T89" fmla="*/ 2147483647 h 724"/>
              <a:gd name="T90" fmla="*/ 2147483647 w 1400"/>
              <a:gd name="T91" fmla="*/ 2147483647 h 724"/>
              <a:gd name="T92" fmla="*/ 2147483647 w 1400"/>
              <a:gd name="T93" fmla="*/ 2147483647 h 724"/>
              <a:gd name="T94" fmla="*/ 2147483647 w 1400"/>
              <a:gd name="T95" fmla="*/ 2147483647 h 724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400"/>
              <a:gd name="T145" fmla="*/ 0 h 724"/>
              <a:gd name="T146" fmla="*/ 1400 w 1400"/>
              <a:gd name="T147" fmla="*/ 724 h 724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400" h="724">
                <a:moveTo>
                  <a:pt x="383" y="722"/>
                </a:moveTo>
                <a:lnTo>
                  <a:pt x="523" y="722"/>
                </a:lnTo>
                <a:lnTo>
                  <a:pt x="546" y="722"/>
                </a:lnTo>
                <a:lnTo>
                  <a:pt x="661" y="722"/>
                </a:lnTo>
                <a:lnTo>
                  <a:pt x="663" y="722"/>
                </a:lnTo>
                <a:lnTo>
                  <a:pt x="664" y="722"/>
                </a:lnTo>
                <a:lnTo>
                  <a:pt x="756" y="723"/>
                </a:lnTo>
                <a:lnTo>
                  <a:pt x="757" y="723"/>
                </a:lnTo>
                <a:lnTo>
                  <a:pt x="780" y="723"/>
                </a:lnTo>
                <a:lnTo>
                  <a:pt x="810" y="723"/>
                </a:lnTo>
                <a:lnTo>
                  <a:pt x="827" y="723"/>
                </a:lnTo>
                <a:lnTo>
                  <a:pt x="897" y="723"/>
                </a:lnTo>
                <a:lnTo>
                  <a:pt x="943" y="723"/>
                </a:lnTo>
                <a:lnTo>
                  <a:pt x="991" y="723"/>
                </a:lnTo>
                <a:lnTo>
                  <a:pt x="996" y="723"/>
                </a:lnTo>
                <a:lnTo>
                  <a:pt x="1061" y="724"/>
                </a:lnTo>
                <a:lnTo>
                  <a:pt x="1085" y="724"/>
                </a:lnTo>
                <a:lnTo>
                  <a:pt x="1130" y="724"/>
                </a:lnTo>
                <a:lnTo>
                  <a:pt x="1131" y="724"/>
                </a:lnTo>
                <a:lnTo>
                  <a:pt x="1135" y="724"/>
                </a:lnTo>
                <a:lnTo>
                  <a:pt x="1225" y="724"/>
                </a:lnTo>
                <a:lnTo>
                  <a:pt x="1271" y="724"/>
                </a:lnTo>
                <a:lnTo>
                  <a:pt x="1275" y="724"/>
                </a:lnTo>
                <a:lnTo>
                  <a:pt x="1318" y="724"/>
                </a:lnTo>
                <a:lnTo>
                  <a:pt x="1365" y="724"/>
                </a:lnTo>
                <a:lnTo>
                  <a:pt x="1400" y="724"/>
                </a:lnTo>
                <a:lnTo>
                  <a:pt x="1397" y="709"/>
                </a:lnTo>
                <a:lnTo>
                  <a:pt x="1397" y="704"/>
                </a:lnTo>
                <a:lnTo>
                  <a:pt x="1389" y="627"/>
                </a:lnTo>
                <a:lnTo>
                  <a:pt x="1366" y="591"/>
                </a:lnTo>
                <a:lnTo>
                  <a:pt x="1360" y="562"/>
                </a:lnTo>
                <a:lnTo>
                  <a:pt x="1359" y="561"/>
                </a:lnTo>
                <a:lnTo>
                  <a:pt x="1355" y="561"/>
                </a:lnTo>
                <a:lnTo>
                  <a:pt x="1360" y="503"/>
                </a:lnTo>
                <a:lnTo>
                  <a:pt x="1351" y="473"/>
                </a:lnTo>
                <a:lnTo>
                  <a:pt x="1348" y="438"/>
                </a:lnTo>
                <a:lnTo>
                  <a:pt x="1349" y="429"/>
                </a:lnTo>
                <a:lnTo>
                  <a:pt x="1349" y="417"/>
                </a:lnTo>
                <a:lnTo>
                  <a:pt x="1347" y="395"/>
                </a:lnTo>
                <a:lnTo>
                  <a:pt x="1350" y="394"/>
                </a:lnTo>
                <a:lnTo>
                  <a:pt x="1345" y="386"/>
                </a:lnTo>
                <a:lnTo>
                  <a:pt x="1347" y="384"/>
                </a:lnTo>
                <a:lnTo>
                  <a:pt x="1347" y="355"/>
                </a:lnTo>
                <a:lnTo>
                  <a:pt x="1346" y="354"/>
                </a:lnTo>
                <a:lnTo>
                  <a:pt x="1342" y="326"/>
                </a:lnTo>
                <a:lnTo>
                  <a:pt x="1339" y="315"/>
                </a:lnTo>
                <a:lnTo>
                  <a:pt x="1314" y="266"/>
                </a:lnTo>
                <a:lnTo>
                  <a:pt x="1296" y="198"/>
                </a:lnTo>
                <a:lnTo>
                  <a:pt x="1290" y="196"/>
                </a:lnTo>
                <a:lnTo>
                  <a:pt x="1291" y="190"/>
                </a:lnTo>
                <a:lnTo>
                  <a:pt x="1296" y="187"/>
                </a:lnTo>
                <a:lnTo>
                  <a:pt x="1293" y="137"/>
                </a:lnTo>
                <a:lnTo>
                  <a:pt x="1288" y="109"/>
                </a:lnTo>
                <a:lnTo>
                  <a:pt x="1288" y="108"/>
                </a:lnTo>
                <a:lnTo>
                  <a:pt x="1283" y="33"/>
                </a:lnTo>
                <a:lnTo>
                  <a:pt x="1285" y="30"/>
                </a:lnTo>
                <a:lnTo>
                  <a:pt x="1275" y="0"/>
                </a:lnTo>
                <a:lnTo>
                  <a:pt x="1140" y="0"/>
                </a:lnTo>
                <a:lnTo>
                  <a:pt x="945" y="0"/>
                </a:lnTo>
                <a:lnTo>
                  <a:pt x="846" y="1"/>
                </a:lnTo>
                <a:lnTo>
                  <a:pt x="723" y="1"/>
                </a:lnTo>
                <a:lnTo>
                  <a:pt x="503" y="1"/>
                </a:lnTo>
                <a:lnTo>
                  <a:pt x="477" y="1"/>
                </a:lnTo>
                <a:lnTo>
                  <a:pt x="379" y="1"/>
                </a:lnTo>
                <a:lnTo>
                  <a:pt x="207" y="1"/>
                </a:lnTo>
                <a:lnTo>
                  <a:pt x="0" y="1"/>
                </a:lnTo>
                <a:lnTo>
                  <a:pt x="0" y="60"/>
                </a:lnTo>
                <a:lnTo>
                  <a:pt x="0" y="79"/>
                </a:lnTo>
                <a:lnTo>
                  <a:pt x="0" y="87"/>
                </a:lnTo>
                <a:lnTo>
                  <a:pt x="0" y="89"/>
                </a:lnTo>
                <a:lnTo>
                  <a:pt x="0" y="119"/>
                </a:lnTo>
                <a:lnTo>
                  <a:pt x="0" y="144"/>
                </a:lnTo>
                <a:lnTo>
                  <a:pt x="1" y="207"/>
                </a:lnTo>
                <a:lnTo>
                  <a:pt x="1" y="236"/>
                </a:lnTo>
                <a:lnTo>
                  <a:pt x="1" y="237"/>
                </a:lnTo>
                <a:lnTo>
                  <a:pt x="1" y="266"/>
                </a:lnTo>
                <a:lnTo>
                  <a:pt x="1" y="295"/>
                </a:lnTo>
                <a:lnTo>
                  <a:pt x="1" y="379"/>
                </a:lnTo>
                <a:lnTo>
                  <a:pt x="1" y="384"/>
                </a:lnTo>
                <a:lnTo>
                  <a:pt x="1" y="395"/>
                </a:lnTo>
                <a:lnTo>
                  <a:pt x="1" y="443"/>
                </a:lnTo>
                <a:lnTo>
                  <a:pt x="1" y="532"/>
                </a:lnTo>
                <a:lnTo>
                  <a:pt x="0" y="557"/>
                </a:lnTo>
                <a:lnTo>
                  <a:pt x="1" y="581"/>
                </a:lnTo>
                <a:lnTo>
                  <a:pt x="1" y="591"/>
                </a:lnTo>
                <a:lnTo>
                  <a:pt x="1" y="643"/>
                </a:lnTo>
                <a:lnTo>
                  <a:pt x="0" y="651"/>
                </a:lnTo>
                <a:lnTo>
                  <a:pt x="1" y="686"/>
                </a:lnTo>
                <a:lnTo>
                  <a:pt x="1" y="722"/>
                </a:lnTo>
                <a:lnTo>
                  <a:pt x="9" y="722"/>
                </a:lnTo>
                <a:lnTo>
                  <a:pt x="79" y="722"/>
                </a:lnTo>
                <a:lnTo>
                  <a:pt x="196" y="722"/>
                </a:lnTo>
                <a:lnTo>
                  <a:pt x="207" y="722"/>
                </a:lnTo>
                <a:lnTo>
                  <a:pt x="290" y="722"/>
                </a:lnTo>
                <a:lnTo>
                  <a:pt x="359" y="722"/>
                </a:lnTo>
                <a:lnTo>
                  <a:pt x="383" y="72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6" name="S_NC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>
            <a:spLocks/>
          </xdr:cNvSpPr>
        </xdr:nvSpPr>
        <xdr:spPr bwMode="auto">
          <a:xfrm>
            <a:off x="7267015" y="2823883"/>
            <a:ext cx="1599079" cy="608479"/>
          </a:xfrm>
          <a:custGeom>
            <a:avLst/>
            <a:gdLst>
              <a:gd name="T0" fmla="*/ 2147483647 w 1656"/>
              <a:gd name="T1" fmla="*/ 2147483647 h 647"/>
              <a:gd name="T2" fmla="*/ 2147483647 w 1656"/>
              <a:gd name="T3" fmla="*/ 2147483647 h 647"/>
              <a:gd name="T4" fmla="*/ 2147483647 w 1656"/>
              <a:gd name="T5" fmla="*/ 2147483647 h 647"/>
              <a:gd name="T6" fmla="*/ 2147483647 w 1656"/>
              <a:gd name="T7" fmla="*/ 0 h 647"/>
              <a:gd name="T8" fmla="*/ 2147483647 w 1656"/>
              <a:gd name="T9" fmla="*/ 0 h 647"/>
              <a:gd name="T10" fmla="*/ 2147483647 w 1656"/>
              <a:gd name="T11" fmla="*/ 0 h 647"/>
              <a:gd name="T12" fmla="*/ 2147483647 w 1656"/>
              <a:gd name="T13" fmla="*/ 0 h 647"/>
              <a:gd name="T14" fmla="*/ 2147483647 w 1656"/>
              <a:gd name="T15" fmla="*/ 2147483647 h 647"/>
              <a:gd name="T16" fmla="*/ 2147483647 w 1656"/>
              <a:gd name="T17" fmla="*/ 2147483647 h 647"/>
              <a:gd name="T18" fmla="*/ 2147483647 w 1656"/>
              <a:gd name="T19" fmla="*/ 2147483647 h 647"/>
              <a:gd name="T20" fmla="*/ 2147483647 w 1656"/>
              <a:gd name="T21" fmla="*/ 2147483647 h 647"/>
              <a:gd name="T22" fmla="*/ 2147483647 w 1656"/>
              <a:gd name="T23" fmla="*/ 2147483647 h 647"/>
              <a:gd name="T24" fmla="*/ 2147483647 w 1656"/>
              <a:gd name="T25" fmla="*/ 2147483647 h 647"/>
              <a:gd name="T26" fmla="*/ 2147483647 w 1656"/>
              <a:gd name="T27" fmla="*/ 2147483647 h 647"/>
              <a:gd name="T28" fmla="*/ 2147483647 w 1656"/>
              <a:gd name="T29" fmla="*/ 2147483647 h 647"/>
              <a:gd name="T30" fmla="*/ 2147483647 w 1656"/>
              <a:gd name="T31" fmla="*/ 2147483647 h 647"/>
              <a:gd name="T32" fmla="*/ 2147483647 w 1656"/>
              <a:gd name="T33" fmla="*/ 2147483647 h 647"/>
              <a:gd name="T34" fmla="*/ 2147483647 w 1656"/>
              <a:gd name="T35" fmla="*/ 2147483647 h 647"/>
              <a:gd name="T36" fmla="*/ 2147483647 w 1656"/>
              <a:gd name="T37" fmla="*/ 2147483647 h 647"/>
              <a:gd name="T38" fmla="*/ 2147483647 w 1656"/>
              <a:gd name="T39" fmla="*/ 2147483647 h 647"/>
              <a:gd name="T40" fmla="*/ 2147483647 w 1656"/>
              <a:gd name="T41" fmla="*/ 2147483647 h 647"/>
              <a:gd name="T42" fmla="*/ 2147483647 w 1656"/>
              <a:gd name="T43" fmla="*/ 2147483647 h 647"/>
              <a:gd name="T44" fmla="*/ 2147483647 w 1656"/>
              <a:gd name="T45" fmla="*/ 2147483647 h 647"/>
              <a:gd name="T46" fmla="*/ 2147483647 w 1656"/>
              <a:gd name="T47" fmla="*/ 2147483647 h 647"/>
              <a:gd name="T48" fmla="*/ 2147483647 w 1656"/>
              <a:gd name="T49" fmla="*/ 2147483647 h 647"/>
              <a:gd name="T50" fmla="*/ 2147483647 w 1656"/>
              <a:gd name="T51" fmla="*/ 2147483647 h 647"/>
              <a:gd name="T52" fmla="*/ 2147483647 w 1656"/>
              <a:gd name="T53" fmla="*/ 2147483647 h 647"/>
              <a:gd name="T54" fmla="*/ 2147483647 w 1656"/>
              <a:gd name="T55" fmla="*/ 2147483647 h 647"/>
              <a:gd name="T56" fmla="*/ 2147483647 w 1656"/>
              <a:gd name="T57" fmla="*/ 2147483647 h 647"/>
              <a:gd name="T58" fmla="*/ 2147483647 w 1656"/>
              <a:gd name="T59" fmla="*/ 2147483647 h 647"/>
              <a:gd name="T60" fmla="*/ 2147483647 w 1656"/>
              <a:gd name="T61" fmla="*/ 2147483647 h 647"/>
              <a:gd name="T62" fmla="*/ 2147483647 w 1656"/>
              <a:gd name="T63" fmla="*/ 2147483647 h 647"/>
              <a:gd name="T64" fmla="*/ 2147483647 w 1656"/>
              <a:gd name="T65" fmla="*/ 2147483647 h 647"/>
              <a:gd name="T66" fmla="*/ 2147483647 w 1656"/>
              <a:gd name="T67" fmla="*/ 2147483647 h 647"/>
              <a:gd name="T68" fmla="*/ 2147483647 w 1656"/>
              <a:gd name="T69" fmla="*/ 2147483647 h 647"/>
              <a:gd name="T70" fmla="*/ 2147483647 w 1656"/>
              <a:gd name="T71" fmla="*/ 2147483647 h 647"/>
              <a:gd name="T72" fmla="*/ 2147483647 w 1656"/>
              <a:gd name="T73" fmla="*/ 2147483647 h 647"/>
              <a:gd name="T74" fmla="*/ 2147483647 w 1656"/>
              <a:gd name="T75" fmla="*/ 2147483647 h 647"/>
              <a:gd name="T76" fmla="*/ 2147483647 w 1656"/>
              <a:gd name="T77" fmla="*/ 2147483647 h 647"/>
              <a:gd name="T78" fmla="*/ 2147483647 w 1656"/>
              <a:gd name="T79" fmla="*/ 2147483647 h 647"/>
              <a:gd name="T80" fmla="*/ 2147483647 w 1656"/>
              <a:gd name="T81" fmla="*/ 2147483647 h 647"/>
              <a:gd name="T82" fmla="*/ 2147483647 w 1656"/>
              <a:gd name="T83" fmla="*/ 2147483647 h 647"/>
              <a:gd name="T84" fmla="*/ 2147483647 w 1656"/>
              <a:gd name="T85" fmla="*/ 2147483647 h 647"/>
              <a:gd name="T86" fmla="*/ 2147483647 w 1656"/>
              <a:gd name="T87" fmla="*/ 2147483647 h 647"/>
              <a:gd name="T88" fmla="*/ 2147483647 w 1656"/>
              <a:gd name="T89" fmla="*/ 2147483647 h 647"/>
              <a:gd name="T90" fmla="*/ 0 w 1656"/>
              <a:gd name="T91" fmla="*/ 2147483647 h 647"/>
              <a:gd name="T92" fmla="*/ 2147483647 w 1656"/>
              <a:gd name="T93" fmla="*/ 2147483647 h 647"/>
              <a:gd name="T94" fmla="*/ 2147483647 w 1656"/>
              <a:gd name="T95" fmla="*/ 2147483647 h 647"/>
              <a:gd name="T96" fmla="*/ 2147483647 w 1656"/>
              <a:gd name="T97" fmla="*/ 2147483647 h 647"/>
              <a:gd name="T98" fmla="*/ 2147483647 w 1656"/>
              <a:gd name="T99" fmla="*/ 2147483647 h 647"/>
              <a:gd name="T100" fmla="*/ 2147483647 w 1656"/>
              <a:gd name="T101" fmla="*/ 2147483647 h 647"/>
              <a:gd name="T102" fmla="*/ 2147483647 w 1656"/>
              <a:gd name="T103" fmla="*/ 2147483647 h 647"/>
              <a:gd name="T104" fmla="*/ 2147483647 w 1656"/>
              <a:gd name="T105" fmla="*/ 2147483647 h 647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656"/>
              <a:gd name="T160" fmla="*/ 0 h 647"/>
              <a:gd name="T161" fmla="*/ 1656 w 1656"/>
              <a:gd name="T162" fmla="*/ 647 h 647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656" h="647">
                <a:moveTo>
                  <a:pt x="356" y="122"/>
                </a:moveTo>
                <a:lnTo>
                  <a:pt x="364" y="115"/>
                </a:lnTo>
                <a:lnTo>
                  <a:pt x="387" y="108"/>
                </a:lnTo>
                <a:lnTo>
                  <a:pt x="392" y="102"/>
                </a:lnTo>
                <a:lnTo>
                  <a:pt x="409" y="109"/>
                </a:lnTo>
                <a:lnTo>
                  <a:pt x="411" y="115"/>
                </a:lnTo>
                <a:lnTo>
                  <a:pt x="419" y="115"/>
                </a:lnTo>
                <a:lnTo>
                  <a:pt x="423" y="109"/>
                </a:lnTo>
                <a:lnTo>
                  <a:pt x="429" y="109"/>
                </a:lnTo>
                <a:lnTo>
                  <a:pt x="447" y="77"/>
                </a:lnTo>
                <a:lnTo>
                  <a:pt x="449" y="72"/>
                </a:lnTo>
                <a:lnTo>
                  <a:pt x="458" y="65"/>
                </a:lnTo>
                <a:lnTo>
                  <a:pt x="481" y="60"/>
                </a:lnTo>
                <a:lnTo>
                  <a:pt x="484" y="47"/>
                </a:lnTo>
                <a:lnTo>
                  <a:pt x="490" y="22"/>
                </a:lnTo>
                <a:lnTo>
                  <a:pt x="494" y="0"/>
                </a:lnTo>
                <a:lnTo>
                  <a:pt x="504" y="0"/>
                </a:lnTo>
                <a:lnTo>
                  <a:pt x="532" y="2"/>
                </a:lnTo>
                <a:lnTo>
                  <a:pt x="538" y="4"/>
                </a:lnTo>
                <a:lnTo>
                  <a:pt x="555" y="4"/>
                </a:lnTo>
                <a:lnTo>
                  <a:pt x="564" y="4"/>
                </a:lnTo>
                <a:lnTo>
                  <a:pt x="611" y="6"/>
                </a:lnTo>
                <a:lnTo>
                  <a:pt x="640" y="7"/>
                </a:lnTo>
                <a:lnTo>
                  <a:pt x="645" y="7"/>
                </a:lnTo>
                <a:lnTo>
                  <a:pt x="646" y="7"/>
                </a:lnTo>
                <a:lnTo>
                  <a:pt x="648" y="8"/>
                </a:lnTo>
                <a:lnTo>
                  <a:pt x="651" y="8"/>
                </a:lnTo>
                <a:lnTo>
                  <a:pt x="655" y="7"/>
                </a:lnTo>
                <a:lnTo>
                  <a:pt x="663" y="7"/>
                </a:lnTo>
                <a:lnTo>
                  <a:pt x="676" y="7"/>
                </a:lnTo>
                <a:lnTo>
                  <a:pt x="693" y="8"/>
                </a:lnTo>
                <a:lnTo>
                  <a:pt x="703" y="8"/>
                </a:lnTo>
                <a:lnTo>
                  <a:pt x="715" y="9"/>
                </a:lnTo>
                <a:lnTo>
                  <a:pt x="725" y="9"/>
                </a:lnTo>
                <a:lnTo>
                  <a:pt x="753" y="11"/>
                </a:lnTo>
                <a:lnTo>
                  <a:pt x="785" y="11"/>
                </a:lnTo>
                <a:lnTo>
                  <a:pt x="798" y="11"/>
                </a:lnTo>
                <a:lnTo>
                  <a:pt x="803" y="11"/>
                </a:lnTo>
                <a:lnTo>
                  <a:pt x="808" y="11"/>
                </a:lnTo>
                <a:lnTo>
                  <a:pt x="831" y="11"/>
                </a:lnTo>
                <a:lnTo>
                  <a:pt x="861" y="11"/>
                </a:lnTo>
                <a:lnTo>
                  <a:pt x="878" y="11"/>
                </a:lnTo>
                <a:lnTo>
                  <a:pt x="890" y="12"/>
                </a:lnTo>
                <a:lnTo>
                  <a:pt x="900" y="12"/>
                </a:lnTo>
                <a:lnTo>
                  <a:pt x="925" y="12"/>
                </a:lnTo>
                <a:lnTo>
                  <a:pt x="949" y="12"/>
                </a:lnTo>
                <a:lnTo>
                  <a:pt x="954" y="11"/>
                </a:lnTo>
                <a:lnTo>
                  <a:pt x="969" y="11"/>
                </a:lnTo>
                <a:lnTo>
                  <a:pt x="1027" y="11"/>
                </a:lnTo>
                <a:lnTo>
                  <a:pt x="1030" y="11"/>
                </a:lnTo>
                <a:lnTo>
                  <a:pt x="1034" y="11"/>
                </a:lnTo>
                <a:lnTo>
                  <a:pt x="1037" y="11"/>
                </a:lnTo>
                <a:lnTo>
                  <a:pt x="1042" y="11"/>
                </a:lnTo>
                <a:lnTo>
                  <a:pt x="1045" y="11"/>
                </a:lnTo>
                <a:lnTo>
                  <a:pt x="1066" y="12"/>
                </a:lnTo>
                <a:lnTo>
                  <a:pt x="1089" y="12"/>
                </a:lnTo>
                <a:lnTo>
                  <a:pt x="1097" y="11"/>
                </a:lnTo>
                <a:lnTo>
                  <a:pt x="1105" y="11"/>
                </a:lnTo>
                <a:lnTo>
                  <a:pt x="1112" y="11"/>
                </a:lnTo>
                <a:lnTo>
                  <a:pt x="1121" y="11"/>
                </a:lnTo>
                <a:lnTo>
                  <a:pt x="1135" y="11"/>
                </a:lnTo>
                <a:lnTo>
                  <a:pt x="1141" y="11"/>
                </a:lnTo>
                <a:lnTo>
                  <a:pt x="1174" y="11"/>
                </a:lnTo>
                <a:lnTo>
                  <a:pt x="1182" y="11"/>
                </a:lnTo>
                <a:lnTo>
                  <a:pt x="1191" y="11"/>
                </a:lnTo>
                <a:lnTo>
                  <a:pt x="1200" y="11"/>
                </a:lnTo>
                <a:lnTo>
                  <a:pt x="1211" y="11"/>
                </a:lnTo>
                <a:lnTo>
                  <a:pt x="1219" y="11"/>
                </a:lnTo>
                <a:lnTo>
                  <a:pt x="1226" y="11"/>
                </a:lnTo>
                <a:lnTo>
                  <a:pt x="1263" y="11"/>
                </a:lnTo>
                <a:lnTo>
                  <a:pt x="1267" y="11"/>
                </a:lnTo>
                <a:lnTo>
                  <a:pt x="1314" y="11"/>
                </a:lnTo>
                <a:lnTo>
                  <a:pt x="1322" y="11"/>
                </a:lnTo>
                <a:lnTo>
                  <a:pt x="1339" y="10"/>
                </a:lnTo>
                <a:lnTo>
                  <a:pt x="1346" y="11"/>
                </a:lnTo>
                <a:lnTo>
                  <a:pt x="1351" y="11"/>
                </a:lnTo>
                <a:lnTo>
                  <a:pt x="1385" y="11"/>
                </a:lnTo>
                <a:lnTo>
                  <a:pt x="1386" y="9"/>
                </a:lnTo>
                <a:lnTo>
                  <a:pt x="1393" y="9"/>
                </a:lnTo>
                <a:lnTo>
                  <a:pt x="1416" y="9"/>
                </a:lnTo>
                <a:lnTo>
                  <a:pt x="1455" y="9"/>
                </a:lnTo>
                <a:lnTo>
                  <a:pt x="1456" y="9"/>
                </a:lnTo>
                <a:lnTo>
                  <a:pt x="1463" y="9"/>
                </a:lnTo>
                <a:lnTo>
                  <a:pt x="1465" y="9"/>
                </a:lnTo>
                <a:lnTo>
                  <a:pt x="1486" y="9"/>
                </a:lnTo>
                <a:lnTo>
                  <a:pt x="1493" y="10"/>
                </a:lnTo>
                <a:lnTo>
                  <a:pt x="1498" y="10"/>
                </a:lnTo>
                <a:lnTo>
                  <a:pt x="1505" y="10"/>
                </a:lnTo>
                <a:lnTo>
                  <a:pt x="1510" y="10"/>
                </a:lnTo>
                <a:lnTo>
                  <a:pt x="1533" y="9"/>
                </a:lnTo>
                <a:lnTo>
                  <a:pt x="1557" y="10"/>
                </a:lnTo>
                <a:lnTo>
                  <a:pt x="1581" y="10"/>
                </a:lnTo>
                <a:lnTo>
                  <a:pt x="1583" y="22"/>
                </a:lnTo>
                <a:lnTo>
                  <a:pt x="1599" y="85"/>
                </a:lnTo>
                <a:lnTo>
                  <a:pt x="1656" y="228"/>
                </a:lnTo>
                <a:lnTo>
                  <a:pt x="1646" y="317"/>
                </a:lnTo>
                <a:lnTo>
                  <a:pt x="1603" y="330"/>
                </a:lnTo>
                <a:lnTo>
                  <a:pt x="1555" y="360"/>
                </a:lnTo>
                <a:lnTo>
                  <a:pt x="1555" y="361"/>
                </a:lnTo>
                <a:lnTo>
                  <a:pt x="1554" y="361"/>
                </a:lnTo>
                <a:lnTo>
                  <a:pt x="1503" y="405"/>
                </a:lnTo>
                <a:lnTo>
                  <a:pt x="1456" y="465"/>
                </a:lnTo>
                <a:lnTo>
                  <a:pt x="1439" y="453"/>
                </a:lnTo>
                <a:lnTo>
                  <a:pt x="1416" y="448"/>
                </a:lnTo>
                <a:lnTo>
                  <a:pt x="1348" y="460"/>
                </a:lnTo>
                <a:lnTo>
                  <a:pt x="1325" y="473"/>
                </a:lnTo>
                <a:lnTo>
                  <a:pt x="1272" y="508"/>
                </a:lnTo>
                <a:lnTo>
                  <a:pt x="1236" y="543"/>
                </a:lnTo>
                <a:lnTo>
                  <a:pt x="1227" y="553"/>
                </a:lnTo>
                <a:lnTo>
                  <a:pt x="1194" y="629"/>
                </a:lnTo>
                <a:lnTo>
                  <a:pt x="1191" y="641"/>
                </a:lnTo>
                <a:lnTo>
                  <a:pt x="1159" y="633"/>
                </a:lnTo>
                <a:lnTo>
                  <a:pt x="1112" y="635"/>
                </a:lnTo>
                <a:lnTo>
                  <a:pt x="1081" y="647"/>
                </a:lnTo>
                <a:lnTo>
                  <a:pt x="1075" y="641"/>
                </a:lnTo>
                <a:lnTo>
                  <a:pt x="1062" y="627"/>
                </a:lnTo>
                <a:lnTo>
                  <a:pt x="1060" y="625"/>
                </a:lnTo>
                <a:lnTo>
                  <a:pt x="1019" y="580"/>
                </a:lnTo>
                <a:lnTo>
                  <a:pt x="993" y="553"/>
                </a:lnTo>
                <a:lnTo>
                  <a:pt x="982" y="541"/>
                </a:lnTo>
                <a:lnTo>
                  <a:pt x="946" y="502"/>
                </a:lnTo>
                <a:lnTo>
                  <a:pt x="932" y="487"/>
                </a:lnTo>
                <a:lnTo>
                  <a:pt x="910" y="465"/>
                </a:lnTo>
                <a:lnTo>
                  <a:pt x="909" y="464"/>
                </a:lnTo>
                <a:lnTo>
                  <a:pt x="909" y="463"/>
                </a:lnTo>
                <a:lnTo>
                  <a:pt x="882" y="435"/>
                </a:lnTo>
                <a:lnTo>
                  <a:pt x="869" y="422"/>
                </a:lnTo>
                <a:lnTo>
                  <a:pt x="867" y="422"/>
                </a:lnTo>
                <a:lnTo>
                  <a:pt x="855" y="422"/>
                </a:lnTo>
                <a:lnTo>
                  <a:pt x="831" y="422"/>
                </a:lnTo>
                <a:lnTo>
                  <a:pt x="822" y="421"/>
                </a:lnTo>
                <a:lnTo>
                  <a:pt x="808" y="421"/>
                </a:lnTo>
                <a:lnTo>
                  <a:pt x="758" y="420"/>
                </a:lnTo>
                <a:lnTo>
                  <a:pt x="748" y="420"/>
                </a:lnTo>
                <a:lnTo>
                  <a:pt x="747" y="420"/>
                </a:lnTo>
                <a:lnTo>
                  <a:pt x="722" y="419"/>
                </a:lnTo>
                <a:lnTo>
                  <a:pt x="703" y="419"/>
                </a:lnTo>
                <a:lnTo>
                  <a:pt x="659" y="419"/>
                </a:lnTo>
                <a:lnTo>
                  <a:pt x="662" y="391"/>
                </a:lnTo>
                <a:lnTo>
                  <a:pt x="651" y="375"/>
                </a:lnTo>
                <a:lnTo>
                  <a:pt x="648" y="372"/>
                </a:lnTo>
                <a:lnTo>
                  <a:pt x="645" y="366"/>
                </a:lnTo>
                <a:lnTo>
                  <a:pt x="639" y="358"/>
                </a:lnTo>
                <a:lnTo>
                  <a:pt x="621" y="360"/>
                </a:lnTo>
                <a:lnTo>
                  <a:pt x="612" y="343"/>
                </a:lnTo>
                <a:lnTo>
                  <a:pt x="615" y="341"/>
                </a:lnTo>
                <a:lnTo>
                  <a:pt x="595" y="338"/>
                </a:lnTo>
                <a:lnTo>
                  <a:pt x="574" y="337"/>
                </a:lnTo>
                <a:lnTo>
                  <a:pt x="559" y="337"/>
                </a:lnTo>
                <a:lnTo>
                  <a:pt x="552" y="336"/>
                </a:lnTo>
                <a:lnTo>
                  <a:pt x="527" y="335"/>
                </a:lnTo>
                <a:lnTo>
                  <a:pt x="481" y="333"/>
                </a:lnTo>
                <a:lnTo>
                  <a:pt x="477" y="333"/>
                </a:lnTo>
                <a:lnTo>
                  <a:pt x="458" y="332"/>
                </a:lnTo>
                <a:lnTo>
                  <a:pt x="440" y="331"/>
                </a:lnTo>
                <a:lnTo>
                  <a:pt x="422" y="331"/>
                </a:lnTo>
                <a:lnTo>
                  <a:pt x="409" y="330"/>
                </a:lnTo>
                <a:lnTo>
                  <a:pt x="394" y="329"/>
                </a:lnTo>
                <a:lnTo>
                  <a:pt x="389" y="329"/>
                </a:lnTo>
                <a:lnTo>
                  <a:pt x="387" y="329"/>
                </a:lnTo>
                <a:lnTo>
                  <a:pt x="368" y="331"/>
                </a:lnTo>
                <a:lnTo>
                  <a:pt x="340" y="337"/>
                </a:lnTo>
                <a:lnTo>
                  <a:pt x="326" y="342"/>
                </a:lnTo>
                <a:lnTo>
                  <a:pt x="312" y="346"/>
                </a:lnTo>
                <a:lnTo>
                  <a:pt x="306" y="346"/>
                </a:lnTo>
                <a:lnTo>
                  <a:pt x="291" y="360"/>
                </a:lnTo>
                <a:lnTo>
                  <a:pt x="270" y="361"/>
                </a:lnTo>
                <a:lnTo>
                  <a:pt x="266" y="362"/>
                </a:lnTo>
                <a:lnTo>
                  <a:pt x="247" y="368"/>
                </a:lnTo>
                <a:lnTo>
                  <a:pt x="246" y="370"/>
                </a:lnTo>
                <a:lnTo>
                  <a:pt x="227" y="376"/>
                </a:lnTo>
                <a:lnTo>
                  <a:pt x="215" y="376"/>
                </a:lnTo>
                <a:lnTo>
                  <a:pt x="187" y="377"/>
                </a:lnTo>
                <a:lnTo>
                  <a:pt x="157" y="377"/>
                </a:lnTo>
                <a:lnTo>
                  <a:pt x="154" y="377"/>
                </a:lnTo>
                <a:lnTo>
                  <a:pt x="144" y="377"/>
                </a:lnTo>
                <a:lnTo>
                  <a:pt x="131" y="377"/>
                </a:lnTo>
                <a:lnTo>
                  <a:pt x="131" y="379"/>
                </a:lnTo>
                <a:lnTo>
                  <a:pt x="71" y="379"/>
                </a:lnTo>
                <a:lnTo>
                  <a:pt x="69" y="379"/>
                </a:lnTo>
                <a:lnTo>
                  <a:pt x="59" y="379"/>
                </a:lnTo>
                <a:lnTo>
                  <a:pt x="36" y="379"/>
                </a:lnTo>
                <a:lnTo>
                  <a:pt x="14" y="378"/>
                </a:lnTo>
                <a:lnTo>
                  <a:pt x="0" y="378"/>
                </a:lnTo>
                <a:lnTo>
                  <a:pt x="0" y="376"/>
                </a:lnTo>
                <a:lnTo>
                  <a:pt x="3" y="346"/>
                </a:lnTo>
                <a:lnTo>
                  <a:pt x="5" y="327"/>
                </a:lnTo>
                <a:lnTo>
                  <a:pt x="14" y="316"/>
                </a:lnTo>
                <a:lnTo>
                  <a:pt x="42" y="317"/>
                </a:lnTo>
                <a:lnTo>
                  <a:pt x="54" y="306"/>
                </a:lnTo>
                <a:lnTo>
                  <a:pt x="59" y="287"/>
                </a:lnTo>
                <a:lnTo>
                  <a:pt x="60" y="275"/>
                </a:lnTo>
                <a:lnTo>
                  <a:pt x="67" y="266"/>
                </a:lnTo>
                <a:lnTo>
                  <a:pt x="68" y="267"/>
                </a:lnTo>
                <a:lnTo>
                  <a:pt x="83" y="253"/>
                </a:lnTo>
                <a:lnTo>
                  <a:pt x="107" y="243"/>
                </a:lnTo>
                <a:lnTo>
                  <a:pt x="123" y="241"/>
                </a:lnTo>
                <a:lnTo>
                  <a:pt x="129" y="241"/>
                </a:lnTo>
                <a:lnTo>
                  <a:pt x="154" y="243"/>
                </a:lnTo>
                <a:lnTo>
                  <a:pt x="200" y="211"/>
                </a:lnTo>
                <a:lnTo>
                  <a:pt x="199" y="207"/>
                </a:lnTo>
                <a:lnTo>
                  <a:pt x="223" y="194"/>
                </a:lnTo>
                <a:lnTo>
                  <a:pt x="247" y="193"/>
                </a:lnTo>
                <a:lnTo>
                  <a:pt x="254" y="189"/>
                </a:lnTo>
                <a:lnTo>
                  <a:pt x="265" y="167"/>
                </a:lnTo>
                <a:lnTo>
                  <a:pt x="265" y="165"/>
                </a:lnTo>
                <a:lnTo>
                  <a:pt x="266" y="152"/>
                </a:lnTo>
                <a:lnTo>
                  <a:pt x="289" y="139"/>
                </a:lnTo>
                <a:lnTo>
                  <a:pt x="318" y="126"/>
                </a:lnTo>
                <a:lnTo>
                  <a:pt x="321" y="130"/>
                </a:lnTo>
                <a:lnTo>
                  <a:pt x="319" y="139"/>
                </a:lnTo>
                <a:lnTo>
                  <a:pt x="339" y="145"/>
                </a:lnTo>
                <a:lnTo>
                  <a:pt x="340" y="144"/>
                </a:lnTo>
                <a:lnTo>
                  <a:pt x="347" y="137"/>
                </a:lnTo>
                <a:lnTo>
                  <a:pt x="356" y="12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7" name="S_M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>
            <a:spLocks/>
          </xdr:cNvSpPr>
        </xdr:nvSpPr>
        <xdr:spPr bwMode="auto">
          <a:xfrm>
            <a:off x="1570504" y="85725"/>
            <a:ext cx="2161055" cy="1021977"/>
          </a:xfrm>
          <a:custGeom>
            <a:avLst/>
            <a:gdLst>
              <a:gd name="T0" fmla="*/ 2147483647 w 2247"/>
              <a:gd name="T1" fmla="*/ 2147483647 h 1097"/>
              <a:gd name="T2" fmla="*/ 2147483647 w 2247"/>
              <a:gd name="T3" fmla="*/ 2147483647 h 1097"/>
              <a:gd name="T4" fmla="*/ 2147483647 w 2247"/>
              <a:gd name="T5" fmla="*/ 2147483647 h 1097"/>
              <a:gd name="T6" fmla="*/ 2147483647 w 2247"/>
              <a:gd name="T7" fmla="*/ 2147483647 h 1097"/>
              <a:gd name="T8" fmla="*/ 2147483647 w 2247"/>
              <a:gd name="T9" fmla="*/ 2147483647 h 1097"/>
              <a:gd name="T10" fmla="*/ 2147483647 w 2247"/>
              <a:gd name="T11" fmla="*/ 2147483647 h 1097"/>
              <a:gd name="T12" fmla="*/ 2147483647 w 2247"/>
              <a:gd name="T13" fmla="*/ 2147483647 h 1097"/>
              <a:gd name="T14" fmla="*/ 2147483647 w 2247"/>
              <a:gd name="T15" fmla="*/ 2147483647 h 1097"/>
              <a:gd name="T16" fmla="*/ 2147483647 w 2247"/>
              <a:gd name="T17" fmla="*/ 2147483647 h 1097"/>
              <a:gd name="T18" fmla="*/ 2147483647 w 2247"/>
              <a:gd name="T19" fmla="*/ 2147483647 h 1097"/>
              <a:gd name="T20" fmla="*/ 2147483647 w 2247"/>
              <a:gd name="T21" fmla="*/ 2147483647 h 1097"/>
              <a:gd name="T22" fmla="*/ 2147483647 w 2247"/>
              <a:gd name="T23" fmla="*/ 2147483647 h 1097"/>
              <a:gd name="T24" fmla="*/ 0 w 2247"/>
              <a:gd name="T25" fmla="*/ 2147483647 h 1097"/>
              <a:gd name="T26" fmla="*/ 0 w 2247"/>
              <a:gd name="T27" fmla="*/ 2147483647 h 1097"/>
              <a:gd name="T28" fmla="*/ 0 w 2247"/>
              <a:gd name="T29" fmla="*/ 2147483647 h 1097"/>
              <a:gd name="T30" fmla="*/ 0 w 2247"/>
              <a:gd name="T31" fmla="*/ 2147483647 h 1097"/>
              <a:gd name="T32" fmla="*/ 0 w 2247"/>
              <a:gd name="T33" fmla="*/ 0 h 1097"/>
              <a:gd name="T34" fmla="*/ 2147483647 w 2247"/>
              <a:gd name="T35" fmla="*/ 0 h 1097"/>
              <a:gd name="T36" fmla="*/ 2147483647 w 2247"/>
              <a:gd name="T37" fmla="*/ 0 h 1097"/>
              <a:gd name="T38" fmla="*/ 2147483647 w 2247"/>
              <a:gd name="T39" fmla="*/ 0 h 1097"/>
              <a:gd name="T40" fmla="*/ 2147483647 w 2247"/>
              <a:gd name="T41" fmla="*/ 0 h 1097"/>
              <a:gd name="T42" fmla="*/ 2147483647 w 2247"/>
              <a:gd name="T43" fmla="*/ 0 h 1097"/>
              <a:gd name="T44" fmla="*/ 2147483647 w 2247"/>
              <a:gd name="T45" fmla="*/ 0 h 1097"/>
              <a:gd name="T46" fmla="*/ 2147483647 w 2247"/>
              <a:gd name="T47" fmla="*/ 2147483647 h 1097"/>
              <a:gd name="T48" fmla="*/ 2147483647 w 2247"/>
              <a:gd name="T49" fmla="*/ 2147483647 h 1097"/>
              <a:gd name="T50" fmla="*/ 2147483647 w 2247"/>
              <a:gd name="T51" fmla="*/ 2147483647 h 1097"/>
              <a:gd name="T52" fmla="*/ 2147483647 w 2247"/>
              <a:gd name="T53" fmla="*/ 2147483647 h 1097"/>
              <a:gd name="T54" fmla="*/ 2147483647 w 2247"/>
              <a:gd name="T55" fmla="*/ 2147483647 h 1097"/>
              <a:gd name="T56" fmla="*/ 2147483647 w 2247"/>
              <a:gd name="T57" fmla="*/ 2147483647 h 1097"/>
              <a:gd name="T58" fmla="*/ 2147483647 w 2247"/>
              <a:gd name="T59" fmla="*/ 2147483647 h 1097"/>
              <a:gd name="T60" fmla="*/ 2147483647 w 2247"/>
              <a:gd name="T61" fmla="*/ 2147483647 h 1097"/>
              <a:gd name="T62" fmla="*/ 2147483647 w 2247"/>
              <a:gd name="T63" fmla="*/ 2147483647 h 1097"/>
              <a:gd name="T64" fmla="*/ 2147483647 w 2247"/>
              <a:gd name="T65" fmla="*/ 2147483647 h 1097"/>
              <a:gd name="T66" fmla="*/ 2147483647 w 2247"/>
              <a:gd name="T67" fmla="*/ 2147483647 h 1097"/>
              <a:gd name="T68" fmla="*/ 2147483647 w 2247"/>
              <a:gd name="T69" fmla="*/ 2147483647 h 1097"/>
              <a:gd name="T70" fmla="*/ 2147483647 w 2247"/>
              <a:gd name="T71" fmla="*/ 2147483647 h 1097"/>
              <a:gd name="T72" fmla="*/ 2147483647 w 2247"/>
              <a:gd name="T73" fmla="*/ 2147483647 h 1097"/>
              <a:gd name="T74" fmla="*/ 2147483647 w 2247"/>
              <a:gd name="T75" fmla="*/ 2147483647 h 1097"/>
              <a:gd name="T76" fmla="*/ 2147483647 w 2247"/>
              <a:gd name="T77" fmla="*/ 2147483647 h 1097"/>
              <a:gd name="T78" fmla="*/ 2147483647 w 2247"/>
              <a:gd name="T79" fmla="*/ 2147483647 h 1097"/>
              <a:gd name="T80" fmla="*/ 2147483647 w 2247"/>
              <a:gd name="T81" fmla="*/ 2147483647 h 1097"/>
              <a:gd name="T82" fmla="*/ 2147483647 w 2247"/>
              <a:gd name="T83" fmla="*/ 2147483647 h 1097"/>
              <a:gd name="T84" fmla="*/ 2147483647 w 2247"/>
              <a:gd name="T85" fmla="*/ 2147483647 h 1097"/>
              <a:gd name="T86" fmla="*/ 2147483647 w 2247"/>
              <a:gd name="T87" fmla="*/ 2147483647 h 1097"/>
              <a:gd name="T88" fmla="*/ 2147483647 w 2247"/>
              <a:gd name="T89" fmla="*/ 2147483647 h 1097"/>
              <a:gd name="T90" fmla="*/ 2147483647 w 2247"/>
              <a:gd name="T91" fmla="*/ 2147483647 h 1097"/>
              <a:gd name="T92" fmla="*/ 2147483647 w 2247"/>
              <a:gd name="T93" fmla="*/ 2147483647 h 1097"/>
              <a:gd name="T94" fmla="*/ 2147483647 w 2247"/>
              <a:gd name="T95" fmla="*/ 2147483647 h 1097"/>
              <a:gd name="T96" fmla="*/ 2147483647 w 2247"/>
              <a:gd name="T97" fmla="*/ 2147483647 h 1097"/>
              <a:gd name="T98" fmla="*/ 2147483647 w 2247"/>
              <a:gd name="T99" fmla="*/ 2147483647 h 1097"/>
              <a:gd name="T100" fmla="*/ 2147483647 w 2247"/>
              <a:gd name="T101" fmla="*/ 2147483647 h 1097"/>
              <a:gd name="T102" fmla="*/ 2147483647 w 2247"/>
              <a:gd name="T103" fmla="*/ 2147483647 h 1097"/>
              <a:gd name="T104" fmla="*/ 2147483647 w 2247"/>
              <a:gd name="T105" fmla="*/ 2147483647 h 1097"/>
              <a:gd name="T106" fmla="*/ 2147483647 w 2247"/>
              <a:gd name="T107" fmla="*/ 2147483647 h 1097"/>
              <a:gd name="T108" fmla="*/ 2147483647 w 2247"/>
              <a:gd name="T109" fmla="*/ 2147483647 h 1097"/>
              <a:gd name="T110" fmla="*/ 2147483647 w 2247"/>
              <a:gd name="T111" fmla="*/ 2147483647 h 1097"/>
              <a:gd name="T112" fmla="*/ 2147483647 w 2247"/>
              <a:gd name="T113" fmla="*/ 2147483647 h 1097"/>
              <a:gd name="T114" fmla="*/ 2147483647 w 2247"/>
              <a:gd name="T115" fmla="*/ 2147483647 h 1097"/>
              <a:gd name="T116" fmla="*/ 2147483647 w 2247"/>
              <a:gd name="T117" fmla="*/ 2147483647 h 1097"/>
              <a:gd name="T118" fmla="*/ 2147483647 w 2247"/>
              <a:gd name="T119" fmla="*/ 2147483647 h 1097"/>
              <a:gd name="T120" fmla="*/ 2147483647 w 2247"/>
              <a:gd name="T121" fmla="*/ 2147483647 h 1097"/>
              <a:gd name="T122" fmla="*/ 2147483647 w 2247"/>
              <a:gd name="T123" fmla="*/ 2147483647 h 1097"/>
              <a:gd name="T124" fmla="*/ 2147483647 w 2247"/>
              <a:gd name="T125" fmla="*/ 2147483647 h 109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247"/>
              <a:gd name="T190" fmla="*/ 0 h 1097"/>
              <a:gd name="T191" fmla="*/ 2247 w 2247"/>
              <a:gd name="T192" fmla="*/ 1097 h 1097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247" h="1097">
                <a:moveTo>
                  <a:pt x="395" y="781"/>
                </a:moveTo>
                <a:lnTo>
                  <a:pt x="336" y="823"/>
                </a:lnTo>
                <a:lnTo>
                  <a:pt x="312" y="827"/>
                </a:lnTo>
                <a:lnTo>
                  <a:pt x="277" y="813"/>
                </a:lnTo>
                <a:lnTo>
                  <a:pt x="307" y="591"/>
                </a:lnTo>
                <a:lnTo>
                  <a:pt x="313" y="591"/>
                </a:lnTo>
                <a:lnTo>
                  <a:pt x="322" y="562"/>
                </a:lnTo>
                <a:lnTo>
                  <a:pt x="321" y="553"/>
                </a:lnTo>
                <a:lnTo>
                  <a:pt x="313" y="551"/>
                </a:lnTo>
                <a:lnTo>
                  <a:pt x="289" y="557"/>
                </a:lnTo>
                <a:lnTo>
                  <a:pt x="272" y="560"/>
                </a:lnTo>
                <a:lnTo>
                  <a:pt x="266" y="553"/>
                </a:lnTo>
                <a:lnTo>
                  <a:pt x="266" y="540"/>
                </a:lnTo>
                <a:lnTo>
                  <a:pt x="257" y="535"/>
                </a:lnTo>
                <a:lnTo>
                  <a:pt x="240" y="545"/>
                </a:lnTo>
                <a:lnTo>
                  <a:pt x="236" y="540"/>
                </a:lnTo>
                <a:lnTo>
                  <a:pt x="240" y="532"/>
                </a:lnTo>
                <a:lnTo>
                  <a:pt x="204" y="489"/>
                </a:lnTo>
                <a:lnTo>
                  <a:pt x="184" y="473"/>
                </a:lnTo>
                <a:lnTo>
                  <a:pt x="135" y="415"/>
                </a:lnTo>
                <a:lnTo>
                  <a:pt x="106" y="407"/>
                </a:lnTo>
                <a:lnTo>
                  <a:pt x="56" y="369"/>
                </a:lnTo>
                <a:lnTo>
                  <a:pt x="78" y="359"/>
                </a:lnTo>
                <a:lnTo>
                  <a:pt x="56" y="344"/>
                </a:lnTo>
                <a:lnTo>
                  <a:pt x="56" y="304"/>
                </a:lnTo>
                <a:lnTo>
                  <a:pt x="0" y="242"/>
                </a:lnTo>
                <a:lnTo>
                  <a:pt x="0" y="236"/>
                </a:lnTo>
                <a:lnTo>
                  <a:pt x="0" y="186"/>
                </a:lnTo>
                <a:lnTo>
                  <a:pt x="0" y="127"/>
                </a:lnTo>
                <a:lnTo>
                  <a:pt x="0" y="119"/>
                </a:lnTo>
                <a:lnTo>
                  <a:pt x="0" y="118"/>
                </a:lnTo>
                <a:lnTo>
                  <a:pt x="0" y="30"/>
                </a:lnTo>
                <a:lnTo>
                  <a:pt x="0" y="6"/>
                </a:lnTo>
                <a:lnTo>
                  <a:pt x="0" y="0"/>
                </a:lnTo>
                <a:lnTo>
                  <a:pt x="247" y="0"/>
                </a:lnTo>
                <a:lnTo>
                  <a:pt x="371" y="1"/>
                </a:lnTo>
                <a:lnTo>
                  <a:pt x="722" y="1"/>
                </a:lnTo>
                <a:lnTo>
                  <a:pt x="894" y="1"/>
                </a:lnTo>
                <a:lnTo>
                  <a:pt x="992" y="1"/>
                </a:lnTo>
                <a:lnTo>
                  <a:pt x="1134" y="1"/>
                </a:lnTo>
                <a:lnTo>
                  <a:pt x="1227" y="0"/>
                </a:lnTo>
                <a:lnTo>
                  <a:pt x="1461" y="0"/>
                </a:lnTo>
                <a:lnTo>
                  <a:pt x="1658" y="0"/>
                </a:lnTo>
                <a:lnTo>
                  <a:pt x="1858" y="1"/>
                </a:lnTo>
                <a:lnTo>
                  <a:pt x="2056" y="1"/>
                </a:lnTo>
                <a:lnTo>
                  <a:pt x="2245" y="1"/>
                </a:lnTo>
                <a:lnTo>
                  <a:pt x="2245" y="60"/>
                </a:lnTo>
                <a:lnTo>
                  <a:pt x="2245" y="79"/>
                </a:lnTo>
                <a:lnTo>
                  <a:pt x="2245" y="87"/>
                </a:lnTo>
                <a:lnTo>
                  <a:pt x="2245" y="89"/>
                </a:lnTo>
                <a:lnTo>
                  <a:pt x="2245" y="119"/>
                </a:lnTo>
                <a:lnTo>
                  <a:pt x="2245" y="144"/>
                </a:lnTo>
                <a:lnTo>
                  <a:pt x="2246" y="207"/>
                </a:lnTo>
                <a:lnTo>
                  <a:pt x="2246" y="236"/>
                </a:lnTo>
                <a:lnTo>
                  <a:pt x="2246" y="237"/>
                </a:lnTo>
                <a:lnTo>
                  <a:pt x="2246" y="266"/>
                </a:lnTo>
                <a:lnTo>
                  <a:pt x="2246" y="295"/>
                </a:lnTo>
                <a:lnTo>
                  <a:pt x="2246" y="379"/>
                </a:lnTo>
                <a:lnTo>
                  <a:pt x="2246" y="384"/>
                </a:lnTo>
                <a:lnTo>
                  <a:pt x="2246" y="395"/>
                </a:lnTo>
                <a:lnTo>
                  <a:pt x="2246" y="443"/>
                </a:lnTo>
                <a:lnTo>
                  <a:pt x="2246" y="532"/>
                </a:lnTo>
                <a:lnTo>
                  <a:pt x="2245" y="557"/>
                </a:lnTo>
                <a:lnTo>
                  <a:pt x="2246" y="581"/>
                </a:lnTo>
                <a:lnTo>
                  <a:pt x="2246" y="591"/>
                </a:lnTo>
                <a:lnTo>
                  <a:pt x="2246" y="643"/>
                </a:lnTo>
                <a:lnTo>
                  <a:pt x="2245" y="651"/>
                </a:lnTo>
                <a:lnTo>
                  <a:pt x="2246" y="686"/>
                </a:lnTo>
                <a:lnTo>
                  <a:pt x="2246" y="722"/>
                </a:lnTo>
                <a:lnTo>
                  <a:pt x="2246" y="737"/>
                </a:lnTo>
                <a:lnTo>
                  <a:pt x="2246" y="768"/>
                </a:lnTo>
                <a:lnTo>
                  <a:pt x="2246" y="886"/>
                </a:lnTo>
                <a:lnTo>
                  <a:pt x="2247" y="895"/>
                </a:lnTo>
                <a:lnTo>
                  <a:pt x="2247" y="945"/>
                </a:lnTo>
                <a:lnTo>
                  <a:pt x="2247" y="946"/>
                </a:lnTo>
                <a:lnTo>
                  <a:pt x="2243" y="946"/>
                </a:lnTo>
                <a:lnTo>
                  <a:pt x="2117" y="946"/>
                </a:lnTo>
                <a:lnTo>
                  <a:pt x="2098" y="945"/>
                </a:lnTo>
                <a:lnTo>
                  <a:pt x="2059" y="945"/>
                </a:lnTo>
                <a:lnTo>
                  <a:pt x="2050" y="945"/>
                </a:lnTo>
                <a:lnTo>
                  <a:pt x="1896" y="945"/>
                </a:lnTo>
                <a:lnTo>
                  <a:pt x="1880" y="947"/>
                </a:lnTo>
                <a:lnTo>
                  <a:pt x="1877" y="947"/>
                </a:lnTo>
                <a:lnTo>
                  <a:pt x="1856" y="947"/>
                </a:lnTo>
                <a:lnTo>
                  <a:pt x="1832" y="947"/>
                </a:lnTo>
                <a:lnTo>
                  <a:pt x="1830" y="947"/>
                </a:lnTo>
                <a:lnTo>
                  <a:pt x="1692" y="946"/>
                </a:lnTo>
                <a:lnTo>
                  <a:pt x="1669" y="945"/>
                </a:lnTo>
                <a:lnTo>
                  <a:pt x="1522" y="945"/>
                </a:lnTo>
                <a:lnTo>
                  <a:pt x="1459" y="945"/>
                </a:lnTo>
                <a:lnTo>
                  <a:pt x="1435" y="945"/>
                </a:lnTo>
                <a:lnTo>
                  <a:pt x="1412" y="945"/>
                </a:lnTo>
                <a:lnTo>
                  <a:pt x="1389" y="945"/>
                </a:lnTo>
                <a:lnTo>
                  <a:pt x="1319" y="945"/>
                </a:lnTo>
                <a:lnTo>
                  <a:pt x="1295" y="944"/>
                </a:lnTo>
                <a:lnTo>
                  <a:pt x="1169" y="945"/>
                </a:lnTo>
                <a:lnTo>
                  <a:pt x="1158" y="945"/>
                </a:lnTo>
                <a:lnTo>
                  <a:pt x="1131" y="945"/>
                </a:lnTo>
                <a:lnTo>
                  <a:pt x="1055" y="947"/>
                </a:lnTo>
                <a:lnTo>
                  <a:pt x="935" y="945"/>
                </a:lnTo>
                <a:lnTo>
                  <a:pt x="933" y="1024"/>
                </a:lnTo>
                <a:lnTo>
                  <a:pt x="935" y="1064"/>
                </a:lnTo>
                <a:lnTo>
                  <a:pt x="935" y="1069"/>
                </a:lnTo>
                <a:lnTo>
                  <a:pt x="927" y="1067"/>
                </a:lnTo>
                <a:lnTo>
                  <a:pt x="926" y="1067"/>
                </a:lnTo>
                <a:lnTo>
                  <a:pt x="920" y="1064"/>
                </a:lnTo>
                <a:lnTo>
                  <a:pt x="897" y="1028"/>
                </a:lnTo>
                <a:lnTo>
                  <a:pt x="874" y="1004"/>
                </a:lnTo>
                <a:lnTo>
                  <a:pt x="870" y="1005"/>
                </a:lnTo>
                <a:lnTo>
                  <a:pt x="855" y="1014"/>
                </a:lnTo>
                <a:lnTo>
                  <a:pt x="848" y="1029"/>
                </a:lnTo>
                <a:lnTo>
                  <a:pt x="851" y="1054"/>
                </a:lnTo>
                <a:lnTo>
                  <a:pt x="829" y="1052"/>
                </a:lnTo>
                <a:lnTo>
                  <a:pt x="733" y="1056"/>
                </a:lnTo>
                <a:lnTo>
                  <a:pt x="711" y="1048"/>
                </a:lnTo>
                <a:lnTo>
                  <a:pt x="691" y="1064"/>
                </a:lnTo>
                <a:lnTo>
                  <a:pt x="664" y="1072"/>
                </a:lnTo>
                <a:lnTo>
                  <a:pt x="620" y="1064"/>
                </a:lnTo>
                <a:lnTo>
                  <a:pt x="601" y="1081"/>
                </a:lnTo>
                <a:lnTo>
                  <a:pt x="605" y="1093"/>
                </a:lnTo>
                <a:lnTo>
                  <a:pt x="600" y="1097"/>
                </a:lnTo>
                <a:lnTo>
                  <a:pt x="570" y="1075"/>
                </a:lnTo>
                <a:lnTo>
                  <a:pt x="545" y="1003"/>
                </a:lnTo>
                <a:lnTo>
                  <a:pt x="485" y="975"/>
                </a:lnTo>
                <a:lnTo>
                  <a:pt x="487" y="945"/>
                </a:lnTo>
                <a:lnTo>
                  <a:pt x="395" y="78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8" name="S_MS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>
            <a:spLocks/>
          </xdr:cNvSpPr>
        </xdr:nvSpPr>
        <xdr:spPr bwMode="auto">
          <a:xfrm>
            <a:off x="5959288" y="3185272"/>
            <a:ext cx="631452" cy="1060077"/>
          </a:xfrm>
          <a:custGeom>
            <a:avLst/>
            <a:gdLst>
              <a:gd name="T0" fmla="*/ 2147483647 w 662"/>
              <a:gd name="T1" fmla="*/ 2147483647 h 1138"/>
              <a:gd name="T2" fmla="*/ 2147483647 w 662"/>
              <a:gd name="T3" fmla="*/ 2147483647 h 1138"/>
              <a:gd name="T4" fmla="*/ 2147483647 w 662"/>
              <a:gd name="T5" fmla="*/ 2147483647 h 1138"/>
              <a:gd name="T6" fmla="*/ 2147483647 w 662"/>
              <a:gd name="T7" fmla="*/ 2147483647 h 1138"/>
              <a:gd name="T8" fmla="*/ 2147483647 w 662"/>
              <a:gd name="T9" fmla="*/ 2147483647 h 1138"/>
              <a:gd name="T10" fmla="*/ 2147483647 w 662"/>
              <a:gd name="T11" fmla="*/ 2147483647 h 1138"/>
              <a:gd name="T12" fmla="*/ 2147483647 w 662"/>
              <a:gd name="T13" fmla="*/ 2147483647 h 1138"/>
              <a:gd name="T14" fmla="*/ 2147483647 w 662"/>
              <a:gd name="T15" fmla="*/ 2147483647 h 1138"/>
              <a:gd name="T16" fmla="*/ 2147483647 w 662"/>
              <a:gd name="T17" fmla="*/ 2147483647 h 1138"/>
              <a:gd name="T18" fmla="*/ 2147483647 w 662"/>
              <a:gd name="T19" fmla="*/ 2147483647 h 1138"/>
              <a:gd name="T20" fmla="*/ 2147483647 w 662"/>
              <a:gd name="T21" fmla="*/ 2147483647 h 1138"/>
              <a:gd name="T22" fmla="*/ 2147483647 w 662"/>
              <a:gd name="T23" fmla="*/ 2147483647 h 1138"/>
              <a:gd name="T24" fmla="*/ 2147483647 w 662"/>
              <a:gd name="T25" fmla="*/ 2147483647 h 1138"/>
              <a:gd name="T26" fmla="*/ 2147483647 w 662"/>
              <a:gd name="T27" fmla="*/ 2147483647 h 1138"/>
              <a:gd name="T28" fmla="*/ 2147483647 w 662"/>
              <a:gd name="T29" fmla="*/ 2147483647 h 1138"/>
              <a:gd name="T30" fmla="*/ 2147483647 w 662"/>
              <a:gd name="T31" fmla="*/ 2147483647 h 1138"/>
              <a:gd name="T32" fmla="*/ 2147483647 w 662"/>
              <a:gd name="T33" fmla="*/ 2147483647 h 1138"/>
              <a:gd name="T34" fmla="*/ 2147483647 w 662"/>
              <a:gd name="T35" fmla="*/ 2147483647 h 1138"/>
              <a:gd name="T36" fmla="*/ 2147483647 w 662"/>
              <a:gd name="T37" fmla="*/ 2147483647 h 1138"/>
              <a:gd name="T38" fmla="*/ 2147483647 w 662"/>
              <a:gd name="T39" fmla="*/ 2147483647 h 1138"/>
              <a:gd name="T40" fmla="*/ 2147483647 w 662"/>
              <a:gd name="T41" fmla="*/ 0 h 1138"/>
              <a:gd name="T42" fmla="*/ 2147483647 w 662"/>
              <a:gd name="T43" fmla="*/ 0 h 1138"/>
              <a:gd name="T44" fmla="*/ 2147483647 w 662"/>
              <a:gd name="T45" fmla="*/ 0 h 1138"/>
              <a:gd name="T46" fmla="*/ 2147483647 w 662"/>
              <a:gd name="T47" fmla="*/ 0 h 1138"/>
              <a:gd name="T48" fmla="*/ 2147483647 w 662"/>
              <a:gd name="T49" fmla="*/ 0 h 1138"/>
              <a:gd name="T50" fmla="*/ 2147483647 w 662"/>
              <a:gd name="T51" fmla="*/ 0 h 1138"/>
              <a:gd name="T52" fmla="*/ 2147483647 w 662"/>
              <a:gd name="T53" fmla="*/ 0 h 1138"/>
              <a:gd name="T54" fmla="*/ 2147483647 w 662"/>
              <a:gd name="T55" fmla="*/ 0 h 1138"/>
              <a:gd name="T56" fmla="*/ 2147483647 w 662"/>
              <a:gd name="T57" fmla="*/ 2147483647 h 1138"/>
              <a:gd name="T58" fmla="*/ 2147483647 w 662"/>
              <a:gd name="T59" fmla="*/ 2147483647 h 1138"/>
              <a:gd name="T60" fmla="*/ 2147483647 w 662"/>
              <a:gd name="T61" fmla="*/ 2147483647 h 1138"/>
              <a:gd name="T62" fmla="*/ 2147483647 w 662"/>
              <a:gd name="T63" fmla="*/ 2147483647 h 1138"/>
              <a:gd name="T64" fmla="*/ 2147483647 w 662"/>
              <a:gd name="T65" fmla="*/ 2147483647 h 1138"/>
              <a:gd name="T66" fmla="*/ 2147483647 w 662"/>
              <a:gd name="T67" fmla="*/ 2147483647 h 1138"/>
              <a:gd name="T68" fmla="*/ 2147483647 w 662"/>
              <a:gd name="T69" fmla="*/ 2147483647 h 1138"/>
              <a:gd name="T70" fmla="*/ 2147483647 w 662"/>
              <a:gd name="T71" fmla="*/ 2147483647 h 1138"/>
              <a:gd name="T72" fmla="*/ 2147483647 w 662"/>
              <a:gd name="T73" fmla="*/ 2147483647 h 1138"/>
              <a:gd name="T74" fmla="*/ 2147483647 w 662"/>
              <a:gd name="T75" fmla="*/ 2147483647 h 1138"/>
              <a:gd name="T76" fmla="*/ 2147483647 w 662"/>
              <a:gd name="T77" fmla="*/ 2147483647 h 1138"/>
              <a:gd name="T78" fmla="*/ 2147483647 w 662"/>
              <a:gd name="T79" fmla="*/ 2147483647 h 1138"/>
              <a:gd name="T80" fmla="*/ 2147483647 w 662"/>
              <a:gd name="T81" fmla="*/ 2147483647 h 1138"/>
              <a:gd name="T82" fmla="*/ 2147483647 w 662"/>
              <a:gd name="T83" fmla="*/ 2147483647 h 1138"/>
              <a:gd name="T84" fmla="*/ 2147483647 w 662"/>
              <a:gd name="T85" fmla="*/ 2147483647 h 1138"/>
              <a:gd name="T86" fmla="*/ 2147483647 w 662"/>
              <a:gd name="T87" fmla="*/ 2147483647 h 1138"/>
              <a:gd name="T88" fmla="*/ 2147483647 w 662"/>
              <a:gd name="T89" fmla="*/ 2147483647 h 1138"/>
              <a:gd name="T90" fmla="*/ 2147483647 w 662"/>
              <a:gd name="T91" fmla="*/ 2147483647 h 1138"/>
              <a:gd name="T92" fmla="*/ 2147483647 w 662"/>
              <a:gd name="T93" fmla="*/ 2147483647 h 1138"/>
              <a:gd name="T94" fmla="*/ 2147483647 w 662"/>
              <a:gd name="T95" fmla="*/ 2147483647 h 1138"/>
              <a:gd name="T96" fmla="*/ 2147483647 w 662"/>
              <a:gd name="T97" fmla="*/ 2147483647 h 1138"/>
              <a:gd name="T98" fmla="*/ 2147483647 w 662"/>
              <a:gd name="T99" fmla="*/ 2147483647 h 1138"/>
              <a:gd name="T100" fmla="*/ 2147483647 w 662"/>
              <a:gd name="T101" fmla="*/ 2147483647 h 1138"/>
              <a:gd name="T102" fmla="*/ 2147483647 w 662"/>
              <a:gd name="T103" fmla="*/ 2147483647 h 1138"/>
              <a:gd name="T104" fmla="*/ 2147483647 w 662"/>
              <a:gd name="T105" fmla="*/ 2147483647 h 1138"/>
              <a:gd name="T106" fmla="*/ 2147483647 w 662"/>
              <a:gd name="T107" fmla="*/ 2147483647 h 1138"/>
              <a:gd name="T108" fmla="*/ 2147483647 w 662"/>
              <a:gd name="T109" fmla="*/ 2147483647 h 1138"/>
              <a:gd name="T110" fmla="*/ 2147483647 w 662"/>
              <a:gd name="T111" fmla="*/ 2147483647 h 1138"/>
              <a:gd name="T112" fmla="*/ 2147483647 w 662"/>
              <a:gd name="T113" fmla="*/ 2147483647 h 1138"/>
              <a:gd name="T114" fmla="*/ 2147483647 w 662"/>
              <a:gd name="T115" fmla="*/ 2147483647 h 1138"/>
              <a:gd name="T116" fmla="*/ 2147483647 w 662"/>
              <a:gd name="T117" fmla="*/ 2147483647 h 1138"/>
              <a:gd name="T118" fmla="*/ 0 w 662"/>
              <a:gd name="T119" fmla="*/ 2147483647 h 1138"/>
              <a:gd name="T120" fmla="*/ 2147483647 w 662"/>
              <a:gd name="T121" fmla="*/ 2147483647 h 1138"/>
              <a:gd name="T122" fmla="*/ 2147483647 w 662"/>
              <a:gd name="T123" fmla="*/ 2147483647 h 1138"/>
              <a:gd name="T124" fmla="*/ 2147483647 w 662"/>
              <a:gd name="T125" fmla="*/ 2147483647 h 113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662"/>
              <a:gd name="T190" fmla="*/ 0 h 1138"/>
              <a:gd name="T191" fmla="*/ 662 w 662"/>
              <a:gd name="T192" fmla="*/ 1138 h 113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662" h="1138">
                <a:moveTo>
                  <a:pt x="60" y="766"/>
                </a:moveTo>
                <a:lnTo>
                  <a:pt x="69" y="766"/>
                </a:lnTo>
                <a:lnTo>
                  <a:pt x="73" y="738"/>
                </a:lnTo>
                <a:lnTo>
                  <a:pt x="75" y="737"/>
                </a:lnTo>
                <a:lnTo>
                  <a:pt x="103" y="707"/>
                </a:lnTo>
                <a:lnTo>
                  <a:pt x="96" y="690"/>
                </a:lnTo>
                <a:lnTo>
                  <a:pt x="113" y="681"/>
                </a:lnTo>
                <a:lnTo>
                  <a:pt x="113" y="679"/>
                </a:lnTo>
                <a:lnTo>
                  <a:pt x="116" y="677"/>
                </a:lnTo>
                <a:lnTo>
                  <a:pt x="110" y="677"/>
                </a:lnTo>
                <a:lnTo>
                  <a:pt x="110" y="679"/>
                </a:lnTo>
                <a:lnTo>
                  <a:pt x="109" y="677"/>
                </a:lnTo>
                <a:lnTo>
                  <a:pt x="96" y="677"/>
                </a:lnTo>
                <a:lnTo>
                  <a:pt x="96" y="657"/>
                </a:lnTo>
                <a:lnTo>
                  <a:pt x="120" y="662"/>
                </a:lnTo>
                <a:lnTo>
                  <a:pt x="120" y="601"/>
                </a:lnTo>
                <a:lnTo>
                  <a:pt x="97" y="590"/>
                </a:lnTo>
                <a:lnTo>
                  <a:pt x="120" y="594"/>
                </a:lnTo>
                <a:lnTo>
                  <a:pt x="106" y="575"/>
                </a:lnTo>
                <a:lnTo>
                  <a:pt x="111" y="572"/>
                </a:lnTo>
                <a:lnTo>
                  <a:pt x="119" y="560"/>
                </a:lnTo>
                <a:lnTo>
                  <a:pt x="96" y="569"/>
                </a:lnTo>
                <a:lnTo>
                  <a:pt x="89" y="470"/>
                </a:lnTo>
                <a:lnTo>
                  <a:pt x="89" y="469"/>
                </a:lnTo>
                <a:lnTo>
                  <a:pt x="96" y="380"/>
                </a:lnTo>
                <a:lnTo>
                  <a:pt x="88" y="381"/>
                </a:lnTo>
                <a:lnTo>
                  <a:pt x="96" y="360"/>
                </a:lnTo>
                <a:lnTo>
                  <a:pt x="76" y="366"/>
                </a:lnTo>
                <a:lnTo>
                  <a:pt x="84" y="351"/>
                </a:lnTo>
                <a:lnTo>
                  <a:pt x="79" y="346"/>
                </a:lnTo>
                <a:lnTo>
                  <a:pt x="78" y="345"/>
                </a:lnTo>
                <a:lnTo>
                  <a:pt x="76" y="338"/>
                </a:lnTo>
                <a:lnTo>
                  <a:pt x="96" y="304"/>
                </a:lnTo>
                <a:lnTo>
                  <a:pt x="96" y="286"/>
                </a:lnTo>
                <a:lnTo>
                  <a:pt x="120" y="290"/>
                </a:lnTo>
                <a:lnTo>
                  <a:pt x="104" y="240"/>
                </a:lnTo>
                <a:lnTo>
                  <a:pt x="120" y="231"/>
                </a:lnTo>
                <a:lnTo>
                  <a:pt x="128" y="207"/>
                </a:lnTo>
                <a:lnTo>
                  <a:pt x="150" y="176"/>
                </a:lnTo>
                <a:lnTo>
                  <a:pt x="166" y="166"/>
                </a:lnTo>
                <a:lnTo>
                  <a:pt x="163" y="151"/>
                </a:lnTo>
                <a:lnTo>
                  <a:pt x="180" y="148"/>
                </a:lnTo>
                <a:lnTo>
                  <a:pt x="176" y="158"/>
                </a:lnTo>
                <a:lnTo>
                  <a:pt x="180" y="161"/>
                </a:lnTo>
                <a:lnTo>
                  <a:pt x="200" y="111"/>
                </a:lnTo>
                <a:lnTo>
                  <a:pt x="197" y="83"/>
                </a:lnTo>
                <a:lnTo>
                  <a:pt x="204" y="77"/>
                </a:lnTo>
                <a:lnTo>
                  <a:pt x="207" y="88"/>
                </a:lnTo>
                <a:lnTo>
                  <a:pt x="220" y="74"/>
                </a:lnTo>
                <a:lnTo>
                  <a:pt x="200" y="62"/>
                </a:lnTo>
                <a:lnTo>
                  <a:pt x="205" y="58"/>
                </a:lnTo>
                <a:lnTo>
                  <a:pt x="213" y="63"/>
                </a:lnTo>
                <a:lnTo>
                  <a:pt x="222" y="58"/>
                </a:lnTo>
                <a:lnTo>
                  <a:pt x="219" y="52"/>
                </a:lnTo>
                <a:lnTo>
                  <a:pt x="230" y="39"/>
                </a:lnTo>
                <a:lnTo>
                  <a:pt x="231" y="37"/>
                </a:lnTo>
                <a:lnTo>
                  <a:pt x="234" y="34"/>
                </a:lnTo>
                <a:lnTo>
                  <a:pt x="249" y="31"/>
                </a:lnTo>
                <a:lnTo>
                  <a:pt x="260" y="22"/>
                </a:lnTo>
                <a:lnTo>
                  <a:pt x="260" y="11"/>
                </a:lnTo>
                <a:lnTo>
                  <a:pt x="249" y="0"/>
                </a:lnTo>
                <a:lnTo>
                  <a:pt x="307" y="0"/>
                </a:lnTo>
                <a:lnTo>
                  <a:pt x="334" y="0"/>
                </a:lnTo>
                <a:lnTo>
                  <a:pt x="358" y="0"/>
                </a:lnTo>
                <a:lnTo>
                  <a:pt x="373" y="0"/>
                </a:lnTo>
                <a:lnTo>
                  <a:pt x="393" y="0"/>
                </a:lnTo>
                <a:lnTo>
                  <a:pt x="409" y="0"/>
                </a:lnTo>
                <a:lnTo>
                  <a:pt x="428" y="0"/>
                </a:lnTo>
                <a:lnTo>
                  <a:pt x="438" y="0"/>
                </a:lnTo>
                <a:lnTo>
                  <a:pt x="447" y="0"/>
                </a:lnTo>
                <a:lnTo>
                  <a:pt x="457" y="0"/>
                </a:lnTo>
                <a:lnTo>
                  <a:pt x="474" y="0"/>
                </a:lnTo>
                <a:lnTo>
                  <a:pt x="484" y="0"/>
                </a:lnTo>
                <a:lnTo>
                  <a:pt x="491" y="0"/>
                </a:lnTo>
                <a:lnTo>
                  <a:pt x="493" y="0"/>
                </a:lnTo>
                <a:lnTo>
                  <a:pt x="509" y="0"/>
                </a:lnTo>
                <a:lnTo>
                  <a:pt x="526" y="0"/>
                </a:lnTo>
                <a:lnTo>
                  <a:pt x="534" y="0"/>
                </a:lnTo>
                <a:lnTo>
                  <a:pt x="551" y="0"/>
                </a:lnTo>
                <a:lnTo>
                  <a:pt x="568" y="0"/>
                </a:lnTo>
                <a:lnTo>
                  <a:pt x="610" y="0"/>
                </a:lnTo>
                <a:lnTo>
                  <a:pt x="611" y="0"/>
                </a:lnTo>
                <a:lnTo>
                  <a:pt x="613" y="0"/>
                </a:lnTo>
                <a:lnTo>
                  <a:pt x="633" y="0"/>
                </a:lnTo>
                <a:lnTo>
                  <a:pt x="643" y="0"/>
                </a:lnTo>
                <a:lnTo>
                  <a:pt x="657" y="21"/>
                </a:lnTo>
                <a:lnTo>
                  <a:pt x="662" y="25"/>
                </a:lnTo>
                <a:lnTo>
                  <a:pt x="661" y="39"/>
                </a:lnTo>
                <a:lnTo>
                  <a:pt x="657" y="76"/>
                </a:lnTo>
                <a:lnTo>
                  <a:pt x="655" y="97"/>
                </a:lnTo>
                <a:lnTo>
                  <a:pt x="653" y="117"/>
                </a:lnTo>
                <a:lnTo>
                  <a:pt x="653" y="118"/>
                </a:lnTo>
                <a:lnTo>
                  <a:pt x="652" y="125"/>
                </a:lnTo>
                <a:lnTo>
                  <a:pt x="651" y="131"/>
                </a:lnTo>
                <a:lnTo>
                  <a:pt x="649" y="147"/>
                </a:lnTo>
                <a:lnTo>
                  <a:pt x="648" y="159"/>
                </a:lnTo>
                <a:lnTo>
                  <a:pt x="645" y="191"/>
                </a:lnTo>
                <a:lnTo>
                  <a:pt x="644" y="195"/>
                </a:lnTo>
                <a:lnTo>
                  <a:pt x="643" y="214"/>
                </a:lnTo>
                <a:lnTo>
                  <a:pt x="642" y="222"/>
                </a:lnTo>
                <a:lnTo>
                  <a:pt x="641" y="234"/>
                </a:lnTo>
                <a:lnTo>
                  <a:pt x="637" y="273"/>
                </a:lnTo>
                <a:lnTo>
                  <a:pt x="634" y="295"/>
                </a:lnTo>
                <a:lnTo>
                  <a:pt x="633" y="298"/>
                </a:lnTo>
                <a:lnTo>
                  <a:pt x="629" y="345"/>
                </a:lnTo>
                <a:lnTo>
                  <a:pt x="628" y="353"/>
                </a:lnTo>
                <a:lnTo>
                  <a:pt x="627" y="375"/>
                </a:lnTo>
                <a:lnTo>
                  <a:pt x="624" y="403"/>
                </a:lnTo>
                <a:lnTo>
                  <a:pt x="622" y="418"/>
                </a:lnTo>
                <a:lnTo>
                  <a:pt x="622" y="423"/>
                </a:lnTo>
                <a:lnTo>
                  <a:pt x="617" y="473"/>
                </a:lnTo>
                <a:lnTo>
                  <a:pt x="616" y="481"/>
                </a:lnTo>
                <a:lnTo>
                  <a:pt x="615" y="488"/>
                </a:lnTo>
                <a:lnTo>
                  <a:pt x="611" y="542"/>
                </a:lnTo>
                <a:lnTo>
                  <a:pt x="610" y="550"/>
                </a:lnTo>
                <a:lnTo>
                  <a:pt x="608" y="570"/>
                </a:lnTo>
                <a:lnTo>
                  <a:pt x="603" y="613"/>
                </a:lnTo>
                <a:lnTo>
                  <a:pt x="603" y="619"/>
                </a:lnTo>
                <a:lnTo>
                  <a:pt x="601" y="635"/>
                </a:lnTo>
                <a:lnTo>
                  <a:pt x="600" y="649"/>
                </a:lnTo>
                <a:lnTo>
                  <a:pt x="600" y="651"/>
                </a:lnTo>
                <a:lnTo>
                  <a:pt x="600" y="654"/>
                </a:lnTo>
                <a:lnTo>
                  <a:pt x="599" y="661"/>
                </a:lnTo>
                <a:lnTo>
                  <a:pt x="597" y="677"/>
                </a:lnTo>
                <a:lnTo>
                  <a:pt x="592" y="732"/>
                </a:lnTo>
                <a:lnTo>
                  <a:pt x="592" y="737"/>
                </a:lnTo>
                <a:lnTo>
                  <a:pt x="593" y="741"/>
                </a:lnTo>
                <a:lnTo>
                  <a:pt x="594" y="779"/>
                </a:lnTo>
                <a:lnTo>
                  <a:pt x="596" y="825"/>
                </a:lnTo>
                <a:lnTo>
                  <a:pt x="596" y="831"/>
                </a:lnTo>
                <a:lnTo>
                  <a:pt x="597" y="840"/>
                </a:lnTo>
                <a:lnTo>
                  <a:pt x="597" y="854"/>
                </a:lnTo>
                <a:lnTo>
                  <a:pt x="598" y="882"/>
                </a:lnTo>
                <a:lnTo>
                  <a:pt x="600" y="916"/>
                </a:lnTo>
                <a:lnTo>
                  <a:pt x="600" y="924"/>
                </a:lnTo>
                <a:lnTo>
                  <a:pt x="600" y="932"/>
                </a:lnTo>
                <a:lnTo>
                  <a:pt x="601" y="944"/>
                </a:lnTo>
                <a:lnTo>
                  <a:pt x="603" y="1003"/>
                </a:lnTo>
                <a:lnTo>
                  <a:pt x="603" y="1006"/>
                </a:lnTo>
                <a:lnTo>
                  <a:pt x="605" y="1038"/>
                </a:lnTo>
                <a:lnTo>
                  <a:pt x="606" y="1068"/>
                </a:lnTo>
                <a:lnTo>
                  <a:pt x="607" y="1097"/>
                </a:lnTo>
                <a:lnTo>
                  <a:pt x="587" y="1104"/>
                </a:lnTo>
                <a:lnTo>
                  <a:pt x="540" y="1097"/>
                </a:lnTo>
                <a:lnTo>
                  <a:pt x="522" y="1084"/>
                </a:lnTo>
                <a:lnTo>
                  <a:pt x="521" y="1092"/>
                </a:lnTo>
                <a:lnTo>
                  <a:pt x="493" y="1088"/>
                </a:lnTo>
                <a:lnTo>
                  <a:pt x="440" y="1106"/>
                </a:lnTo>
                <a:lnTo>
                  <a:pt x="430" y="1092"/>
                </a:lnTo>
                <a:lnTo>
                  <a:pt x="433" y="1104"/>
                </a:lnTo>
                <a:lnTo>
                  <a:pt x="400" y="1137"/>
                </a:lnTo>
                <a:lnTo>
                  <a:pt x="396" y="1138"/>
                </a:lnTo>
                <a:lnTo>
                  <a:pt x="377" y="1121"/>
                </a:lnTo>
                <a:lnTo>
                  <a:pt x="365" y="1071"/>
                </a:lnTo>
                <a:lnTo>
                  <a:pt x="353" y="1062"/>
                </a:lnTo>
                <a:lnTo>
                  <a:pt x="352" y="1062"/>
                </a:lnTo>
                <a:lnTo>
                  <a:pt x="336" y="1022"/>
                </a:lnTo>
                <a:lnTo>
                  <a:pt x="339" y="1003"/>
                </a:lnTo>
                <a:lnTo>
                  <a:pt x="353" y="961"/>
                </a:lnTo>
                <a:lnTo>
                  <a:pt x="357" y="943"/>
                </a:lnTo>
                <a:lnTo>
                  <a:pt x="353" y="944"/>
                </a:lnTo>
                <a:lnTo>
                  <a:pt x="353" y="943"/>
                </a:lnTo>
                <a:lnTo>
                  <a:pt x="337" y="943"/>
                </a:lnTo>
                <a:lnTo>
                  <a:pt x="283" y="943"/>
                </a:lnTo>
                <a:lnTo>
                  <a:pt x="260" y="944"/>
                </a:lnTo>
                <a:lnTo>
                  <a:pt x="258" y="944"/>
                </a:lnTo>
                <a:lnTo>
                  <a:pt x="242" y="944"/>
                </a:lnTo>
                <a:lnTo>
                  <a:pt x="236" y="944"/>
                </a:lnTo>
                <a:lnTo>
                  <a:pt x="213" y="944"/>
                </a:lnTo>
                <a:lnTo>
                  <a:pt x="204" y="944"/>
                </a:lnTo>
                <a:lnTo>
                  <a:pt x="200" y="944"/>
                </a:lnTo>
                <a:lnTo>
                  <a:pt x="174" y="944"/>
                </a:lnTo>
                <a:lnTo>
                  <a:pt x="166" y="944"/>
                </a:lnTo>
                <a:lnTo>
                  <a:pt x="152" y="944"/>
                </a:lnTo>
                <a:lnTo>
                  <a:pt x="120" y="944"/>
                </a:lnTo>
                <a:lnTo>
                  <a:pt x="109" y="944"/>
                </a:lnTo>
                <a:lnTo>
                  <a:pt x="87" y="944"/>
                </a:lnTo>
                <a:lnTo>
                  <a:pt x="73" y="944"/>
                </a:lnTo>
                <a:lnTo>
                  <a:pt x="49" y="944"/>
                </a:lnTo>
                <a:lnTo>
                  <a:pt x="0" y="944"/>
                </a:lnTo>
                <a:lnTo>
                  <a:pt x="5" y="942"/>
                </a:lnTo>
                <a:lnTo>
                  <a:pt x="3" y="913"/>
                </a:lnTo>
                <a:lnTo>
                  <a:pt x="9" y="898"/>
                </a:lnTo>
                <a:lnTo>
                  <a:pt x="26" y="857"/>
                </a:lnTo>
                <a:lnTo>
                  <a:pt x="26" y="791"/>
                </a:lnTo>
                <a:lnTo>
                  <a:pt x="48" y="771"/>
                </a:lnTo>
                <a:lnTo>
                  <a:pt x="49" y="770"/>
                </a:lnTo>
                <a:lnTo>
                  <a:pt x="53" y="766"/>
                </a:lnTo>
                <a:lnTo>
                  <a:pt x="60" y="766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29" name="S_MO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>
            <a:spLocks/>
          </xdr:cNvSpPr>
        </xdr:nvSpPr>
        <xdr:spPr bwMode="auto">
          <a:xfrm>
            <a:off x="5213537" y="1939738"/>
            <a:ext cx="1202951" cy="1021977"/>
          </a:xfrm>
          <a:custGeom>
            <a:avLst/>
            <a:gdLst>
              <a:gd name="T0" fmla="*/ 2147483647 w 1248"/>
              <a:gd name="T1" fmla="*/ 2147483647 h 1090"/>
              <a:gd name="T2" fmla="*/ 2147483647 w 1248"/>
              <a:gd name="T3" fmla="*/ 2147483647 h 1090"/>
              <a:gd name="T4" fmla="*/ 2147483647 w 1248"/>
              <a:gd name="T5" fmla="*/ 2147483647 h 1090"/>
              <a:gd name="T6" fmla="*/ 2147483647 w 1248"/>
              <a:gd name="T7" fmla="*/ 2147483647 h 1090"/>
              <a:gd name="T8" fmla="*/ 2147483647 w 1248"/>
              <a:gd name="T9" fmla="*/ 0 h 1090"/>
              <a:gd name="T10" fmla="*/ 2147483647 w 1248"/>
              <a:gd name="T11" fmla="*/ 2147483647 h 1090"/>
              <a:gd name="T12" fmla="*/ 2147483647 w 1248"/>
              <a:gd name="T13" fmla="*/ 2147483647 h 1090"/>
              <a:gd name="T14" fmla="*/ 2147483647 w 1248"/>
              <a:gd name="T15" fmla="*/ 2147483647 h 1090"/>
              <a:gd name="T16" fmla="*/ 2147483647 w 1248"/>
              <a:gd name="T17" fmla="*/ 2147483647 h 1090"/>
              <a:gd name="T18" fmla="*/ 2147483647 w 1248"/>
              <a:gd name="T19" fmla="*/ 2147483647 h 1090"/>
              <a:gd name="T20" fmla="*/ 2147483647 w 1248"/>
              <a:gd name="T21" fmla="*/ 2147483647 h 1090"/>
              <a:gd name="T22" fmla="*/ 2147483647 w 1248"/>
              <a:gd name="T23" fmla="*/ 2147483647 h 1090"/>
              <a:gd name="T24" fmla="*/ 2147483647 w 1248"/>
              <a:gd name="T25" fmla="*/ 2147483647 h 1090"/>
              <a:gd name="T26" fmla="*/ 2147483647 w 1248"/>
              <a:gd name="T27" fmla="*/ 2147483647 h 1090"/>
              <a:gd name="T28" fmla="*/ 2147483647 w 1248"/>
              <a:gd name="T29" fmla="*/ 2147483647 h 1090"/>
              <a:gd name="T30" fmla="*/ 2147483647 w 1248"/>
              <a:gd name="T31" fmla="*/ 2147483647 h 1090"/>
              <a:gd name="T32" fmla="*/ 2147483647 w 1248"/>
              <a:gd name="T33" fmla="*/ 2147483647 h 1090"/>
              <a:gd name="T34" fmla="*/ 2147483647 w 1248"/>
              <a:gd name="T35" fmla="*/ 2147483647 h 1090"/>
              <a:gd name="T36" fmla="*/ 2147483647 w 1248"/>
              <a:gd name="T37" fmla="*/ 2147483647 h 1090"/>
              <a:gd name="T38" fmla="*/ 2147483647 w 1248"/>
              <a:gd name="T39" fmla="*/ 2147483647 h 1090"/>
              <a:gd name="T40" fmla="*/ 2147483647 w 1248"/>
              <a:gd name="T41" fmla="*/ 2147483647 h 1090"/>
              <a:gd name="T42" fmla="*/ 2147483647 w 1248"/>
              <a:gd name="T43" fmla="*/ 2147483647 h 1090"/>
              <a:gd name="T44" fmla="*/ 2147483647 w 1248"/>
              <a:gd name="T45" fmla="*/ 2147483647 h 1090"/>
              <a:gd name="T46" fmla="*/ 2147483647 w 1248"/>
              <a:gd name="T47" fmla="*/ 2147483647 h 1090"/>
              <a:gd name="T48" fmla="*/ 2147483647 w 1248"/>
              <a:gd name="T49" fmla="*/ 2147483647 h 1090"/>
              <a:gd name="T50" fmla="*/ 2147483647 w 1248"/>
              <a:gd name="T51" fmla="*/ 2147483647 h 1090"/>
              <a:gd name="T52" fmla="*/ 2147483647 w 1248"/>
              <a:gd name="T53" fmla="*/ 2147483647 h 1090"/>
              <a:gd name="T54" fmla="*/ 2147483647 w 1248"/>
              <a:gd name="T55" fmla="*/ 2147483647 h 1090"/>
              <a:gd name="T56" fmla="*/ 2147483647 w 1248"/>
              <a:gd name="T57" fmla="*/ 2147483647 h 1090"/>
              <a:gd name="T58" fmla="*/ 2147483647 w 1248"/>
              <a:gd name="T59" fmla="*/ 2147483647 h 1090"/>
              <a:gd name="T60" fmla="*/ 2147483647 w 1248"/>
              <a:gd name="T61" fmla="*/ 2147483647 h 1090"/>
              <a:gd name="T62" fmla="*/ 2147483647 w 1248"/>
              <a:gd name="T63" fmla="*/ 2147483647 h 1090"/>
              <a:gd name="T64" fmla="*/ 2147483647 w 1248"/>
              <a:gd name="T65" fmla="*/ 2147483647 h 1090"/>
              <a:gd name="T66" fmla="*/ 2147483647 w 1248"/>
              <a:gd name="T67" fmla="*/ 2147483647 h 1090"/>
              <a:gd name="T68" fmla="*/ 2147483647 w 1248"/>
              <a:gd name="T69" fmla="*/ 2147483647 h 1090"/>
              <a:gd name="T70" fmla="*/ 2147483647 w 1248"/>
              <a:gd name="T71" fmla="*/ 2147483647 h 1090"/>
              <a:gd name="T72" fmla="*/ 2147483647 w 1248"/>
              <a:gd name="T73" fmla="*/ 2147483647 h 1090"/>
              <a:gd name="T74" fmla="*/ 2147483647 w 1248"/>
              <a:gd name="T75" fmla="*/ 2147483647 h 1090"/>
              <a:gd name="T76" fmla="*/ 2147483647 w 1248"/>
              <a:gd name="T77" fmla="*/ 2147483647 h 1090"/>
              <a:gd name="T78" fmla="*/ 2147483647 w 1248"/>
              <a:gd name="T79" fmla="*/ 2147483647 h 1090"/>
              <a:gd name="T80" fmla="*/ 2147483647 w 1248"/>
              <a:gd name="T81" fmla="*/ 2147483647 h 1090"/>
              <a:gd name="T82" fmla="*/ 2147483647 w 1248"/>
              <a:gd name="T83" fmla="*/ 2147483647 h 1090"/>
              <a:gd name="T84" fmla="*/ 2147483647 w 1248"/>
              <a:gd name="T85" fmla="*/ 2147483647 h 1090"/>
              <a:gd name="T86" fmla="*/ 2147483647 w 1248"/>
              <a:gd name="T87" fmla="*/ 2147483647 h 1090"/>
              <a:gd name="T88" fmla="*/ 2147483647 w 1248"/>
              <a:gd name="T89" fmla="*/ 2147483647 h 1090"/>
              <a:gd name="T90" fmla="*/ 2147483647 w 1248"/>
              <a:gd name="T91" fmla="*/ 2147483647 h 1090"/>
              <a:gd name="T92" fmla="*/ 2147483647 w 1248"/>
              <a:gd name="T93" fmla="*/ 2147483647 h 1090"/>
              <a:gd name="T94" fmla="*/ 2147483647 w 1248"/>
              <a:gd name="T95" fmla="*/ 2147483647 h 1090"/>
              <a:gd name="T96" fmla="*/ 2147483647 w 1248"/>
              <a:gd name="T97" fmla="*/ 2147483647 h 1090"/>
              <a:gd name="T98" fmla="*/ 2147483647 w 1248"/>
              <a:gd name="T99" fmla="*/ 2147483647 h 1090"/>
              <a:gd name="T100" fmla="*/ 0 w 1248"/>
              <a:gd name="T101" fmla="*/ 2147483647 h 1090"/>
              <a:gd name="T102" fmla="*/ 2147483647 w 1248"/>
              <a:gd name="T103" fmla="*/ 2147483647 h 1090"/>
              <a:gd name="T104" fmla="*/ 2147483647 w 1248"/>
              <a:gd name="T105" fmla="*/ 2147483647 h 1090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1248"/>
              <a:gd name="T160" fmla="*/ 0 h 1090"/>
              <a:gd name="T161" fmla="*/ 1248 w 1248"/>
              <a:gd name="T162" fmla="*/ 1090 h 1090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1248" h="1090">
                <a:moveTo>
                  <a:pt x="288" y="10"/>
                </a:moveTo>
                <a:lnTo>
                  <a:pt x="329" y="10"/>
                </a:lnTo>
                <a:lnTo>
                  <a:pt x="331" y="8"/>
                </a:lnTo>
                <a:lnTo>
                  <a:pt x="374" y="8"/>
                </a:lnTo>
                <a:lnTo>
                  <a:pt x="375" y="7"/>
                </a:lnTo>
                <a:lnTo>
                  <a:pt x="378" y="8"/>
                </a:lnTo>
                <a:lnTo>
                  <a:pt x="414" y="7"/>
                </a:lnTo>
                <a:lnTo>
                  <a:pt x="425" y="7"/>
                </a:lnTo>
                <a:lnTo>
                  <a:pt x="436" y="7"/>
                </a:lnTo>
                <a:lnTo>
                  <a:pt x="449" y="7"/>
                </a:lnTo>
                <a:lnTo>
                  <a:pt x="472" y="7"/>
                </a:lnTo>
                <a:lnTo>
                  <a:pt x="500" y="6"/>
                </a:lnTo>
                <a:lnTo>
                  <a:pt x="518" y="6"/>
                </a:lnTo>
                <a:lnTo>
                  <a:pt x="565" y="5"/>
                </a:lnTo>
                <a:lnTo>
                  <a:pt x="572" y="5"/>
                </a:lnTo>
                <a:lnTo>
                  <a:pt x="587" y="4"/>
                </a:lnTo>
                <a:lnTo>
                  <a:pt x="612" y="4"/>
                </a:lnTo>
                <a:lnTo>
                  <a:pt x="640" y="3"/>
                </a:lnTo>
                <a:lnTo>
                  <a:pt x="658" y="3"/>
                </a:lnTo>
                <a:lnTo>
                  <a:pt x="662" y="3"/>
                </a:lnTo>
                <a:lnTo>
                  <a:pt x="672" y="3"/>
                </a:lnTo>
                <a:lnTo>
                  <a:pt x="694" y="2"/>
                </a:lnTo>
                <a:lnTo>
                  <a:pt x="701" y="2"/>
                </a:lnTo>
                <a:lnTo>
                  <a:pt x="716" y="1"/>
                </a:lnTo>
                <a:lnTo>
                  <a:pt x="756" y="0"/>
                </a:lnTo>
                <a:lnTo>
                  <a:pt x="758" y="2"/>
                </a:lnTo>
                <a:lnTo>
                  <a:pt x="759" y="3"/>
                </a:lnTo>
                <a:lnTo>
                  <a:pt x="776" y="16"/>
                </a:lnTo>
                <a:lnTo>
                  <a:pt x="799" y="49"/>
                </a:lnTo>
                <a:lnTo>
                  <a:pt x="815" y="56"/>
                </a:lnTo>
                <a:lnTo>
                  <a:pt x="812" y="57"/>
                </a:lnTo>
                <a:lnTo>
                  <a:pt x="809" y="59"/>
                </a:lnTo>
                <a:lnTo>
                  <a:pt x="800" y="86"/>
                </a:lnTo>
                <a:lnTo>
                  <a:pt x="799" y="87"/>
                </a:lnTo>
                <a:lnTo>
                  <a:pt x="797" y="97"/>
                </a:lnTo>
                <a:lnTo>
                  <a:pt x="797" y="114"/>
                </a:lnTo>
                <a:lnTo>
                  <a:pt x="804" y="144"/>
                </a:lnTo>
                <a:lnTo>
                  <a:pt x="811" y="157"/>
                </a:lnTo>
                <a:lnTo>
                  <a:pt x="809" y="174"/>
                </a:lnTo>
                <a:lnTo>
                  <a:pt x="822" y="189"/>
                </a:lnTo>
                <a:lnTo>
                  <a:pt x="824" y="201"/>
                </a:lnTo>
                <a:lnTo>
                  <a:pt x="823" y="203"/>
                </a:lnTo>
                <a:lnTo>
                  <a:pt x="834" y="218"/>
                </a:lnTo>
                <a:lnTo>
                  <a:pt x="835" y="219"/>
                </a:lnTo>
                <a:lnTo>
                  <a:pt x="841" y="224"/>
                </a:lnTo>
                <a:lnTo>
                  <a:pt x="843" y="228"/>
                </a:lnTo>
                <a:lnTo>
                  <a:pt x="860" y="240"/>
                </a:lnTo>
                <a:lnTo>
                  <a:pt x="864" y="251"/>
                </a:lnTo>
                <a:lnTo>
                  <a:pt x="872" y="254"/>
                </a:lnTo>
                <a:lnTo>
                  <a:pt x="893" y="280"/>
                </a:lnTo>
                <a:lnTo>
                  <a:pt x="904" y="287"/>
                </a:lnTo>
                <a:lnTo>
                  <a:pt x="922" y="300"/>
                </a:lnTo>
                <a:lnTo>
                  <a:pt x="939" y="318"/>
                </a:lnTo>
                <a:lnTo>
                  <a:pt x="944" y="327"/>
                </a:lnTo>
                <a:lnTo>
                  <a:pt x="951" y="351"/>
                </a:lnTo>
                <a:lnTo>
                  <a:pt x="952" y="381"/>
                </a:lnTo>
                <a:lnTo>
                  <a:pt x="956" y="396"/>
                </a:lnTo>
                <a:lnTo>
                  <a:pt x="971" y="412"/>
                </a:lnTo>
                <a:lnTo>
                  <a:pt x="977" y="410"/>
                </a:lnTo>
                <a:lnTo>
                  <a:pt x="995" y="388"/>
                </a:lnTo>
                <a:lnTo>
                  <a:pt x="1009" y="392"/>
                </a:lnTo>
                <a:lnTo>
                  <a:pt x="1017" y="396"/>
                </a:lnTo>
                <a:lnTo>
                  <a:pt x="1028" y="399"/>
                </a:lnTo>
                <a:lnTo>
                  <a:pt x="1033" y="400"/>
                </a:lnTo>
                <a:lnTo>
                  <a:pt x="1056" y="415"/>
                </a:lnTo>
                <a:lnTo>
                  <a:pt x="1058" y="427"/>
                </a:lnTo>
                <a:lnTo>
                  <a:pt x="1056" y="428"/>
                </a:lnTo>
                <a:lnTo>
                  <a:pt x="1056" y="429"/>
                </a:lnTo>
                <a:lnTo>
                  <a:pt x="1048" y="434"/>
                </a:lnTo>
                <a:lnTo>
                  <a:pt x="1046" y="440"/>
                </a:lnTo>
                <a:lnTo>
                  <a:pt x="1046" y="461"/>
                </a:lnTo>
                <a:lnTo>
                  <a:pt x="1046" y="470"/>
                </a:lnTo>
                <a:lnTo>
                  <a:pt x="1033" y="489"/>
                </a:lnTo>
                <a:lnTo>
                  <a:pt x="1032" y="491"/>
                </a:lnTo>
                <a:lnTo>
                  <a:pt x="1030" y="494"/>
                </a:lnTo>
                <a:lnTo>
                  <a:pt x="1029" y="499"/>
                </a:lnTo>
                <a:lnTo>
                  <a:pt x="1016" y="526"/>
                </a:lnTo>
                <a:lnTo>
                  <a:pt x="1010" y="558"/>
                </a:lnTo>
                <a:lnTo>
                  <a:pt x="1013" y="564"/>
                </a:lnTo>
                <a:lnTo>
                  <a:pt x="1032" y="586"/>
                </a:lnTo>
                <a:lnTo>
                  <a:pt x="1033" y="587"/>
                </a:lnTo>
                <a:lnTo>
                  <a:pt x="1033" y="590"/>
                </a:lnTo>
                <a:lnTo>
                  <a:pt x="1040" y="596"/>
                </a:lnTo>
                <a:lnTo>
                  <a:pt x="1056" y="602"/>
                </a:lnTo>
                <a:lnTo>
                  <a:pt x="1080" y="625"/>
                </a:lnTo>
                <a:lnTo>
                  <a:pt x="1091" y="646"/>
                </a:lnTo>
                <a:lnTo>
                  <a:pt x="1102" y="644"/>
                </a:lnTo>
                <a:lnTo>
                  <a:pt x="1117" y="646"/>
                </a:lnTo>
                <a:lnTo>
                  <a:pt x="1141" y="663"/>
                </a:lnTo>
                <a:lnTo>
                  <a:pt x="1142" y="676"/>
                </a:lnTo>
                <a:lnTo>
                  <a:pt x="1173" y="707"/>
                </a:lnTo>
                <a:lnTo>
                  <a:pt x="1169" y="718"/>
                </a:lnTo>
                <a:lnTo>
                  <a:pt x="1169" y="719"/>
                </a:lnTo>
                <a:lnTo>
                  <a:pt x="1187" y="764"/>
                </a:lnTo>
                <a:lnTo>
                  <a:pt x="1182" y="773"/>
                </a:lnTo>
                <a:lnTo>
                  <a:pt x="1175" y="774"/>
                </a:lnTo>
                <a:lnTo>
                  <a:pt x="1171" y="779"/>
                </a:lnTo>
                <a:lnTo>
                  <a:pt x="1173" y="794"/>
                </a:lnTo>
                <a:lnTo>
                  <a:pt x="1175" y="794"/>
                </a:lnTo>
                <a:lnTo>
                  <a:pt x="1181" y="794"/>
                </a:lnTo>
                <a:lnTo>
                  <a:pt x="1197" y="844"/>
                </a:lnTo>
                <a:lnTo>
                  <a:pt x="1208" y="851"/>
                </a:lnTo>
                <a:lnTo>
                  <a:pt x="1217" y="853"/>
                </a:lnTo>
                <a:lnTo>
                  <a:pt x="1219" y="836"/>
                </a:lnTo>
                <a:lnTo>
                  <a:pt x="1236" y="853"/>
                </a:lnTo>
                <a:lnTo>
                  <a:pt x="1244" y="857"/>
                </a:lnTo>
                <a:lnTo>
                  <a:pt x="1248" y="865"/>
                </a:lnTo>
                <a:lnTo>
                  <a:pt x="1248" y="867"/>
                </a:lnTo>
                <a:lnTo>
                  <a:pt x="1245" y="880"/>
                </a:lnTo>
                <a:lnTo>
                  <a:pt x="1243" y="883"/>
                </a:lnTo>
                <a:lnTo>
                  <a:pt x="1244" y="904"/>
                </a:lnTo>
                <a:lnTo>
                  <a:pt x="1244" y="912"/>
                </a:lnTo>
                <a:lnTo>
                  <a:pt x="1231" y="913"/>
                </a:lnTo>
                <a:lnTo>
                  <a:pt x="1234" y="935"/>
                </a:lnTo>
                <a:lnTo>
                  <a:pt x="1220" y="956"/>
                </a:lnTo>
                <a:lnTo>
                  <a:pt x="1205" y="940"/>
                </a:lnTo>
                <a:lnTo>
                  <a:pt x="1198" y="942"/>
                </a:lnTo>
                <a:lnTo>
                  <a:pt x="1197" y="944"/>
                </a:lnTo>
                <a:lnTo>
                  <a:pt x="1188" y="972"/>
                </a:lnTo>
                <a:lnTo>
                  <a:pt x="1175" y="972"/>
                </a:lnTo>
                <a:lnTo>
                  <a:pt x="1173" y="954"/>
                </a:lnTo>
                <a:lnTo>
                  <a:pt x="1166" y="972"/>
                </a:lnTo>
                <a:lnTo>
                  <a:pt x="1171" y="1001"/>
                </a:lnTo>
                <a:lnTo>
                  <a:pt x="1165" y="1010"/>
                </a:lnTo>
                <a:lnTo>
                  <a:pt x="1166" y="1031"/>
                </a:lnTo>
                <a:lnTo>
                  <a:pt x="1136" y="1031"/>
                </a:lnTo>
                <a:lnTo>
                  <a:pt x="1148" y="1046"/>
                </a:lnTo>
                <a:lnTo>
                  <a:pt x="1155" y="1059"/>
                </a:lnTo>
                <a:lnTo>
                  <a:pt x="1150" y="1064"/>
                </a:lnTo>
                <a:lnTo>
                  <a:pt x="1129" y="1089"/>
                </a:lnTo>
                <a:lnTo>
                  <a:pt x="1126" y="1089"/>
                </a:lnTo>
                <a:lnTo>
                  <a:pt x="1096" y="1089"/>
                </a:lnTo>
                <a:lnTo>
                  <a:pt x="1087" y="1089"/>
                </a:lnTo>
                <a:lnTo>
                  <a:pt x="1049" y="1090"/>
                </a:lnTo>
                <a:lnTo>
                  <a:pt x="1033" y="1090"/>
                </a:lnTo>
                <a:lnTo>
                  <a:pt x="1025" y="1090"/>
                </a:lnTo>
                <a:lnTo>
                  <a:pt x="1009" y="1090"/>
                </a:lnTo>
                <a:lnTo>
                  <a:pt x="1024" y="1063"/>
                </a:lnTo>
                <a:lnTo>
                  <a:pt x="1030" y="1061"/>
                </a:lnTo>
                <a:lnTo>
                  <a:pt x="1044" y="1042"/>
                </a:lnTo>
                <a:lnTo>
                  <a:pt x="1056" y="1032"/>
                </a:lnTo>
                <a:lnTo>
                  <a:pt x="1051" y="972"/>
                </a:lnTo>
                <a:lnTo>
                  <a:pt x="1038" y="972"/>
                </a:lnTo>
                <a:lnTo>
                  <a:pt x="1033" y="972"/>
                </a:lnTo>
                <a:lnTo>
                  <a:pt x="1024" y="972"/>
                </a:lnTo>
                <a:lnTo>
                  <a:pt x="972" y="972"/>
                </a:lnTo>
                <a:lnTo>
                  <a:pt x="946" y="972"/>
                </a:lnTo>
                <a:lnTo>
                  <a:pt x="943" y="972"/>
                </a:lnTo>
                <a:lnTo>
                  <a:pt x="932" y="972"/>
                </a:lnTo>
                <a:lnTo>
                  <a:pt x="916" y="972"/>
                </a:lnTo>
                <a:lnTo>
                  <a:pt x="893" y="972"/>
                </a:lnTo>
                <a:lnTo>
                  <a:pt x="869" y="972"/>
                </a:lnTo>
                <a:lnTo>
                  <a:pt x="855" y="972"/>
                </a:lnTo>
                <a:lnTo>
                  <a:pt x="849" y="972"/>
                </a:lnTo>
                <a:lnTo>
                  <a:pt x="817" y="972"/>
                </a:lnTo>
                <a:lnTo>
                  <a:pt x="816" y="972"/>
                </a:lnTo>
                <a:lnTo>
                  <a:pt x="814" y="972"/>
                </a:lnTo>
                <a:lnTo>
                  <a:pt x="808" y="972"/>
                </a:lnTo>
                <a:lnTo>
                  <a:pt x="799" y="972"/>
                </a:lnTo>
                <a:lnTo>
                  <a:pt x="790" y="972"/>
                </a:lnTo>
                <a:lnTo>
                  <a:pt x="766" y="972"/>
                </a:lnTo>
                <a:lnTo>
                  <a:pt x="753" y="972"/>
                </a:lnTo>
                <a:lnTo>
                  <a:pt x="705" y="972"/>
                </a:lnTo>
                <a:lnTo>
                  <a:pt x="683" y="972"/>
                </a:lnTo>
                <a:lnTo>
                  <a:pt x="682" y="972"/>
                </a:lnTo>
                <a:lnTo>
                  <a:pt x="678" y="972"/>
                </a:lnTo>
                <a:lnTo>
                  <a:pt x="635" y="972"/>
                </a:lnTo>
                <a:lnTo>
                  <a:pt x="623" y="972"/>
                </a:lnTo>
                <a:lnTo>
                  <a:pt x="607" y="972"/>
                </a:lnTo>
                <a:lnTo>
                  <a:pt x="572" y="972"/>
                </a:lnTo>
                <a:lnTo>
                  <a:pt x="565" y="972"/>
                </a:lnTo>
                <a:lnTo>
                  <a:pt x="561" y="972"/>
                </a:lnTo>
                <a:lnTo>
                  <a:pt x="546" y="972"/>
                </a:lnTo>
                <a:lnTo>
                  <a:pt x="510" y="972"/>
                </a:lnTo>
                <a:lnTo>
                  <a:pt x="490" y="972"/>
                </a:lnTo>
                <a:lnTo>
                  <a:pt x="464" y="972"/>
                </a:lnTo>
                <a:lnTo>
                  <a:pt x="459" y="972"/>
                </a:lnTo>
                <a:lnTo>
                  <a:pt x="449" y="972"/>
                </a:lnTo>
                <a:lnTo>
                  <a:pt x="436" y="972"/>
                </a:lnTo>
                <a:lnTo>
                  <a:pt x="409" y="972"/>
                </a:lnTo>
                <a:lnTo>
                  <a:pt x="386" y="972"/>
                </a:lnTo>
                <a:lnTo>
                  <a:pt x="369" y="972"/>
                </a:lnTo>
                <a:lnTo>
                  <a:pt x="357" y="972"/>
                </a:lnTo>
                <a:lnTo>
                  <a:pt x="344" y="972"/>
                </a:lnTo>
                <a:lnTo>
                  <a:pt x="331" y="972"/>
                </a:lnTo>
                <a:lnTo>
                  <a:pt x="317" y="972"/>
                </a:lnTo>
                <a:lnTo>
                  <a:pt x="261" y="972"/>
                </a:lnTo>
                <a:lnTo>
                  <a:pt x="238" y="972"/>
                </a:lnTo>
                <a:lnTo>
                  <a:pt x="215" y="972"/>
                </a:lnTo>
                <a:lnTo>
                  <a:pt x="215" y="948"/>
                </a:lnTo>
                <a:lnTo>
                  <a:pt x="215" y="937"/>
                </a:lnTo>
                <a:lnTo>
                  <a:pt x="215" y="932"/>
                </a:lnTo>
                <a:lnTo>
                  <a:pt x="215" y="930"/>
                </a:lnTo>
                <a:lnTo>
                  <a:pt x="215" y="915"/>
                </a:lnTo>
                <a:lnTo>
                  <a:pt x="215" y="909"/>
                </a:lnTo>
                <a:lnTo>
                  <a:pt x="215" y="886"/>
                </a:lnTo>
                <a:lnTo>
                  <a:pt x="215" y="863"/>
                </a:lnTo>
                <a:lnTo>
                  <a:pt x="215" y="854"/>
                </a:lnTo>
                <a:lnTo>
                  <a:pt x="215" y="853"/>
                </a:lnTo>
                <a:lnTo>
                  <a:pt x="215" y="845"/>
                </a:lnTo>
                <a:lnTo>
                  <a:pt x="215" y="840"/>
                </a:lnTo>
                <a:lnTo>
                  <a:pt x="215" y="833"/>
                </a:lnTo>
                <a:lnTo>
                  <a:pt x="215" y="814"/>
                </a:lnTo>
                <a:lnTo>
                  <a:pt x="215" y="774"/>
                </a:lnTo>
                <a:lnTo>
                  <a:pt x="215" y="767"/>
                </a:lnTo>
                <a:lnTo>
                  <a:pt x="215" y="764"/>
                </a:lnTo>
                <a:lnTo>
                  <a:pt x="216" y="735"/>
                </a:lnTo>
                <a:lnTo>
                  <a:pt x="215" y="699"/>
                </a:lnTo>
                <a:lnTo>
                  <a:pt x="215" y="695"/>
                </a:lnTo>
                <a:lnTo>
                  <a:pt x="216" y="668"/>
                </a:lnTo>
                <a:lnTo>
                  <a:pt x="216" y="632"/>
                </a:lnTo>
                <a:lnTo>
                  <a:pt x="216" y="608"/>
                </a:lnTo>
                <a:lnTo>
                  <a:pt x="216" y="602"/>
                </a:lnTo>
                <a:lnTo>
                  <a:pt x="216" y="581"/>
                </a:lnTo>
                <a:lnTo>
                  <a:pt x="216" y="558"/>
                </a:lnTo>
                <a:lnTo>
                  <a:pt x="216" y="525"/>
                </a:lnTo>
                <a:lnTo>
                  <a:pt x="216" y="504"/>
                </a:lnTo>
                <a:lnTo>
                  <a:pt x="216" y="499"/>
                </a:lnTo>
                <a:lnTo>
                  <a:pt x="217" y="470"/>
                </a:lnTo>
                <a:lnTo>
                  <a:pt x="217" y="443"/>
                </a:lnTo>
                <a:lnTo>
                  <a:pt x="217" y="440"/>
                </a:lnTo>
                <a:lnTo>
                  <a:pt x="217" y="416"/>
                </a:lnTo>
                <a:lnTo>
                  <a:pt x="217" y="403"/>
                </a:lnTo>
                <a:lnTo>
                  <a:pt x="217" y="386"/>
                </a:lnTo>
                <a:lnTo>
                  <a:pt x="217" y="370"/>
                </a:lnTo>
                <a:lnTo>
                  <a:pt x="217" y="354"/>
                </a:lnTo>
                <a:lnTo>
                  <a:pt x="217" y="352"/>
                </a:lnTo>
                <a:lnTo>
                  <a:pt x="218" y="351"/>
                </a:lnTo>
                <a:lnTo>
                  <a:pt x="218" y="343"/>
                </a:lnTo>
                <a:lnTo>
                  <a:pt x="214" y="343"/>
                </a:lnTo>
                <a:lnTo>
                  <a:pt x="191" y="340"/>
                </a:lnTo>
                <a:lnTo>
                  <a:pt x="186" y="333"/>
                </a:lnTo>
                <a:lnTo>
                  <a:pt x="167" y="315"/>
                </a:lnTo>
                <a:lnTo>
                  <a:pt x="167" y="292"/>
                </a:lnTo>
                <a:lnTo>
                  <a:pt x="150" y="281"/>
                </a:lnTo>
                <a:lnTo>
                  <a:pt x="141" y="274"/>
                </a:lnTo>
                <a:lnTo>
                  <a:pt x="135" y="262"/>
                </a:lnTo>
                <a:lnTo>
                  <a:pt x="125" y="255"/>
                </a:lnTo>
                <a:lnTo>
                  <a:pt x="134" y="233"/>
                </a:lnTo>
                <a:lnTo>
                  <a:pt x="145" y="220"/>
                </a:lnTo>
                <a:lnTo>
                  <a:pt x="167" y="209"/>
                </a:lnTo>
                <a:lnTo>
                  <a:pt x="167" y="187"/>
                </a:lnTo>
                <a:lnTo>
                  <a:pt x="157" y="174"/>
                </a:lnTo>
                <a:lnTo>
                  <a:pt x="146" y="169"/>
                </a:lnTo>
                <a:lnTo>
                  <a:pt x="139" y="174"/>
                </a:lnTo>
                <a:lnTo>
                  <a:pt x="121" y="174"/>
                </a:lnTo>
                <a:lnTo>
                  <a:pt x="87" y="144"/>
                </a:lnTo>
                <a:lnTo>
                  <a:pt x="74" y="138"/>
                </a:lnTo>
                <a:lnTo>
                  <a:pt x="50" y="86"/>
                </a:lnTo>
                <a:lnTo>
                  <a:pt x="41" y="82"/>
                </a:lnTo>
                <a:lnTo>
                  <a:pt x="27" y="71"/>
                </a:lnTo>
                <a:lnTo>
                  <a:pt x="17" y="12"/>
                </a:lnTo>
                <a:lnTo>
                  <a:pt x="12" y="21"/>
                </a:lnTo>
                <a:lnTo>
                  <a:pt x="4" y="20"/>
                </a:lnTo>
                <a:lnTo>
                  <a:pt x="0" y="7"/>
                </a:lnTo>
                <a:lnTo>
                  <a:pt x="1" y="6"/>
                </a:lnTo>
                <a:lnTo>
                  <a:pt x="4" y="6"/>
                </a:lnTo>
                <a:lnTo>
                  <a:pt x="50" y="7"/>
                </a:lnTo>
                <a:lnTo>
                  <a:pt x="74" y="7"/>
                </a:lnTo>
                <a:lnTo>
                  <a:pt x="98" y="7"/>
                </a:lnTo>
                <a:lnTo>
                  <a:pt x="106" y="8"/>
                </a:lnTo>
                <a:lnTo>
                  <a:pt x="145" y="8"/>
                </a:lnTo>
                <a:lnTo>
                  <a:pt x="160" y="8"/>
                </a:lnTo>
                <a:lnTo>
                  <a:pt x="191" y="10"/>
                </a:lnTo>
                <a:lnTo>
                  <a:pt x="213" y="10"/>
                </a:lnTo>
                <a:lnTo>
                  <a:pt x="238" y="10"/>
                </a:lnTo>
                <a:lnTo>
                  <a:pt x="243" y="10"/>
                </a:lnTo>
                <a:lnTo>
                  <a:pt x="285" y="10"/>
                </a:lnTo>
                <a:lnTo>
                  <a:pt x="288" y="10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30" name="S_MN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GrpSpPr>
            <a:grpSpLocks/>
          </xdr:cNvGrpSpPr>
        </xdr:nvGrpSpPr>
        <xdr:grpSpPr bwMode="auto">
          <a:xfrm>
            <a:off x="4953560" y="0"/>
            <a:ext cx="1529603" cy="1302684"/>
            <a:chOff x="4663377" y="537321"/>
            <a:chExt cx="1216850" cy="1030861"/>
          </a:xfrm>
          <a:grpFill/>
        </xdr:grpSpPr>
        <xdr:sp macro="" textlink="">
          <xdr:nvSpPr>
            <xdr:cNvPr id="70" name="myShape_MN2">
              <a:extLst>
                <a:ext uri="{FF2B5EF4-FFF2-40B4-BE49-F238E27FC236}">
                  <a16:creationId xmlns:a16="http://schemas.microsoft.com/office/drawing/2014/main" id="{00000000-0008-0000-05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4663377" y="537321"/>
              <a:ext cx="1102770" cy="1030861"/>
            </a:xfrm>
            <a:custGeom>
              <a:avLst/>
              <a:gdLst>
                <a:gd name="T0" fmla="*/ 2147483647 w 1441"/>
                <a:gd name="T1" fmla="*/ 2147483647 h 1390"/>
                <a:gd name="T2" fmla="*/ 2147483647 w 1441"/>
                <a:gd name="T3" fmla="*/ 2147483647 h 1390"/>
                <a:gd name="T4" fmla="*/ 2147483647 w 1441"/>
                <a:gd name="T5" fmla="*/ 2147483647 h 1390"/>
                <a:gd name="T6" fmla="*/ 2147483647 w 1441"/>
                <a:gd name="T7" fmla="*/ 2147483647 h 1390"/>
                <a:gd name="T8" fmla="*/ 2147483647 w 1441"/>
                <a:gd name="T9" fmla="*/ 2147483647 h 1390"/>
                <a:gd name="T10" fmla="*/ 2147483647 w 1441"/>
                <a:gd name="T11" fmla="*/ 2147483647 h 1390"/>
                <a:gd name="T12" fmla="*/ 2147483647 w 1441"/>
                <a:gd name="T13" fmla="*/ 2147483647 h 1390"/>
                <a:gd name="T14" fmla="*/ 2147483647 w 1441"/>
                <a:gd name="T15" fmla="*/ 2147483647 h 1390"/>
                <a:gd name="T16" fmla="*/ 2147483647 w 1441"/>
                <a:gd name="T17" fmla="*/ 2147483647 h 1390"/>
                <a:gd name="T18" fmla="*/ 2147483647 w 1441"/>
                <a:gd name="T19" fmla="*/ 2147483647 h 1390"/>
                <a:gd name="T20" fmla="*/ 2147483647 w 1441"/>
                <a:gd name="T21" fmla="*/ 2147483647 h 1390"/>
                <a:gd name="T22" fmla="*/ 2147483647 w 1441"/>
                <a:gd name="T23" fmla="*/ 2147483647 h 1390"/>
                <a:gd name="T24" fmla="*/ 2147483647 w 1441"/>
                <a:gd name="T25" fmla="*/ 2147483647 h 1390"/>
                <a:gd name="T26" fmla="*/ 2147483647 w 1441"/>
                <a:gd name="T27" fmla="*/ 2147483647 h 1390"/>
                <a:gd name="T28" fmla="*/ 2147483647 w 1441"/>
                <a:gd name="T29" fmla="*/ 2147483647 h 1390"/>
                <a:gd name="T30" fmla="*/ 2147483647 w 1441"/>
                <a:gd name="T31" fmla="*/ 2147483647 h 1390"/>
                <a:gd name="T32" fmla="*/ 2147483647 w 1441"/>
                <a:gd name="T33" fmla="*/ 2147483647 h 1390"/>
                <a:gd name="T34" fmla="*/ 2147483647 w 1441"/>
                <a:gd name="T35" fmla="*/ 2147483647 h 1390"/>
                <a:gd name="T36" fmla="*/ 2147483647 w 1441"/>
                <a:gd name="T37" fmla="*/ 2147483647 h 1390"/>
                <a:gd name="T38" fmla="*/ 2147483647 w 1441"/>
                <a:gd name="T39" fmla="*/ 2147483647 h 1390"/>
                <a:gd name="T40" fmla="*/ 2147483647 w 1441"/>
                <a:gd name="T41" fmla="*/ 2147483647 h 1390"/>
                <a:gd name="T42" fmla="*/ 2147483647 w 1441"/>
                <a:gd name="T43" fmla="*/ 2147483647 h 1390"/>
                <a:gd name="T44" fmla="*/ 2147483647 w 1441"/>
                <a:gd name="T45" fmla="*/ 2147483647 h 1390"/>
                <a:gd name="T46" fmla="*/ 2147483647 w 1441"/>
                <a:gd name="T47" fmla="*/ 2147483647 h 1390"/>
                <a:gd name="T48" fmla="*/ 2147483647 w 1441"/>
                <a:gd name="T49" fmla="*/ 2147483647 h 1390"/>
                <a:gd name="T50" fmla="*/ 2147483647 w 1441"/>
                <a:gd name="T51" fmla="*/ 2147483647 h 1390"/>
                <a:gd name="T52" fmla="*/ 2147483647 w 1441"/>
                <a:gd name="T53" fmla="*/ 2147483647 h 1390"/>
                <a:gd name="T54" fmla="*/ 2147483647 w 1441"/>
                <a:gd name="T55" fmla="*/ 2147483647 h 1390"/>
                <a:gd name="T56" fmla="*/ 2147483647 w 1441"/>
                <a:gd name="T57" fmla="*/ 2147483647 h 1390"/>
                <a:gd name="T58" fmla="*/ 2147483647 w 1441"/>
                <a:gd name="T59" fmla="*/ 2147483647 h 1390"/>
                <a:gd name="T60" fmla="*/ 2147483647 w 1441"/>
                <a:gd name="T61" fmla="*/ 2147483647 h 1390"/>
                <a:gd name="T62" fmla="*/ 2147483647 w 1441"/>
                <a:gd name="T63" fmla="*/ 2147483647 h 1390"/>
                <a:gd name="T64" fmla="*/ 2147483647 w 1441"/>
                <a:gd name="T65" fmla="*/ 2147483647 h 1390"/>
                <a:gd name="T66" fmla="*/ 2147483647 w 1441"/>
                <a:gd name="T67" fmla="*/ 2147483647 h 1390"/>
                <a:gd name="T68" fmla="*/ 2147483647 w 1441"/>
                <a:gd name="T69" fmla="*/ 2147483647 h 1390"/>
                <a:gd name="T70" fmla="*/ 2147483647 w 1441"/>
                <a:gd name="T71" fmla="*/ 2147483647 h 1390"/>
                <a:gd name="T72" fmla="*/ 2147483647 w 1441"/>
                <a:gd name="T73" fmla="*/ 2147483647 h 1390"/>
                <a:gd name="T74" fmla="*/ 2147483647 w 1441"/>
                <a:gd name="T75" fmla="*/ 2147483647 h 1390"/>
                <a:gd name="T76" fmla="*/ 2147483647 w 1441"/>
                <a:gd name="T77" fmla="*/ 2147483647 h 1390"/>
                <a:gd name="T78" fmla="*/ 2147483647 w 1441"/>
                <a:gd name="T79" fmla="*/ 2147483647 h 1390"/>
                <a:gd name="T80" fmla="*/ 2147483647 w 1441"/>
                <a:gd name="T81" fmla="*/ 2147483647 h 1390"/>
                <a:gd name="T82" fmla="*/ 2147483647 w 1441"/>
                <a:gd name="T83" fmla="*/ 2147483647 h 1390"/>
                <a:gd name="T84" fmla="*/ 2147483647 w 1441"/>
                <a:gd name="T85" fmla="*/ 2147483647 h 1390"/>
                <a:gd name="T86" fmla="*/ 2147483647 w 1441"/>
                <a:gd name="T87" fmla="*/ 2147483647 h 1390"/>
                <a:gd name="T88" fmla="*/ 2147483647 w 1441"/>
                <a:gd name="T89" fmla="*/ 2147483647 h 1390"/>
                <a:gd name="T90" fmla="*/ 2147483647 w 1441"/>
                <a:gd name="T91" fmla="*/ 2147483647 h 1390"/>
                <a:gd name="T92" fmla="*/ 2147483647 w 1441"/>
                <a:gd name="T93" fmla="*/ 2147483647 h 1390"/>
                <a:gd name="T94" fmla="*/ 2147483647 w 1441"/>
                <a:gd name="T95" fmla="*/ 2147483647 h 1390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w 1441"/>
                <a:gd name="T145" fmla="*/ 0 h 1390"/>
                <a:gd name="T146" fmla="*/ 1441 w 1441"/>
                <a:gd name="T147" fmla="*/ 1390 h 1390"/>
              </a:gdLst>
              <a:ahLst/>
              <a:cxnLst>
                <a:cxn ang="T96">
                  <a:pos x="T0" y="T1"/>
                </a:cxn>
                <a:cxn ang="T97">
                  <a:pos x="T2" y="T3"/>
                </a:cxn>
                <a:cxn ang="T98">
                  <a:pos x="T4" y="T5"/>
                </a:cxn>
                <a:cxn ang="T99">
                  <a:pos x="T6" y="T7"/>
                </a:cxn>
                <a:cxn ang="T100">
                  <a:pos x="T8" y="T9"/>
                </a:cxn>
                <a:cxn ang="T101">
                  <a:pos x="T10" y="T11"/>
                </a:cxn>
                <a:cxn ang="T102">
                  <a:pos x="T12" y="T13"/>
                </a:cxn>
                <a:cxn ang="T103">
                  <a:pos x="T14" y="T15"/>
                </a:cxn>
                <a:cxn ang="T104">
                  <a:pos x="T16" y="T17"/>
                </a:cxn>
                <a:cxn ang="T105">
                  <a:pos x="T18" y="T19"/>
                </a:cxn>
                <a:cxn ang="T106">
                  <a:pos x="T20" y="T21"/>
                </a:cxn>
                <a:cxn ang="T107">
                  <a:pos x="T22" y="T23"/>
                </a:cxn>
                <a:cxn ang="T108">
                  <a:pos x="T24" y="T25"/>
                </a:cxn>
                <a:cxn ang="T109">
                  <a:pos x="T26" y="T27"/>
                </a:cxn>
                <a:cxn ang="T110">
                  <a:pos x="T28" y="T29"/>
                </a:cxn>
                <a:cxn ang="T111">
                  <a:pos x="T30" y="T31"/>
                </a:cxn>
                <a:cxn ang="T112">
                  <a:pos x="T32" y="T33"/>
                </a:cxn>
                <a:cxn ang="T113">
                  <a:pos x="T34" y="T35"/>
                </a:cxn>
                <a:cxn ang="T114">
                  <a:pos x="T36" y="T37"/>
                </a:cxn>
                <a:cxn ang="T115">
                  <a:pos x="T38" y="T39"/>
                </a:cxn>
                <a:cxn ang="T116">
                  <a:pos x="T40" y="T41"/>
                </a:cxn>
                <a:cxn ang="T117">
                  <a:pos x="T42" y="T43"/>
                </a:cxn>
                <a:cxn ang="T118">
                  <a:pos x="T44" y="T45"/>
                </a:cxn>
                <a:cxn ang="T119">
                  <a:pos x="T46" y="T47"/>
                </a:cxn>
                <a:cxn ang="T120">
                  <a:pos x="T48" y="T49"/>
                </a:cxn>
                <a:cxn ang="T121">
                  <a:pos x="T50" y="T51"/>
                </a:cxn>
                <a:cxn ang="T122">
                  <a:pos x="T52" y="T53"/>
                </a:cxn>
                <a:cxn ang="T123">
                  <a:pos x="T54" y="T55"/>
                </a:cxn>
                <a:cxn ang="T124">
                  <a:pos x="T56" y="T57"/>
                </a:cxn>
                <a:cxn ang="T125">
                  <a:pos x="T58" y="T59"/>
                </a:cxn>
                <a:cxn ang="T126">
                  <a:pos x="T60" y="T61"/>
                </a:cxn>
                <a:cxn ang="T127">
                  <a:pos x="T62" y="T63"/>
                </a:cxn>
                <a:cxn ang="T128">
                  <a:pos x="T64" y="T65"/>
                </a:cxn>
                <a:cxn ang="T129">
                  <a:pos x="T66" y="T67"/>
                </a:cxn>
                <a:cxn ang="T130">
                  <a:pos x="T68" y="T69"/>
                </a:cxn>
                <a:cxn ang="T131">
                  <a:pos x="T70" y="T71"/>
                </a:cxn>
                <a:cxn ang="T132">
                  <a:pos x="T72" y="T73"/>
                </a:cxn>
                <a:cxn ang="T133">
                  <a:pos x="T74" y="T75"/>
                </a:cxn>
                <a:cxn ang="T134">
                  <a:pos x="T76" y="T77"/>
                </a:cxn>
                <a:cxn ang="T135">
                  <a:pos x="T78" y="T79"/>
                </a:cxn>
                <a:cxn ang="T136">
                  <a:pos x="T80" y="T81"/>
                </a:cxn>
                <a:cxn ang="T137">
                  <a:pos x="T82" y="T83"/>
                </a:cxn>
                <a:cxn ang="T138">
                  <a:pos x="T84" y="T85"/>
                </a:cxn>
                <a:cxn ang="T139">
                  <a:pos x="T86" y="T87"/>
                </a:cxn>
                <a:cxn ang="T140">
                  <a:pos x="T88" y="T89"/>
                </a:cxn>
                <a:cxn ang="T141">
                  <a:pos x="T90" y="T91"/>
                </a:cxn>
                <a:cxn ang="T142">
                  <a:pos x="T92" y="T93"/>
                </a:cxn>
                <a:cxn ang="T143">
                  <a:pos x="T94" y="T95"/>
                </a:cxn>
              </a:cxnLst>
              <a:rect l="T144" t="T145" r="T146" b="T147"/>
              <a:pathLst>
                <a:path w="1441" h="1390">
                  <a:moveTo>
                    <a:pt x="146" y="1081"/>
                  </a:moveTo>
                  <a:lnTo>
                    <a:pt x="146" y="1040"/>
                  </a:lnTo>
                  <a:lnTo>
                    <a:pt x="146" y="972"/>
                  </a:lnTo>
                  <a:lnTo>
                    <a:pt x="143" y="958"/>
                  </a:lnTo>
                  <a:lnTo>
                    <a:pt x="137" y="949"/>
                  </a:lnTo>
                  <a:lnTo>
                    <a:pt x="114" y="939"/>
                  </a:lnTo>
                  <a:lnTo>
                    <a:pt x="74" y="897"/>
                  </a:lnTo>
                  <a:lnTo>
                    <a:pt x="71" y="887"/>
                  </a:lnTo>
                  <a:lnTo>
                    <a:pt x="108" y="858"/>
                  </a:lnTo>
                  <a:lnTo>
                    <a:pt x="125" y="814"/>
                  </a:lnTo>
                  <a:lnTo>
                    <a:pt x="122" y="799"/>
                  </a:lnTo>
                  <a:lnTo>
                    <a:pt x="122" y="794"/>
                  </a:lnTo>
                  <a:lnTo>
                    <a:pt x="114" y="717"/>
                  </a:lnTo>
                  <a:lnTo>
                    <a:pt x="91" y="681"/>
                  </a:lnTo>
                  <a:lnTo>
                    <a:pt x="85" y="652"/>
                  </a:lnTo>
                  <a:lnTo>
                    <a:pt x="84" y="651"/>
                  </a:lnTo>
                  <a:lnTo>
                    <a:pt x="80" y="651"/>
                  </a:lnTo>
                  <a:lnTo>
                    <a:pt x="85" y="593"/>
                  </a:lnTo>
                  <a:lnTo>
                    <a:pt x="76" y="563"/>
                  </a:lnTo>
                  <a:lnTo>
                    <a:pt x="73" y="528"/>
                  </a:lnTo>
                  <a:lnTo>
                    <a:pt x="74" y="519"/>
                  </a:lnTo>
                  <a:lnTo>
                    <a:pt x="74" y="507"/>
                  </a:lnTo>
                  <a:lnTo>
                    <a:pt x="72" y="485"/>
                  </a:lnTo>
                  <a:lnTo>
                    <a:pt x="75" y="484"/>
                  </a:lnTo>
                  <a:lnTo>
                    <a:pt x="70" y="476"/>
                  </a:lnTo>
                  <a:lnTo>
                    <a:pt x="72" y="474"/>
                  </a:lnTo>
                  <a:lnTo>
                    <a:pt x="72" y="445"/>
                  </a:lnTo>
                  <a:lnTo>
                    <a:pt x="71" y="444"/>
                  </a:lnTo>
                  <a:lnTo>
                    <a:pt x="67" y="416"/>
                  </a:lnTo>
                  <a:lnTo>
                    <a:pt x="64" y="405"/>
                  </a:lnTo>
                  <a:lnTo>
                    <a:pt x="39" y="356"/>
                  </a:lnTo>
                  <a:lnTo>
                    <a:pt x="21" y="288"/>
                  </a:lnTo>
                  <a:lnTo>
                    <a:pt x="15" y="286"/>
                  </a:lnTo>
                  <a:lnTo>
                    <a:pt x="16" y="280"/>
                  </a:lnTo>
                  <a:lnTo>
                    <a:pt x="21" y="277"/>
                  </a:lnTo>
                  <a:lnTo>
                    <a:pt x="18" y="227"/>
                  </a:lnTo>
                  <a:lnTo>
                    <a:pt x="13" y="199"/>
                  </a:lnTo>
                  <a:lnTo>
                    <a:pt x="13" y="198"/>
                  </a:lnTo>
                  <a:lnTo>
                    <a:pt x="8" y="123"/>
                  </a:lnTo>
                  <a:lnTo>
                    <a:pt x="10" y="120"/>
                  </a:lnTo>
                  <a:lnTo>
                    <a:pt x="0" y="90"/>
                  </a:lnTo>
                  <a:lnTo>
                    <a:pt x="154" y="90"/>
                  </a:lnTo>
                  <a:lnTo>
                    <a:pt x="357" y="91"/>
                  </a:lnTo>
                  <a:lnTo>
                    <a:pt x="389" y="90"/>
                  </a:lnTo>
                  <a:lnTo>
                    <a:pt x="389" y="0"/>
                  </a:lnTo>
                  <a:lnTo>
                    <a:pt x="425" y="3"/>
                  </a:lnTo>
                  <a:lnTo>
                    <a:pt x="452" y="15"/>
                  </a:lnTo>
                  <a:lnTo>
                    <a:pt x="474" y="140"/>
                  </a:lnTo>
                  <a:lnTo>
                    <a:pt x="495" y="157"/>
                  </a:lnTo>
                  <a:lnTo>
                    <a:pt x="524" y="161"/>
                  </a:lnTo>
                  <a:lnTo>
                    <a:pt x="552" y="162"/>
                  </a:lnTo>
                  <a:lnTo>
                    <a:pt x="558" y="171"/>
                  </a:lnTo>
                  <a:lnTo>
                    <a:pt x="634" y="178"/>
                  </a:lnTo>
                  <a:lnTo>
                    <a:pt x="643" y="204"/>
                  </a:lnTo>
                  <a:lnTo>
                    <a:pt x="689" y="201"/>
                  </a:lnTo>
                  <a:lnTo>
                    <a:pt x="706" y="193"/>
                  </a:lnTo>
                  <a:lnTo>
                    <a:pt x="704" y="187"/>
                  </a:lnTo>
                  <a:lnTo>
                    <a:pt x="753" y="174"/>
                  </a:lnTo>
                  <a:lnTo>
                    <a:pt x="775" y="179"/>
                  </a:lnTo>
                  <a:lnTo>
                    <a:pt x="800" y="178"/>
                  </a:lnTo>
                  <a:lnTo>
                    <a:pt x="842" y="199"/>
                  </a:lnTo>
                  <a:lnTo>
                    <a:pt x="860" y="198"/>
                  </a:lnTo>
                  <a:lnTo>
                    <a:pt x="862" y="224"/>
                  </a:lnTo>
                  <a:lnTo>
                    <a:pt x="885" y="223"/>
                  </a:lnTo>
                  <a:lnTo>
                    <a:pt x="908" y="273"/>
                  </a:lnTo>
                  <a:lnTo>
                    <a:pt x="928" y="268"/>
                  </a:lnTo>
                  <a:lnTo>
                    <a:pt x="924" y="246"/>
                  </a:lnTo>
                  <a:lnTo>
                    <a:pt x="963" y="242"/>
                  </a:lnTo>
                  <a:lnTo>
                    <a:pt x="978" y="250"/>
                  </a:lnTo>
                  <a:lnTo>
                    <a:pt x="982" y="268"/>
                  </a:lnTo>
                  <a:lnTo>
                    <a:pt x="1016" y="278"/>
                  </a:lnTo>
                  <a:lnTo>
                    <a:pt x="1072" y="311"/>
                  </a:lnTo>
                  <a:lnTo>
                    <a:pt x="1114" y="308"/>
                  </a:lnTo>
                  <a:lnTo>
                    <a:pt x="1159" y="283"/>
                  </a:lnTo>
                  <a:lnTo>
                    <a:pt x="1195" y="269"/>
                  </a:lnTo>
                  <a:lnTo>
                    <a:pt x="1212" y="305"/>
                  </a:lnTo>
                  <a:lnTo>
                    <a:pt x="1235" y="301"/>
                  </a:lnTo>
                  <a:lnTo>
                    <a:pt x="1289" y="304"/>
                  </a:lnTo>
                  <a:lnTo>
                    <a:pt x="1325" y="301"/>
                  </a:lnTo>
                  <a:lnTo>
                    <a:pt x="1375" y="330"/>
                  </a:lnTo>
                  <a:lnTo>
                    <a:pt x="1399" y="321"/>
                  </a:lnTo>
                  <a:lnTo>
                    <a:pt x="1441" y="324"/>
                  </a:lnTo>
                  <a:lnTo>
                    <a:pt x="1353" y="368"/>
                  </a:lnTo>
                  <a:lnTo>
                    <a:pt x="1259" y="395"/>
                  </a:lnTo>
                  <a:lnTo>
                    <a:pt x="1212" y="417"/>
                  </a:lnTo>
                  <a:lnTo>
                    <a:pt x="1161" y="453"/>
                  </a:lnTo>
                  <a:lnTo>
                    <a:pt x="1119" y="495"/>
                  </a:lnTo>
                  <a:lnTo>
                    <a:pt x="1095" y="517"/>
                  </a:lnTo>
                  <a:lnTo>
                    <a:pt x="1017" y="577"/>
                  </a:lnTo>
                  <a:lnTo>
                    <a:pt x="978" y="601"/>
                  </a:lnTo>
                  <a:lnTo>
                    <a:pt x="966" y="622"/>
                  </a:lnTo>
                  <a:lnTo>
                    <a:pt x="977" y="631"/>
                  </a:lnTo>
                  <a:lnTo>
                    <a:pt x="961" y="622"/>
                  </a:lnTo>
                  <a:lnTo>
                    <a:pt x="931" y="644"/>
                  </a:lnTo>
                  <a:lnTo>
                    <a:pt x="924" y="642"/>
                  </a:lnTo>
                  <a:lnTo>
                    <a:pt x="924" y="652"/>
                  </a:lnTo>
                  <a:lnTo>
                    <a:pt x="924" y="681"/>
                  </a:lnTo>
                  <a:lnTo>
                    <a:pt x="924" y="701"/>
                  </a:lnTo>
                  <a:lnTo>
                    <a:pt x="924" y="762"/>
                  </a:lnTo>
                  <a:lnTo>
                    <a:pt x="924" y="781"/>
                  </a:lnTo>
                  <a:lnTo>
                    <a:pt x="838" y="837"/>
                  </a:lnTo>
                  <a:lnTo>
                    <a:pt x="821" y="863"/>
                  </a:lnTo>
                  <a:lnTo>
                    <a:pt x="820" y="864"/>
                  </a:lnTo>
                  <a:lnTo>
                    <a:pt x="813" y="883"/>
                  </a:lnTo>
                  <a:lnTo>
                    <a:pt x="838" y="904"/>
                  </a:lnTo>
                  <a:lnTo>
                    <a:pt x="846" y="917"/>
                  </a:lnTo>
                  <a:lnTo>
                    <a:pt x="838" y="966"/>
                  </a:lnTo>
                  <a:lnTo>
                    <a:pt x="836" y="976"/>
                  </a:lnTo>
                  <a:lnTo>
                    <a:pt x="838" y="984"/>
                  </a:lnTo>
                  <a:lnTo>
                    <a:pt x="837" y="986"/>
                  </a:lnTo>
                  <a:lnTo>
                    <a:pt x="839" y="1006"/>
                  </a:lnTo>
                  <a:lnTo>
                    <a:pt x="834" y="1035"/>
                  </a:lnTo>
                  <a:lnTo>
                    <a:pt x="835" y="1068"/>
                  </a:lnTo>
                  <a:lnTo>
                    <a:pt x="829" y="1095"/>
                  </a:lnTo>
                  <a:lnTo>
                    <a:pt x="841" y="1103"/>
                  </a:lnTo>
                  <a:lnTo>
                    <a:pt x="848" y="1109"/>
                  </a:lnTo>
                  <a:lnTo>
                    <a:pt x="885" y="1138"/>
                  </a:lnTo>
                  <a:lnTo>
                    <a:pt x="920" y="1144"/>
                  </a:lnTo>
                  <a:lnTo>
                    <a:pt x="920" y="1145"/>
                  </a:lnTo>
                  <a:lnTo>
                    <a:pt x="922" y="1154"/>
                  </a:lnTo>
                  <a:lnTo>
                    <a:pt x="932" y="1164"/>
                  </a:lnTo>
                  <a:lnTo>
                    <a:pt x="937" y="1168"/>
                  </a:lnTo>
                  <a:lnTo>
                    <a:pt x="955" y="1172"/>
                  </a:lnTo>
                  <a:lnTo>
                    <a:pt x="962" y="1175"/>
                  </a:lnTo>
                  <a:lnTo>
                    <a:pt x="978" y="1183"/>
                  </a:lnTo>
                  <a:lnTo>
                    <a:pt x="1000" y="1213"/>
                  </a:lnTo>
                  <a:lnTo>
                    <a:pt x="1005" y="1226"/>
                  </a:lnTo>
                  <a:lnTo>
                    <a:pt x="1032" y="1243"/>
                  </a:lnTo>
                  <a:lnTo>
                    <a:pt x="1049" y="1259"/>
                  </a:lnTo>
                  <a:lnTo>
                    <a:pt x="1061" y="1266"/>
                  </a:lnTo>
                  <a:lnTo>
                    <a:pt x="1072" y="1268"/>
                  </a:lnTo>
                  <a:lnTo>
                    <a:pt x="1083" y="1271"/>
                  </a:lnTo>
                  <a:lnTo>
                    <a:pt x="1085" y="1276"/>
                  </a:lnTo>
                  <a:lnTo>
                    <a:pt x="1095" y="1284"/>
                  </a:lnTo>
                  <a:lnTo>
                    <a:pt x="1110" y="1306"/>
                  </a:lnTo>
                  <a:lnTo>
                    <a:pt x="1112" y="1308"/>
                  </a:lnTo>
                  <a:lnTo>
                    <a:pt x="1119" y="1324"/>
                  </a:lnTo>
                  <a:lnTo>
                    <a:pt x="1119" y="1328"/>
                  </a:lnTo>
                  <a:lnTo>
                    <a:pt x="1118" y="1337"/>
                  </a:lnTo>
                  <a:lnTo>
                    <a:pt x="1115" y="1362"/>
                  </a:lnTo>
                  <a:lnTo>
                    <a:pt x="1122" y="1370"/>
                  </a:lnTo>
                  <a:lnTo>
                    <a:pt x="1125" y="1389"/>
                  </a:lnTo>
                  <a:lnTo>
                    <a:pt x="1119" y="1389"/>
                  </a:lnTo>
                  <a:lnTo>
                    <a:pt x="1105" y="1389"/>
                  </a:lnTo>
                  <a:lnTo>
                    <a:pt x="1051" y="1389"/>
                  </a:lnTo>
                  <a:lnTo>
                    <a:pt x="1049" y="1389"/>
                  </a:lnTo>
                  <a:lnTo>
                    <a:pt x="1029" y="1389"/>
                  </a:lnTo>
                  <a:lnTo>
                    <a:pt x="963" y="1389"/>
                  </a:lnTo>
                  <a:lnTo>
                    <a:pt x="895" y="1389"/>
                  </a:lnTo>
                  <a:lnTo>
                    <a:pt x="875" y="1389"/>
                  </a:lnTo>
                  <a:lnTo>
                    <a:pt x="791" y="1390"/>
                  </a:lnTo>
                  <a:lnTo>
                    <a:pt x="787" y="1390"/>
                  </a:lnTo>
                  <a:lnTo>
                    <a:pt x="783" y="1390"/>
                  </a:lnTo>
                  <a:lnTo>
                    <a:pt x="722" y="1390"/>
                  </a:lnTo>
                  <a:lnTo>
                    <a:pt x="717" y="1390"/>
                  </a:lnTo>
                  <a:lnTo>
                    <a:pt x="698" y="1390"/>
                  </a:lnTo>
                  <a:lnTo>
                    <a:pt x="670" y="1390"/>
                  </a:lnTo>
                  <a:lnTo>
                    <a:pt x="632" y="1390"/>
                  </a:lnTo>
                  <a:lnTo>
                    <a:pt x="627" y="1390"/>
                  </a:lnTo>
                  <a:lnTo>
                    <a:pt x="610" y="1390"/>
                  </a:lnTo>
                  <a:lnTo>
                    <a:pt x="608" y="1390"/>
                  </a:lnTo>
                  <a:lnTo>
                    <a:pt x="604" y="1390"/>
                  </a:lnTo>
                  <a:lnTo>
                    <a:pt x="558" y="1389"/>
                  </a:lnTo>
                  <a:lnTo>
                    <a:pt x="534" y="1389"/>
                  </a:lnTo>
                  <a:lnTo>
                    <a:pt x="521" y="1389"/>
                  </a:lnTo>
                  <a:lnTo>
                    <a:pt x="482" y="1389"/>
                  </a:lnTo>
                  <a:lnTo>
                    <a:pt x="464" y="1389"/>
                  </a:lnTo>
                  <a:lnTo>
                    <a:pt x="444" y="1389"/>
                  </a:lnTo>
                  <a:lnTo>
                    <a:pt x="440" y="1389"/>
                  </a:lnTo>
                  <a:lnTo>
                    <a:pt x="434" y="1389"/>
                  </a:lnTo>
                  <a:lnTo>
                    <a:pt x="394" y="1389"/>
                  </a:lnTo>
                  <a:lnTo>
                    <a:pt x="371" y="1389"/>
                  </a:lnTo>
                  <a:lnTo>
                    <a:pt x="345" y="1389"/>
                  </a:lnTo>
                  <a:lnTo>
                    <a:pt x="332" y="1390"/>
                  </a:lnTo>
                  <a:lnTo>
                    <a:pt x="283" y="1390"/>
                  </a:lnTo>
                  <a:lnTo>
                    <a:pt x="277" y="1389"/>
                  </a:lnTo>
                  <a:lnTo>
                    <a:pt x="256" y="1389"/>
                  </a:lnTo>
                  <a:lnTo>
                    <a:pt x="242" y="1389"/>
                  </a:lnTo>
                  <a:lnTo>
                    <a:pt x="230" y="1389"/>
                  </a:lnTo>
                  <a:lnTo>
                    <a:pt x="221" y="1389"/>
                  </a:lnTo>
                  <a:lnTo>
                    <a:pt x="183" y="1389"/>
                  </a:lnTo>
                  <a:lnTo>
                    <a:pt x="160" y="1389"/>
                  </a:lnTo>
                  <a:lnTo>
                    <a:pt x="146" y="1389"/>
                  </a:lnTo>
                  <a:lnTo>
                    <a:pt x="146" y="1360"/>
                  </a:lnTo>
                  <a:lnTo>
                    <a:pt x="146" y="1330"/>
                  </a:lnTo>
                  <a:lnTo>
                    <a:pt x="146" y="1307"/>
                  </a:lnTo>
                  <a:lnTo>
                    <a:pt x="146" y="1271"/>
                  </a:lnTo>
                  <a:lnTo>
                    <a:pt x="146" y="1243"/>
                  </a:lnTo>
                  <a:lnTo>
                    <a:pt x="146" y="1225"/>
                  </a:lnTo>
                  <a:lnTo>
                    <a:pt x="146" y="1143"/>
                  </a:lnTo>
                  <a:lnTo>
                    <a:pt x="146" y="1124"/>
                  </a:lnTo>
                  <a:lnTo>
                    <a:pt x="146" y="1123"/>
                  </a:lnTo>
                  <a:lnTo>
                    <a:pt x="146" y="108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71" name="myShape_MN1">
              <a:extLst>
                <a:ext uri="{FF2B5EF4-FFF2-40B4-BE49-F238E27FC236}">
                  <a16:creationId xmlns:a16="http://schemas.microsoft.com/office/drawing/2014/main" id="{00000000-0008-0000-05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5842200" y="778586"/>
              <a:ext cx="38027" cy="7311"/>
            </a:xfrm>
            <a:custGeom>
              <a:avLst/>
              <a:gdLst>
                <a:gd name="T0" fmla="*/ 0 w 55"/>
                <a:gd name="T1" fmla="*/ 0 h 8"/>
                <a:gd name="T2" fmla="*/ 2147483647 w 55"/>
                <a:gd name="T3" fmla="*/ 0 h 8"/>
                <a:gd name="T4" fmla="*/ 2147483647 w 55"/>
                <a:gd name="T5" fmla="*/ 2147483647 h 8"/>
                <a:gd name="T6" fmla="*/ 2147483647 w 55"/>
                <a:gd name="T7" fmla="*/ 2147483647 h 8"/>
                <a:gd name="T8" fmla="*/ 0 w 55"/>
                <a:gd name="T9" fmla="*/ 0 h 8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55"/>
                <a:gd name="T16" fmla="*/ 0 h 8"/>
                <a:gd name="T17" fmla="*/ 55 w 55"/>
                <a:gd name="T18" fmla="*/ 8 h 8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55" h="8">
                  <a:moveTo>
                    <a:pt x="0" y="0"/>
                  </a:moveTo>
                  <a:lnTo>
                    <a:pt x="55" y="0"/>
                  </a:lnTo>
                  <a:lnTo>
                    <a:pt x="44" y="5"/>
                  </a:lnTo>
                  <a:lnTo>
                    <a:pt x="33" y="8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1" name="S_MI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GrpSpPr>
            <a:grpSpLocks/>
          </xdr:cNvGrpSpPr>
        </xdr:nvGrpSpPr>
        <xdr:grpSpPr bwMode="auto">
          <a:xfrm>
            <a:off x="6178357" y="428059"/>
            <a:ext cx="1434353" cy="1278584"/>
            <a:chOff x="5635941" y="870762"/>
            <a:chExt cx="1143564" cy="1012540"/>
          </a:xfrm>
          <a:grpFill/>
        </xdr:grpSpPr>
        <xdr:sp macro="" textlink="">
          <xdr:nvSpPr>
            <xdr:cNvPr id="67" name="myShape_MI3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6459307" y="1147571"/>
              <a:ext cx="38119" cy="29138"/>
            </a:xfrm>
            <a:custGeom>
              <a:avLst/>
              <a:gdLst>
                <a:gd name="T0" fmla="*/ 0 w 48"/>
                <a:gd name="T1" fmla="*/ 2147483647 h 36"/>
                <a:gd name="T2" fmla="*/ 0 w 48"/>
                <a:gd name="T3" fmla="*/ 0 h 36"/>
                <a:gd name="T4" fmla="*/ 2147483647 w 48"/>
                <a:gd name="T5" fmla="*/ 2147483647 h 36"/>
                <a:gd name="T6" fmla="*/ 2147483647 w 48"/>
                <a:gd name="T7" fmla="*/ 2147483647 h 36"/>
                <a:gd name="T8" fmla="*/ 0 w 48"/>
                <a:gd name="T9" fmla="*/ 2147483647 h 36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48"/>
                <a:gd name="T16" fmla="*/ 0 h 36"/>
                <a:gd name="T17" fmla="*/ 48 w 48"/>
                <a:gd name="T18" fmla="*/ 36 h 36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48" h="36">
                  <a:moveTo>
                    <a:pt x="0" y="8"/>
                  </a:moveTo>
                  <a:lnTo>
                    <a:pt x="0" y="0"/>
                  </a:lnTo>
                  <a:lnTo>
                    <a:pt x="48" y="31"/>
                  </a:lnTo>
                  <a:lnTo>
                    <a:pt x="27" y="36"/>
                  </a:lnTo>
                  <a:lnTo>
                    <a:pt x="0" y="8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8" name="myShape_MI2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6146733" y="1169425"/>
              <a:ext cx="632772" cy="713877"/>
            </a:xfrm>
            <a:custGeom>
              <a:avLst/>
              <a:gdLst>
                <a:gd name="T0" fmla="*/ 2147483647 w 826"/>
                <a:gd name="T1" fmla="*/ 2147483647 h 967"/>
                <a:gd name="T2" fmla="*/ 2147483647 w 826"/>
                <a:gd name="T3" fmla="*/ 2147483647 h 967"/>
                <a:gd name="T4" fmla="*/ 2147483647 w 826"/>
                <a:gd name="T5" fmla="*/ 2147483647 h 967"/>
                <a:gd name="T6" fmla="*/ 2147483647 w 826"/>
                <a:gd name="T7" fmla="*/ 2147483647 h 967"/>
                <a:gd name="T8" fmla="*/ 2147483647 w 826"/>
                <a:gd name="T9" fmla="*/ 2147483647 h 967"/>
                <a:gd name="T10" fmla="*/ 2147483647 w 826"/>
                <a:gd name="T11" fmla="*/ 2147483647 h 967"/>
                <a:gd name="T12" fmla="*/ 2147483647 w 826"/>
                <a:gd name="T13" fmla="*/ 2147483647 h 967"/>
                <a:gd name="T14" fmla="*/ 2147483647 w 826"/>
                <a:gd name="T15" fmla="*/ 2147483647 h 967"/>
                <a:gd name="T16" fmla="*/ 2147483647 w 826"/>
                <a:gd name="T17" fmla="*/ 2147483647 h 967"/>
                <a:gd name="T18" fmla="*/ 2147483647 w 826"/>
                <a:gd name="T19" fmla="*/ 2147483647 h 967"/>
                <a:gd name="T20" fmla="*/ 2147483647 w 826"/>
                <a:gd name="T21" fmla="*/ 2147483647 h 967"/>
                <a:gd name="T22" fmla="*/ 2147483647 w 826"/>
                <a:gd name="T23" fmla="*/ 2147483647 h 967"/>
                <a:gd name="T24" fmla="*/ 2147483647 w 826"/>
                <a:gd name="T25" fmla="*/ 2147483647 h 967"/>
                <a:gd name="T26" fmla="*/ 2147483647 w 826"/>
                <a:gd name="T27" fmla="*/ 2147483647 h 967"/>
                <a:gd name="T28" fmla="*/ 2147483647 w 826"/>
                <a:gd name="T29" fmla="*/ 2147483647 h 967"/>
                <a:gd name="T30" fmla="*/ 2147483647 w 826"/>
                <a:gd name="T31" fmla="*/ 2147483647 h 967"/>
                <a:gd name="T32" fmla="*/ 2147483647 w 826"/>
                <a:gd name="T33" fmla="*/ 2147483647 h 967"/>
                <a:gd name="T34" fmla="*/ 2147483647 w 826"/>
                <a:gd name="T35" fmla="*/ 2147483647 h 967"/>
                <a:gd name="T36" fmla="*/ 2147483647 w 826"/>
                <a:gd name="T37" fmla="*/ 2147483647 h 967"/>
                <a:gd name="T38" fmla="*/ 2147483647 w 826"/>
                <a:gd name="T39" fmla="*/ 2147483647 h 967"/>
                <a:gd name="T40" fmla="*/ 2147483647 w 826"/>
                <a:gd name="T41" fmla="*/ 2147483647 h 967"/>
                <a:gd name="T42" fmla="*/ 2147483647 w 826"/>
                <a:gd name="T43" fmla="*/ 2147483647 h 967"/>
                <a:gd name="T44" fmla="*/ 2147483647 w 826"/>
                <a:gd name="T45" fmla="*/ 2147483647 h 967"/>
                <a:gd name="T46" fmla="*/ 2147483647 w 826"/>
                <a:gd name="T47" fmla="*/ 2147483647 h 967"/>
                <a:gd name="T48" fmla="*/ 2147483647 w 826"/>
                <a:gd name="T49" fmla="*/ 2147483647 h 967"/>
                <a:gd name="T50" fmla="*/ 2147483647 w 826"/>
                <a:gd name="T51" fmla="*/ 2147483647 h 967"/>
                <a:gd name="T52" fmla="*/ 2147483647 w 826"/>
                <a:gd name="T53" fmla="*/ 2147483647 h 967"/>
                <a:gd name="T54" fmla="*/ 2147483647 w 826"/>
                <a:gd name="T55" fmla="*/ 2147483647 h 967"/>
                <a:gd name="T56" fmla="*/ 2147483647 w 826"/>
                <a:gd name="T57" fmla="*/ 2147483647 h 967"/>
                <a:gd name="T58" fmla="*/ 2147483647 w 826"/>
                <a:gd name="T59" fmla="*/ 2147483647 h 967"/>
                <a:gd name="T60" fmla="*/ 2147483647 w 826"/>
                <a:gd name="T61" fmla="*/ 2147483647 h 967"/>
                <a:gd name="T62" fmla="*/ 2147483647 w 826"/>
                <a:gd name="T63" fmla="*/ 2147483647 h 967"/>
                <a:gd name="T64" fmla="*/ 2147483647 w 826"/>
                <a:gd name="T65" fmla="*/ 2147483647 h 967"/>
                <a:gd name="T66" fmla="*/ 2147483647 w 826"/>
                <a:gd name="T67" fmla="*/ 2147483647 h 967"/>
                <a:gd name="T68" fmla="*/ 2147483647 w 826"/>
                <a:gd name="T69" fmla="*/ 2147483647 h 967"/>
                <a:gd name="T70" fmla="*/ 2147483647 w 826"/>
                <a:gd name="T71" fmla="*/ 2147483647 h 967"/>
                <a:gd name="T72" fmla="*/ 2147483647 w 826"/>
                <a:gd name="T73" fmla="*/ 2147483647 h 967"/>
                <a:gd name="T74" fmla="*/ 2147483647 w 826"/>
                <a:gd name="T75" fmla="*/ 2147483647 h 967"/>
                <a:gd name="T76" fmla="*/ 2147483647 w 826"/>
                <a:gd name="T77" fmla="*/ 2147483647 h 967"/>
                <a:gd name="T78" fmla="*/ 2147483647 w 826"/>
                <a:gd name="T79" fmla="*/ 2147483647 h 967"/>
                <a:gd name="T80" fmla="*/ 2147483647 w 826"/>
                <a:gd name="T81" fmla="*/ 2147483647 h 967"/>
                <a:gd name="T82" fmla="*/ 2147483647 w 826"/>
                <a:gd name="T83" fmla="*/ 2147483647 h 967"/>
                <a:gd name="T84" fmla="*/ 2147483647 w 826"/>
                <a:gd name="T85" fmla="*/ 2147483647 h 967"/>
                <a:gd name="T86" fmla="*/ 2147483647 w 826"/>
                <a:gd name="T87" fmla="*/ 2147483647 h 967"/>
                <a:gd name="T88" fmla="*/ 2147483647 w 826"/>
                <a:gd name="T89" fmla="*/ 2147483647 h 967"/>
                <a:gd name="T90" fmla="*/ 2147483647 w 826"/>
                <a:gd name="T91" fmla="*/ 2147483647 h 967"/>
                <a:gd name="T92" fmla="*/ 2147483647 w 826"/>
                <a:gd name="T93" fmla="*/ 2147483647 h 967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w 826"/>
                <a:gd name="T142" fmla="*/ 0 h 967"/>
                <a:gd name="T143" fmla="*/ 826 w 826"/>
                <a:gd name="T144" fmla="*/ 967 h 967"/>
              </a:gdLst>
              <a:ahLst/>
              <a:cxnLst>
                <a:cxn ang="T94">
                  <a:pos x="T0" y="T1"/>
                </a:cxn>
                <a:cxn ang="T95">
                  <a:pos x="T2" y="T3"/>
                </a:cxn>
                <a:cxn ang="T96">
                  <a:pos x="T4" y="T5"/>
                </a:cxn>
                <a:cxn ang="T97">
                  <a:pos x="T6" y="T7"/>
                </a:cxn>
                <a:cxn ang="T98">
                  <a:pos x="T8" y="T9"/>
                </a:cxn>
                <a:cxn ang="T99">
                  <a:pos x="T10" y="T11"/>
                </a:cxn>
                <a:cxn ang="T100">
                  <a:pos x="T12" y="T13"/>
                </a:cxn>
                <a:cxn ang="T101">
                  <a:pos x="T14" y="T15"/>
                </a:cxn>
                <a:cxn ang="T102">
                  <a:pos x="T16" y="T17"/>
                </a:cxn>
                <a:cxn ang="T103">
                  <a:pos x="T18" y="T19"/>
                </a:cxn>
                <a:cxn ang="T104">
                  <a:pos x="T20" y="T21"/>
                </a:cxn>
                <a:cxn ang="T105">
                  <a:pos x="T22" y="T23"/>
                </a:cxn>
                <a:cxn ang="T106">
                  <a:pos x="T24" y="T25"/>
                </a:cxn>
                <a:cxn ang="T107">
                  <a:pos x="T26" y="T27"/>
                </a:cxn>
                <a:cxn ang="T108">
                  <a:pos x="T28" y="T29"/>
                </a:cxn>
                <a:cxn ang="T109">
                  <a:pos x="T30" y="T31"/>
                </a:cxn>
                <a:cxn ang="T110">
                  <a:pos x="T32" y="T33"/>
                </a:cxn>
                <a:cxn ang="T111">
                  <a:pos x="T34" y="T35"/>
                </a:cxn>
                <a:cxn ang="T112">
                  <a:pos x="T36" y="T37"/>
                </a:cxn>
                <a:cxn ang="T113">
                  <a:pos x="T38" y="T39"/>
                </a:cxn>
                <a:cxn ang="T114">
                  <a:pos x="T40" y="T41"/>
                </a:cxn>
                <a:cxn ang="T115">
                  <a:pos x="T42" y="T43"/>
                </a:cxn>
                <a:cxn ang="T116">
                  <a:pos x="T44" y="T45"/>
                </a:cxn>
                <a:cxn ang="T117">
                  <a:pos x="T46" y="T47"/>
                </a:cxn>
                <a:cxn ang="T118">
                  <a:pos x="T48" y="T49"/>
                </a:cxn>
                <a:cxn ang="T119">
                  <a:pos x="T50" y="T51"/>
                </a:cxn>
                <a:cxn ang="T120">
                  <a:pos x="T52" y="T53"/>
                </a:cxn>
                <a:cxn ang="T121">
                  <a:pos x="T54" y="T55"/>
                </a:cxn>
                <a:cxn ang="T122">
                  <a:pos x="T56" y="T57"/>
                </a:cxn>
                <a:cxn ang="T123">
                  <a:pos x="T58" y="T59"/>
                </a:cxn>
                <a:cxn ang="T124">
                  <a:pos x="T60" y="T61"/>
                </a:cxn>
                <a:cxn ang="T125">
                  <a:pos x="T62" y="T63"/>
                </a:cxn>
                <a:cxn ang="T126">
                  <a:pos x="T64" y="T65"/>
                </a:cxn>
                <a:cxn ang="T127">
                  <a:pos x="T66" y="T67"/>
                </a:cxn>
                <a:cxn ang="T128">
                  <a:pos x="T68" y="T69"/>
                </a:cxn>
                <a:cxn ang="T129">
                  <a:pos x="T70" y="T71"/>
                </a:cxn>
                <a:cxn ang="T130">
                  <a:pos x="T72" y="T73"/>
                </a:cxn>
                <a:cxn ang="T131">
                  <a:pos x="T74" y="T75"/>
                </a:cxn>
                <a:cxn ang="T132">
                  <a:pos x="T76" y="T77"/>
                </a:cxn>
                <a:cxn ang="T133">
                  <a:pos x="T78" y="T79"/>
                </a:cxn>
                <a:cxn ang="T134">
                  <a:pos x="T80" y="T81"/>
                </a:cxn>
                <a:cxn ang="T135">
                  <a:pos x="T82" y="T83"/>
                </a:cxn>
                <a:cxn ang="T136">
                  <a:pos x="T84" y="T85"/>
                </a:cxn>
                <a:cxn ang="T137">
                  <a:pos x="T86" y="T87"/>
                </a:cxn>
                <a:cxn ang="T138">
                  <a:pos x="T88" y="T89"/>
                </a:cxn>
                <a:cxn ang="T139">
                  <a:pos x="T90" y="T91"/>
                </a:cxn>
                <a:cxn ang="T140">
                  <a:pos x="T92" y="T93"/>
                </a:cxn>
              </a:cxnLst>
              <a:rect l="T141" t="T142" r="T143" b="T144"/>
              <a:pathLst>
                <a:path w="826" h="967">
                  <a:moveTo>
                    <a:pt x="656" y="301"/>
                  </a:moveTo>
                  <a:lnTo>
                    <a:pt x="623" y="357"/>
                  </a:lnTo>
                  <a:lnTo>
                    <a:pt x="615" y="364"/>
                  </a:lnTo>
                  <a:lnTo>
                    <a:pt x="610" y="384"/>
                  </a:lnTo>
                  <a:lnTo>
                    <a:pt x="610" y="394"/>
                  </a:lnTo>
                  <a:lnTo>
                    <a:pt x="599" y="410"/>
                  </a:lnTo>
                  <a:lnTo>
                    <a:pt x="574" y="426"/>
                  </a:lnTo>
                  <a:lnTo>
                    <a:pt x="552" y="432"/>
                  </a:lnTo>
                  <a:lnTo>
                    <a:pt x="547" y="444"/>
                  </a:lnTo>
                  <a:lnTo>
                    <a:pt x="539" y="484"/>
                  </a:lnTo>
                  <a:lnTo>
                    <a:pt x="552" y="504"/>
                  </a:lnTo>
                  <a:lnTo>
                    <a:pt x="585" y="519"/>
                  </a:lnTo>
                  <a:lnTo>
                    <a:pt x="597" y="511"/>
                  </a:lnTo>
                  <a:lnTo>
                    <a:pt x="623" y="491"/>
                  </a:lnTo>
                  <a:lnTo>
                    <a:pt x="628" y="487"/>
                  </a:lnTo>
                  <a:lnTo>
                    <a:pt x="644" y="457"/>
                  </a:lnTo>
                  <a:lnTo>
                    <a:pt x="654" y="451"/>
                  </a:lnTo>
                  <a:lnTo>
                    <a:pt x="642" y="443"/>
                  </a:lnTo>
                  <a:lnTo>
                    <a:pt x="661" y="438"/>
                  </a:lnTo>
                  <a:lnTo>
                    <a:pt x="669" y="428"/>
                  </a:lnTo>
                  <a:lnTo>
                    <a:pt x="692" y="422"/>
                  </a:lnTo>
                  <a:lnTo>
                    <a:pt x="721" y="405"/>
                  </a:lnTo>
                  <a:lnTo>
                    <a:pt x="733" y="405"/>
                  </a:lnTo>
                  <a:lnTo>
                    <a:pt x="762" y="422"/>
                  </a:lnTo>
                  <a:lnTo>
                    <a:pt x="778" y="452"/>
                  </a:lnTo>
                  <a:lnTo>
                    <a:pt x="790" y="496"/>
                  </a:lnTo>
                  <a:lnTo>
                    <a:pt x="804" y="570"/>
                  </a:lnTo>
                  <a:lnTo>
                    <a:pt x="805" y="600"/>
                  </a:lnTo>
                  <a:lnTo>
                    <a:pt x="809" y="619"/>
                  </a:lnTo>
                  <a:lnTo>
                    <a:pt x="826" y="664"/>
                  </a:lnTo>
                  <a:lnTo>
                    <a:pt x="808" y="745"/>
                  </a:lnTo>
                  <a:lnTo>
                    <a:pt x="775" y="772"/>
                  </a:lnTo>
                  <a:lnTo>
                    <a:pt x="776" y="748"/>
                  </a:lnTo>
                  <a:lnTo>
                    <a:pt x="787" y="737"/>
                  </a:lnTo>
                  <a:lnTo>
                    <a:pt x="767" y="734"/>
                  </a:lnTo>
                  <a:lnTo>
                    <a:pt x="750" y="748"/>
                  </a:lnTo>
                  <a:lnTo>
                    <a:pt x="738" y="777"/>
                  </a:lnTo>
                  <a:lnTo>
                    <a:pt x="741" y="788"/>
                  </a:lnTo>
                  <a:lnTo>
                    <a:pt x="730" y="812"/>
                  </a:lnTo>
                  <a:lnTo>
                    <a:pt x="716" y="816"/>
                  </a:lnTo>
                  <a:lnTo>
                    <a:pt x="692" y="839"/>
                  </a:lnTo>
                  <a:lnTo>
                    <a:pt x="682" y="888"/>
                  </a:lnTo>
                  <a:lnTo>
                    <a:pt x="645" y="925"/>
                  </a:lnTo>
                  <a:lnTo>
                    <a:pt x="637" y="955"/>
                  </a:lnTo>
                  <a:lnTo>
                    <a:pt x="631" y="959"/>
                  </a:lnTo>
                  <a:lnTo>
                    <a:pt x="611" y="959"/>
                  </a:lnTo>
                  <a:lnTo>
                    <a:pt x="605" y="959"/>
                  </a:lnTo>
                  <a:lnTo>
                    <a:pt x="574" y="961"/>
                  </a:lnTo>
                  <a:lnTo>
                    <a:pt x="551" y="961"/>
                  </a:lnTo>
                  <a:lnTo>
                    <a:pt x="493" y="963"/>
                  </a:lnTo>
                  <a:lnTo>
                    <a:pt x="461" y="964"/>
                  </a:lnTo>
                  <a:lnTo>
                    <a:pt x="454" y="965"/>
                  </a:lnTo>
                  <a:lnTo>
                    <a:pt x="440" y="965"/>
                  </a:lnTo>
                  <a:lnTo>
                    <a:pt x="388" y="966"/>
                  </a:lnTo>
                  <a:lnTo>
                    <a:pt x="378" y="967"/>
                  </a:lnTo>
                  <a:lnTo>
                    <a:pt x="378" y="952"/>
                  </a:lnTo>
                  <a:lnTo>
                    <a:pt x="374" y="952"/>
                  </a:lnTo>
                  <a:lnTo>
                    <a:pt x="341" y="952"/>
                  </a:lnTo>
                  <a:lnTo>
                    <a:pt x="319" y="952"/>
                  </a:lnTo>
                  <a:lnTo>
                    <a:pt x="305" y="952"/>
                  </a:lnTo>
                  <a:lnTo>
                    <a:pt x="300" y="952"/>
                  </a:lnTo>
                  <a:lnTo>
                    <a:pt x="295" y="952"/>
                  </a:lnTo>
                  <a:lnTo>
                    <a:pt x="287" y="952"/>
                  </a:lnTo>
                  <a:lnTo>
                    <a:pt x="272" y="952"/>
                  </a:lnTo>
                  <a:lnTo>
                    <a:pt x="248" y="952"/>
                  </a:lnTo>
                  <a:lnTo>
                    <a:pt x="218" y="952"/>
                  </a:lnTo>
                  <a:lnTo>
                    <a:pt x="201" y="952"/>
                  </a:lnTo>
                  <a:lnTo>
                    <a:pt x="200" y="952"/>
                  </a:lnTo>
                  <a:lnTo>
                    <a:pt x="155" y="952"/>
                  </a:lnTo>
                  <a:lnTo>
                    <a:pt x="143" y="951"/>
                  </a:lnTo>
                  <a:lnTo>
                    <a:pt x="112" y="952"/>
                  </a:lnTo>
                  <a:lnTo>
                    <a:pt x="108" y="952"/>
                  </a:lnTo>
                  <a:lnTo>
                    <a:pt x="84" y="952"/>
                  </a:lnTo>
                  <a:lnTo>
                    <a:pt x="57" y="952"/>
                  </a:lnTo>
                  <a:lnTo>
                    <a:pt x="37" y="952"/>
                  </a:lnTo>
                  <a:lnTo>
                    <a:pt x="15" y="952"/>
                  </a:lnTo>
                  <a:lnTo>
                    <a:pt x="0" y="952"/>
                  </a:lnTo>
                  <a:lnTo>
                    <a:pt x="30" y="930"/>
                  </a:lnTo>
                  <a:lnTo>
                    <a:pt x="61" y="875"/>
                  </a:lnTo>
                  <a:lnTo>
                    <a:pt x="87" y="838"/>
                  </a:lnTo>
                  <a:lnTo>
                    <a:pt x="104" y="796"/>
                  </a:lnTo>
                  <a:lnTo>
                    <a:pt x="115" y="718"/>
                  </a:lnTo>
                  <a:lnTo>
                    <a:pt x="115" y="714"/>
                  </a:lnTo>
                  <a:lnTo>
                    <a:pt x="112" y="659"/>
                  </a:lnTo>
                  <a:lnTo>
                    <a:pt x="104" y="631"/>
                  </a:lnTo>
                  <a:lnTo>
                    <a:pt x="69" y="549"/>
                  </a:lnTo>
                  <a:lnTo>
                    <a:pt x="68" y="548"/>
                  </a:lnTo>
                  <a:lnTo>
                    <a:pt x="62" y="490"/>
                  </a:lnTo>
                  <a:lnTo>
                    <a:pt x="65" y="487"/>
                  </a:lnTo>
                  <a:lnTo>
                    <a:pt x="74" y="465"/>
                  </a:lnTo>
                  <a:lnTo>
                    <a:pt x="64" y="422"/>
                  </a:lnTo>
                  <a:lnTo>
                    <a:pt x="60" y="415"/>
                  </a:lnTo>
                  <a:lnTo>
                    <a:pt x="82" y="381"/>
                  </a:lnTo>
                  <a:lnTo>
                    <a:pt x="106" y="335"/>
                  </a:lnTo>
                  <a:lnTo>
                    <a:pt x="108" y="319"/>
                  </a:lnTo>
                  <a:lnTo>
                    <a:pt x="111" y="300"/>
                  </a:lnTo>
                  <a:lnTo>
                    <a:pt x="113" y="292"/>
                  </a:lnTo>
                  <a:lnTo>
                    <a:pt x="107" y="263"/>
                  </a:lnTo>
                  <a:lnTo>
                    <a:pt x="139" y="246"/>
                  </a:lnTo>
                  <a:lnTo>
                    <a:pt x="141" y="238"/>
                  </a:lnTo>
                  <a:lnTo>
                    <a:pt x="142" y="208"/>
                  </a:lnTo>
                  <a:lnTo>
                    <a:pt x="155" y="210"/>
                  </a:lnTo>
                  <a:lnTo>
                    <a:pt x="197" y="186"/>
                  </a:lnTo>
                  <a:lnTo>
                    <a:pt x="238" y="153"/>
                  </a:lnTo>
                  <a:lnTo>
                    <a:pt x="224" y="187"/>
                  </a:lnTo>
                  <a:lnTo>
                    <a:pt x="223" y="239"/>
                  </a:lnTo>
                  <a:lnTo>
                    <a:pt x="246" y="191"/>
                  </a:lnTo>
                  <a:lnTo>
                    <a:pt x="248" y="219"/>
                  </a:lnTo>
                  <a:lnTo>
                    <a:pt x="238" y="246"/>
                  </a:lnTo>
                  <a:lnTo>
                    <a:pt x="243" y="246"/>
                  </a:lnTo>
                  <a:lnTo>
                    <a:pt x="259" y="219"/>
                  </a:lnTo>
                  <a:lnTo>
                    <a:pt x="272" y="186"/>
                  </a:lnTo>
                  <a:lnTo>
                    <a:pt x="270" y="138"/>
                  </a:lnTo>
                  <a:lnTo>
                    <a:pt x="271" y="127"/>
                  </a:lnTo>
                  <a:lnTo>
                    <a:pt x="295" y="106"/>
                  </a:lnTo>
                  <a:lnTo>
                    <a:pt x="324" y="99"/>
                  </a:lnTo>
                  <a:lnTo>
                    <a:pt x="324" y="100"/>
                  </a:lnTo>
                  <a:lnTo>
                    <a:pt x="341" y="99"/>
                  </a:lnTo>
                  <a:lnTo>
                    <a:pt x="343" y="86"/>
                  </a:lnTo>
                  <a:lnTo>
                    <a:pt x="323" y="68"/>
                  </a:lnTo>
                  <a:lnTo>
                    <a:pt x="327" y="38"/>
                  </a:lnTo>
                  <a:lnTo>
                    <a:pt x="340" y="32"/>
                  </a:lnTo>
                  <a:lnTo>
                    <a:pt x="341" y="6"/>
                  </a:lnTo>
                  <a:lnTo>
                    <a:pt x="381" y="9"/>
                  </a:lnTo>
                  <a:lnTo>
                    <a:pt x="392" y="0"/>
                  </a:lnTo>
                  <a:lnTo>
                    <a:pt x="401" y="9"/>
                  </a:lnTo>
                  <a:lnTo>
                    <a:pt x="435" y="27"/>
                  </a:lnTo>
                  <a:lnTo>
                    <a:pt x="491" y="38"/>
                  </a:lnTo>
                  <a:lnTo>
                    <a:pt x="508" y="66"/>
                  </a:lnTo>
                  <a:lnTo>
                    <a:pt x="552" y="77"/>
                  </a:lnTo>
                  <a:lnTo>
                    <a:pt x="595" y="98"/>
                  </a:lnTo>
                  <a:lnTo>
                    <a:pt x="623" y="102"/>
                  </a:lnTo>
                  <a:lnTo>
                    <a:pt x="643" y="138"/>
                  </a:lnTo>
                  <a:lnTo>
                    <a:pt x="665" y="176"/>
                  </a:lnTo>
                  <a:lnTo>
                    <a:pt x="643" y="170"/>
                  </a:lnTo>
                  <a:lnTo>
                    <a:pt x="632" y="186"/>
                  </a:lnTo>
                  <a:lnTo>
                    <a:pt x="646" y="209"/>
                  </a:lnTo>
                  <a:lnTo>
                    <a:pt x="657" y="216"/>
                  </a:lnTo>
                  <a:lnTo>
                    <a:pt x="656" y="220"/>
                  </a:lnTo>
                  <a:lnTo>
                    <a:pt x="660" y="246"/>
                  </a:lnTo>
                  <a:lnTo>
                    <a:pt x="656" y="30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9" name="myShape_MI1">
              <a:extLst>
                <a:ext uri="{FF2B5EF4-FFF2-40B4-BE49-F238E27FC236}">
                  <a16:creationId xmlns:a16="http://schemas.microsoft.com/office/drawing/2014/main" id="{00000000-0008-0000-05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5635941" y="870762"/>
              <a:ext cx="983465" cy="415214"/>
            </a:xfrm>
            <a:custGeom>
              <a:avLst/>
              <a:gdLst>
                <a:gd name="T0" fmla="*/ 2147483647 w 1293"/>
                <a:gd name="T1" fmla="*/ 2147483647 h 563"/>
                <a:gd name="T2" fmla="*/ 2147483647 w 1293"/>
                <a:gd name="T3" fmla="*/ 2147483647 h 563"/>
                <a:gd name="T4" fmla="*/ 2147483647 w 1293"/>
                <a:gd name="T5" fmla="*/ 2147483647 h 563"/>
                <a:gd name="T6" fmla="*/ 2147483647 w 1293"/>
                <a:gd name="T7" fmla="*/ 2147483647 h 563"/>
                <a:gd name="T8" fmla="*/ 2147483647 w 1293"/>
                <a:gd name="T9" fmla="*/ 2147483647 h 563"/>
                <a:gd name="T10" fmla="*/ 2147483647 w 1293"/>
                <a:gd name="T11" fmla="*/ 2147483647 h 563"/>
                <a:gd name="T12" fmla="*/ 2147483647 w 1293"/>
                <a:gd name="T13" fmla="*/ 2147483647 h 563"/>
                <a:gd name="T14" fmla="*/ 2147483647 w 1293"/>
                <a:gd name="T15" fmla="*/ 2147483647 h 563"/>
                <a:gd name="T16" fmla="*/ 2147483647 w 1293"/>
                <a:gd name="T17" fmla="*/ 2147483647 h 563"/>
                <a:gd name="T18" fmla="*/ 2147483647 w 1293"/>
                <a:gd name="T19" fmla="*/ 2147483647 h 563"/>
                <a:gd name="T20" fmla="*/ 2147483647 w 1293"/>
                <a:gd name="T21" fmla="*/ 2147483647 h 563"/>
                <a:gd name="T22" fmla="*/ 2147483647 w 1293"/>
                <a:gd name="T23" fmla="*/ 2147483647 h 563"/>
                <a:gd name="T24" fmla="*/ 2147483647 w 1293"/>
                <a:gd name="T25" fmla="*/ 2147483647 h 563"/>
                <a:gd name="T26" fmla="*/ 2147483647 w 1293"/>
                <a:gd name="T27" fmla="*/ 2147483647 h 563"/>
                <a:gd name="T28" fmla="*/ 2147483647 w 1293"/>
                <a:gd name="T29" fmla="*/ 2147483647 h 563"/>
                <a:gd name="T30" fmla="*/ 2147483647 w 1293"/>
                <a:gd name="T31" fmla="*/ 2147483647 h 563"/>
                <a:gd name="T32" fmla="*/ 2147483647 w 1293"/>
                <a:gd name="T33" fmla="*/ 2147483647 h 563"/>
                <a:gd name="T34" fmla="*/ 2147483647 w 1293"/>
                <a:gd name="T35" fmla="*/ 2147483647 h 563"/>
                <a:gd name="T36" fmla="*/ 2147483647 w 1293"/>
                <a:gd name="T37" fmla="*/ 2147483647 h 563"/>
                <a:gd name="T38" fmla="*/ 2147483647 w 1293"/>
                <a:gd name="T39" fmla="*/ 2147483647 h 563"/>
                <a:gd name="T40" fmla="*/ 2147483647 w 1293"/>
                <a:gd name="T41" fmla="*/ 2147483647 h 563"/>
                <a:gd name="T42" fmla="*/ 2147483647 w 1293"/>
                <a:gd name="T43" fmla="*/ 2147483647 h 563"/>
                <a:gd name="T44" fmla="*/ 2147483647 w 1293"/>
                <a:gd name="T45" fmla="*/ 0 h 563"/>
                <a:gd name="T46" fmla="*/ 2147483647 w 1293"/>
                <a:gd name="T47" fmla="*/ 2147483647 h 563"/>
                <a:gd name="T48" fmla="*/ 2147483647 w 1293"/>
                <a:gd name="T49" fmla="*/ 2147483647 h 563"/>
                <a:gd name="T50" fmla="*/ 2147483647 w 1293"/>
                <a:gd name="T51" fmla="*/ 2147483647 h 563"/>
                <a:gd name="T52" fmla="*/ 2147483647 w 1293"/>
                <a:gd name="T53" fmla="*/ 2147483647 h 563"/>
                <a:gd name="T54" fmla="*/ 2147483647 w 1293"/>
                <a:gd name="T55" fmla="*/ 2147483647 h 563"/>
                <a:gd name="T56" fmla="*/ 2147483647 w 1293"/>
                <a:gd name="T57" fmla="*/ 2147483647 h 563"/>
                <a:gd name="T58" fmla="*/ 2147483647 w 1293"/>
                <a:gd name="T59" fmla="*/ 2147483647 h 563"/>
                <a:gd name="T60" fmla="*/ 2147483647 w 1293"/>
                <a:gd name="T61" fmla="*/ 2147483647 h 563"/>
                <a:gd name="T62" fmla="*/ 2147483647 w 1293"/>
                <a:gd name="T63" fmla="*/ 2147483647 h 563"/>
                <a:gd name="T64" fmla="*/ 2147483647 w 1293"/>
                <a:gd name="T65" fmla="*/ 2147483647 h 563"/>
                <a:gd name="T66" fmla="*/ 2147483647 w 1293"/>
                <a:gd name="T67" fmla="*/ 2147483647 h 563"/>
                <a:gd name="T68" fmla="*/ 2147483647 w 1293"/>
                <a:gd name="T69" fmla="*/ 2147483647 h 563"/>
                <a:gd name="T70" fmla="*/ 2147483647 w 1293"/>
                <a:gd name="T71" fmla="*/ 2147483647 h 563"/>
                <a:gd name="T72" fmla="*/ 2147483647 w 1293"/>
                <a:gd name="T73" fmla="*/ 2147483647 h 563"/>
                <a:gd name="T74" fmla="*/ 2147483647 w 1293"/>
                <a:gd name="T75" fmla="*/ 2147483647 h 563"/>
                <a:gd name="T76" fmla="*/ 2147483647 w 1293"/>
                <a:gd name="T77" fmla="*/ 2147483647 h 563"/>
                <a:gd name="T78" fmla="*/ 2147483647 w 1293"/>
                <a:gd name="T79" fmla="*/ 2147483647 h 563"/>
                <a:gd name="T80" fmla="*/ 2147483647 w 1293"/>
                <a:gd name="T81" fmla="*/ 2147483647 h 563"/>
                <a:gd name="T82" fmla="*/ 2147483647 w 1293"/>
                <a:gd name="T83" fmla="*/ 2147483647 h 563"/>
                <a:gd name="T84" fmla="*/ 2147483647 w 1293"/>
                <a:gd name="T85" fmla="*/ 2147483647 h 563"/>
                <a:gd name="T86" fmla="*/ 2147483647 w 1293"/>
                <a:gd name="T87" fmla="*/ 2147483647 h 563"/>
                <a:gd name="T88" fmla="*/ 2147483647 w 1293"/>
                <a:gd name="T89" fmla="*/ 2147483647 h 563"/>
                <a:gd name="T90" fmla="*/ 2147483647 w 1293"/>
                <a:gd name="T91" fmla="*/ 2147483647 h 563"/>
                <a:gd name="T92" fmla="*/ 2147483647 w 1293"/>
                <a:gd name="T93" fmla="*/ 2147483647 h 563"/>
                <a:gd name="T94" fmla="*/ 2147483647 w 1293"/>
                <a:gd name="T95" fmla="*/ 2147483647 h 563"/>
                <a:gd name="T96" fmla="*/ 2147483647 w 1293"/>
                <a:gd name="T97" fmla="*/ 2147483647 h 563"/>
                <a:gd name="T98" fmla="*/ 2147483647 w 1293"/>
                <a:gd name="T99" fmla="*/ 2147483647 h 563"/>
                <a:gd name="T100" fmla="*/ 2147483647 w 1293"/>
                <a:gd name="T101" fmla="*/ 2147483647 h 563"/>
                <a:gd name="T102" fmla="*/ 2147483647 w 1293"/>
                <a:gd name="T103" fmla="*/ 2147483647 h 563"/>
                <a:gd name="T104" fmla="*/ 2147483647 w 1293"/>
                <a:gd name="T105" fmla="*/ 2147483647 h 563"/>
                <a:gd name="T106" fmla="*/ 2147483647 w 1293"/>
                <a:gd name="T107" fmla="*/ 2147483647 h 563"/>
                <a:gd name="T108" fmla="*/ 2147483647 w 1293"/>
                <a:gd name="T109" fmla="*/ 2147483647 h 563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w 1293"/>
                <a:gd name="T166" fmla="*/ 0 h 563"/>
                <a:gd name="T167" fmla="*/ 1293 w 1293"/>
                <a:gd name="T168" fmla="*/ 563 h 563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T165" t="T166" r="T167" b="T168"/>
              <a:pathLst>
                <a:path w="1293" h="563">
                  <a:moveTo>
                    <a:pt x="739" y="407"/>
                  </a:moveTo>
                  <a:lnTo>
                    <a:pt x="707" y="409"/>
                  </a:lnTo>
                  <a:lnTo>
                    <a:pt x="686" y="381"/>
                  </a:lnTo>
                  <a:lnTo>
                    <a:pt x="670" y="409"/>
                  </a:lnTo>
                  <a:lnTo>
                    <a:pt x="643" y="409"/>
                  </a:lnTo>
                  <a:lnTo>
                    <a:pt x="638" y="392"/>
                  </a:lnTo>
                  <a:lnTo>
                    <a:pt x="590" y="456"/>
                  </a:lnTo>
                  <a:lnTo>
                    <a:pt x="545" y="530"/>
                  </a:lnTo>
                  <a:lnTo>
                    <a:pt x="524" y="558"/>
                  </a:lnTo>
                  <a:lnTo>
                    <a:pt x="530" y="563"/>
                  </a:lnTo>
                  <a:lnTo>
                    <a:pt x="513" y="557"/>
                  </a:lnTo>
                  <a:lnTo>
                    <a:pt x="480" y="416"/>
                  </a:lnTo>
                  <a:lnTo>
                    <a:pt x="476" y="409"/>
                  </a:lnTo>
                  <a:lnTo>
                    <a:pt x="454" y="404"/>
                  </a:lnTo>
                  <a:lnTo>
                    <a:pt x="454" y="399"/>
                  </a:lnTo>
                  <a:lnTo>
                    <a:pt x="441" y="402"/>
                  </a:lnTo>
                  <a:lnTo>
                    <a:pt x="428" y="395"/>
                  </a:lnTo>
                  <a:lnTo>
                    <a:pt x="439" y="379"/>
                  </a:lnTo>
                  <a:lnTo>
                    <a:pt x="430" y="369"/>
                  </a:lnTo>
                  <a:lnTo>
                    <a:pt x="404" y="359"/>
                  </a:lnTo>
                  <a:lnTo>
                    <a:pt x="358" y="352"/>
                  </a:lnTo>
                  <a:lnTo>
                    <a:pt x="335" y="353"/>
                  </a:lnTo>
                  <a:lnTo>
                    <a:pt x="324" y="347"/>
                  </a:lnTo>
                  <a:lnTo>
                    <a:pt x="313" y="344"/>
                  </a:lnTo>
                  <a:lnTo>
                    <a:pt x="294" y="342"/>
                  </a:lnTo>
                  <a:lnTo>
                    <a:pt x="277" y="332"/>
                  </a:lnTo>
                  <a:lnTo>
                    <a:pt x="266" y="327"/>
                  </a:lnTo>
                  <a:lnTo>
                    <a:pt x="247" y="317"/>
                  </a:lnTo>
                  <a:lnTo>
                    <a:pt x="105" y="282"/>
                  </a:lnTo>
                  <a:lnTo>
                    <a:pt x="91" y="279"/>
                  </a:lnTo>
                  <a:lnTo>
                    <a:pt x="54" y="264"/>
                  </a:lnTo>
                  <a:lnTo>
                    <a:pt x="37" y="232"/>
                  </a:lnTo>
                  <a:lnTo>
                    <a:pt x="0" y="217"/>
                  </a:lnTo>
                  <a:lnTo>
                    <a:pt x="31" y="203"/>
                  </a:lnTo>
                  <a:lnTo>
                    <a:pt x="78" y="187"/>
                  </a:lnTo>
                  <a:lnTo>
                    <a:pt x="98" y="170"/>
                  </a:lnTo>
                  <a:lnTo>
                    <a:pt x="124" y="155"/>
                  </a:lnTo>
                  <a:lnTo>
                    <a:pt x="145" y="157"/>
                  </a:lnTo>
                  <a:lnTo>
                    <a:pt x="218" y="136"/>
                  </a:lnTo>
                  <a:lnTo>
                    <a:pt x="277" y="106"/>
                  </a:lnTo>
                  <a:lnTo>
                    <a:pt x="288" y="88"/>
                  </a:lnTo>
                  <a:lnTo>
                    <a:pt x="334" y="58"/>
                  </a:lnTo>
                  <a:lnTo>
                    <a:pt x="356" y="46"/>
                  </a:lnTo>
                  <a:lnTo>
                    <a:pt x="376" y="25"/>
                  </a:lnTo>
                  <a:lnTo>
                    <a:pt x="428" y="5"/>
                  </a:lnTo>
                  <a:lnTo>
                    <a:pt x="452" y="0"/>
                  </a:lnTo>
                  <a:lnTo>
                    <a:pt x="499" y="6"/>
                  </a:lnTo>
                  <a:lnTo>
                    <a:pt x="503" y="14"/>
                  </a:lnTo>
                  <a:lnTo>
                    <a:pt x="452" y="39"/>
                  </a:lnTo>
                  <a:lnTo>
                    <a:pt x="409" y="67"/>
                  </a:lnTo>
                  <a:lnTo>
                    <a:pt x="404" y="81"/>
                  </a:lnTo>
                  <a:lnTo>
                    <a:pt x="386" y="97"/>
                  </a:lnTo>
                  <a:lnTo>
                    <a:pt x="382" y="112"/>
                  </a:lnTo>
                  <a:lnTo>
                    <a:pt x="367" y="129"/>
                  </a:lnTo>
                  <a:lnTo>
                    <a:pt x="404" y="132"/>
                  </a:lnTo>
                  <a:lnTo>
                    <a:pt x="404" y="131"/>
                  </a:lnTo>
                  <a:lnTo>
                    <a:pt x="444" y="135"/>
                  </a:lnTo>
                  <a:lnTo>
                    <a:pt x="499" y="146"/>
                  </a:lnTo>
                  <a:lnTo>
                    <a:pt x="529" y="173"/>
                  </a:lnTo>
                  <a:lnTo>
                    <a:pt x="574" y="232"/>
                  </a:lnTo>
                  <a:lnTo>
                    <a:pt x="617" y="233"/>
                  </a:lnTo>
                  <a:lnTo>
                    <a:pt x="686" y="237"/>
                  </a:lnTo>
                  <a:lnTo>
                    <a:pt x="698" y="232"/>
                  </a:lnTo>
                  <a:lnTo>
                    <a:pt x="693" y="222"/>
                  </a:lnTo>
                  <a:lnTo>
                    <a:pt x="706" y="232"/>
                  </a:lnTo>
                  <a:lnTo>
                    <a:pt x="727" y="232"/>
                  </a:lnTo>
                  <a:lnTo>
                    <a:pt x="803" y="193"/>
                  </a:lnTo>
                  <a:lnTo>
                    <a:pt x="851" y="187"/>
                  </a:lnTo>
                  <a:lnTo>
                    <a:pt x="872" y="190"/>
                  </a:lnTo>
                  <a:lnTo>
                    <a:pt x="919" y="190"/>
                  </a:lnTo>
                  <a:lnTo>
                    <a:pt x="968" y="172"/>
                  </a:lnTo>
                  <a:lnTo>
                    <a:pt x="1012" y="168"/>
                  </a:lnTo>
                  <a:lnTo>
                    <a:pt x="1005" y="232"/>
                  </a:lnTo>
                  <a:lnTo>
                    <a:pt x="1012" y="237"/>
                  </a:lnTo>
                  <a:lnTo>
                    <a:pt x="1059" y="241"/>
                  </a:lnTo>
                  <a:lnTo>
                    <a:pt x="1083" y="237"/>
                  </a:lnTo>
                  <a:lnTo>
                    <a:pt x="1095" y="252"/>
                  </a:lnTo>
                  <a:lnTo>
                    <a:pt x="1121" y="232"/>
                  </a:lnTo>
                  <a:lnTo>
                    <a:pt x="1150" y="234"/>
                  </a:lnTo>
                  <a:lnTo>
                    <a:pt x="1163" y="223"/>
                  </a:lnTo>
                  <a:lnTo>
                    <a:pt x="1176" y="225"/>
                  </a:lnTo>
                  <a:lnTo>
                    <a:pt x="1179" y="231"/>
                  </a:lnTo>
                  <a:lnTo>
                    <a:pt x="1174" y="263"/>
                  </a:lnTo>
                  <a:lnTo>
                    <a:pt x="1186" y="305"/>
                  </a:lnTo>
                  <a:lnTo>
                    <a:pt x="1199" y="315"/>
                  </a:lnTo>
                  <a:lnTo>
                    <a:pt x="1208" y="337"/>
                  </a:lnTo>
                  <a:lnTo>
                    <a:pt x="1218" y="335"/>
                  </a:lnTo>
                  <a:lnTo>
                    <a:pt x="1233" y="323"/>
                  </a:lnTo>
                  <a:lnTo>
                    <a:pt x="1247" y="331"/>
                  </a:lnTo>
                  <a:lnTo>
                    <a:pt x="1270" y="326"/>
                  </a:lnTo>
                  <a:lnTo>
                    <a:pt x="1293" y="352"/>
                  </a:lnTo>
                  <a:lnTo>
                    <a:pt x="1270" y="366"/>
                  </a:lnTo>
                  <a:lnTo>
                    <a:pt x="1243" y="365"/>
                  </a:lnTo>
                  <a:lnTo>
                    <a:pt x="1223" y="359"/>
                  </a:lnTo>
                  <a:lnTo>
                    <a:pt x="1200" y="361"/>
                  </a:lnTo>
                  <a:lnTo>
                    <a:pt x="1178" y="355"/>
                  </a:lnTo>
                  <a:lnTo>
                    <a:pt x="1129" y="366"/>
                  </a:lnTo>
                  <a:lnTo>
                    <a:pt x="1083" y="341"/>
                  </a:lnTo>
                  <a:lnTo>
                    <a:pt x="1072" y="350"/>
                  </a:lnTo>
                  <a:lnTo>
                    <a:pt x="1059" y="389"/>
                  </a:lnTo>
                  <a:lnTo>
                    <a:pt x="1012" y="349"/>
                  </a:lnTo>
                  <a:lnTo>
                    <a:pt x="990" y="340"/>
                  </a:lnTo>
                  <a:lnTo>
                    <a:pt x="919" y="327"/>
                  </a:lnTo>
                  <a:lnTo>
                    <a:pt x="895" y="352"/>
                  </a:lnTo>
                  <a:lnTo>
                    <a:pt x="872" y="358"/>
                  </a:lnTo>
                  <a:lnTo>
                    <a:pt x="851" y="358"/>
                  </a:lnTo>
                  <a:lnTo>
                    <a:pt x="835" y="364"/>
                  </a:lnTo>
                  <a:lnTo>
                    <a:pt x="803" y="358"/>
                  </a:lnTo>
                  <a:lnTo>
                    <a:pt x="779" y="362"/>
                  </a:lnTo>
                  <a:lnTo>
                    <a:pt x="739" y="407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2" name="S_MD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GrpSpPr>
            <a:grpSpLocks/>
          </xdr:cNvGrpSpPr>
        </xdr:nvGrpSpPr>
        <xdr:grpSpPr bwMode="auto">
          <a:xfrm>
            <a:off x="8139380" y="2134717"/>
            <a:ext cx="802901" cy="589428"/>
            <a:chOff x="7196318" y="2326698"/>
            <a:chExt cx="633617" cy="483257"/>
          </a:xfrm>
          <a:grpFill/>
        </xdr:grpSpPr>
        <xdr:sp macro="" textlink="">
          <xdr:nvSpPr>
            <xdr:cNvPr id="65" name="myShape_MD2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7694160" y="2636285"/>
              <a:ext cx="105603" cy="173670"/>
            </a:xfrm>
            <a:custGeom>
              <a:avLst/>
              <a:gdLst>
                <a:gd name="T0" fmla="*/ 2147483647 w 145"/>
                <a:gd name="T1" fmla="*/ 2147483647 h 223"/>
                <a:gd name="T2" fmla="*/ 0 w 145"/>
                <a:gd name="T3" fmla="*/ 2147483647 h 223"/>
                <a:gd name="T4" fmla="*/ 2147483647 w 145"/>
                <a:gd name="T5" fmla="*/ 2147483647 h 223"/>
                <a:gd name="T6" fmla="*/ 2147483647 w 145"/>
                <a:gd name="T7" fmla="*/ 2147483647 h 223"/>
                <a:gd name="T8" fmla="*/ 2147483647 w 145"/>
                <a:gd name="T9" fmla="*/ 2147483647 h 223"/>
                <a:gd name="T10" fmla="*/ 2147483647 w 145"/>
                <a:gd name="T11" fmla="*/ 2147483647 h 223"/>
                <a:gd name="T12" fmla="*/ 2147483647 w 145"/>
                <a:gd name="T13" fmla="*/ 2147483647 h 223"/>
                <a:gd name="T14" fmla="*/ 2147483647 w 145"/>
                <a:gd name="T15" fmla="*/ 2147483647 h 223"/>
                <a:gd name="T16" fmla="*/ 2147483647 w 145"/>
                <a:gd name="T17" fmla="*/ 2147483647 h 223"/>
                <a:gd name="T18" fmla="*/ 2147483647 w 145"/>
                <a:gd name="T19" fmla="*/ 2147483647 h 223"/>
                <a:gd name="T20" fmla="*/ 2147483647 w 145"/>
                <a:gd name="T21" fmla="*/ 2147483647 h 223"/>
                <a:gd name="T22" fmla="*/ 2147483647 w 145"/>
                <a:gd name="T23" fmla="*/ 0 h 223"/>
                <a:gd name="T24" fmla="*/ 2147483647 w 145"/>
                <a:gd name="T25" fmla="*/ 0 h 223"/>
                <a:gd name="T26" fmla="*/ 2147483647 w 145"/>
                <a:gd name="T27" fmla="*/ 0 h 223"/>
                <a:gd name="T28" fmla="*/ 2147483647 w 145"/>
                <a:gd name="T29" fmla="*/ 2147483647 h 223"/>
                <a:gd name="T30" fmla="*/ 2147483647 w 145"/>
                <a:gd name="T31" fmla="*/ 2147483647 h 223"/>
                <a:gd name="T32" fmla="*/ 2147483647 w 145"/>
                <a:gd name="T33" fmla="*/ 2147483647 h 223"/>
                <a:gd name="T34" fmla="*/ 2147483647 w 145"/>
                <a:gd name="T35" fmla="*/ 2147483647 h 223"/>
                <a:gd name="T36" fmla="*/ 2147483647 w 145"/>
                <a:gd name="T37" fmla="*/ 2147483647 h 223"/>
                <a:gd name="T38" fmla="*/ 2147483647 w 145"/>
                <a:gd name="T39" fmla="*/ 2147483647 h 223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w 145"/>
                <a:gd name="T61" fmla="*/ 0 h 223"/>
                <a:gd name="T62" fmla="*/ 145 w 145"/>
                <a:gd name="T63" fmla="*/ 223 h 223"/>
              </a:gdLst>
              <a:ahLst/>
              <a:cxnLst>
                <a:cxn ang="T40">
                  <a:pos x="T0" y="T1"/>
                </a:cxn>
                <a:cxn ang="T41">
                  <a:pos x="T2" y="T3"/>
                </a:cxn>
                <a:cxn ang="T42">
                  <a:pos x="T4" y="T5"/>
                </a:cxn>
                <a:cxn ang="T43">
                  <a:pos x="T6" y="T7"/>
                </a:cxn>
                <a:cxn ang="T44">
                  <a:pos x="T8" y="T9"/>
                </a:cxn>
                <a:cxn ang="T45">
                  <a:pos x="T10" y="T11"/>
                </a:cxn>
                <a:cxn ang="T46">
                  <a:pos x="T12" y="T13"/>
                </a:cxn>
                <a:cxn ang="T47">
                  <a:pos x="T14" y="T15"/>
                </a:cxn>
                <a:cxn ang="T48">
                  <a:pos x="T16" y="T17"/>
                </a:cxn>
                <a:cxn ang="T49">
                  <a:pos x="T18" y="T19"/>
                </a:cxn>
                <a:cxn ang="T50">
                  <a:pos x="T20" y="T21"/>
                </a:cxn>
                <a:cxn ang="T51">
                  <a:pos x="T22" y="T23"/>
                </a:cxn>
                <a:cxn ang="T52">
                  <a:pos x="T24" y="T25"/>
                </a:cxn>
                <a:cxn ang="T53">
                  <a:pos x="T26" y="T27"/>
                </a:cxn>
                <a:cxn ang="T54">
                  <a:pos x="T28" y="T29"/>
                </a:cxn>
                <a:cxn ang="T55">
                  <a:pos x="T30" y="T31"/>
                </a:cxn>
                <a:cxn ang="T56">
                  <a:pos x="T32" y="T33"/>
                </a:cxn>
                <a:cxn ang="T57">
                  <a:pos x="T34" y="T35"/>
                </a:cxn>
                <a:cxn ang="T58">
                  <a:pos x="T36" y="T37"/>
                </a:cxn>
                <a:cxn ang="T59">
                  <a:pos x="T38" y="T39"/>
                </a:cxn>
              </a:cxnLst>
              <a:rect l="T60" t="T61" r="T62" b="T63"/>
              <a:pathLst>
                <a:path w="145" h="223">
                  <a:moveTo>
                    <a:pt x="15" y="112"/>
                  </a:moveTo>
                  <a:lnTo>
                    <a:pt x="0" y="183"/>
                  </a:lnTo>
                  <a:lnTo>
                    <a:pt x="12" y="223"/>
                  </a:lnTo>
                  <a:lnTo>
                    <a:pt x="13" y="213"/>
                  </a:lnTo>
                  <a:lnTo>
                    <a:pt x="21" y="213"/>
                  </a:lnTo>
                  <a:lnTo>
                    <a:pt x="19" y="216"/>
                  </a:lnTo>
                  <a:lnTo>
                    <a:pt x="42" y="186"/>
                  </a:lnTo>
                  <a:lnTo>
                    <a:pt x="66" y="132"/>
                  </a:lnTo>
                  <a:lnTo>
                    <a:pt x="97" y="48"/>
                  </a:lnTo>
                  <a:lnTo>
                    <a:pt x="109" y="35"/>
                  </a:lnTo>
                  <a:lnTo>
                    <a:pt x="121" y="39"/>
                  </a:lnTo>
                  <a:lnTo>
                    <a:pt x="145" y="0"/>
                  </a:lnTo>
                  <a:lnTo>
                    <a:pt x="115" y="3"/>
                  </a:lnTo>
                  <a:lnTo>
                    <a:pt x="101" y="4"/>
                  </a:lnTo>
                  <a:lnTo>
                    <a:pt x="73" y="8"/>
                  </a:lnTo>
                  <a:lnTo>
                    <a:pt x="67" y="18"/>
                  </a:lnTo>
                  <a:lnTo>
                    <a:pt x="50" y="30"/>
                  </a:lnTo>
                  <a:lnTo>
                    <a:pt x="62" y="35"/>
                  </a:lnTo>
                  <a:lnTo>
                    <a:pt x="21" y="94"/>
                  </a:lnTo>
                  <a:lnTo>
                    <a:pt x="15" y="112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6" name="myShape_MD1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7196318" y="2326698"/>
              <a:ext cx="633617" cy="332239"/>
            </a:xfrm>
            <a:custGeom>
              <a:avLst/>
              <a:gdLst>
                <a:gd name="T0" fmla="*/ 2147483647 w 831"/>
                <a:gd name="T1" fmla="*/ 0 h 428"/>
                <a:gd name="T2" fmla="*/ 2147483647 w 831"/>
                <a:gd name="T3" fmla="*/ 2147483647 h 428"/>
                <a:gd name="T4" fmla="*/ 2147483647 w 831"/>
                <a:gd name="T5" fmla="*/ 2147483647 h 428"/>
                <a:gd name="T6" fmla="*/ 2147483647 w 831"/>
                <a:gd name="T7" fmla="*/ 2147483647 h 428"/>
                <a:gd name="T8" fmla="*/ 2147483647 w 831"/>
                <a:gd name="T9" fmla="*/ 2147483647 h 428"/>
                <a:gd name="T10" fmla="*/ 2147483647 w 831"/>
                <a:gd name="T11" fmla="*/ 2147483647 h 428"/>
                <a:gd name="T12" fmla="*/ 2147483647 w 831"/>
                <a:gd name="T13" fmla="*/ 2147483647 h 428"/>
                <a:gd name="T14" fmla="*/ 2147483647 w 831"/>
                <a:gd name="T15" fmla="*/ 2147483647 h 428"/>
                <a:gd name="T16" fmla="*/ 2147483647 w 831"/>
                <a:gd name="T17" fmla="*/ 0 h 428"/>
                <a:gd name="T18" fmla="*/ 2147483647 w 831"/>
                <a:gd name="T19" fmla="*/ 2147483647 h 428"/>
                <a:gd name="T20" fmla="*/ 2147483647 w 831"/>
                <a:gd name="T21" fmla="*/ 2147483647 h 428"/>
                <a:gd name="T22" fmla="*/ 2147483647 w 831"/>
                <a:gd name="T23" fmla="*/ 2147483647 h 428"/>
                <a:gd name="T24" fmla="*/ 2147483647 w 831"/>
                <a:gd name="T25" fmla="*/ 2147483647 h 428"/>
                <a:gd name="T26" fmla="*/ 2147483647 w 831"/>
                <a:gd name="T27" fmla="*/ 2147483647 h 428"/>
                <a:gd name="T28" fmla="*/ 2147483647 w 831"/>
                <a:gd name="T29" fmla="*/ 2147483647 h 428"/>
                <a:gd name="T30" fmla="*/ 2147483647 w 831"/>
                <a:gd name="T31" fmla="*/ 2147483647 h 428"/>
                <a:gd name="T32" fmla="*/ 2147483647 w 831"/>
                <a:gd name="T33" fmla="*/ 2147483647 h 428"/>
                <a:gd name="T34" fmla="*/ 2147483647 w 831"/>
                <a:gd name="T35" fmla="*/ 2147483647 h 428"/>
                <a:gd name="T36" fmla="*/ 2147483647 w 831"/>
                <a:gd name="T37" fmla="*/ 2147483647 h 428"/>
                <a:gd name="T38" fmla="*/ 2147483647 w 831"/>
                <a:gd name="T39" fmla="*/ 2147483647 h 428"/>
                <a:gd name="T40" fmla="*/ 2147483647 w 831"/>
                <a:gd name="T41" fmla="*/ 2147483647 h 428"/>
                <a:gd name="T42" fmla="*/ 2147483647 w 831"/>
                <a:gd name="T43" fmla="*/ 2147483647 h 428"/>
                <a:gd name="T44" fmla="*/ 2147483647 w 831"/>
                <a:gd name="T45" fmla="*/ 2147483647 h 428"/>
                <a:gd name="T46" fmla="*/ 2147483647 w 831"/>
                <a:gd name="T47" fmla="*/ 2147483647 h 428"/>
                <a:gd name="T48" fmla="*/ 2147483647 w 831"/>
                <a:gd name="T49" fmla="*/ 2147483647 h 428"/>
                <a:gd name="T50" fmla="*/ 2147483647 w 831"/>
                <a:gd name="T51" fmla="*/ 2147483647 h 428"/>
                <a:gd name="T52" fmla="*/ 2147483647 w 831"/>
                <a:gd name="T53" fmla="*/ 2147483647 h 428"/>
                <a:gd name="T54" fmla="*/ 2147483647 w 831"/>
                <a:gd name="T55" fmla="*/ 2147483647 h 428"/>
                <a:gd name="T56" fmla="*/ 2147483647 w 831"/>
                <a:gd name="T57" fmla="*/ 2147483647 h 428"/>
                <a:gd name="T58" fmla="*/ 2147483647 w 831"/>
                <a:gd name="T59" fmla="*/ 2147483647 h 428"/>
                <a:gd name="T60" fmla="*/ 2147483647 w 831"/>
                <a:gd name="T61" fmla="*/ 2147483647 h 428"/>
                <a:gd name="T62" fmla="*/ 2147483647 w 831"/>
                <a:gd name="T63" fmla="*/ 2147483647 h 428"/>
                <a:gd name="T64" fmla="*/ 2147483647 w 831"/>
                <a:gd name="T65" fmla="*/ 2147483647 h 428"/>
                <a:gd name="T66" fmla="*/ 2147483647 w 831"/>
                <a:gd name="T67" fmla="*/ 2147483647 h 428"/>
                <a:gd name="T68" fmla="*/ 2147483647 w 831"/>
                <a:gd name="T69" fmla="*/ 2147483647 h 428"/>
                <a:gd name="T70" fmla="*/ 2147483647 w 831"/>
                <a:gd name="T71" fmla="*/ 2147483647 h 428"/>
                <a:gd name="T72" fmla="*/ 2147483647 w 831"/>
                <a:gd name="T73" fmla="*/ 2147483647 h 428"/>
                <a:gd name="T74" fmla="*/ 2147483647 w 831"/>
                <a:gd name="T75" fmla="*/ 2147483647 h 428"/>
                <a:gd name="T76" fmla="*/ 2147483647 w 831"/>
                <a:gd name="T77" fmla="*/ 2147483647 h 428"/>
                <a:gd name="T78" fmla="*/ 2147483647 w 831"/>
                <a:gd name="T79" fmla="*/ 2147483647 h 428"/>
                <a:gd name="T80" fmla="*/ 2147483647 w 831"/>
                <a:gd name="T81" fmla="*/ 2147483647 h 428"/>
                <a:gd name="T82" fmla="*/ 2147483647 w 831"/>
                <a:gd name="T83" fmla="*/ 2147483647 h 428"/>
                <a:gd name="T84" fmla="*/ 2147483647 w 831"/>
                <a:gd name="T85" fmla="*/ 2147483647 h 428"/>
                <a:gd name="T86" fmla="*/ 2147483647 w 831"/>
                <a:gd name="T87" fmla="*/ 2147483647 h 428"/>
                <a:gd name="T88" fmla="*/ 2147483647 w 831"/>
                <a:gd name="T89" fmla="*/ 2147483647 h 428"/>
                <a:gd name="T90" fmla="*/ 2147483647 w 831"/>
                <a:gd name="T91" fmla="*/ 2147483647 h 428"/>
                <a:gd name="T92" fmla="*/ 2147483647 w 831"/>
                <a:gd name="T93" fmla="*/ 2147483647 h 428"/>
                <a:gd name="T94" fmla="*/ 2147483647 w 831"/>
                <a:gd name="T95" fmla="*/ 2147483647 h 428"/>
                <a:gd name="T96" fmla="*/ 2147483647 w 831"/>
                <a:gd name="T97" fmla="*/ 2147483647 h 428"/>
                <a:gd name="T98" fmla="*/ 2147483647 w 831"/>
                <a:gd name="T99" fmla="*/ 2147483647 h 428"/>
                <a:gd name="T100" fmla="*/ 2147483647 w 831"/>
                <a:gd name="T101" fmla="*/ 2147483647 h 428"/>
                <a:gd name="T102" fmla="*/ 2147483647 w 831"/>
                <a:gd name="T103" fmla="*/ 2147483647 h 428"/>
                <a:gd name="T104" fmla="*/ 2147483647 w 831"/>
                <a:gd name="T105" fmla="*/ 2147483647 h 428"/>
                <a:gd name="T106" fmla="*/ 2147483647 w 831"/>
                <a:gd name="T107" fmla="*/ 2147483647 h 428"/>
                <a:gd name="T108" fmla="*/ 2147483647 w 831"/>
                <a:gd name="T109" fmla="*/ 2147483647 h 428"/>
                <a:gd name="T110" fmla="*/ 2147483647 w 831"/>
                <a:gd name="T111" fmla="*/ 2147483647 h 428"/>
                <a:gd name="T112" fmla="*/ 2147483647 w 831"/>
                <a:gd name="T113" fmla="*/ 2147483647 h 428"/>
                <a:gd name="T114" fmla="*/ 2147483647 w 831"/>
                <a:gd name="T115" fmla="*/ 2147483647 h 428"/>
                <a:gd name="T116" fmla="*/ 0 w 831"/>
                <a:gd name="T117" fmla="*/ 2147483647 h 428"/>
                <a:gd name="T118" fmla="*/ 2147483647 w 831"/>
                <a:gd name="T119" fmla="*/ 2147483647 h 428"/>
                <a:gd name="T120" fmla="*/ 2147483647 w 831"/>
                <a:gd name="T121" fmla="*/ 0 h 428"/>
                <a:gd name="T122" fmla="*/ 2147483647 w 831"/>
                <a:gd name="T123" fmla="*/ 0 h 428"/>
                <a:gd name="T124" fmla="*/ 2147483647 w 831"/>
                <a:gd name="T125" fmla="*/ 0 h 428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  <a:gd name="T186" fmla="*/ 0 60000 65536"/>
                <a:gd name="T187" fmla="*/ 0 60000 65536"/>
                <a:gd name="T188" fmla="*/ 0 60000 65536"/>
                <a:gd name="T189" fmla="*/ 0 w 831"/>
                <a:gd name="T190" fmla="*/ 0 h 428"/>
                <a:gd name="T191" fmla="*/ 831 w 831"/>
                <a:gd name="T192" fmla="*/ 428 h 428"/>
              </a:gdLst>
              <a:ahLst/>
              <a:cxnLst>
                <a:cxn ang="T126">
                  <a:pos x="T0" y="T1"/>
                </a:cxn>
                <a:cxn ang="T127">
                  <a:pos x="T2" y="T3"/>
                </a:cxn>
                <a:cxn ang="T128">
                  <a:pos x="T4" y="T5"/>
                </a:cxn>
                <a:cxn ang="T129">
                  <a:pos x="T6" y="T7"/>
                </a:cxn>
                <a:cxn ang="T130">
                  <a:pos x="T8" y="T9"/>
                </a:cxn>
                <a:cxn ang="T131">
                  <a:pos x="T10" y="T11"/>
                </a:cxn>
                <a:cxn ang="T132">
                  <a:pos x="T12" y="T13"/>
                </a:cxn>
                <a:cxn ang="T133">
                  <a:pos x="T14" y="T15"/>
                </a:cxn>
                <a:cxn ang="T134">
                  <a:pos x="T16" y="T17"/>
                </a:cxn>
                <a:cxn ang="T135">
                  <a:pos x="T18" y="T19"/>
                </a:cxn>
                <a:cxn ang="T136">
                  <a:pos x="T20" y="T21"/>
                </a:cxn>
                <a:cxn ang="T137">
                  <a:pos x="T22" y="T23"/>
                </a:cxn>
                <a:cxn ang="T138">
                  <a:pos x="T24" y="T25"/>
                </a:cxn>
                <a:cxn ang="T139">
                  <a:pos x="T26" y="T27"/>
                </a:cxn>
                <a:cxn ang="T140">
                  <a:pos x="T28" y="T29"/>
                </a:cxn>
                <a:cxn ang="T141">
                  <a:pos x="T30" y="T31"/>
                </a:cxn>
                <a:cxn ang="T142">
                  <a:pos x="T32" y="T33"/>
                </a:cxn>
                <a:cxn ang="T143">
                  <a:pos x="T34" y="T35"/>
                </a:cxn>
                <a:cxn ang="T144">
                  <a:pos x="T36" y="T37"/>
                </a:cxn>
                <a:cxn ang="T145">
                  <a:pos x="T38" y="T39"/>
                </a:cxn>
                <a:cxn ang="T146">
                  <a:pos x="T40" y="T41"/>
                </a:cxn>
                <a:cxn ang="T147">
                  <a:pos x="T42" y="T43"/>
                </a:cxn>
                <a:cxn ang="T148">
                  <a:pos x="T44" y="T45"/>
                </a:cxn>
                <a:cxn ang="T149">
                  <a:pos x="T46" y="T47"/>
                </a:cxn>
                <a:cxn ang="T150">
                  <a:pos x="T48" y="T49"/>
                </a:cxn>
                <a:cxn ang="T151">
                  <a:pos x="T50" y="T51"/>
                </a:cxn>
                <a:cxn ang="T152">
                  <a:pos x="T52" y="T53"/>
                </a:cxn>
                <a:cxn ang="T153">
                  <a:pos x="T54" y="T55"/>
                </a:cxn>
                <a:cxn ang="T154">
                  <a:pos x="T56" y="T57"/>
                </a:cxn>
                <a:cxn ang="T155">
                  <a:pos x="T58" y="T59"/>
                </a:cxn>
                <a:cxn ang="T156">
                  <a:pos x="T60" y="T61"/>
                </a:cxn>
                <a:cxn ang="T157">
                  <a:pos x="T62" y="T63"/>
                </a:cxn>
                <a:cxn ang="T158">
                  <a:pos x="T64" y="T65"/>
                </a:cxn>
                <a:cxn ang="T159">
                  <a:pos x="T66" y="T67"/>
                </a:cxn>
                <a:cxn ang="T160">
                  <a:pos x="T68" y="T69"/>
                </a:cxn>
                <a:cxn ang="T161">
                  <a:pos x="T70" y="T71"/>
                </a:cxn>
                <a:cxn ang="T162">
                  <a:pos x="T72" y="T73"/>
                </a:cxn>
                <a:cxn ang="T163">
                  <a:pos x="T74" y="T75"/>
                </a:cxn>
                <a:cxn ang="T164">
                  <a:pos x="T76" y="T77"/>
                </a:cxn>
                <a:cxn ang="T165">
                  <a:pos x="T78" y="T79"/>
                </a:cxn>
                <a:cxn ang="T166">
                  <a:pos x="T80" y="T81"/>
                </a:cxn>
                <a:cxn ang="T167">
                  <a:pos x="T82" y="T83"/>
                </a:cxn>
                <a:cxn ang="T168">
                  <a:pos x="T84" y="T85"/>
                </a:cxn>
                <a:cxn ang="T169">
                  <a:pos x="T86" y="T87"/>
                </a:cxn>
                <a:cxn ang="T170">
                  <a:pos x="T88" y="T89"/>
                </a:cxn>
                <a:cxn ang="T171">
                  <a:pos x="T90" y="T91"/>
                </a:cxn>
                <a:cxn ang="T172">
                  <a:pos x="T92" y="T93"/>
                </a:cxn>
                <a:cxn ang="T173">
                  <a:pos x="T94" y="T95"/>
                </a:cxn>
                <a:cxn ang="T174">
                  <a:pos x="T96" y="T97"/>
                </a:cxn>
                <a:cxn ang="T175">
                  <a:pos x="T98" y="T99"/>
                </a:cxn>
                <a:cxn ang="T176">
                  <a:pos x="T100" y="T101"/>
                </a:cxn>
                <a:cxn ang="T177">
                  <a:pos x="T102" y="T103"/>
                </a:cxn>
                <a:cxn ang="T178">
                  <a:pos x="T104" y="T105"/>
                </a:cxn>
                <a:cxn ang="T179">
                  <a:pos x="T106" y="T107"/>
                </a:cxn>
                <a:cxn ang="T180">
                  <a:pos x="T108" y="T109"/>
                </a:cxn>
                <a:cxn ang="T181">
                  <a:pos x="T110" y="T111"/>
                </a:cxn>
                <a:cxn ang="T182">
                  <a:pos x="T112" y="T113"/>
                </a:cxn>
                <a:cxn ang="T183">
                  <a:pos x="T114" y="T115"/>
                </a:cxn>
                <a:cxn ang="T184">
                  <a:pos x="T116" y="T117"/>
                </a:cxn>
                <a:cxn ang="T185">
                  <a:pos x="T118" y="T119"/>
                </a:cxn>
                <a:cxn ang="T186">
                  <a:pos x="T120" y="T121"/>
                </a:cxn>
                <a:cxn ang="T187">
                  <a:pos x="T122" y="T123"/>
                </a:cxn>
                <a:cxn ang="T188">
                  <a:pos x="T124" y="T125"/>
                </a:cxn>
              </a:cxnLst>
              <a:rect l="T189" t="T190" r="T191" b="T192"/>
              <a:pathLst>
                <a:path w="831" h="428">
                  <a:moveTo>
                    <a:pt x="214" y="0"/>
                  </a:moveTo>
                  <a:lnTo>
                    <a:pt x="231" y="0"/>
                  </a:lnTo>
                  <a:lnTo>
                    <a:pt x="232" y="0"/>
                  </a:lnTo>
                  <a:lnTo>
                    <a:pt x="260" y="0"/>
                  </a:lnTo>
                  <a:lnTo>
                    <a:pt x="278" y="0"/>
                  </a:lnTo>
                  <a:lnTo>
                    <a:pt x="371" y="1"/>
                  </a:lnTo>
                  <a:lnTo>
                    <a:pt x="378" y="1"/>
                  </a:lnTo>
                  <a:lnTo>
                    <a:pt x="380" y="1"/>
                  </a:lnTo>
                  <a:lnTo>
                    <a:pt x="385" y="1"/>
                  </a:lnTo>
                  <a:lnTo>
                    <a:pt x="406" y="1"/>
                  </a:lnTo>
                  <a:lnTo>
                    <a:pt x="425" y="1"/>
                  </a:lnTo>
                  <a:lnTo>
                    <a:pt x="455" y="1"/>
                  </a:lnTo>
                  <a:lnTo>
                    <a:pt x="466" y="1"/>
                  </a:lnTo>
                  <a:lnTo>
                    <a:pt x="481" y="1"/>
                  </a:lnTo>
                  <a:lnTo>
                    <a:pt x="485" y="1"/>
                  </a:lnTo>
                  <a:lnTo>
                    <a:pt x="505" y="1"/>
                  </a:lnTo>
                  <a:lnTo>
                    <a:pt x="516" y="1"/>
                  </a:lnTo>
                  <a:lnTo>
                    <a:pt x="539" y="1"/>
                  </a:lnTo>
                  <a:lnTo>
                    <a:pt x="546" y="1"/>
                  </a:lnTo>
                  <a:lnTo>
                    <a:pt x="555" y="1"/>
                  </a:lnTo>
                  <a:lnTo>
                    <a:pt x="559" y="1"/>
                  </a:lnTo>
                  <a:lnTo>
                    <a:pt x="608" y="1"/>
                  </a:lnTo>
                  <a:lnTo>
                    <a:pt x="609" y="1"/>
                  </a:lnTo>
                  <a:lnTo>
                    <a:pt x="627" y="1"/>
                  </a:lnTo>
                  <a:lnTo>
                    <a:pt x="656" y="1"/>
                  </a:lnTo>
                  <a:lnTo>
                    <a:pt x="675" y="0"/>
                  </a:lnTo>
                  <a:lnTo>
                    <a:pt x="692" y="0"/>
                  </a:lnTo>
                  <a:lnTo>
                    <a:pt x="692" y="15"/>
                  </a:lnTo>
                  <a:lnTo>
                    <a:pt x="692" y="18"/>
                  </a:lnTo>
                  <a:lnTo>
                    <a:pt x="696" y="82"/>
                  </a:lnTo>
                  <a:lnTo>
                    <a:pt x="697" y="90"/>
                  </a:lnTo>
                  <a:lnTo>
                    <a:pt x="698" y="100"/>
                  </a:lnTo>
                  <a:lnTo>
                    <a:pt x="698" y="107"/>
                  </a:lnTo>
                  <a:lnTo>
                    <a:pt x="698" y="110"/>
                  </a:lnTo>
                  <a:lnTo>
                    <a:pt x="698" y="112"/>
                  </a:lnTo>
                  <a:lnTo>
                    <a:pt x="698" y="113"/>
                  </a:lnTo>
                  <a:lnTo>
                    <a:pt x="699" y="131"/>
                  </a:lnTo>
                  <a:lnTo>
                    <a:pt x="699" y="133"/>
                  </a:lnTo>
                  <a:lnTo>
                    <a:pt x="700" y="137"/>
                  </a:lnTo>
                  <a:lnTo>
                    <a:pt x="702" y="171"/>
                  </a:lnTo>
                  <a:lnTo>
                    <a:pt x="704" y="209"/>
                  </a:lnTo>
                  <a:lnTo>
                    <a:pt x="704" y="211"/>
                  </a:lnTo>
                  <a:lnTo>
                    <a:pt x="705" y="227"/>
                  </a:lnTo>
                  <a:lnTo>
                    <a:pt x="706" y="250"/>
                  </a:lnTo>
                  <a:lnTo>
                    <a:pt x="707" y="257"/>
                  </a:lnTo>
                  <a:lnTo>
                    <a:pt x="707" y="260"/>
                  </a:lnTo>
                  <a:lnTo>
                    <a:pt x="707" y="267"/>
                  </a:lnTo>
                  <a:lnTo>
                    <a:pt x="709" y="275"/>
                  </a:lnTo>
                  <a:lnTo>
                    <a:pt x="710" y="298"/>
                  </a:lnTo>
                  <a:lnTo>
                    <a:pt x="746" y="299"/>
                  </a:lnTo>
                  <a:lnTo>
                    <a:pt x="776" y="300"/>
                  </a:lnTo>
                  <a:lnTo>
                    <a:pt x="797" y="300"/>
                  </a:lnTo>
                  <a:lnTo>
                    <a:pt x="817" y="300"/>
                  </a:lnTo>
                  <a:lnTo>
                    <a:pt x="831" y="300"/>
                  </a:lnTo>
                  <a:lnTo>
                    <a:pt x="827" y="319"/>
                  </a:lnTo>
                  <a:lnTo>
                    <a:pt x="794" y="401"/>
                  </a:lnTo>
                  <a:lnTo>
                    <a:pt x="764" y="404"/>
                  </a:lnTo>
                  <a:lnTo>
                    <a:pt x="750" y="405"/>
                  </a:lnTo>
                  <a:lnTo>
                    <a:pt x="722" y="409"/>
                  </a:lnTo>
                  <a:lnTo>
                    <a:pt x="716" y="419"/>
                  </a:lnTo>
                  <a:lnTo>
                    <a:pt x="699" y="414"/>
                  </a:lnTo>
                  <a:lnTo>
                    <a:pt x="671" y="428"/>
                  </a:lnTo>
                  <a:lnTo>
                    <a:pt x="683" y="377"/>
                  </a:lnTo>
                  <a:lnTo>
                    <a:pt x="662" y="377"/>
                  </a:lnTo>
                  <a:lnTo>
                    <a:pt x="676" y="353"/>
                  </a:lnTo>
                  <a:lnTo>
                    <a:pt x="668" y="344"/>
                  </a:lnTo>
                  <a:lnTo>
                    <a:pt x="666" y="343"/>
                  </a:lnTo>
                  <a:lnTo>
                    <a:pt x="662" y="350"/>
                  </a:lnTo>
                  <a:lnTo>
                    <a:pt x="653" y="339"/>
                  </a:lnTo>
                  <a:lnTo>
                    <a:pt x="653" y="322"/>
                  </a:lnTo>
                  <a:lnTo>
                    <a:pt x="645" y="348"/>
                  </a:lnTo>
                  <a:lnTo>
                    <a:pt x="620" y="348"/>
                  </a:lnTo>
                  <a:lnTo>
                    <a:pt x="606" y="333"/>
                  </a:lnTo>
                  <a:lnTo>
                    <a:pt x="589" y="289"/>
                  </a:lnTo>
                  <a:lnTo>
                    <a:pt x="606" y="283"/>
                  </a:lnTo>
                  <a:lnTo>
                    <a:pt x="598" y="260"/>
                  </a:lnTo>
                  <a:lnTo>
                    <a:pt x="624" y="258"/>
                  </a:lnTo>
                  <a:lnTo>
                    <a:pt x="606" y="233"/>
                  </a:lnTo>
                  <a:lnTo>
                    <a:pt x="589" y="248"/>
                  </a:lnTo>
                  <a:lnTo>
                    <a:pt x="589" y="228"/>
                  </a:lnTo>
                  <a:lnTo>
                    <a:pt x="614" y="206"/>
                  </a:lnTo>
                  <a:lnTo>
                    <a:pt x="606" y="185"/>
                  </a:lnTo>
                  <a:lnTo>
                    <a:pt x="606" y="193"/>
                  </a:lnTo>
                  <a:lnTo>
                    <a:pt x="590" y="200"/>
                  </a:lnTo>
                  <a:lnTo>
                    <a:pt x="595" y="161"/>
                  </a:lnTo>
                  <a:lnTo>
                    <a:pt x="606" y="175"/>
                  </a:lnTo>
                  <a:lnTo>
                    <a:pt x="622" y="171"/>
                  </a:lnTo>
                  <a:lnTo>
                    <a:pt x="624" y="148"/>
                  </a:lnTo>
                  <a:lnTo>
                    <a:pt x="606" y="141"/>
                  </a:lnTo>
                  <a:lnTo>
                    <a:pt x="606" y="123"/>
                  </a:lnTo>
                  <a:lnTo>
                    <a:pt x="628" y="87"/>
                  </a:lnTo>
                  <a:lnTo>
                    <a:pt x="653" y="82"/>
                  </a:lnTo>
                  <a:lnTo>
                    <a:pt x="653" y="38"/>
                  </a:lnTo>
                  <a:lnTo>
                    <a:pt x="652" y="38"/>
                  </a:lnTo>
                  <a:lnTo>
                    <a:pt x="638" y="43"/>
                  </a:lnTo>
                  <a:lnTo>
                    <a:pt x="629" y="71"/>
                  </a:lnTo>
                  <a:lnTo>
                    <a:pt x="606" y="85"/>
                  </a:lnTo>
                  <a:lnTo>
                    <a:pt x="599" y="100"/>
                  </a:lnTo>
                  <a:lnTo>
                    <a:pt x="591" y="87"/>
                  </a:lnTo>
                  <a:lnTo>
                    <a:pt x="582" y="99"/>
                  </a:lnTo>
                  <a:lnTo>
                    <a:pt x="580" y="112"/>
                  </a:lnTo>
                  <a:lnTo>
                    <a:pt x="553" y="121"/>
                  </a:lnTo>
                  <a:lnTo>
                    <a:pt x="552" y="122"/>
                  </a:lnTo>
                  <a:lnTo>
                    <a:pt x="572" y="141"/>
                  </a:lnTo>
                  <a:lnTo>
                    <a:pt x="575" y="171"/>
                  </a:lnTo>
                  <a:lnTo>
                    <a:pt x="548" y="227"/>
                  </a:lnTo>
                  <a:lnTo>
                    <a:pt x="553" y="239"/>
                  </a:lnTo>
                  <a:lnTo>
                    <a:pt x="559" y="289"/>
                  </a:lnTo>
                  <a:lnTo>
                    <a:pt x="579" y="319"/>
                  </a:lnTo>
                  <a:lnTo>
                    <a:pt x="574" y="334"/>
                  </a:lnTo>
                  <a:lnTo>
                    <a:pt x="582" y="337"/>
                  </a:lnTo>
                  <a:lnTo>
                    <a:pt x="578" y="348"/>
                  </a:lnTo>
                  <a:lnTo>
                    <a:pt x="590" y="377"/>
                  </a:lnTo>
                  <a:lnTo>
                    <a:pt x="592" y="399"/>
                  </a:lnTo>
                  <a:lnTo>
                    <a:pt x="572" y="377"/>
                  </a:lnTo>
                  <a:lnTo>
                    <a:pt x="564" y="383"/>
                  </a:lnTo>
                  <a:lnTo>
                    <a:pt x="535" y="354"/>
                  </a:lnTo>
                  <a:lnTo>
                    <a:pt x="503" y="351"/>
                  </a:lnTo>
                  <a:lnTo>
                    <a:pt x="494" y="331"/>
                  </a:lnTo>
                  <a:lnTo>
                    <a:pt x="489" y="342"/>
                  </a:lnTo>
                  <a:lnTo>
                    <a:pt x="479" y="338"/>
                  </a:lnTo>
                  <a:lnTo>
                    <a:pt x="466" y="309"/>
                  </a:lnTo>
                  <a:lnTo>
                    <a:pt x="442" y="311"/>
                  </a:lnTo>
                  <a:lnTo>
                    <a:pt x="433" y="319"/>
                  </a:lnTo>
                  <a:lnTo>
                    <a:pt x="418" y="316"/>
                  </a:lnTo>
                  <a:lnTo>
                    <a:pt x="418" y="282"/>
                  </a:lnTo>
                  <a:lnTo>
                    <a:pt x="441" y="257"/>
                  </a:lnTo>
                  <a:lnTo>
                    <a:pt x="441" y="248"/>
                  </a:lnTo>
                  <a:lnTo>
                    <a:pt x="442" y="246"/>
                  </a:lnTo>
                  <a:lnTo>
                    <a:pt x="450" y="240"/>
                  </a:lnTo>
                  <a:lnTo>
                    <a:pt x="457" y="230"/>
                  </a:lnTo>
                  <a:lnTo>
                    <a:pt x="458" y="224"/>
                  </a:lnTo>
                  <a:lnTo>
                    <a:pt x="458" y="221"/>
                  </a:lnTo>
                  <a:lnTo>
                    <a:pt x="458" y="220"/>
                  </a:lnTo>
                  <a:lnTo>
                    <a:pt x="472" y="206"/>
                  </a:lnTo>
                  <a:lnTo>
                    <a:pt x="483" y="196"/>
                  </a:lnTo>
                  <a:lnTo>
                    <a:pt x="463" y="177"/>
                  </a:lnTo>
                  <a:lnTo>
                    <a:pt x="458" y="172"/>
                  </a:lnTo>
                  <a:lnTo>
                    <a:pt x="453" y="176"/>
                  </a:lnTo>
                  <a:lnTo>
                    <a:pt x="447" y="182"/>
                  </a:lnTo>
                  <a:lnTo>
                    <a:pt x="443" y="186"/>
                  </a:lnTo>
                  <a:lnTo>
                    <a:pt x="438" y="179"/>
                  </a:lnTo>
                  <a:lnTo>
                    <a:pt x="418" y="172"/>
                  </a:lnTo>
                  <a:lnTo>
                    <a:pt x="418" y="165"/>
                  </a:lnTo>
                  <a:lnTo>
                    <a:pt x="403" y="157"/>
                  </a:lnTo>
                  <a:lnTo>
                    <a:pt x="395" y="156"/>
                  </a:lnTo>
                  <a:lnTo>
                    <a:pt x="367" y="141"/>
                  </a:lnTo>
                  <a:lnTo>
                    <a:pt x="380" y="118"/>
                  </a:lnTo>
                  <a:lnTo>
                    <a:pt x="374" y="112"/>
                  </a:lnTo>
                  <a:lnTo>
                    <a:pt x="345" y="98"/>
                  </a:lnTo>
                  <a:lnTo>
                    <a:pt x="338" y="94"/>
                  </a:lnTo>
                  <a:lnTo>
                    <a:pt x="331" y="95"/>
                  </a:lnTo>
                  <a:lnTo>
                    <a:pt x="325" y="92"/>
                  </a:lnTo>
                  <a:lnTo>
                    <a:pt x="325" y="72"/>
                  </a:lnTo>
                  <a:lnTo>
                    <a:pt x="311" y="54"/>
                  </a:lnTo>
                  <a:lnTo>
                    <a:pt x="302" y="25"/>
                  </a:lnTo>
                  <a:lnTo>
                    <a:pt x="278" y="29"/>
                  </a:lnTo>
                  <a:lnTo>
                    <a:pt x="274" y="24"/>
                  </a:lnTo>
                  <a:lnTo>
                    <a:pt x="255" y="8"/>
                  </a:lnTo>
                  <a:lnTo>
                    <a:pt x="229" y="23"/>
                  </a:lnTo>
                  <a:lnTo>
                    <a:pt x="216" y="20"/>
                  </a:lnTo>
                  <a:lnTo>
                    <a:pt x="208" y="22"/>
                  </a:lnTo>
                  <a:lnTo>
                    <a:pt x="208" y="28"/>
                  </a:lnTo>
                  <a:lnTo>
                    <a:pt x="191" y="49"/>
                  </a:lnTo>
                  <a:lnTo>
                    <a:pt x="185" y="48"/>
                  </a:lnTo>
                  <a:lnTo>
                    <a:pt x="162" y="44"/>
                  </a:lnTo>
                  <a:lnTo>
                    <a:pt x="155" y="45"/>
                  </a:lnTo>
                  <a:lnTo>
                    <a:pt x="128" y="22"/>
                  </a:lnTo>
                  <a:lnTo>
                    <a:pt x="91" y="63"/>
                  </a:lnTo>
                  <a:lnTo>
                    <a:pt x="78" y="57"/>
                  </a:lnTo>
                  <a:lnTo>
                    <a:pt x="52" y="82"/>
                  </a:lnTo>
                  <a:lnTo>
                    <a:pt x="44" y="86"/>
                  </a:lnTo>
                  <a:lnTo>
                    <a:pt x="41" y="93"/>
                  </a:lnTo>
                  <a:lnTo>
                    <a:pt x="20" y="107"/>
                  </a:lnTo>
                  <a:lnTo>
                    <a:pt x="3" y="123"/>
                  </a:lnTo>
                  <a:lnTo>
                    <a:pt x="0" y="122"/>
                  </a:lnTo>
                  <a:lnTo>
                    <a:pt x="1" y="45"/>
                  </a:lnTo>
                  <a:lnTo>
                    <a:pt x="2" y="1"/>
                  </a:lnTo>
                  <a:lnTo>
                    <a:pt x="8" y="1"/>
                  </a:lnTo>
                  <a:lnTo>
                    <a:pt x="14" y="1"/>
                  </a:lnTo>
                  <a:lnTo>
                    <a:pt x="18" y="1"/>
                  </a:lnTo>
                  <a:lnTo>
                    <a:pt x="75" y="0"/>
                  </a:lnTo>
                  <a:lnTo>
                    <a:pt x="82" y="0"/>
                  </a:lnTo>
                  <a:lnTo>
                    <a:pt x="107" y="0"/>
                  </a:lnTo>
                  <a:lnTo>
                    <a:pt x="115" y="0"/>
                  </a:lnTo>
                  <a:lnTo>
                    <a:pt x="120" y="0"/>
                  </a:lnTo>
                  <a:lnTo>
                    <a:pt x="127" y="0"/>
                  </a:lnTo>
                  <a:lnTo>
                    <a:pt x="178" y="0"/>
                  </a:lnTo>
                  <a:lnTo>
                    <a:pt x="185" y="0"/>
                  </a:lnTo>
                  <a:lnTo>
                    <a:pt x="208" y="0"/>
                  </a:lnTo>
                  <a:lnTo>
                    <a:pt x="214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grpSp>
        <xdr:nvGrpSpPr>
          <xdr:cNvPr id="33" name="S_ME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GrpSpPr>
            <a:grpSpLocks/>
          </xdr:cNvGrpSpPr>
        </xdr:nvGrpSpPr>
        <xdr:grpSpPr bwMode="auto">
          <a:xfrm>
            <a:off x="9659470" y="428065"/>
            <a:ext cx="736227" cy="964826"/>
            <a:chOff x="8397901" y="910524"/>
            <a:chExt cx="587813" cy="805423"/>
          </a:xfrm>
          <a:grpFill/>
        </xdr:grpSpPr>
        <xdr:sp macro="" textlink="">
          <xdr:nvSpPr>
            <xdr:cNvPr id="63" name="myShape_ME2">
              <a:extLst>
                <a:ext uri="{FF2B5EF4-FFF2-40B4-BE49-F238E27FC236}">
                  <a16:creationId xmlns:a16="http://schemas.microsoft.com/office/drawing/2014/main" id="{00000000-0008-0000-05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8397901" y="910524"/>
              <a:ext cx="587813" cy="805423"/>
            </a:xfrm>
            <a:custGeom>
              <a:avLst/>
              <a:gdLst>
                <a:gd name="T0" fmla="*/ 2147483647 w 772"/>
                <a:gd name="T1" fmla="*/ 2147483647 h 1040"/>
                <a:gd name="T2" fmla="*/ 2147483647 w 772"/>
                <a:gd name="T3" fmla="*/ 2147483647 h 1040"/>
                <a:gd name="T4" fmla="*/ 0 w 772"/>
                <a:gd name="T5" fmla="*/ 2147483647 h 1040"/>
                <a:gd name="T6" fmla="*/ 2147483647 w 772"/>
                <a:gd name="T7" fmla="*/ 2147483647 h 1040"/>
                <a:gd name="T8" fmla="*/ 2147483647 w 772"/>
                <a:gd name="T9" fmla="*/ 2147483647 h 1040"/>
                <a:gd name="T10" fmla="*/ 2147483647 w 772"/>
                <a:gd name="T11" fmla="*/ 2147483647 h 1040"/>
                <a:gd name="T12" fmla="*/ 2147483647 w 772"/>
                <a:gd name="T13" fmla="*/ 2147483647 h 1040"/>
                <a:gd name="T14" fmla="*/ 2147483647 w 772"/>
                <a:gd name="T15" fmla="*/ 2147483647 h 1040"/>
                <a:gd name="T16" fmla="*/ 2147483647 w 772"/>
                <a:gd name="T17" fmla="*/ 2147483647 h 1040"/>
                <a:gd name="T18" fmla="*/ 2147483647 w 772"/>
                <a:gd name="T19" fmla="*/ 2147483647 h 1040"/>
                <a:gd name="T20" fmla="*/ 2147483647 w 772"/>
                <a:gd name="T21" fmla="*/ 2147483647 h 1040"/>
                <a:gd name="T22" fmla="*/ 2147483647 w 772"/>
                <a:gd name="T23" fmla="*/ 2147483647 h 1040"/>
                <a:gd name="T24" fmla="*/ 2147483647 w 772"/>
                <a:gd name="T25" fmla="*/ 2147483647 h 1040"/>
                <a:gd name="T26" fmla="*/ 2147483647 w 772"/>
                <a:gd name="T27" fmla="*/ 2147483647 h 1040"/>
                <a:gd name="T28" fmla="*/ 2147483647 w 772"/>
                <a:gd name="T29" fmla="*/ 2147483647 h 1040"/>
                <a:gd name="T30" fmla="*/ 2147483647 w 772"/>
                <a:gd name="T31" fmla="*/ 2147483647 h 1040"/>
                <a:gd name="T32" fmla="*/ 2147483647 w 772"/>
                <a:gd name="T33" fmla="*/ 2147483647 h 1040"/>
                <a:gd name="T34" fmla="*/ 2147483647 w 772"/>
                <a:gd name="T35" fmla="*/ 2147483647 h 1040"/>
                <a:gd name="T36" fmla="*/ 2147483647 w 772"/>
                <a:gd name="T37" fmla="*/ 2147483647 h 1040"/>
                <a:gd name="T38" fmla="*/ 2147483647 w 772"/>
                <a:gd name="T39" fmla="*/ 2147483647 h 1040"/>
                <a:gd name="T40" fmla="*/ 2147483647 w 772"/>
                <a:gd name="T41" fmla="*/ 2147483647 h 1040"/>
                <a:gd name="T42" fmla="*/ 2147483647 w 772"/>
                <a:gd name="T43" fmla="*/ 2147483647 h 1040"/>
                <a:gd name="T44" fmla="*/ 2147483647 w 772"/>
                <a:gd name="T45" fmla="*/ 2147483647 h 1040"/>
                <a:gd name="T46" fmla="*/ 2147483647 w 772"/>
                <a:gd name="T47" fmla="*/ 2147483647 h 1040"/>
                <a:gd name="T48" fmla="*/ 2147483647 w 772"/>
                <a:gd name="T49" fmla="*/ 2147483647 h 1040"/>
                <a:gd name="T50" fmla="*/ 2147483647 w 772"/>
                <a:gd name="T51" fmla="*/ 2147483647 h 1040"/>
                <a:gd name="T52" fmla="*/ 2147483647 w 772"/>
                <a:gd name="T53" fmla="*/ 2147483647 h 1040"/>
                <a:gd name="T54" fmla="*/ 2147483647 w 772"/>
                <a:gd name="T55" fmla="*/ 2147483647 h 1040"/>
                <a:gd name="T56" fmla="*/ 2147483647 w 772"/>
                <a:gd name="T57" fmla="*/ 2147483647 h 1040"/>
                <a:gd name="T58" fmla="*/ 2147483647 w 772"/>
                <a:gd name="T59" fmla="*/ 2147483647 h 1040"/>
                <a:gd name="T60" fmla="*/ 2147483647 w 772"/>
                <a:gd name="T61" fmla="*/ 2147483647 h 1040"/>
                <a:gd name="T62" fmla="*/ 2147483647 w 772"/>
                <a:gd name="T63" fmla="*/ 2147483647 h 1040"/>
                <a:gd name="T64" fmla="*/ 2147483647 w 772"/>
                <a:gd name="T65" fmla="*/ 2147483647 h 1040"/>
                <a:gd name="T66" fmla="*/ 2147483647 w 772"/>
                <a:gd name="T67" fmla="*/ 2147483647 h 1040"/>
                <a:gd name="T68" fmla="*/ 2147483647 w 772"/>
                <a:gd name="T69" fmla="*/ 2147483647 h 1040"/>
                <a:gd name="T70" fmla="*/ 2147483647 w 772"/>
                <a:gd name="T71" fmla="*/ 2147483647 h 1040"/>
                <a:gd name="T72" fmla="*/ 2147483647 w 772"/>
                <a:gd name="T73" fmla="*/ 2147483647 h 1040"/>
                <a:gd name="T74" fmla="*/ 2147483647 w 772"/>
                <a:gd name="T75" fmla="*/ 2147483647 h 1040"/>
                <a:gd name="T76" fmla="*/ 2147483647 w 772"/>
                <a:gd name="T77" fmla="*/ 2147483647 h 1040"/>
                <a:gd name="T78" fmla="*/ 2147483647 w 772"/>
                <a:gd name="T79" fmla="*/ 2147483647 h 1040"/>
                <a:gd name="T80" fmla="*/ 2147483647 w 772"/>
                <a:gd name="T81" fmla="*/ 2147483647 h 1040"/>
                <a:gd name="T82" fmla="*/ 2147483647 w 772"/>
                <a:gd name="T83" fmla="*/ 2147483647 h 1040"/>
                <a:gd name="T84" fmla="*/ 2147483647 w 772"/>
                <a:gd name="T85" fmla="*/ 2147483647 h 1040"/>
                <a:gd name="T86" fmla="*/ 2147483647 w 772"/>
                <a:gd name="T87" fmla="*/ 2147483647 h 1040"/>
                <a:gd name="T88" fmla="*/ 2147483647 w 772"/>
                <a:gd name="T89" fmla="*/ 2147483647 h 1040"/>
                <a:gd name="T90" fmla="*/ 2147483647 w 772"/>
                <a:gd name="T91" fmla="*/ 2147483647 h 1040"/>
                <a:gd name="T92" fmla="*/ 2147483647 w 772"/>
                <a:gd name="T93" fmla="*/ 2147483647 h 1040"/>
                <a:gd name="T94" fmla="*/ 2147483647 w 772"/>
                <a:gd name="T95" fmla="*/ 2147483647 h 1040"/>
                <a:gd name="T96" fmla="*/ 2147483647 w 772"/>
                <a:gd name="T97" fmla="*/ 2147483647 h 1040"/>
                <a:gd name="T98" fmla="*/ 2147483647 w 772"/>
                <a:gd name="T99" fmla="*/ 2147483647 h 1040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w 772"/>
                <a:gd name="T151" fmla="*/ 0 h 1040"/>
                <a:gd name="T152" fmla="*/ 772 w 772"/>
                <a:gd name="T153" fmla="*/ 1040 h 1040"/>
              </a:gdLst>
              <a:ahLst/>
              <a:cxnLst>
                <a:cxn ang="T100">
                  <a:pos x="T0" y="T1"/>
                </a:cxn>
                <a:cxn ang="T101">
                  <a:pos x="T2" y="T3"/>
                </a:cxn>
                <a:cxn ang="T102">
                  <a:pos x="T4" y="T5"/>
                </a:cxn>
                <a:cxn ang="T103">
                  <a:pos x="T6" y="T7"/>
                </a:cxn>
                <a:cxn ang="T104">
                  <a:pos x="T8" y="T9"/>
                </a:cxn>
                <a:cxn ang="T105">
                  <a:pos x="T10" y="T11"/>
                </a:cxn>
                <a:cxn ang="T106">
                  <a:pos x="T12" y="T13"/>
                </a:cxn>
                <a:cxn ang="T107">
                  <a:pos x="T14" y="T15"/>
                </a:cxn>
                <a:cxn ang="T108">
                  <a:pos x="T16" y="T17"/>
                </a:cxn>
                <a:cxn ang="T109">
                  <a:pos x="T18" y="T19"/>
                </a:cxn>
                <a:cxn ang="T110">
                  <a:pos x="T20" y="T21"/>
                </a:cxn>
                <a:cxn ang="T111">
                  <a:pos x="T22" y="T23"/>
                </a:cxn>
                <a:cxn ang="T112">
                  <a:pos x="T24" y="T25"/>
                </a:cxn>
                <a:cxn ang="T113">
                  <a:pos x="T26" y="T27"/>
                </a:cxn>
                <a:cxn ang="T114">
                  <a:pos x="T28" y="T29"/>
                </a:cxn>
                <a:cxn ang="T115">
                  <a:pos x="T30" y="T31"/>
                </a:cxn>
                <a:cxn ang="T116">
                  <a:pos x="T32" y="T33"/>
                </a:cxn>
                <a:cxn ang="T117">
                  <a:pos x="T34" y="T35"/>
                </a:cxn>
                <a:cxn ang="T118">
                  <a:pos x="T36" y="T37"/>
                </a:cxn>
                <a:cxn ang="T119">
                  <a:pos x="T38" y="T39"/>
                </a:cxn>
                <a:cxn ang="T120">
                  <a:pos x="T40" y="T41"/>
                </a:cxn>
                <a:cxn ang="T121">
                  <a:pos x="T42" y="T43"/>
                </a:cxn>
                <a:cxn ang="T122">
                  <a:pos x="T44" y="T45"/>
                </a:cxn>
                <a:cxn ang="T123">
                  <a:pos x="T46" y="T47"/>
                </a:cxn>
                <a:cxn ang="T124">
                  <a:pos x="T48" y="T49"/>
                </a:cxn>
                <a:cxn ang="T125">
                  <a:pos x="T50" y="T51"/>
                </a:cxn>
                <a:cxn ang="T126">
                  <a:pos x="T52" y="T53"/>
                </a:cxn>
                <a:cxn ang="T127">
                  <a:pos x="T54" y="T55"/>
                </a:cxn>
                <a:cxn ang="T128">
                  <a:pos x="T56" y="T57"/>
                </a:cxn>
                <a:cxn ang="T129">
                  <a:pos x="T58" y="T59"/>
                </a:cxn>
                <a:cxn ang="T130">
                  <a:pos x="T60" y="T61"/>
                </a:cxn>
                <a:cxn ang="T131">
                  <a:pos x="T62" y="T63"/>
                </a:cxn>
                <a:cxn ang="T132">
                  <a:pos x="T64" y="T65"/>
                </a:cxn>
                <a:cxn ang="T133">
                  <a:pos x="T66" y="T67"/>
                </a:cxn>
                <a:cxn ang="T134">
                  <a:pos x="T68" y="T69"/>
                </a:cxn>
                <a:cxn ang="T135">
                  <a:pos x="T70" y="T71"/>
                </a:cxn>
                <a:cxn ang="T136">
                  <a:pos x="T72" y="T73"/>
                </a:cxn>
                <a:cxn ang="T137">
                  <a:pos x="T74" y="T75"/>
                </a:cxn>
                <a:cxn ang="T138">
                  <a:pos x="T76" y="T77"/>
                </a:cxn>
                <a:cxn ang="T139">
                  <a:pos x="T78" y="T79"/>
                </a:cxn>
                <a:cxn ang="T140">
                  <a:pos x="T80" y="T81"/>
                </a:cxn>
                <a:cxn ang="T141">
                  <a:pos x="T82" y="T83"/>
                </a:cxn>
                <a:cxn ang="T142">
                  <a:pos x="T84" y="T85"/>
                </a:cxn>
                <a:cxn ang="T143">
                  <a:pos x="T86" y="T87"/>
                </a:cxn>
                <a:cxn ang="T144">
                  <a:pos x="T88" y="T89"/>
                </a:cxn>
                <a:cxn ang="T145">
                  <a:pos x="T90" y="T91"/>
                </a:cxn>
                <a:cxn ang="T146">
                  <a:pos x="T92" y="T93"/>
                </a:cxn>
                <a:cxn ang="T147">
                  <a:pos x="T94" y="T95"/>
                </a:cxn>
                <a:cxn ang="T148">
                  <a:pos x="T96" y="T97"/>
                </a:cxn>
                <a:cxn ang="T149">
                  <a:pos x="T98" y="T99"/>
                </a:cxn>
              </a:cxnLst>
              <a:rect l="T150" t="T151" r="T152" b="T153"/>
              <a:pathLst>
                <a:path w="772" h="1040">
                  <a:moveTo>
                    <a:pt x="16" y="867"/>
                  </a:moveTo>
                  <a:lnTo>
                    <a:pt x="15" y="817"/>
                  </a:lnTo>
                  <a:lnTo>
                    <a:pt x="13" y="759"/>
                  </a:lnTo>
                  <a:lnTo>
                    <a:pt x="13" y="750"/>
                  </a:lnTo>
                  <a:lnTo>
                    <a:pt x="8" y="641"/>
                  </a:lnTo>
                  <a:lnTo>
                    <a:pt x="0" y="533"/>
                  </a:lnTo>
                  <a:lnTo>
                    <a:pt x="0" y="522"/>
                  </a:lnTo>
                  <a:lnTo>
                    <a:pt x="14" y="501"/>
                  </a:lnTo>
                  <a:lnTo>
                    <a:pt x="42" y="526"/>
                  </a:lnTo>
                  <a:lnTo>
                    <a:pt x="45" y="516"/>
                  </a:lnTo>
                  <a:lnTo>
                    <a:pt x="61" y="481"/>
                  </a:lnTo>
                  <a:lnTo>
                    <a:pt x="84" y="487"/>
                  </a:lnTo>
                  <a:lnTo>
                    <a:pt x="85" y="436"/>
                  </a:lnTo>
                  <a:lnTo>
                    <a:pt x="99" y="424"/>
                  </a:lnTo>
                  <a:lnTo>
                    <a:pt x="129" y="404"/>
                  </a:lnTo>
                  <a:lnTo>
                    <a:pt x="158" y="358"/>
                  </a:lnTo>
                  <a:lnTo>
                    <a:pt x="145" y="345"/>
                  </a:lnTo>
                  <a:lnTo>
                    <a:pt x="154" y="317"/>
                  </a:lnTo>
                  <a:lnTo>
                    <a:pt x="154" y="285"/>
                  </a:lnTo>
                  <a:lnTo>
                    <a:pt x="191" y="247"/>
                  </a:lnTo>
                  <a:lnTo>
                    <a:pt x="197" y="210"/>
                  </a:lnTo>
                  <a:lnTo>
                    <a:pt x="203" y="181"/>
                  </a:lnTo>
                  <a:lnTo>
                    <a:pt x="347" y="0"/>
                  </a:lnTo>
                  <a:lnTo>
                    <a:pt x="377" y="39"/>
                  </a:lnTo>
                  <a:lnTo>
                    <a:pt x="389" y="55"/>
                  </a:lnTo>
                  <a:lnTo>
                    <a:pt x="463" y="50"/>
                  </a:lnTo>
                  <a:lnTo>
                    <a:pt x="511" y="24"/>
                  </a:lnTo>
                  <a:lnTo>
                    <a:pt x="527" y="25"/>
                  </a:lnTo>
                  <a:lnTo>
                    <a:pt x="586" y="63"/>
                  </a:lnTo>
                  <a:lnTo>
                    <a:pt x="597" y="83"/>
                  </a:lnTo>
                  <a:lnTo>
                    <a:pt x="612" y="92"/>
                  </a:lnTo>
                  <a:lnTo>
                    <a:pt x="612" y="420"/>
                  </a:lnTo>
                  <a:lnTo>
                    <a:pt x="667" y="443"/>
                  </a:lnTo>
                  <a:lnTo>
                    <a:pt x="678" y="439"/>
                  </a:lnTo>
                  <a:lnTo>
                    <a:pt x="676" y="522"/>
                  </a:lnTo>
                  <a:lnTo>
                    <a:pt x="696" y="550"/>
                  </a:lnTo>
                  <a:lnTo>
                    <a:pt x="703" y="549"/>
                  </a:lnTo>
                  <a:lnTo>
                    <a:pt x="709" y="537"/>
                  </a:lnTo>
                  <a:lnTo>
                    <a:pt x="740" y="551"/>
                  </a:lnTo>
                  <a:lnTo>
                    <a:pt x="763" y="598"/>
                  </a:lnTo>
                  <a:lnTo>
                    <a:pt x="772" y="624"/>
                  </a:lnTo>
                  <a:lnTo>
                    <a:pt x="718" y="671"/>
                  </a:lnTo>
                  <a:lnTo>
                    <a:pt x="713" y="670"/>
                  </a:lnTo>
                  <a:lnTo>
                    <a:pt x="713" y="675"/>
                  </a:lnTo>
                  <a:lnTo>
                    <a:pt x="707" y="670"/>
                  </a:lnTo>
                  <a:lnTo>
                    <a:pt x="693" y="671"/>
                  </a:lnTo>
                  <a:lnTo>
                    <a:pt x="693" y="677"/>
                  </a:lnTo>
                  <a:lnTo>
                    <a:pt x="669" y="687"/>
                  </a:lnTo>
                  <a:lnTo>
                    <a:pt x="667" y="701"/>
                  </a:lnTo>
                  <a:lnTo>
                    <a:pt x="650" y="714"/>
                  </a:lnTo>
                  <a:lnTo>
                    <a:pt x="648" y="703"/>
                  </a:lnTo>
                  <a:lnTo>
                    <a:pt x="612" y="700"/>
                  </a:lnTo>
                  <a:lnTo>
                    <a:pt x="600" y="721"/>
                  </a:lnTo>
                  <a:lnTo>
                    <a:pt x="587" y="722"/>
                  </a:lnTo>
                  <a:lnTo>
                    <a:pt x="574" y="725"/>
                  </a:lnTo>
                  <a:lnTo>
                    <a:pt x="570" y="740"/>
                  </a:lnTo>
                  <a:lnTo>
                    <a:pt x="529" y="762"/>
                  </a:lnTo>
                  <a:lnTo>
                    <a:pt x="501" y="759"/>
                  </a:lnTo>
                  <a:lnTo>
                    <a:pt x="482" y="720"/>
                  </a:lnTo>
                  <a:lnTo>
                    <a:pt x="483" y="741"/>
                  </a:lnTo>
                  <a:lnTo>
                    <a:pt x="445" y="791"/>
                  </a:lnTo>
                  <a:lnTo>
                    <a:pt x="423" y="744"/>
                  </a:lnTo>
                  <a:lnTo>
                    <a:pt x="430" y="700"/>
                  </a:lnTo>
                  <a:lnTo>
                    <a:pt x="427" y="698"/>
                  </a:lnTo>
                  <a:lnTo>
                    <a:pt x="412" y="716"/>
                  </a:lnTo>
                  <a:lnTo>
                    <a:pt x="396" y="730"/>
                  </a:lnTo>
                  <a:lnTo>
                    <a:pt x="383" y="759"/>
                  </a:lnTo>
                  <a:lnTo>
                    <a:pt x="374" y="789"/>
                  </a:lnTo>
                  <a:lnTo>
                    <a:pt x="379" y="817"/>
                  </a:lnTo>
                  <a:lnTo>
                    <a:pt x="330" y="847"/>
                  </a:lnTo>
                  <a:lnTo>
                    <a:pt x="316" y="841"/>
                  </a:lnTo>
                  <a:lnTo>
                    <a:pt x="298" y="847"/>
                  </a:lnTo>
                  <a:lnTo>
                    <a:pt x="292" y="857"/>
                  </a:lnTo>
                  <a:lnTo>
                    <a:pt x="271" y="863"/>
                  </a:lnTo>
                  <a:lnTo>
                    <a:pt x="258" y="860"/>
                  </a:lnTo>
                  <a:lnTo>
                    <a:pt x="249" y="876"/>
                  </a:lnTo>
                  <a:lnTo>
                    <a:pt x="233" y="889"/>
                  </a:lnTo>
                  <a:lnTo>
                    <a:pt x="223" y="877"/>
                  </a:lnTo>
                  <a:lnTo>
                    <a:pt x="216" y="872"/>
                  </a:lnTo>
                  <a:lnTo>
                    <a:pt x="201" y="886"/>
                  </a:lnTo>
                  <a:lnTo>
                    <a:pt x="177" y="890"/>
                  </a:lnTo>
                  <a:lnTo>
                    <a:pt x="163" y="906"/>
                  </a:lnTo>
                  <a:lnTo>
                    <a:pt x="165" y="920"/>
                  </a:lnTo>
                  <a:lnTo>
                    <a:pt x="159" y="927"/>
                  </a:lnTo>
                  <a:lnTo>
                    <a:pt x="152" y="923"/>
                  </a:lnTo>
                  <a:lnTo>
                    <a:pt x="136" y="928"/>
                  </a:lnTo>
                  <a:lnTo>
                    <a:pt x="130" y="936"/>
                  </a:lnTo>
                  <a:lnTo>
                    <a:pt x="132" y="945"/>
                  </a:lnTo>
                  <a:lnTo>
                    <a:pt x="140" y="946"/>
                  </a:lnTo>
                  <a:lnTo>
                    <a:pt x="90" y="995"/>
                  </a:lnTo>
                  <a:lnTo>
                    <a:pt x="91" y="1014"/>
                  </a:lnTo>
                  <a:lnTo>
                    <a:pt x="70" y="1040"/>
                  </a:lnTo>
                  <a:lnTo>
                    <a:pt x="61" y="1036"/>
                  </a:lnTo>
                  <a:lnTo>
                    <a:pt x="61" y="1035"/>
                  </a:lnTo>
                  <a:lnTo>
                    <a:pt x="48" y="1025"/>
                  </a:lnTo>
                  <a:lnTo>
                    <a:pt x="44" y="995"/>
                  </a:lnTo>
                  <a:lnTo>
                    <a:pt x="22" y="973"/>
                  </a:lnTo>
                  <a:lnTo>
                    <a:pt x="22" y="927"/>
                  </a:lnTo>
                  <a:lnTo>
                    <a:pt x="22" y="925"/>
                  </a:lnTo>
                  <a:lnTo>
                    <a:pt x="17" y="876"/>
                  </a:lnTo>
                  <a:lnTo>
                    <a:pt x="16" y="867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4" name="myShape_ME1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8764330" y="1516509"/>
              <a:ext cx="22902" cy="7671"/>
            </a:xfrm>
            <a:custGeom>
              <a:avLst/>
              <a:gdLst>
                <a:gd name="T0" fmla="*/ 0 w 30"/>
                <a:gd name="T1" fmla="*/ 2147483647 h 15"/>
                <a:gd name="T2" fmla="*/ 2147483647 w 30"/>
                <a:gd name="T3" fmla="*/ 2147483647 h 15"/>
                <a:gd name="T4" fmla="*/ 2147483647 w 30"/>
                <a:gd name="T5" fmla="*/ 0 h 15"/>
                <a:gd name="T6" fmla="*/ 0 w 30"/>
                <a:gd name="T7" fmla="*/ 2147483647 h 15"/>
                <a:gd name="T8" fmla="*/ 0 w 30"/>
                <a:gd name="T9" fmla="*/ 2147483647 h 15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30"/>
                <a:gd name="T16" fmla="*/ 0 h 15"/>
                <a:gd name="T17" fmla="*/ 30 w 30"/>
                <a:gd name="T18" fmla="*/ 15 h 15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30" h="15">
                  <a:moveTo>
                    <a:pt x="0" y="14"/>
                  </a:moveTo>
                  <a:lnTo>
                    <a:pt x="30" y="15"/>
                  </a:lnTo>
                  <a:lnTo>
                    <a:pt x="19" y="0"/>
                  </a:lnTo>
                  <a:lnTo>
                    <a:pt x="0" y="1"/>
                  </a:lnTo>
                  <a:lnTo>
                    <a:pt x="0" y="14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34" name="S_MA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>
            <a:spLocks/>
          </xdr:cNvSpPr>
        </xdr:nvSpPr>
        <xdr:spPr bwMode="auto">
          <a:xfrm>
            <a:off x="9218519" y="1440516"/>
            <a:ext cx="640976" cy="323290"/>
          </a:xfrm>
          <a:custGeom>
            <a:avLst/>
            <a:gdLst>
              <a:gd name="T0" fmla="*/ 2147483647 w 669"/>
              <a:gd name="T1" fmla="*/ 2147483647 h 345"/>
              <a:gd name="T2" fmla="*/ 2147483647 w 669"/>
              <a:gd name="T3" fmla="*/ 2147483647 h 345"/>
              <a:gd name="T4" fmla="*/ 2147483647 w 669"/>
              <a:gd name="T5" fmla="*/ 2147483647 h 345"/>
              <a:gd name="T6" fmla="*/ 2147483647 w 669"/>
              <a:gd name="T7" fmla="*/ 2147483647 h 345"/>
              <a:gd name="T8" fmla="*/ 2147483647 w 669"/>
              <a:gd name="T9" fmla="*/ 2147483647 h 345"/>
              <a:gd name="T10" fmla="*/ 2147483647 w 669"/>
              <a:gd name="T11" fmla="*/ 2147483647 h 345"/>
              <a:gd name="T12" fmla="*/ 2147483647 w 669"/>
              <a:gd name="T13" fmla="*/ 2147483647 h 345"/>
              <a:gd name="T14" fmla="*/ 2147483647 w 669"/>
              <a:gd name="T15" fmla="*/ 2147483647 h 345"/>
              <a:gd name="T16" fmla="*/ 2147483647 w 669"/>
              <a:gd name="T17" fmla="*/ 2147483647 h 345"/>
              <a:gd name="T18" fmla="*/ 2147483647 w 669"/>
              <a:gd name="T19" fmla="*/ 2147483647 h 345"/>
              <a:gd name="T20" fmla="*/ 2147483647 w 669"/>
              <a:gd name="T21" fmla="*/ 2147483647 h 345"/>
              <a:gd name="T22" fmla="*/ 2147483647 w 669"/>
              <a:gd name="T23" fmla="*/ 2147483647 h 345"/>
              <a:gd name="T24" fmla="*/ 2147483647 w 669"/>
              <a:gd name="T25" fmla="*/ 2147483647 h 345"/>
              <a:gd name="T26" fmla="*/ 2147483647 w 669"/>
              <a:gd name="T27" fmla="*/ 2147483647 h 345"/>
              <a:gd name="T28" fmla="*/ 2147483647 w 669"/>
              <a:gd name="T29" fmla="*/ 2147483647 h 345"/>
              <a:gd name="T30" fmla="*/ 2147483647 w 669"/>
              <a:gd name="T31" fmla="*/ 2147483647 h 345"/>
              <a:gd name="T32" fmla="*/ 2147483647 w 669"/>
              <a:gd name="T33" fmla="*/ 2147483647 h 345"/>
              <a:gd name="T34" fmla="*/ 2147483647 w 669"/>
              <a:gd name="T35" fmla="*/ 2147483647 h 345"/>
              <a:gd name="T36" fmla="*/ 2147483647 w 669"/>
              <a:gd name="T37" fmla="*/ 2147483647 h 345"/>
              <a:gd name="T38" fmla="*/ 2147483647 w 669"/>
              <a:gd name="T39" fmla="*/ 2147483647 h 345"/>
              <a:gd name="T40" fmla="*/ 2147483647 w 669"/>
              <a:gd name="T41" fmla="*/ 2147483647 h 345"/>
              <a:gd name="T42" fmla="*/ 2147483647 w 669"/>
              <a:gd name="T43" fmla="*/ 2147483647 h 345"/>
              <a:gd name="T44" fmla="*/ 2147483647 w 669"/>
              <a:gd name="T45" fmla="*/ 2147483647 h 345"/>
              <a:gd name="T46" fmla="*/ 2147483647 w 669"/>
              <a:gd name="T47" fmla="*/ 2147483647 h 345"/>
              <a:gd name="T48" fmla="*/ 2147483647 w 669"/>
              <a:gd name="T49" fmla="*/ 2147483647 h 345"/>
              <a:gd name="T50" fmla="*/ 2147483647 w 669"/>
              <a:gd name="T51" fmla="*/ 2147483647 h 345"/>
              <a:gd name="T52" fmla="*/ 2147483647 w 669"/>
              <a:gd name="T53" fmla="*/ 2147483647 h 345"/>
              <a:gd name="T54" fmla="*/ 2147483647 w 669"/>
              <a:gd name="T55" fmla="*/ 2147483647 h 345"/>
              <a:gd name="T56" fmla="*/ 2147483647 w 669"/>
              <a:gd name="T57" fmla="*/ 2147483647 h 345"/>
              <a:gd name="T58" fmla="*/ 2147483647 w 669"/>
              <a:gd name="T59" fmla="*/ 2147483647 h 345"/>
              <a:gd name="T60" fmla="*/ 2147483647 w 669"/>
              <a:gd name="T61" fmla="*/ 2147483647 h 345"/>
              <a:gd name="T62" fmla="*/ 2147483647 w 669"/>
              <a:gd name="T63" fmla="*/ 2147483647 h 345"/>
              <a:gd name="T64" fmla="*/ 2147483647 w 669"/>
              <a:gd name="T65" fmla="*/ 2147483647 h 345"/>
              <a:gd name="T66" fmla="*/ 2147483647 w 669"/>
              <a:gd name="T67" fmla="*/ 2147483647 h 345"/>
              <a:gd name="T68" fmla="*/ 2147483647 w 669"/>
              <a:gd name="T69" fmla="*/ 0 h 345"/>
              <a:gd name="T70" fmla="*/ 2147483647 w 669"/>
              <a:gd name="T71" fmla="*/ 2147483647 h 345"/>
              <a:gd name="T72" fmla="*/ 2147483647 w 669"/>
              <a:gd name="T73" fmla="*/ 2147483647 h 345"/>
              <a:gd name="T74" fmla="*/ 2147483647 w 669"/>
              <a:gd name="T75" fmla="*/ 2147483647 h 345"/>
              <a:gd name="T76" fmla="*/ 2147483647 w 669"/>
              <a:gd name="T77" fmla="*/ 2147483647 h 345"/>
              <a:gd name="T78" fmla="*/ 2147483647 w 669"/>
              <a:gd name="T79" fmla="*/ 2147483647 h 345"/>
              <a:gd name="T80" fmla="*/ 2147483647 w 669"/>
              <a:gd name="T81" fmla="*/ 2147483647 h 345"/>
              <a:gd name="T82" fmla="*/ 2147483647 w 669"/>
              <a:gd name="T83" fmla="*/ 2147483647 h 345"/>
              <a:gd name="T84" fmla="*/ 2147483647 w 669"/>
              <a:gd name="T85" fmla="*/ 2147483647 h 345"/>
              <a:gd name="T86" fmla="*/ 2147483647 w 669"/>
              <a:gd name="T87" fmla="*/ 2147483647 h 345"/>
              <a:gd name="T88" fmla="*/ 2147483647 w 669"/>
              <a:gd name="T89" fmla="*/ 2147483647 h 345"/>
              <a:gd name="T90" fmla="*/ 2147483647 w 669"/>
              <a:gd name="T91" fmla="*/ 2147483647 h 345"/>
              <a:gd name="T92" fmla="*/ 2147483647 w 669"/>
              <a:gd name="T93" fmla="*/ 2147483647 h 345"/>
              <a:gd name="T94" fmla="*/ 2147483647 w 669"/>
              <a:gd name="T95" fmla="*/ 2147483647 h 345"/>
              <a:gd name="T96" fmla="*/ 2147483647 w 669"/>
              <a:gd name="T97" fmla="*/ 2147483647 h 345"/>
              <a:gd name="T98" fmla="*/ 2147483647 w 669"/>
              <a:gd name="T99" fmla="*/ 2147483647 h 345"/>
              <a:gd name="T100" fmla="*/ 2147483647 w 669"/>
              <a:gd name="T101" fmla="*/ 2147483647 h 345"/>
              <a:gd name="T102" fmla="*/ 2147483647 w 669"/>
              <a:gd name="T103" fmla="*/ 2147483647 h 345"/>
              <a:gd name="T104" fmla="*/ 2147483647 w 669"/>
              <a:gd name="T105" fmla="*/ 2147483647 h 345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669"/>
              <a:gd name="T160" fmla="*/ 0 h 345"/>
              <a:gd name="T161" fmla="*/ 669 w 669"/>
              <a:gd name="T162" fmla="*/ 345 h 345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669" h="345">
                <a:moveTo>
                  <a:pt x="531" y="279"/>
                </a:moveTo>
                <a:lnTo>
                  <a:pt x="515" y="287"/>
                </a:lnTo>
                <a:lnTo>
                  <a:pt x="500" y="296"/>
                </a:lnTo>
                <a:lnTo>
                  <a:pt x="500" y="297"/>
                </a:lnTo>
                <a:lnTo>
                  <a:pt x="490" y="294"/>
                </a:lnTo>
                <a:lnTo>
                  <a:pt x="479" y="318"/>
                </a:lnTo>
                <a:lnTo>
                  <a:pt x="463" y="328"/>
                </a:lnTo>
                <a:lnTo>
                  <a:pt x="447" y="325"/>
                </a:lnTo>
                <a:lnTo>
                  <a:pt x="446" y="302"/>
                </a:lnTo>
                <a:lnTo>
                  <a:pt x="445" y="287"/>
                </a:lnTo>
                <a:lnTo>
                  <a:pt x="431" y="279"/>
                </a:lnTo>
                <a:lnTo>
                  <a:pt x="423" y="267"/>
                </a:lnTo>
                <a:lnTo>
                  <a:pt x="421" y="264"/>
                </a:lnTo>
                <a:lnTo>
                  <a:pt x="410" y="259"/>
                </a:lnTo>
                <a:lnTo>
                  <a:pt x="406" y="230"/>
                </a:lnTo>
                <a:lnTo>
                  <a:pt x="399" y="231"/>
                </a:lnTo>
                <a:lnTo>
                  <a:pt x="399" y="210"/>
                </a:lnTo>
                <a:lnTo>
                  <a:pt x="399" y="201"/>
                </a:lnTo>
                <a:lnTo>
                  <a:pt x="387" y="202"/>
                </a:lnTo>
                <a:lnTo>
                  <a:pt x="376" y="202"/>
                </a:lnTo>
                <a:lnTo>
                  <a:pt x="370" y="202"/>
                </a:lnTo>
                <a:lnTo>
                  <a:pt x="328" y="203"/>
                </a:lnTo>
                <a:lnTo>
                  <a:pt x="320" y="204"/>
                </a:lnTo>
                <a:lnTo>
                  <a:pt x="319" y="200"/>
                </a:lnTo>
                <a:lnTo>
                  <a:pt x="269" y="200"/>
                </a:lnTo>
                <a:lnTo>
                  <a:pt x="264" y="199"/>
                </a:lnTo>
                <a:lnTo>
                  <a:pt x="262" y="199"/>
                </a:lnTo>
                <a:lnTo>
                  <a:pt x="259" y="199"/>
                </a:lnTo>
                <a:lnTo>
                  <a:pt x="257" y="199"/>
                </a:lnTo>
                <a:lnTo>
                  <a:pt x="223" y="199"/>
                </a:lnTo>
                <a:lnTo>
                  <a:pt x="213" y="198"/>
                </a:lnTo>
                <a:lnTo>
                  <a:pt x="188" y="198"/>
                </a:lnTo>
                <a:lnTo>
                  <a:pt x="130" y="206"/>
                </a:lnTo>
                <a:lnTo>
                  <a:pt x="130" y="198"/>
                </a:lnTo>
                <a:lnTo>
                  <a:pt x="94" y="197"/>
                </a:lnTo>
                <a:lnTo>
                  <a:pt x="86" y="197"/>
                </a:lnTo>
                <a:lnTo>
                  <a:pt x="25" y="195"/>
                </a:lnTo>
                <a:lnTo>
                  <a:pt x="14" y="194"/>
                </a:lnTo>
                <a:lnTo>
                  <a:pt x="5" y="195"/>
                </a:lnTo>
                <a:lnTo>
                  <a:pt x="3" y="195"/>
                </a:lnTo>
                <a:lnTo>
                  <a:pt x="0" y="186"/>
                </a:lnTo>
                <a:lnTo>
                  <a:pt x="4" y="176"/>
                </a:lnTo>
                <a:lnTo>
                  <a:pt x="29" y="86"/>
                </a:lnTo>
                <a:lnTo>
                  <a:pt x="38" y="59"/>
                </a:lnTo>
                <a:lnTo>
                  <a:pt x="41" y="46"/>
                </a:lnTo>
                <a:lnTo>
                  <a:pt x="46" y="30"/>
                </a:lnTo>
                <a:lnTo>
                  <a:pt x="82" y="31"/>
                </a:lnTo>
                <a:lnTo>
                  <a:pt x="88" y="31"/>
                </a:lnTo>
                <a:lnTo>
                  <a:pt x="91" y="31"/>
                </a:lnTo>
                <a:lnTo>
                  <a:pt x="94" y="31"/>
                </a:lnTo>
                <a:lnTo>
                  <a:pt x="96" y="31"/>
                </a:lnTo>
                <a:lnTo>
                  <a:pt x="109" y="31"/>
                </a:lnTo>
                <a:lnTo>
                  <a:pt x="143" y="32"/>
                </a:lnTo>
                <a:lnTo>
                  <a:pt x="189" y="34"/>
                </a:lnTo>
                <a:lnTo>
                  <a:pt x="197" y="34"/>
                </a:lnTo>
                <a:lnTo>
                  <a:pt x="213" y="35"/>
                </a:lnTo>
                <a:lnTo>
                  <a:pt x="218" y="35"/>
                </a:lnTo>
                <a:lnTo>
                  <a:pt x="229" y="35"/>
                </a:lnTo>
                <a:lnTo>
                  <a:pt x="270" y="37"/>
                </a:lnTo>
                <a:lnTo>
                  <a:pt x="289" y="37"/>
                </a:lnTo>
                <a:lnTo>
                  <a:pt x="296" y="37"/>
                </a:lnTo>
                <a:lnTo>
                  <a:pt x="301" y="38"/>
                </a:lnTo>
                <a:lnTo>
                  <a:pt x="415" y="42"/>
                </a:lnTo>
                <a:lnTo>
                  <a:pt x="420" y="34"/>
                </a:lnTo>
                <a:lnTo>
                  <a:pt x="422" y="32"/>
                </a:lnTo>
                <a:lnTo>
                  <a:pt x="423" y="31"/>
                </a:lnTo>
                <a:lnTo>
                  <a:pt x="424" y="31"/>
                </a:lnTo>
                <a:lnTo>
                  <a:pt x="457" y="16"/>
                </a:lnTo>
                <a:lnTo>
                  <a:pt x="464" y="3"/>
                </a:lnTo>
                <a:lnTo>
                  <a:pt x="504" y="0"/>
                </a:lnTo>
                <a:lnTo>
                  <a:pt x="516" y="45"/>
                </a:lnTo>
                <a:lnTo>
                  <a:pt x="541" y="44"/>
                </a:lnTo>
                <a:lnTo>
                  <a:pt x="540" y="62"/>
                </a:lnTo>
                <a:lnTo>
                  <a:pt x="514" y="74"/>
                </a:lnTo>
                <a:lnTo>
                  <a:pt x="482" y="108"/>
                </a:lnTo>
                <a:lnTo>
                  <a:pt x="479" y="102"/>
                </a:lnTo>
                <a:lnTo>
                  <a:pt x="476" y="118"/>
                </a:lnTo>
                <a:lnTo>
                  <a:pt x="485" y="132"/>
                </a:lnTo>
                <a:lnTo>
                  <a:pt x="485" y="133"/>
                </a:lnTo>
                <a:lnTo>
                  <a:pt x="502" y="143"/>
                </a:lnTo>
                <a:lnTo>
                  <a:pt x="511" y="145"/>
                </a:lnTo>
                <a:lnTo>
                  <a:pt x="545" y="205"/>
                </a:lnTo>
                <a:lnTo>
                  <a:pt x="526" y="206"/>
                </a:lnTo>
                <a:lnTo>
                  <a:pt x="540" y="219"/>
                </a:lnTo>
                <a:lnTo>
                  <a:pt x="548" y="218"/>
                </a:lnTo>
                <a:lnTo>
                  <a:pt x="556" y="250"/>
                </a:lnTo>
                <a:lnTo>
                  <a:pt x="564" y="260"/>
                </a:lnTo>
                <a:lnTo>
                  <a:pt x="610" y="272"/>
                </a:lnTo>
                <a:lnTo>
                  <a:pt x="649" y="258"/>
                </a:lnTo>
                <a:lnTo>
                  <a:pt x="655" y="235"/>
                </a:lnTo>
                <a:lnTo>
                  <a:pt x="644" y="234"/>
                </a:lnTo>
                <a:lnTo>
                  <a:pt x="633" y="189"/>
                </a:lnTo>
                <a:lnTo>
                  <a:pt x="654" y="209"/>
                </a:lnTo>
                <a:lnTo>
                  <a:pt x="669" y="282"/>
                </a:lnTo>
                <a:lnTo>
                  <a:pt x="656" y="313"/>
                </a:lnTo>
                <a:lnTo>
                  <a:pt x="662" y="289"/>
                </a:lnTo>
                <a:lnTo>
                  <a:pt x="656" y="285"/>
                </a:lnTo>
                <a:lnTo>
                  <a:pt x="587" y="297"/>
                </a:lnTo>
                <a:lnTo>
                  <a:pt x="563" y="312"/>
                </a:lnTo>
                <a:lnTo>
                  <a:pt x="540" y="315"/>
                </a:lnTo>
                <a:lnTo>
                  <a:pt x="531" y="321"/>
                </a:lnTo>
                <a:lnTo>
                  <a:pt x="479" y="345"/>
                </a:lnTo>
                <a:lnTo>
                  <a:pt x="484" y="337"/>
                </a:lnTo>
                <a:lnTo>
                  <a:pt x="527" y="319"/>
                </a:lnTo>
                <a:lnTo>
                  <a:pt x="537" y="294"/>
                </a:lnTo>
                <a:lnTo>
                  <a:pt x="532" y="281"/>
                </a:lnTo>
                <a:lnTo>
                  <a:pt x="531" y="27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5" name="S_LA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>
            <a:spLocks/>
          </xdr:cNvSpPr>
        </xdr:nvSpPr>
        <xdr:spPr bwMode="auto">
          <a:xfrm>
            <a:off x="5527862" y="3617819"/>
            <a:ext cx="898151" cy="893669"/>
          </a:xfrm>
          <a:custGeom>
            <a:avLst/>
            <a:gdLst>
              <a:gd name="T0" fmla="*/ 2147483647 w 940"/>
              <a:gd name="T1" fmla="*/ 2147483647 h 959"/>
              <a:gd name="T2" fmla="*/ 2147483647 w 940"/>
              <a:gd name="T3" fmla="*/ 2147483647 h 959"/>
              <a:gd name="T4" fmla="*/ 2147483647 w 940"/>
              <a:gd name="T5" fmla="*/ 2147483647 h 959"/>
              <a:gd name="T6" fmla="*/ 2147483647 w 940"/>
              <a:gd name="T7" fmla="*/ 2147483647 h 959"/>
              <a:gd name="T8" fmla="*/ 2147483647 w 940"/>
              <a:gd name="T9" fmla="*/ 2147483647 h 959"/>
              <a:gd name="T10" fmla="*/ 2147483647 w 940"/>
              <a:gd name="T11" fmla="*/ 2147483647 h 959"/>
              <a:gd name="T12" fmla="*/ 2147483647 w 940"/>
              <a:gd name="T13" fmla="*/ 2147483647 h 959"/>
              <a:gd name="T14" fmla="*/ 2147483647 w 940"/>
              <a:gd name="T15" fmla="*/ 2147483647 h 959"/>
              <a:gd name="T16" fmla="*/ 2147483647 w 940"/>
              <a:gd name="T17" fmla="*/ 2147483647 h 959"/>
              <a:gd name="T18" fmla="*/ 2147483647 w 940"/>
              <a:gd name="T19" fmla="*/ 2147483647 h 959"/>
              <a:gd name="T20" fmla="*/ 2147483647 w 940"/>
              <a:gd name="T21" fmla="*/ 2147483647 h 959"/>
              <a:gd name="T22" fmla="*/ 2147483647 w 940"/>
              <a:gd name="T23" fmla="*/ 2147483647 h 959"/>
              <a:gd name="T24" fmla="*/ 2147483647 w 940"/>
              <a:gd name="T25" fmla="*/ 2147483647 h 959"/>
              <a:gd name="T26" fmla="*/ 2147483647 w 940"/>
              <a:gd name="T27" fmla="*/ 2147483647 h 959"/>
              <a:gd name="T28" fmla="*/ 2147483647 w 940"/>
              <a:gd name="T29" fmla="*/ 2147483647 h 959"/>
              <a:gd name="T30" fmla="*/ 2147483647 w 940"/>
              <a:gd name="T31" fmla="*/ 2147483647 h 959"/>
              <a:gd name="T32" fmla="*/ 2147483647 w 940"/>
              <a:gd name="T33" fmla="*/ 2147483647 h 959"/>
              <a:gd name="T34" fmla="*/ 2147483647 w 940"/>
              <a:gd name="T35" fmla="*/ 2147483647 h 959"/>
              <a:gd name="T36" fmla="*/ 2147483647 w 940"/>
              <a:gd name="T37" fmla="*/ 2147483647 h 959"/>
              <a:gd name="T38" fmla="*/ 2147483647 w 940"/>
              <a:gd name="T39" fmla="*/ 2147483647 h 959"/>
              <a:gd name="T40" fmla="*/ 2147483647 w 940"/>
              <a:gd name="T41" fmla="*/ 2147483647 h 959"/>
              <a:gd name="T42" fmla="*/ 2147483647 w 940"/>
              <a:gd name="T43" fmla="*/ 2147483647 h 959"/>
              <a:gd name="T44" fmla="*/ 2147483647 w 940"/>
              <a:gd name="T45" fmla="*/ 2147483647 h 959"/>
              <a:gd name="T46" fmla="*/ 2147483647 w 940"/>
              <a:gd name="T47" fmla="*/ 2147483647 h 959"/>
              <a:gd name="T48" fmla="*/ 2147483647 w 940"/>
              <a:gd name="T49" fmla="*/ 2147483647 h 959"/>
              <a:gd name="T50" fmla="*/ 2147483647 w 940"/>
              <a:gd name="T51" fmla="*/ 2147483647 h 959"/>
              <a:gd name="T52" fmla="*/ 2147483647 w 940"/>
              <a:gd name="T53" fmla="*/ 2147483647 h 959"/>
              <a:gd name="T54" fmla="*/ 2147483647 w 940"/>
              <a:gd name="T55" fmla="*/ 2147483647 h 959"/>
              <a:gd name="T56" fmla="*/ 2147483647 w 940"/>
              <a:gd name="T57" fmla="*/ 2147483647 h 959"/>
              <a:gd name="T58" fmla="*/ 2147483647 w 940"/>
              <a:gd name="T59" fmla="*/ 2147483647 h 959"/>
              <a:gd name="T60" fmla="*/ 2147483647 w 940"/>
              <a:gd name="T61" fmla="*/ 2147483647 h 959"/>
              <a:gd name="T62" fmla="*/ 2147483647 w 940"/>
              <a:gd name="T63" fmla="*/ 2147483647 h 959"/>
              <a:gd name="T64" fmla="*/ 2147483647 w 940"/>
              <a:gd name="T65" fmla="*/ 2147483647 h 959"/>
              <a:gd name="T66" fmla="*/ 2147483647 w 940"/>
              <a:gd name="T67" fmla="*/ 2147483647 h 959"/>
              <a:gd name="T68" fmla="*/ 0 w 940"/>
              <a:gd name="T69" fmla="*/ 2147483647 h 959"/>
              <a:gd name="T70" fmla="*/ 0 w 940"/>
              <a:gd name="T71" fmla="*/ 2147483647 h 959"/>
              <a:gd name="T72" fmla="*/ 0 w 940"/>
              <a:gd name="T73" fmla="*/ 2147483647 h 959"/>
              <a:gd name="T74" fmla="*/ 0 w 940"/>
              <a:gd name="T75" fmla="*/ 0 h 959"/>
              <a:gd name="T76" fmla="*/ 2147483647 w 940"/>
              <a:gd name="T77" fmla="*/ 0 h 959"/>
              <a:gd name="T78" fmla="*/ 2147483647 w 940"/>
              <a:gd name="T79" fmla="*/ 0 h 959"/>
              <a:gd name="T80" fmla="*/ 2147483647 w 940"/>
              <a:gd name="T81" fmla="*/ 0 h 959"/>
              <a:gd name="T82" fmla="*/ 2147483647 w 940"/>
              <a:gd name="T83" fmla="*/ 0 h 959"/>
              <a:gd name="T84" fmla="*/ 2147483647 w 940"/>
              <a:gd name="T85" fmla="*/ 0 h 959"/>
              <a:gd name="T86" fmla="*/ 2147483647 w 940"/>
              <a:gd name="T87" fmla="*/ 0 h 959"/>
              <a:gd name="T88" fmla="*/ 2147483647 w 940"/>
              <a:gd name="T89" fmla="*/ 0 h 959"/>
              <a:gd name="T90" fmla="*/ 2147483647 w 940"/>
              <a:gd name="T91" fmla="*/ 2147483647 h 959"/>
              <a:gd name="T92" fmla="*/ 2147483647 w 940"/>
              <a:gd name="T93" fmla="*/ 2147483647 h 959"/>
              <a:gd name="T94" fmla="*/ 2147483647 w 940"/>
              <a:gd name="T95" fmla="*/ 2147483647 h 959"/>
              <a:gd name="T96" fmla="*/ 2147483647 w 940"/>
              <a:gd name="T97" fmla="*/ 2147483647 h 959"/>
              <a:gd name="T98" fmla="*/ 2147483647 w 940"/>
              <a:gd name="T99" fmla="*/ 2147483647 h 959"/>
              <a:gd name="T100" fmla="*/ 2147483647 w 940"/>
              <a:gd name="T101" fmla="*/ 2147483647 h 959"/>
              <a:gd name="T102" fmla="*/ 2147483647 w 940"/>
              <a:gd name="T103" fmla="*/ 2147483647 h 959"/>
              <a:gd name="T104" fmla="*/ 2147483647 w 940"/>
              <a:gd name="T105" fmla="*/ 2147483647 h 959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940"/>
              <a:gd name="T160" fmla="*/ 0 h 959"/>
              <a:gd name="T161" fmla="*/ 940 w 940"/>
              <a:gd name="T162" fmla="*/ 959 h 959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940" h="959">
                <a:moveTo>
                  <a:pt x="537" y="477"/>
                </a:moveTo>
                <a:lnTo>
                  <a:pt x="559" y="477"/>
                </a:lnTo>
                <a:lnTo>
                  <a:pt x="570" y="477"/>
                </a:lnTo>
                <a:lnTo>
                  <a:pt x="602" y="477"/>
                </a:lnTo>
                <a:lnTo>
                  <a:pt x="616" y="477"/>
                </a:lnTo>
                <a:lnTo>
                  <a:pt x="624" y="477"/>
                </a:lnTo>
                <a:lnTo>
                  <a:pt x="650" y="477"/>
                </a:lnTo>
                <a:lnTo>
                  <a:pt x="654" y="477"/>
                </a:lnTo>
                <a:lnTo>
                  <a:pt x="663" y="477"/>
                </a:lnTo>
                <a:lnTo>
                  <a:pt x="686" y="477"/>
                </a:lnTo>
                <a:lnTo>
                  <a:pt x="692" y="477"/>
                </a:lnTo>
                <a:lnTo>
                  <a:pt x="708" y="477"/>
                </a:lnTo>
                <a:lnTo>
                  <a:pt x="710" y="477"/>
                </a:lnTo>
                <a:lnTo>
                  <a:pt x="733" y="476"/>
                </a:lnTo>
                <a:lnTo>
                  <a:pt x="787" y="476"/>
                </a:lnTo>
                <a:lnTo>
                  <a:pt x="803" y="476"/>
                </a:lnTo>
                <a:lnTo>
                  <a:pt x="803" y="477"/>
                </a:lnTo>
                <a:lnTo>
                  <a:pt x="807" y="476"/>
                </a:lnTo>
                <a:lnTo>
                  <a:pt x="803" y="494"/>
                </a:lnTo>
                <a:lnTo>
                  <a:pt x="789" y="536"/>
                </a:lnTo>
                <a:lnTo>
                  <a:pt x="786" y="555"/>
                </a:lnTo>
                <a:lnTo>
                  <a:pt x="802" y="595"/>
                </a:lnTo>
                <a:lnTo>
                  <a:pt x="803" y="595"/>
                </a:lnTo>
                <a:lnTo>
                  <a:pt x="815" y="604"/>
                </a:lnTo>
                <a:lnTo>
                  <a:pt x="827" y="654"/>
                </a:lnTo>
                <a:lnTo>
                  <a:pt x="846" y="671"/>
                </a:lnTo>
                <a:lnTo>
                  <a:pt x="827" y="677"/>
                </a:lnTo>
                <a:lnTo>
                  <a:pt x="803" y="704"/>
                </a:lnTo>
                <a:lnTo>
                  <a:pt x="783" y="711"/>
                </a:lnTo>
                <a:lnTo>
                  <a:pt x="803" y="726"/>
                </a:lnTo>
                <a:lnTo>
                  <a:pt x="812" y="742"/>
                </a:lnTo>
                <a:lnTo>
                  <a:pt x="827" y="745"/>
                </a:lnTo>
                <a:lnTo>
                  <a:pt x="839" y="712"/>
                </a:lnTo>
                <a:lnTo>
                  <a:pt x="850" y="705"/>
                </a:lnTo>
                <a:lnTo>
                  <a:pt x="874" y="701"/>
                </a:lnTo>
                <a:lnTo>
                  <a:pt x="910" y="675"/>
                </a:lnTo>
                <a:lnTo>
                  <a:pt x="906" y="727"/>
                </a:lnTo>
                <a:lnTo>
                  <a:pt x="895" y="733"/>
                </a:lnTo>
                <a:lnTo>
                  <a:pt x="897" y="745"/>
                </a:lnTo>
                <a:lnTo>
                  <a:pt x="866" y="772"/>
                </a:lnTo>
                <a:lnTo>
                  <a:pt x="862" y="793"/>
                </a:lnTo>
                <a:lnTo>
                  <a:pt x="850" y="780"/>
                </a:lnTo>
                <a:lnTo>
                  <a:pt x="850" y="798"/>
                </a:lnTo>
                <a:lnTo>
                  <a:pt x="827" y="788"/>
                </a:lnTo>
                <a:lnTo>
                  <a:pt x="850" y="800"/>
                </a:lnTo>
                <a:lnTo>
                  <a:pt x="825" y="801"/>
                </a:lnTo>
                <a:lnTo>
                  <a:pt x="844" y="831"/>
                </a:lnTo>
                <a:lnTo>
                  <a:pt x="832" y="829"/>
                </a:lnTo>
                <a:lnTo>
                  <a:pt x="849" y="858"/>
                </a:lnTo>
                <a:lnTo>
                  <a:pt x="874" y="858"/>
                </a:lnTo>
                <a:lnTo>
                  <a:pt x="898" y="876"/>
                </a:lnTo>
                <a:lnTo>
                  <a:pt x="911" y="873"/>
                </a:lnTo>
                <a:lnTo>
                  <a:pt x="928" y="892"/>
                </a:lnTo>
                <a:lnTo>
                  <a:pt x="940" y="898"/>
                </a:lnTo>
                <a:lnTo>
                  <a:pt x="934" y="934"/>
                </a:lnTo>
                <a:lnTo>
                  <a:pt x="919" y="935"/>
                </a:lnTo>
                <a:lnTo>
                  <a:pt x="915" y="956"/>
                </a:lnTo>
                <a:lnTo>
                  <a:pt x="915" y="949"/>
                </a:lnTo>
                <a:lnTo>
                  <a:pt x="898" y="930"/>
                </a:lnTo>
                <a:lnTo>
                  <a:pt x="874" y="959"/>
                </a:lnTo>
                <a:lnTo>
                  <a:pt x="869" y="954"/>
                </a:lnTo>
                <a:lnTo>
                  <a:pt x="875" y="949"/>
                </a:lnTo>
                <a:lnTo>
                  <a:pt x="874" y="930"/>
                </a:lnTo>
                <a:lnTo>
                  <a:pt x="868" y="929"/>
                </a:lnTo>
                <a:lnTo>
                  <a:pt x="852" y="898"/>
                </a:lnTo>
                <a:lnTo>
                  <a:pt x="803" y="876"/>
                </a:lnTo>
                <a:lnTo>
                  <a:pt x="774" y="879"/>
                </a:lnTo>
                <a:lnTo>
                  <a:pt x="740" y="910"/>
                </a:lnTo>
                <a:lnTo>
                  <a:pt x="710" y="930"/>
                </a:lnTo>
                <a:lnTo>
                  <a:pt x="686" y="935"/>
                </a:lnTo>
                <a:lnTo>
                  <a:pt x="705" y="930"/>
                </a:lnTo>
                <a:lnTo>
                  <a:pt x="713" y="920"/>
                </a:lnTo>
                <a:lnTo>
                  <a:pt x="698" y="890"/>
                </a:lnTo>
                <a:lnTo>
                  <a:pt x="686" y="887"/>
                </a:lnTo>
                <a:lnTo>
                  <a:pt x="680" y="903"/>
                </a:lnTo>
                <a:lnTo>
                  <a:pt x="663" y="898"/>
                </a:lnTo>
                <a:lnTo>
                  <a:pt x="631" y="920"/>
                </a:lnTo>
                <a:lnTo>
                  <a:pt x="607" y="939"/>
                </a:lnTo>
                <a:lnTo>
                  <a:pt x="600" y="939"/>
                </a:lnTo>
                <a:lnTo>
                  <a:pt x="583" y="914"/>
                </a:lnTo>
                <a:lnTo>
                  <a:pt x="549" y="915"/>
                </a:lnTo>
                <a:lnTo>
                  <a:pt x="500" y="871"/>
                </a:lnTo>
                <a:lnTo>
                  <a:pt x="512" y="876"/>
                </a:lnTo>
                <a:lnTo>
                  <a:pt x="526" y="861"/>
                </a:lnTo>
                <a:lnTo>
                  <a:pt x="519" y="837"/>
                </a:lnTo>
                <a:lnTo>
                  <a:pt x="476" y="823"/>
                </a:lnTo>
                <a:lnTo>
                  <a:pt x="467" y="827"/>
                </a:lnTo>
                <a:lnTo>
                  <a:pt x="467" y="801"/>
                </a:lnTo>
                <a:lnTo>
                  <a:pt x="453" y="801"/>
                </a:lnTo>
                <a:lnTo>
                  <a:pt x="453" y="776"/>
                </a:lnTo>
                <a:lnTo>
                  <a:pt x="430" y="772"/>
                </a:lnTo>
                <a:lnTo>
                  <a:pt x="406" y="780"/>
                </a:lnTo>
                <a:lnTo>
                  <a:pt x="409" y="774"/>
                </a:lnTo>
                <a:lnTo>
                  <a:pt x="405" y="772"/>
                </a:lnTo>
                <a:lnTo>
                  <a:pt x="406" y="752"/>
                </a:lnTo>
                <a:lnTo>
                  <a:pt x="388" y="752"/>
                </a:lnTo>
                <a:lnTo>
                  <a:pt x="382" y="762"/>
                </a:lnTo>
                <a:lnTo>
                  <a:pt x="352" y="773"/>
                </a:lnTo>
                <a:lnTo>
                  <a:pt x="382" y="804"/>
                </a:lnTo>
                <a:lnTo>
                  <a:pt x="412" y="801"/>
                </a:lnTo>
                <a:lnTo>
                  <a:pt x="430" y="813"/>
                </a:lnTo>
                <a:lnTo>
                  <a:pt x="426" y="833"/>
                </a:lnTo>
                <a:lnTo>
                  <a:pt x="405" y="830"/>
                </a:lnTo>
                <a:lnTo>
                  <a:pt x="375" y="812"/>
                </a:lnTo>
                <a:lnTo>
                  <a:pt x="356" y="811"/>
                </a:lnTo>
                <a:lnTo>
                  <a:pt x="335" y="822"/>
                </a:lnTo>
                <a:lnTo>
                  <a:pt x="267" y="812"/>
                </a:lnTo>
                <a:lnTo>
                  <a:pt x="203" y="782"/>
                </a:lnTo>
                <a:lnTo>
                  <a:pt x="146" y="766"/>
                </a:lnTo>
                <a:lnTo>
                  <a:pt x="55" y="776"/>
                </a:lnTo>
                <a:lnTo>
                  <a:pt x="41" y="797"/>
                </a:lnTo>
                <a:lnTo>
                  <a:pt x="31" y="774"/>
                </a:lnTo>
                <a:lnTo>
                  <a:pt x="29" y="750"/>
                </a:lnTo>
                <a:lnTo>
                  <a:pt x="36" y="745"/>
                </a:lnTo>
                <a:lnTo>
                  <a:pt x="52" y="712"/>
                </a:lnTo>
                <a:lnTo>
                  <a:pt x="57" y="706"/>
                </a:lnTo>
                <a:lnTo>
                  <a:pt x="60" y="701"/>
                </a:lnTo>
                <a:lnTo>
                  <a:pt x="65" y="684"/>
                </a:lnTo>
                <a:lnTo>
                  <a:pt x="63" y="655"/>
                </a:lnTo>
                <a:lnTo>
                  <a:pt x="55" y="637"/>
                </a:lnTo>
                <a:lnTo>
                  <a:pt x="55" y="619"/>
                </a:lnTo>
                <a:lnTo>
                  <a:pt x="57" y="618"/>
                </a:lnTo>
                <a:lnTo>
                  <a:pt x="62" y="595"/>
                </a:lnTo>
                <a:lnTo>
                  <a:pt x="82" y="536"/>
                </a:lnTo>
                <a:lnTo>
                  <a:pt x="91" y="508"/>
                </a:lnTo>
                <a:lnTo>
                  <a:pt x="91" y="507"/>
                </a:lnTo>
                <a:lnTo>
                  <a:pt x="87" y="477"/>
                </a:lnTo>
                <a:lnTo>
                  <a:pt x="92" y="433"/>
                </a:lnTo>
                <a:lnTo>
                  <a:pt x="83" y="435"/>
                </a:lnTo>
                <a:lnTo>
                  <a:pt x="55" y="362"/>
                </a:lnTo>
                <a:lnTo>
                  <a:pt x="60" y="358"/>
                </a:lnTo>
                <a:lnTo>
                  <a:pt x="39" y="338"/>
                </a:lnTo>
                <a:lnTo>
                  <a:pt x="39" y="299"/>
                </a:lnTo>
                <a:lnTo>
                  <a:pt x="30" y="277"/>
                </a:lnTo>
                <a:lnTo>
                  <a:pt x="31" y="277"/>
                </a:lnTo>
                <a:lnTo>
                  <a:pt x="8" y="250"/>
                </a:lnTo>
                <a:lnTo>
                  <a:pt x="7" y="247"/>
                </a:lnTo>
                <a:lnTo>
                  <a:pt x="6" y="246"/>
                </a:lnTo>
                <a:lnTo>
                  <a:pt x="5" y="243"/>
                </a:lnTo>
                <a:lnTo>
                  <a:pt x="0" y="240"/>
                </a:lnTo>
                <a:lnTo>
                  <a:pt x="0" y="194"/>
                </a:lnTo>
                <a:lnTo>
                  <a:pt x="0" y="182"/>
                </a:lnTo>
                <a:lnTo>
                  <a:pt x="0" y="152"/>
                </a:lnTo>
                <a:lnTo>
                  <a:pt x="0" y="147"/>
                </a:lnTo>
                <a:lnTo>
                  <a:pt x="0" y="123"/>
                </a:lnTo>
                <a:lnTo>
                  <a:pt x="0" y="93"/>
                </a:lnTo>
                <a:lnTo>
                  <a:pt x="0" y="77"/>
                </a:lnTo>
                <a:lnTo>
                  <a:pt x="0" y="67"/>
                </a:lnTo>
                <a:lnTo>
                  <a:pt x="0" y="63"/>
                </a:lnTo>
                <a:lnTo>
                  <a:pt x="0" y="33"/>
                </a:lnTo>
                <a:lnTo>
                  <a:pt x="0" y="4"/>
                </a:lnTo>
                <a:lnTo>
                  <a:pt x="0" y="0"/>
                </a:lnTo>
                <a:lnTo>
                  <a:pt x="8" y="0"/>
                </a:lnTo>
                <a:lnTo>
                  <a:pt x="22" y="0"/>
                </a:lnTo>
                <a:lnTo>
                  <a:pt x="44" y="0"/>
                </a:lnTo>
                <a:lnTo>
                  <a:pt x="68" y="0"/>
                </a:lnTo>
                <a:lnTo>
                  <a:pt x="70" y="0"/>
                </a:lnTo>
                <a:lnTo>
                  <a:pt x="98" y="0"/>
                </a:lnTo>
                <a:lnTo>
                  <a:pt x="102" y="0"/>
                </a:lnTo>
                <a:lnTo>
                  <a:pt x="103" y="0"/>
                </a:lnTo>
                <a:lnTo>
                  <a:pt x="132" y="0"/>
                </a:lnTo>
                <a:lnTo>
                  <a:pt x="148" y="0"/>
                </a:lnTo>
                <a:lnTo>
                  <a:pt x="150" y="0"/>
                </a:lnTo>
                <a:lnTo>
                  <a:pt x="156" y="0"/>
                </a:lnTo>
                <a:lnTo>
                  <a:pt x="161" y="0"/>
                </a:lnTo>
                <a:lnTo>
                  <a:pt x="197" y="0"/>
                </a:lnTo>
                <a:lnTo>
                  <a:pt x="232" y="1"/>
                </a:lnTo>
                <a:lnTo>
                  <a:pt x="246" y="1"/>
                </a:lnTo>
                <a:lnTo>
                  <a:pt x="289" y="2"/>
                </a:lnTo>
                <a:lnTo>
                  <a:pt x="351" y="2"/>
                </a:lnTo>
                <a:lnTo>
                  <a:pt x="370" y="2"/>
                </a:lnTo>
                <a:lnTo>
                  <a:pt x="459" y="3"/>
                </a:lnTo>
                <a:lnTo>
                  <a:pt x="462" y="3"/>
                </a:lnTo>
                <a:lnTo>
                  <a:pt x="483" y="3"/>
                </a:lnTo>
                <a:lnTo>
                  <a:pt x="488" y="3"/>
                </a:lnTo>
                <a:lnTo>
                  <a:pt x="493" y="3"/>
                </a:lnTo>
                <a:lnTo>
                  <a:pt x="494" y="3"/>
                </a:lnTo>
                <a:lnTo>
                  <a:pt x="520" y="3"/>
                </a:lnTo>
                <a:lnTo>
                  <a:pt x="528" y="3"/>
                </a:lnTo>
                <a:lnTo>
                  <a:pt x="532" y="3"/>
                </a:lnTo>
                <a:lnTo>
                  <a:pt x="539" y="3"/>
                </a:lnTo>
                <a:lnTo>
                  <a:pt x="546" y="102"/>
                </a:lnTo>
                <a:lnTo>
                  <a:pt x="569" y="93"/>
                </a:lnTo>
                <a:lnTo>
                  <a:pt x="561" y="105"/>
                </a:lnTo>
                <a:lnTo>
                  <a:pt x="556" y="108"/>
                </a:lnTo>
                <a:lnTo>
                  <a:pt x="570" y="127"/>
                </a:lnTo>
                <a:lnTo>
                  <a:pt x="547" y="123"/>
                </a:lnTo>
                <a:lnTo>
                  <a:pt x="570" y="134"/>
                </a:lnTo>
                <a:lnTo>
                  <a:pt x="570" y="195"/>
                </a:lnTo>
                <a:lnTo>
                  <a:pt x="546" y="190"/>
                </a:lnTo>
                <a:lnTo>
                  <a:pt x="546" y="210"/>
                </a:lnTo>
                <a:lnTo>
                  <a:pt x="559" y="210"/>
                </a:lnTo>
                <a:lnTo>
                  <a:pt x="560" y="212"/>
                </a:lnTo>
                <a:lnTo>
                  <a:pt x="560" y="210"/>
                </a:lnTo>
                <a:lnTo>
                  <a:pt x="566" y="210"/>
                </a:lnTo>
                <a:lnTo>
                  <a:pt x="563" y="212"/>
                </a:lnTo>
                <a:lnTo>
                  <a:pt x="563" y="214"/>
                </a:lnTo>
                <a:lnTo>
                  <a:pt x="546" y="223"/>
                </a:lnTo>
                <a:lnTo>
                  <a:pt x="553" y="240"/>
                </a:lnTo>
                <a:lnTo>
                  <a:pt x="525" y="270"/>
                </a:lnTo>
                <a:lnTo>
                  <a:pt x="523" y="271"/>
                </a:lnTo>
                <a:lnTo>
                  <a:pt x="519" y="299"/>
                </a:lnTo>
                <a:lnTo>
                  <a:pt x="510" y="299"/>
                </a:lnTo>
                <a:lnTo>
                  <a:pt x="503" y="299"/>
                </a:lnTo>
                <a:lnTo>
                  <a:pt x="499" y="303"/>
                </a:lnTo>
                <a:lnTo>
                  <a:pt x="498" y="304"/>
                </a:lnTo>
                <a:lnTo>
                  <a:pt x="476" y="324"/>
                </a:lnTo>
                <a:lnTo>
                  <a:pt x="476" y="390"/>
                </a:lnTo>
                <a:lnTo>
                  <a:pt x="459" y="431"/>
                </a:lnTo>
                <a:lnTo>
                  <a:pt x="453" y="446"/>
                </a:lnTo>
                <a:lnTo>
                  <a:pt x="455" y="475"/>
                </a:lnTo>
                <a:lnTo>
                  <a:pt x="450" y="477"/>
                </a:lnTo>
                <a:lnTo>
                  <a:pt x="499" y="477"/>
                </a:lnTo>
                <a:lnTo>
                  <a:pt x="523" y="477"/>
                </a:lnTo>
                <a:lnTo>
                  <a:pt x="537" y="47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6" name="S_KY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>
            <a:spLocks/>
          </xdr:cNvSpPr>
        </xdr:nvSpPr>
        <xdr:spPr bwMode="auto">
          <a:xfrm>
            <a:off x="6349813" y="2263028"/>
            <a:ext cx="1348628" cy="589430"/>
          </a:xfrm>
          <a:custGeom>
            <a:avLst/>
            <a:gdLst>
              <a:gd name="T0" fmla="*/ 2147483647 w 1394"/>
              <a:gd name="T1" fmla="*/ 2147483647 h 626"/>
              <a:gd name="T2" fmla="*/ 2147483647 w 1394"/>
              <a:gd name="T3" fmla="*/ 2147483647 h 626"/>
              <a:gd name="T4" fmla="*/ 2147483647 w 1394"/>
              <a:gd name="T5" fmla="*/ 2147483647 h 626"/>
              <a:gd name="T6" fmla="*/ 2147483647 w 1394"/>
              <a:gd name="T7" fmla="*/ 2147483647 h 626"/>
              <a:gd name="T8" fmla="*/ 2147483647 w 1394"/>
              <a:gd name="T9" fmla="*/ 2147483647 h 626"/>
              <a:gd name="T10" fmla="*/ 2147483647 w 1394"/>
              <a:gd name="T11" fmla="*/ 2147483647 h 626"/>
              <a:gd name="T12" fmla="*/ 2147483647 w 1394"/>
              <a:gd name="T13" fmla="*/ 2147483647 h 626"/>
              <a:gd name="T14" fmla="*/ 2147483647 w 1394"/>
              <a:gd name="T15" fmla="*/ 2147483647 h 626"/>
              <a:gd name="T16" fmla="*/ 2147483647 w 1394"/>
              <a:gd name="T17" fmla="*/ 2147483647 h 626"/>
              <a:gd name="T18" fmla="*/ 2147483647 w 1394"/>
              <a:gd name="T19" fmla="*/ 2147483647 h 626"/>
              <a:gd name="T20" fmla="*/ 2147483647 w 1394"/>
              <a:gd name="T21" fmla="*/ 2147483647 h 626"/>
              <a:gd name="T22" fmla="*/ 2147483647 w 1394"/>
              <a:gd name="T23" fmla="*/ 2147483647 h 626"/>
              <a:gd name="T24" fmla="*/ 2147483647 w 1394"/>
              <a:gd name="T25" fmla="*/ 2147483647 h 626"/>
              <a:gd name="T26" fmla="*/ 2147483647 w 1394"/>
              <a:gd name="T27" fmla="*/ 2147483647 h 626"/>
              <a:gd name="T28" fmla="*/ 2147483647 w 1394"/>
              <a:gd name="T29" fmla="*/ 2147483647 h 626"/>
              <a:gd name="T30" fmla="*/ 2147483647 w 1394"/>
              <a:gd name="T31" fmla="*/ 2147483647 h 626"/>
              <a:gd name="T32" fmla="*/ 2147483647 w 1394"/>
              <a:gd name="T33" fmla="*/ 2147483647 h 626"/>
              <a:gd name="T34" fmla="*/ 2147483647 w 1394"/>
              <a:gd name="T35" fmla="*/ 2147483647 h 626"/>
              <a:gd name="T36" fmla="*/ 2147483647 w 1394"/>
              <a:gd name="T37" fmla="*/ 2147483647 h 626"/>
              <a:gd name="T38" fmla="*/ 2147483647 w 1394"/>
              <a:gd name="T39" fmla="*/ 2147483647 h 626"/>
              <a:gd name="T40" fmla="*/ 2147483647 w 1394"/>
              <a:gd name="T41" fmla="*/ 2147483647 h 626"/>
              <a:gd name="T42" fmla="*/ 2147483647 w 1394"/>
              <a:gd name="T43" fmla="*/ 2147483647 h 626"/>
              <a:gd name="T44" fmla="*/ 2147483647 w 1394"/>
              <a:gd name="T45" fmla="*/ 2147483647 h 626"/>
              <a:gd name="T46" fmla="*/ 2147483647 w 1394"/>
              <a:gd name="T47" fmla="*/ 2147483647 h 626"/>
              <a:gd name="T48" fmla="*/ 2147483647 w 1394"/>
              <a:gd name="T49" fmla="*/ 2147483647 h 626"/>
              <a:gd name="T50" fmla="*/ 2147483647 w 1394"/>
              <a:gd name="T51" fmla="*/ 2147483647 h 626"/>
              <a:gd name="T52" fmla="*/ 2147483647 w 1394"/>
              <a:gd name="T53" fmla="*/ 2147483647 h 626"/>
              <a:gd name="T54" fmla="*/ 2147483647 w 1394"/>
              <a:gd name="T55" fmla="*/ 2147483647 h 626"/>
              <a:gd name="T56" fmla="*/ 2147483647 w 1394"/>
              <a:gd name="T57" fmla="*/ 2147483647 h 626"/>
              <a:gd name="T58" fmla="*/ 2147483647 w 1394"/>
              <a:gd name="T59" fmla="*/ 2147483647 h 626"/>
              <a:gd name="T60" fmla="*/ 2147483647 w 1394"/>
              <a:gd name="T61" fmla="*/ 2147483647 h 626"/>
              <a:gd name="T62" fmla="*/ 2147483647 w 1394"/>
              <a:gd name="T63" fmla="*/ 2147483647 h 626"/>
              <a:gd name="T64" fmla="*/ 2147483647 w 1394"/>
              <a:gd name="T65" fmla="*/ 2147483647 h 626"/>
              <a:gd name="T66" fmla="*/ 2147483647 w 1394"/>
              <a:gd name="T67" fmla="*/ 2147483647 h 626"/>
              <a:gd name="T68" fmla="*/ 2147483647 w 1394"/>
              <a:gd name="T69" fmla="*/ 2147483647 h 626"/>
              <a:gd name="T70" fmla="*/ 2147483647 w 1394"/>
              <a:gd name="T71" fmla="*/ 2147483647 h 626"/>
              <a:gd name="T72" fmla="*/ 2147483647 w 1394"/>
              <a:gd name="T73" fmla="*/ 2147483647 h 626"/>
              <a:gd name="T74" fmla="*/ 2147483647 w 1394"/>
              <a:gd name="T75" fmla="*/ 2147483647 h 626"/>
              <a:gd name="T76" fmla="*/ 2147483647 w 1394"/>
              <a:gd name="T77" fmla="*/ 2147483647 h 626"/>
              <a:gd name="T78" fmla="*/ 2147483647 w 1394"/>
              <a:gd name="T79" fmla="*/ 2147483647 h 626"/>
              <a:gd name="T80" fmla="*/ 2147483647 w 1394"/>
              <a:gd name="T81" fmla="*/ 2147483647 h 626"/>
              <a:gd name="T82" fmla="*/ 2147483647 w 1394"/>
              <a:gd name="T83" fmla="*/ 2147483647 h 626"/>
              <a:gd name="T84" fmla="*/ 2147483647 w 1394"/>
              <a:gd name="T85" fmla="*/ 2147483647 h 626"/>
              <a:gd name="T86" fmla="*/ 2147483647 w 1394"/>
              <a:gd name="T87" fmla="*/ 2147483647 h 626"/>
              <a:gd name="T88" fmla="*/ 2147483647 w 1394"/>
              <a:gd name="T89" fmla="*/ 2147483647 h 626"/>
              <a:gd name="T90" fmla="*/ 2147483647 w 1394"/>
              <a:gd name="T91" fmla="*/ 2147483647 h 626"/>
              <a:gd name="T92" fmla="*/ 2147483647 w 1394"/>
              <a:gd name="T93" fmla="*/ 2147483647 h 626"/>
              <a:gd name="T94" fmla="*/ 2147483647 w 1394"/>
              <a:gd name="T95" fmla="*/ 2147483647 h 626"/>
              <a:gd name="T96" fmla="*/ 2147483647 w 1394"/>
              <a:gd name="T97" fmla="*/ 2147483647 h 626"/>
              <a:gd name="T98" fmla="*/ 2147483647 w 1394"/>
              <a:gd name="T99" fmla="*/ 2147483647 h 626"/>
              <a:gd name="T100" fmla="*/ 2147483647 w 1394"/>
              <a:gd name="T101" fmla="*/ 2147483647 h 626"/>
              <a:gd name="T102" fmla="*/ 2147483647 w 1394"/>
              <a:gd name="T103" fmla="*/ 2147483647 h 626"/>
              <a:gd name="T104" fmla="*/ 2147483647 w 1394"/>
              <a:gd name="T105" fmla="*/ 2147483647 h 626"/>
              <a:gd name="T106" fmla="*/ 2147483647 w 1394"/>
              <a:gd name="T107" fmla="*/ 2147483647 h 626"/>
              <a:gd name="T108" fmla="*/ 2147483647 w 1394"/>
              <a:gd name="T109" fmla="*/ 2147483647 h 626"/>
              <a:gd name="T110" fmla="*/ 2147483647 w 1394"/>
              <a:gd name="T111" fmla="*/ 2147483647 h 626"/>
              <a:gd name="T112" fmla="*/ 2147483647 w 1394"/>
              <a:gd name="T113" fmla="*/ 2147483647 h 626"/>
              <a:gd name="T114" fmla="*/ 2147483647 w 1394"/>
              <a:gd name="T115" fmla="*/ 2147483647 h 626"/>
              <a:gd name="T116" fmla="*/ 2147483647 w 1394"/>
              <a:gd name="T117" fmla="*/ 2147483647 h 626"/>
              <a:gd name="T118" fmla="*/ 2147483647 w 1394"/>
              <a:gd name="T119" fmla="*/ 2147483647 h 626"/>
              <a:gd name="T120" fmla="*/ 2147483647 w 1394"/>
              <a:gd name="T121" fmla="*/ 2147483647 h 626"/>
              <a:gd name="T122" fmla="*/ 2147483647 w 1394"/>
              <a:gd name="T123" fmla="*/ 2147483647 h 62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394"/>
              <a:gd name="T187" fmla="*/ 0 h 626"/>
              <a:gd name="T188" fmla="*/ 1394 w 1394"/>
              <a:gd name="T189" fmla="*/ 626 h 62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394" h="626">
                <a:moveTo>
                  <a:pt x="972" y="603"/>
                </a:moveTo>
                <a:lnTo>
                  <a:pt x="969" y="603"/>
                </a:lnTo>
                <a:lnTo>
                  <a:pt x="965" y="603"/>
                </a:lnTo>
                <a:lnTo>
                  <a:pt x="931" y="602"/>
                </a:lnTo>
                <a:lnTo>
                  <a:pt x="912" y="602"/>
                </a:lnTo>
                <a:lnTo>
                  <a:pt x="868" y="601"/>
                </a:lnTo>
                <a:lnTo>
                  <a:pt x="867" y="601"/>
                </a:lnTo>
                <a:lnTo>
                  <a:pt x="850" y="600"/>
                </a:lnTo>
                <a:lnTo>
                  <a:pt x="837" y="599"/>
                </a:lnTo>
                <a:lnTo>
                  <a:pt x="832" y="598"/>
                </a:lnTo>
                <a:lnTo>
                  <a:pt x="826" y="598"/>
                </a:lnTo>
                <a:lnTo>
                  <a:pt x="804" y="596"/>
                </a:lnTo>
                <a:lnTo>
                  <a:pt x="775" y="596"/>
                </a:lnTo>
                <a:lnTo>
                  <a:pt x="772" y="596"/>
                </a:lnTo>
                <a:lnTo>
                  <a:pt x="771" y="596"/>
                </a:lnTo>
                <a:lnTo>
                  <a:pt x="764" y="597"/>
                </a:lnTo>
                <a:lnTo>
                  <a:pt x="745" y="597"/>
                </a:lnTo>
                <a:lnTo>
                  <a:pt x="733" y="598"/>
                </a:lnTo>
                <a:lnTo>
                  <a:pt x="710" y="598"/>
                </a:lnTo>
                <a:lnTo>
                  <a:pt x="680" y="597"/>
                </a:lnTo>
                <a:lnTo>
                  <a:pt x="672" y="597"/>
                </a:lnTo>
                <a:lnTo>
                  <a:pt x="658" y="596"/>
                </a:lnTo>
                <a:lnTo>
                  <a:pt x="644" y="595"/>
                </a:lnTo>
                <a:lnTo>
                  <a:pt x="640" y="595"/>
                </a:lnTo>
                <a:lnTo>
                  <a:pt x="617" y="594"/>
                </a:lnTo>
                <a:lnTo>
                  <a:pt x="602" y="593"/>
                </a:lnTo>
                <a:lnTo>
                  <a:pt x="584" y="591"/>
                </a:lnTo>
                <a:lnTo>
                  <a:pt x="577" y="590"/>
                </a:lnTo>
                <a:lnTo>
                  <a:pt x="563" y="589"/>
                </a:lnTo>
                <a:lnTo>
                  <a:pt x="546" y="589"/>
                </a:lnTo>
                <a:lnTo>
                  <a:pt x="537" y="591"/>
                </a:lnTo>
                <a:lnTo>
                  <a:pt x="534" y="594"/>
                </a:lnTo>
                <a:lnTo>
                  <a:pt x="530" y="589"/>
                </a:lnTo>
                <a:lnTo>
                  <a:pt x="510" y="590"/>
                </a:lnTo>
                <a:lnTo>
                  <a:pt x="497" y="590"/>
                </a:lnTo>
                <a:lnTo>
                  <a:pt x="484" y="590"/>
                </a:lnTo>
                <a:lnTo>
                  <a:pt x="476" y="590"/>
                </a:lnTo>
                <a:lnTo>
                  <a:pt x="441" y="591"/>
                </a:lnTo>
                <a:lnTo>
                  <a:pt x="431" y="591"/>
                </a:lnTo>
                <a:lnTo>
                  <a:pt x="429" y="591"/>
                </a:lnTo>
                <a:lnTo>
                  <a:pt x="406" y="591"/>
                </a:lnTo>
                <a:lnTo>
                  <a:pt x="390" y="591"/>
                </a:lnTo>
                <a:lnTo>
                  <a:pt x="366" y="593"/>
                </a:lnTo>
                <a:lnTo>
                  <a:pt x="348" y="593"/>
                </a:lnTo>
                <a:lnTo>
                  <a:pt x="333" y="593"/>
                </a:lnTo>
                <a:lnTo>
                  <a:pt x="323" y="593"/>
                </a:lnTo>
                <a:lnTo>
                  <a:pt x="293" y="594"/>
                </a:lnTo>
                <a:lnTo>
                  <a:pt x="293" y="587"/>
                </a:lnTo>
                <a:lnTo>
                  <a:pt x="253" y="583"/>
                </a:lnTo>
                <a:lnTo>
                  <a:pt x="254" y="589"/>
                </a:lnTo>
                <a:lnTo>
                  <a:pt x="256" y="596"/>
                </a:lnTo>
                <a:lnTo>
                  <a:pt x="256" y="626"/>
                </a:lnTo>
                <a:lnTo>
                  <a:pt x="213" y="626"/>
                </a:lnTo>
                <a:lnTo>
                  <a:pt x="196" y="626"/>
                </a:lnTo>
                <a:lnTo>
                  <a:pt x="175" y="625"/>
                </a:lnTo>
                <a:lnTo>
                  <a:pt x="172" y="625"/>
                </a:lnTo>
                <a:lnTo>
                  <a:pt x="169" y="625"/>
                </a:lnTo>
                <a:lnTo>
                  <a:pt x="164" y="625"/>
                </a:lnTo>
                <a:lnTo>
                  <a:pt x="123" y="625"/>
                </a:lnTo>
                <a:lnTo>
                  <a:pt x="112" y="625"/>
                </a:lnTo>
                <a:lnTo>
                  <a:pt x="111" y="625"/>
                </a:lnTo>
                <a:lnTo>
                  <a:pt x="109" y="625"/>
                </a:lnTo>
                <a:lnTo>
                  <a:pt x="84" y="625"/>
                </a:lnTo>
                <a:lnTo>
                  <a:pt x="23" y="624"/>
                </a:lnTo>
                <a:lnTo>
                  <a:pt x="14" y="625"/>
                </a:lnTo>
                <a:lnTo>
                  <a:pt x="0" y="626"/>
                </a:lnTo>
                <a:lnTo>
                  <a:pt x="9" y="598"/>
                </a:lnTo>
                <a:lnTo>
                  <a:pt x="10" y="596"/>
                </a:lnTo>
                <a:lnTo>
                  <a:pt x="17" y="594"/>
                </a:lnTo>
                <a:lnTo>
                  <a:pt x="32" y="610"/>
                </a:lnTo>
                <a:lnTo>
                  <a:pt x="46" y="589"/>
                </a:lnTo>
                <a:lnTo>
                  <a:pt x="43" y="567"/>
                </a:lnTo>
                <a:lnTo>
                  <a:pt x="56" y="566"/>
                </a:lnTo>
                <a:lnTo>
                  <a:pt x="56" y="558"/>
                </a:lnTo>
                <a:lnTo>
                  <a:pt x="55" y="537"/>
                </a:lnTo>
                <a:lnTo>
                  <a:pt x="57" y="534"/>
                </a:lnTo>
                <a:lnTo>
                  <a:pt x="60" y="521"/>
                </a:lnTo>
                <a:lnTo>
                  <a:pt x="60" y="519"/>
                </a:lnTo>
                <a:lnTo>
                  <a:pt x="56" y="511"/>
                </a:lnTo>
                <a:lnTo>
                  <a:pt x="48" y="507"/>
                </a:lnTo>
                <a:lnTo>
                  <a:pt x="45" y="496"/>
                </a:lnTo>
                <a:lnTo>
                  <a:pt x="46" y="491"/>
                </a:lnTo>
                <a:lnTo>
                  <a:pt x="53" y="483"/>
                </a:lnTo>
                <a:lnTo>
                  <a:pt x="78" y="454"/>
                </a:lnTo>
                <a:lnTo>
                  <a:pt x="91" y="454"/>
                </a:lnTo>
                <a:lnTo>
                  <a:pt x="92" y="453"/>
                </a:lnTo>
                <a:lnTo>
                  <a:pt x="125" y="471"/>
                </a:lnTo>
                <a:lnTo>
                  <a:pt x="149" y="479"/>
                </a:lnTo>
                <a:lnTo>
                  <a:pt x="160" y="490"/>
                </a:lnTo>
                <a:lnTo>
                  <a:pt x="172" y="492"/>
                </a:lnTo>
                <a:lnTo>
                  <a:pt x="173" y="491"/>
                </a:lnTo>
                <a:lnTo>
                  <a:pt x="184" y="478"/>
                </a:lnTo>
                <a:lnTo>
                  <a:pt x="172" y="447"/>
                </a:lnTo>
                <a:lnTo>
                  <a:pt x="188" y="407"/>
                </a:lnTo>
                <a:lnTo>
                  <a:pt x="196" y="412"/>
                </a:lnTo>
                <a:lnTo>
                  <a:pt x="197" y="413"/>
                </a:lnTo>
                <a:lnTo>
                  <a:pt x="199" y="412"/>
                </a:lnTo>
                <a:lnTo>
                  <a:pt x="218" y="399"/>
                </a:lnTo>
                <a:lnTo>
                  <a:pt x="242" y="396"/>
                </a:lnTo>
                <a:lnTo>
                  <a:pt x="254" y="388"/>
                </a:lnTo>
                <a:lnTo>
                  <a:pt x="242" y="372"/>
                </a:lnTo>
                <a:lnTo>
                  <a:pt x="241" y="372"/>
                </a:lnTo>
                <a:lnTo>
                  <a:pt x="237" y="359"/>
                </a:lnTo>
                <a:lnTo>
                  <a:pt x="242" y="340"/>
                </a:lnTo>
                <a:lnTo>
                  <a:pt x="260" y="319"/>
                </a:lnTo>
                <a:lnTo>
                  <a:pt x="266" y="319"/>
                </a:lnTo>
                <a:lnTo>
                  <a:pt x="277" y="301"/>
                </a:lnTo>
                <a:lnTo>
                  <a:pt x="279" y="294"/>
                </a:lnTo>
                <a:lnTo>
                  <a:pt x="289" y="290"/>
                </a:lnTo>
                <a:lnTo>
                  <a:pt x="312" y="296"/>
                </a:lnTo>
                <a:lnTo>
                  <a:pt x="322" y="295"/>
                </a:lnTo>
                <a:lnTo>
                  <a:pt x="336" y="311"/>
                </a:lnTo>
                <a:lnTo>
                  <a:pt x="336" y="289"/>
                </a:lnTo>
                <a:lnTo>
                  <a:pt x="368" y="285"/>
                </a:lnTo>
                <a:lnTo>
                  <a:pt x="378" y="285"/>
                </a:lnTo>
                <a:lnTo>
                  <a:pt x="380" y="285"/>
                </a:lnTo>
                <a:lnTo>
                  <a:pt x="396" y="295"/>
                </a:lnTo>
                <a:lnTo>
                  <a:pt x="403" y="300"/>
                </a:lnTo>
                <a:lnTo>
                  <a:pt x="429" y="322"/>
                </a:lnTo>
                <a:lnTo>
                  <a:pt x="453" y="289"/>
                </a:lnTo>
                <a:lnTo>
                  <a:pt x="457" y="288"/>
                </a:lnTo>
                <a:lnTo>
                  <a:pt x="476" y="277"/>
                </a:lnTo>
                <a:lnTo>
                  <a:pt x="487" y="271"/>
                </a:lnTo>
                <a:lnTo>
                  <a:pt x="500" y="292"/>
                </a:lnTo>
                <a:lnTo>
                  <a:pt x="517" y="300"/>
                </a:lnTo>
                <a:lnTo>
                  <a:pt x="517" y="308"/>
                </a:lnTo>
                <a:lnTo>
                  <a:pt x="528" y="300"/>
                </a:lnTo>
                <a:lnTo>
                  <a:pt x="544" y="261"/>
                </a:lnTo>
                <a:lnTo>
                  <a:pt x="548" y="260"/>
                </a:lnTo>
                <a:lnTo>
                  <a:pt x="553" y="248"/>
                </a:lnTo>
                <a:lnTo>
                  <a:pt x="552" y="245"/>
                </a:lnTo>
                <a:lnTo>
                  <a:pt x="553" y="243"/>
                </a:lnTo>
                <a:lnTo>
                  <a:pt x="569" y="240"/>
                </a:lnTo>
                <a:lnTo>
                  <a:pt x="569" y="225"/>
                </a:lnTo>
                <a:lnTo>
                  <a:pt x="578" y="228"/>
                </a:lnTo>
                <a:lnTo>
                  <a:pt x="589" y="241"/>
                </a:lnTo>
                <a:lnTo>
                  <a:pt x="593" y="260"/>
                </a:lnTo>
                <a:lnTo>
                  <a:pt x="640" y="271"/>
                </a:lnTo>
                <a:lnTo>
                  <a:pt x="649" y="270"/>
                </a:lnTo>
                <a:lnTo>
                  <a:pt x="650" y="269"/>
                </a:lnTo>
                <a:lnTo>
                  <a:pt x="657" y="241"/>
                </a:lnTo>
                <a:lnTo>
                  <a:pt x="657" y="240"/>
                </a:lnTo>
                <a:lnTo>
                  <a:pt x="658" y="229"/>
                </a:lnTo>
                <a:lnTo>
                  <a:pt x="670" y="212"/>
                </a:lnTo>
                <a:lnTo>
                  <a:pt x="679" y="203"/>
                </a:lnTo>
                <a:lnTo>
                  <a:pt x="684" y="205"/>
                </a:lnTo>
                <a:lnTo>
                  <a:pt x="686" y="207"/>
                </a:lnTo>
                <a:lnTo>
                  <a:pt x="708" y="182"/>
                </a:lnTo>
                <a:lnTo>
                  <a:pt x="710" y="174"/>
                </a:lnTo>
                <a:lnTo>
                  <a:pt x="734" y="160"/>
                </a:lnTo>
                <a:lnTo>
                  <a:pt x="746" y="147"/>
                </a:lnTo>
                <a:lnTo>
                  <a:pt x="747" y="133"/>
                </a:lnTo>
                <a:lnTo>
                  <a:pt x="747" y="132"/>
                </a:lnTo>
                <a:lnTo>
                  <a:pt x="745" y="124"/>
                </a:lnTo>
                <a:lnTo>
                  <a:pt x="757" y="98"/>
                </a:lnTo>
                <a:lnTo>
                  <a:pt x="764" y="97"/>
                </a:lnTo>
                <a:lnTo>
                  <a:pt x="778" y="97"/>
                </a:lnTo>
                <a:lnTo>
                  <a:pt x="780" y="98"/>
                </a:lnTo>
                <a:lnTo>
                  <a:pt x="789" y="108"/>
                </a:lnTo>
                <a:lnTo>
                  <a:pt x="804" y="103"/>
                </a:lnTo>
                <a:lnTo>
                  <a:pt x="816" y="95"/>
                </a:lnTo>
                <a:lnTo>
                  <a:pt x="822" y="91"/>
                </a:lnTo>
                <a:lnTo>
                  <a:pt x="826" y="88"/>
                </a:lnTo>
                <a:lnTo>
                  <a:pt x="850" y="84"/>
                </a:lnTo>
                <a:lnTo>
                  <a:pt x="865" y="68"/>
                </a:lnTo>
                <a:lnTo>
                  <a:pt x="867" y="64"/>
                </a:lnTo>
                <a:lnTo>
                  <a:pt x="851" y="58"/>
                </a:lnTo>
                <a:lnTo>
                  <a:pt x="850" y="53"/>
                </a:lnTo>
                <a:lnTo>
                  <a:pt x="855" y="34"/>
                </a:lnTo>
                <a:lnTo>
                  <a:pt x="850" y="27"/>
                </a:lnTo>
                <a:lnTo>
                  <a:pt x="850" y="18"/>
                </a:lnTo>
                <a:lnTo>
                  <a:pt x="861" y="10"/>
                </a:lnTo>
                <a:lnTo>
                  <a:pt x="868" y="5"/>
                </a:lnTo>
                <a:lnTo>
                  <a:pt x="873" y="0"/>
                </a:lnTo>
                <a:lnTo>
                  <a:pt x="897" y="17"/>
                </a:lnTo>
                <a:lnTo>
                  <a:pt x="898" y="18"/>
                </a:lnTo>
                <a:lnTo>
                  <a:pt x="919" y="12"/>
                </a:lnTo>
                <a:lnTo>
                  <a:pt x="923" y="9"/>
                </a:lnTo>
                <a:lnTo>
                  <a:pt x="944" y="24"/>
                </a:lnTo>
                <a:lnTo>
                  <a:pt x="954" y="30"/>
                </a:lnTo>
                <a:lnTo>
                  <a:pt x="962" y="48"/>
                </a:lnTo>
                <a:lnTo>
                  <a:pt x="965" y="53"/>
                </a:lnTo>
                <a:lnTo>
                  <a:pt x="971" y="64"/>
                </a:lnTo>
                <a:lnTo>
                  <a:pt x="971" y="76"/>
                </a:lnTo>
                <a:lnTo>
                  <a:pt x="991" y="85"/>
                </a:lnTo>
                <a:lnTo>
                  <a:pt x="1004" y="88"/>
                </a:lnTo>
                <a:lnTo>
                  <a:pt x="1014" y="86"/>
                </a:lnTo>
                <a:lnTo>
                  <a:pt x="1015" y="86"/>
                </a:lnTo>
                <a:lnTo>
                  <a:pt x="1032" y="90"/>
                </a:lnTo>
                <a:lnTo>
                  <a:pt x="1041" y="94"/>
                </a:lnTo>
                <a:lnTo>
                  <a:pt x="1061" y="117"/>
                </a:lnTo>
                <a:lnTo>
                  <a:pt x="1069" y="119"/>
                </a:lnTo>
                <a:lnTo>
                  <a:pt x="1070" y="121"/>
                </a:lnTo>
                <a:lnTo>
                  <a:pt x="1072" y="122"/>
                </a:lnTo>
                <a:lnTo>
                  <a:pt x="1080" y="121"/>
                </a:lnTo>
                <a:lnTo>
                  <a:pt x="1084" y="111"/>
                </a:lnTo>
                <a:lnTo>
                  <a:pt x="1102" y="104"/>
                </a:lnTo>
                <a:lnTo>
                  <a:pt x="1131" y="115"/>
                </a:lnTo>
                <a:lnTo>
                  <a:pt x="1146" y="130"/>
                </a:lnTo>
                <a:lnTo>
                  <a:pt x="1151" y="125"/>
                </a:lnTo>
                <a:lnTo>
                  <a:pt x="1157" y="123"/>
                </a:lnTo>
                <a:lnTo>
                  <a:pt x="1174" y="124"/>
                </a:lnTo>
                <a:lnTo>
                  <a:pt x="1196" y="99"/>
                </a:lnTo>
                <a:lnTo>
                  <a:pt x="1223" y="94"/>
                </a:lnTo>
                <a:lnTo>
                  <a:pt x="1228" y="124"/>
                </a:lnTo>
                <a:lnTo>
                  <a:pt x="1235" y="137"/>
                </a:lnTo>
                <a:lnTo>
                  <a:pt x="1248" y="139"/>
                </a:lnTo>
                <a:lnTo>
                  <a:pt x="1264" y="152"/>
                </a:lnTo>
                <a:lnTo>
                  <a:pt x="1272" y="158"/>
                </a:lnTo>
                <a:lnTo>
                  <a:pt x="1277" y="171"/>
                </a:lnTo>
                <a:lnTo>
                  <a:pt x="1277" y="183"/>
                </a:lnTo>
                <a:lnTo>
                  <a:pt x="1279" y="212"/>
                </a:lnTo>
                <a:lnTo>
                  <a:pt x="1275" y="213"/>
                </a:lnTo>
                <a:lnTo>
                  <a:pt x="1272" y="239"/>
                </a:lnTo>
                <a:lnTo>
                  <a:pt x="1296" y="271"/>
                </a:lnTo>
                <a:lnTo>
                  <a:pt x="1295" y="284"/>
                </a:lnTo>
                <a:lnTo>
                  <a:pt x="1294" y="288"/>
                </a:lnTo>
                <a:lnTo>
                  <a:pt x="1310" y="300"/>
                </a:lnTo>
                <a:lnTo>
                  <a:pt x="1310" y="305"/>
                </a:lnTo>
                <a:lnTo>
                  <a:pt x="1318" y="317"/>
                </a:lnTo>
                <a:lnTo>
                  <a:pt x="1327" y="330"/>
                </a:lnTo>
                <a:lnTo>
                  <a:pt x="1326" y="332"/>
                </a:lnTo>
                <a:lnTo>
                  <a:pt x="1365" y="371"/>
                </a:lnTo>
                <a:lnTo>
                  <a:pt x="1365" y="377"/>
                </a:lnTo>
                <a:lnTo>
                  <a:pt x="1394" y="381"/>
                </a:lnTo>
                <a:lnTo>
                  <a:pt x="1373" y="399"/>
                </a:lnTo>
                <a:lnTo>
                  <a:pt x="1351" y="418"/>
                </a:lnTo>
                <a:lnTo>
                  <a:pt x="1329" y="437"/>
                </a:lnTo>
                <a:lnTo>
                  <a:pt x="1318" y="446"/>
                </a:lnTo>
                <a:lnTo>
                  <a:pt x="1306" y="449"/>
                </a:lnTo>
                <a:lnTo>
                  <a:pt x="1284" y="460"/>
                </a:lnTo>
                <a:lnTo>
                  <a:pt x="1282" y="461"/>
                </a:lnTo>
                <a:lnTo>
                  <a:pt x="1255" y="478"/>
                </a:lnTo>
                <a:lnTo>
                  <a:pt x="1248" y="502"/>
                </a:lnTo>
                <a:lnTo>
                  <a:pt x="1226" y="513"/>
                </a:lnTo>
                <a:lnTo>
                  <a:pt x="1224" y="532"/>
                </a:lnTo>
                <a:lnTo>
                  <a:pt x="1223" y="533"/>
                </a:lnTo>
                <a:lnTo>
                  <a:pt x="1177" y="557"/>
                </a:lnTo>
                <a:lnTo>
                  <a:pt x="1176" y="566"/>
                </a:lnTo>
                <a:lnTo>
                  <a:pt x="1114" y="586"/>
                </a:lnTo>
                <a:lnTo>
                  <a:pt x="1108" y="585"/>
                </a:lnTo>
                <a:lnTo>
                  <a:pt x="1083" y="596"/>
                </a:lnTo>
                <a:lnTo>
                  <a:pt x="1075" y="601"/>
                </a:lnTo>
                <a:lnTo>
                  <a:pt x="1071" y="605"/>
                </a:lnTo>
                <a:lnTo>
                  <a:pt x="1053" y="605"/>
                </a:lnTo>
                <a:lnTo>
                  <a:pt x="1026" y="604"/>
                </a:lnTo>
                <a:lnTo>
                  <a:pt x="1014" y="604"/>
                </a:lnTo>
                <a:lnTo>
                  <a:pt x="1011" y="604"/>
                </a:lnTo>
                <a:lnTo>
                  <a:pt x="998" y="604"/>
                </a:lnTo>
                <a:lnTo>
                  <a:pt x="974" y="603"/>
                </a:lnTo>
                <a:lnTo>
                  <a:pt x="972" y="603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7" name="S_KS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>
            <a:spLocks/>
          </xdr:cNvSpPr>
        </xdr:nvSpPr>
        <xdr:spPr bwMode="auto">
          <a:xfrm>
            <a:off x="4083984" y="2077571"/>
            <a:ext cx="1339103" cy="665629"/>
          </a:xfrm>
          <a:custGeom>
            <a:avLst/>
            <a:gdLst>
              <a:gd name="T0" fmla="*/ 2147483647 w 1393"/>
              <a:gd name="T1" fmla="*/ 2147483647 h 712"/>
              <a:gd name="T2" fmla="*/ 2147483647 w 1393"/>
              <a:gd name="T3" fmla="*/ 2147483647 h 712"/>
              <a:gd name="T4" fmla="*/ 2147483647 w 1393"/>
              <a:gd name="T5" fmla="*/ 2147483647 h 712"/>
              <a:gd name="T6" fmla="*/ 2147483647 w 1393"/>
              <a:gd name="T7" fmla="*/ 2147483647 h 712"/>
              <a:gd name="T8" fmla="*/ 2147483647 w 1393"/>
              <a:gd name="T9" fmla="*/ 2147483647 h 712"/>
              <a:gd name="T10" fmla="*/ 2147483647 w 1393"/>
              <a:gd name="T11" fmla="*/ 2147483647 h 712"/>
              <a:gd name="T12" fmla="*/ 2147483647 w 1393"/>
              <a:gd name="T13" fmla="*/ 2147483647 h 712"/>
              <a:gd name="T14" fmla="*/ 2147483647 w 1393"/>
              <a:gd name="T15" fmla="*/ 2147483647 h 712"/>
              <a:gd name="T16" fmla="*/ 2147483647 w 1393"/>
              <a:gd name="T17" fmla="*/ 2147483647 h 712"/>
              <a:gd name="T18" fmla="*/ 2147483647 w 1393"/>
              <a:gd name="T19" fmla="*/ 2147483647 h 712"/>
              <a:gd name="T20" fmla="*/ 2147483647 w 1393"/>
              <a:gd name="T21" fmla="*/ 2147483647 h 712"/>
              <a:gd name="T22" fmla="*/ 2147483647 w 1393"/>
              <a:gd name="T23" fmla="*/ 2147483647 h 712"/>
              <a:gd name="T24" fmla="*/ 2147483647 w 1393"/>
              <a:gd name="T25" fmla="*/ 2147483647 h 712"/>
              <a:gd name="T26" fmla="*/ 2147483647 w 1393"/>
              <a:gd name="T27" fmla="*/ 2147483647 h 712"/>
              <a:gd name="T28" fmla="*/ 2147483647 w 1393"/>
              <a:gd name="T29" fmla="*/ 2147483647 h 712"/>
              <a:gd name="T30" fmla="*/ 2147483647 w 1393"/>
              <a:gd name="T31" fmla="*/ 2147483647 h 712"/>
              <a:gd name="T32" fmla="*/ 2147483647 w 1393"/>
              <a:gd name="T33" fmla="*/ 2147483647 h 712"/>
              <a:gd name="T34" fmla="*/ 2147483647 w 1393"/>
              <a:gd name="T35" fmla="*/ 2147483647 h 712"/>
              <a:gd name="T36" fmla="*/ 2147483647 w 1393"/>
              <a:gd name="T37" fmla="*/ 2147483647 h 712"/>
              <a:gd name="T38" fmla="*/ 2147483647 w 1393"/>
              <a:gd name="T39" fmla="*/ 2147483647 h 712"/>
              <a:gd name="T40" fmla="*/ 2147483647 w 1393"/>
              <a:gd name="T41" fmla="*/ 2147483647 h 712"/>
              <a:gd name="T42" fmla="*/ 2147483647 w 1393"/>
              <a:gd name="T43" fmla="*/ 2147483647 h 712"/>
              <a:gd name="T44" fmla="*/ 0 w 1393"/>
              <a:gd name="T45" fmla="*/ 2147483647 h 712"/>
              <a:gd name="T46" fmla="*/ 0 w 1393"/>
              <a:gd name="T47" fmla="*/ 2147483647 h 712"/>
              <a:gd name="T48" fmla="*/ 0 w 1393"/>
              <a:gd name="T49" fmla="*/ 2147483647 h 712"/>
              <a:gd name="T50" fmla="*/ 0 w 1393"/>
              <a:gd name="T51" fmla="*/ 2147483647 h 712"/>
              <a:gd name="T52" fmla="*/ 0 w 1393"/>
              <a:gd name="T53" fmla="*/ 2147483647 h 712"/>
              <a:gd name="T54" fmla="*/ 0 w 1393"/>
              <a:gd name="T55" fmla="*/ 2147483647 h 712"/>
              <a:gd name="T56" fmla="*/ 0 w 1393"/>
              <a:gd name="T57" fmla="*/ 2147483647 h 712"/>
              <a:gd name="T58" fmla="*/ 2147483647 w 1393"/>
              <a:gd name="T59" fmla="*/ 2147483647 h 712"/>
              <a:gd name="T60" fmla="*/ 2147483647 w 1393"/>
              <a:gd name="T61" fmla="*/ 2147483647 h 712"/>
              <a:gd name="T62" fmla="*/ 2147483647 w 1393"/>
              <a:gd name="T63" fmla="*/ 2147483647 h 712"/>
              <a:gd name="T64" fmla="*/ 2147483647 w 1393"/>
              <a:gd name="T65" fmla="*/ 2147483647 h 712"/>
              <a:gd name="T66" fmla="*/ 2147483647 w 1393"/>
              <a:gd name="T67" fmla="*/ 2147483647 h 712"/>
              <a:gd name="T68" fmla="*/ 2147483647 w 1393"/>
              <a:gd name="T69" fmla="*/ 2147483647 h 712"/>
              <a:gd name="T70" fmla="*/ 2147483647 w 1393"/>
              <a:gd name="T71" fmla="*/ 2147483647 h 712"/>
              <a:gd name="T72" fmla="*/ 2147483647 w 1393"/>
              <a:gd name="T73" fmla="*/ 2147483647 h 712"/>
              <a:gd name="T74" fmla="*/ 2147483647 w 1393"/>
              <a:gd name="T75" fmla="*/ 2147483647 h 712"/>
              <a:gd name="T76" fmla="*/ 2147483647 w 1393"/>
              <a:gd name="T77" fmla="*/ 2147483647 h 712"/>
              <a:gd name="T78" fmla="*/ 2147483647 w 1393"/>
              <a:gd name="T79" fmla="*/ 2147483647 h 712"/>
              <a:gd name="T80" fmla="*/ 2147483647 w 1393"/>
              <a:gd name="T81" fmla="*/ 2147483647 h 712"/>
              <a:gd name="T82" fmla="*/ 2147483647 w 1393"/>
              <a:gd name="T83" fmla="*/ 2147483647 h 712"/>
              <a:gd name="T84" fmla="*/ 2147483647 w 1393"/>
              <a:gd name="T85" fmla="*/ 2147483647 h 712"/>
              <a:gd name="T86" fmla="*/ 2147483647 w 1393"/>
              <a:gd name="T87" fmla="*/ 2147483647 h 712"/>
              <a:gd name="T88" fmla="*/ 2147483647 w 1393"/>
              <a:gd name="T89" fmla="*/ 2147483647 h 712"/>
              <a:gd name="T90" fmla="*/ 2147483647 w 1393"/>
              <a:gd name="T91" fmla="*/ 2147483647 h 712"/>
              <a:gd name="T92" fmla="*/ 2147483647 w 1393"/>
              <a:gd name="T93" fmla="*/ 2147483647 h 712"/>
              <a:gd name="T94" fmla="*/ 2147483647 w 1393"/>
              <a:gd name="T95" fmla="*/ 2147483647 h 712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393"/>
              <a:gd name="T145" fmla="*/ 0 h 712"/>
              <a:gd name="T146" fmla="*/ 1393 w 1393"/>
              <a:gd name="T147" fmla="*/ 712 h 712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393" h="712">
                <a:moveTo>
                  <a:pt x="1392" y="227"/>
                </a:moveTo>
                <a:lnTo>
                  <a:pt x="1392" y="243"/>
                </a:lnTo>
                <a:lnTo>
                  <a:pt x="1392" y="260"/>
                </a:lnTo>
                <a:lnTo>
                  <a:pt x="1392" y="273"/>
                </a:lnTo>
                <a:lnTo>
                  <a:pt x="1392" y="297"/>
                </a:lnTo>
                <a:lnTo>
                  <a:pt x="1392" y="300"/>
                </a:lnTo>
                <a:lnTo>
                  <a:pt x="1392" y="327"/>
                </a:lnTo>
                <a:lnTo>
                  <a:pt x="1391" y="356"/>
                </a:lnTo>
                <a:lnTo>
                  <a:pt x="1391" y="361"/>
                </a:lnTo>
                <a:lnTo>
                  <a:pt x="1391" y="382"/>
                </a:lnTo>
                <a:lnTo>
                  <a:pt x="1391" y="415"/>
                </a:lnTo>
                <a:lnTo>
                  <a:pt x="1391" y="438"/>
                </a:lnTo>
                <a:lnTo>
                  <a:pt x="1391" y="459"/>
                </a:lnTo>
                <a:lnTo>
                  <a:pt x="1391" y="465"/>
                </a:lnTo>
                <a:lnTo>
                  <a:pt x="1391" y="489"/>
                </a:lnTo>
                <a:lnTo>
                  <a:pt x="1391" y="525"/>
                </a:lnTo>
                <a:lnTo>
                  <a:pt x="1390" y="552"/>
                </a:lnTo>
                <a:lnTo>
                  <a:pt x="1390" y="556"/>
                </a:lnTo>
                <a:lnTo>
                  <a:pt x="1391" y="592"/>
                </a:lnTo>
                <a:lnTo>
                  <a:pt x="1390" y="621"/>
                </a:lnTo>
                <a:lnTo>
                  <a:pt x="1390" y="624"/>
                </a:lnTo>
                <a:lnTo>
                  <a:pt x="1390" y="631"/>
                </a:lnTo>
                <a:lnTo>
                  <a:pt x="1390" y="671"/>
                </a:lnTo>
                <a:lnTo>
                  <a:pt x="1390" y="690"/>
                </a:lnTo>
                <a:lnTo>
                  <a:pt x="1390" y="697"/>
                </a:lnTo>
                <a:lnTo>
                  <a:pt x="1390" y="702"/>
                </a:lnTo>
                <a:lnTo>
                  <a:pt x="1390" y="710"/>
                </a:lnTo>
                <a:lnTo>
                  <a:pt x="1390" y="711"/>
                </a:lnTo>
                <a:lnTo>
                  <a:pt x="1389" y="711"/>
                </a:lnTo>
                <a:lnTo>
                  <a:pt x="1366" y="711"/>
                </a:lnTo>
                <a:lnTo>
                  <a:pt x="1317" y="710"/>
                </a:lnTo>
                <a:lnTo>
                  <a:pt x="1306" y="710"/>
                </a:lnTo>
                <a:lnTo>
                  <a:pt x="1273" y="710"/>
                </a:lnTo>
                <a:lnTo>
                  <a:pt x="1260" y="710"/>
                </a:lnTo>
                <a:lnTo>
                  <a:pt x="1243" y="710"/>
                </a:lnTo>
                <a:lnTo>
                  <a:pt x="1225" y="710"/>
                </a:lnTo>
                <a:lnTo>
                  <a:pt x="1221" y="710"/>
                </a:lnTo>
                <a:lnTo>
                  <a:pt x="1202" y="710"/>
                </a:lnTo>
                <a:lnTo>
                  <a:pt x="1193" y="710"/>
                </a:lnTo>
                <a:lnTo>
                  <a:pt x="1172" y="710"/>
                </a:lnTo>
                <a:lnTo>
                  <a:pt x="1156" y="710"/>
                </a:lnTo>
                <a:lnTo>
                  <a:pt x="1139" y="710"/>
                </a:lnTo>
                <a:lnTo>
                  <a:pt x="1132" y="710"/>
                </a:lnTo>
                <a:lnTo>
                  <a:pt x="1109" y="710"/>
                </a:lnTo>
                <a:lnTo>
                  <a:pt x="1050" y="710"/>
                </a:lnTo>
                <a:lnTo>
                  <a:pt x="1034" y="710"/>
                </a:lnTo>
                <a:lnTo>
                  <a:pt x="1016" y="710"/>
                </a:lnTo>
                <a:lnTo>
                  <a:pt x="992" y="710"/>
                </a:lnTo>
                <a:lnTo>
                  <a:pt x="969" y="710"/>
                </a:lnTo>
                <a:lnTo>
                  <a:pt x="945" y="710"/>
                </a:lnTo>
                <a:lnTo>
                  <a:pt x="917" y="710"/>
                </a:lnTo>
                <a:lnTo>
                  <a:pt x="886" y="711"/>
                </a:lnTo>
                <a:lnTo>
                  <a:pt x="874" y="710"/>
                </a:lnTo>
                <a:lnTo>
                  <a:pt x="858" y="711"/>
                </a:lnTo>
                <a:lnTo>
                  <a:pt x="852" y="710"/>
                </a:lnTo>
                <a:lnTo>
                  <a:pt x="817" y="710"/>
                </a:lnTo>
                <a:lnTo>
                  <a:pt x="795" y="711"/>
                </a:lnTo>
                <a:lnTo>
                  <a:pt x="758" y="711"/>
                </a:lnTo>
                <a:lnTo>
                  <a:pt x="749" y="711"/>
                </a:lnTo>
                <a:lnTo>
                  <a:pt x="737" y="711"/>
                </a:lnTo>
                <a:lnTo>
                  <a:pt x="734" y="711"/>
                </a:lnTo>
                <a:lnTo>
                  <a:pt x="703" y="711"/>
                </a:lnTo>
                <a:lnTo>
                  <a:pt x="694" y="711"/>
                </a:lnTo>
                <a:lnTo>
                  <a:pt x="688" y="711"/>
                </a:lnTo>
                <a:lnTo>
                  <a:pt x="665" y="711"/>
                </a:lnTo>
                <a:lnTo>
                  <a:pt x="656" y="710"/>
                </a:lnTo>
                <a:lnTo>
                  <a:pt x="618" y="710"/>
                </a:lnTo>
                <a:lnTo>
                  <a:pt x="606" y="710"/>
                </a:lnTo>
                <a:lnTo>
                  <a:pt x="572" y="710"/>
                </a:lnTo>
                <a:lnTo>
                  <a:pt x="507" y="710"/>
                </a:lnTo>
                <a:lnTo>
                  <a:pt x="501" y="710"/>
                </a:lnTo>
                <a:lnTo>
                  <a:pt x="486" y="710"/>
                </a:lnTo>
                <a:lnTo>
                  <a:pt x="477" y="710"/>
                </a:lnTo>
                <a:lnTo>
                  <a:pt x="470" y="710"/>
                </a:lnTo>
                <a:lnTo>
                  <a:pt x="397" y="710"/>
                </a:lnTo>
                <a:lnTo>
                  <a:pt x="384" y="710"/>
                </a:lnTo>
                <a:lnTo>
                  <a:pt x="383" y="710"/>
                </a:lnTo>
                <a:lnTo>
                  <a:pt x="376" y="710"/>
                </a:lnTo>
                <a:lnTo>
                  <a:pt x="367" y="710"/>
                </a:lnTo>
                <a:lnTo>
                  <a:pt x="361" y="710"/>
                </a:lnTo>
                <a:lnTo>
                  <a:pt x="278" y="710"/>
                </a:lnTo>
                <a:lnTo>
                  <a:pt x="265" y="710"/>
                </a:lnTo>
                <a:lnTo>
                  <a:pt x="207" y="711"/>
                </a:lnTo>
                <a:lnTo>
                  <a:pt x="197" y="711"/>
                </a:lnTo>
                <a:lnTo>
                  <a:pt x="184" y="711"/>
                </a:lnTo>
                <a:lnTo>
                  <a:pt x="173" y="711"/>
                </a:lnTo>
                <a:lnTo>
                  <a:pt x="126" y="711"/>
                </a:lnTo>
                <a:lnTo>
                  <a:pt x="93" y="711"/>
                </a:lnTo>
                <a:lnTo>
                  <a:pt x="57" y="712"/>
                </a:lnTo>
                <a:lnTo>
                  <a:pt x="46" y="712"/>
                </a:lnTo>
                <a:lnTo>
                  <a:pt x="4" y="712"/>
                </a:lnTo>
                <a:lnTo>
                  <a:pt x="2" y="712"/>
                </a:lnTo>
                <a:lnTo>
                  <a:pt x="2" y="681"/>
                </a:lnTo>
                <a:lnTo>
                  <a:pt x="2" y="651"/>
                </a:lnTo>
                <a:lnTo>
                  <a:pt x="2" y="619"/>
                </a:lnTo>
                <a:lnTo>
                  <a:pt x="2" y="592"/>
                </a:lnTo>
                <a:lnTo>
                  <a:pt x="2" y="562"/>
                </a:lnTo>
                <a:lnTo>
                  <a:pt x="2" y="558"/>
                </a:lnTo>
                <a:lnTo>
                  <a:pt x="2" y="535"/>
                </a:lnTo>
                <a:lnTo>
                  <a:pt x="1" y="474"/>
                </a:lnTo>
                <a:lnTo>
                  <a:pt x="1" y="444"/>
                </a:lnTo>
                <a:lnTo>
                  <a:pt x="1" y="412"/>
                </a:lnTo>
                <a:lnTo>
                  <a:pt x="1" y="410"/>
                </a:lnTo>
                <a:lnTo>
                  <a:pt x="1" y="386"/>
                </a:lnTo>
                <a:lnTo>
                  <a:pt x="1" y="370"/>
                </a:lnTo>
                <a:lnTo>
                  <a:pt x="1" y="329"/>
                </a:lnTo>
                <a:lnTo>
                  <a:pt x="1" y="327"/>
                </a:lnTo>
                <a:lnTo>
                  <a:pt x="1" y="310"/>
                </a:lnTo>
                <a:lnTo>
                  <a:pt x="1" y="285"/>
                </a:lnTo>
                <a:lnTo>
                  <a:pt x="1" y="238"/>
                </a:lnTo>
                <a:lnTo>
                  <a:pt x="1" y="226"/>
                </a:lnTo>
                <a:lnTo>
                  <a:pt x="1" y="220"/>
                </a:lnTo>
                <a:lnTo>
                  <a:pt x="1" y="208"/>
                </a:lnTo>
                <a:lnTo>
                  <a:pt x="1" y="206"/>
                </a:lnTo>
                <a:lnTo>
                  <a:pt x="1" y="149"/>
                </a:lnTo>
                <a:lnTo>
                  <a:pt x="1" y="119"/>
                </a:lnTo>
                <a:lnTo>
                  <a:pt x="0" y="103"/>
                </a:lnTo>
                <a:lnTo>
                  <a:pt x="0" y="102"/>
                </a:lnTo>
                <a:lnTo>
                  <a:pt x="0" y="0"/>
                </a:lnTo>
                <a:lnTo>
                  <a:pt x="120" y="1"/>
                </a:lnTo>
                <a:lnTo>
                  <a:pt x="126" y="0"/>
                </a:lnTo>
                <a:lnTo>
                  <a:pt x="136" y="0"/>
                </a:lnTo>
                <a:lnTo>
                  <a:pt x="173" y="0"/>
                </a:lnTo>
                <a:lnTo>
                  <a:pt x="220" y="1"/>
                </a:lnTo>
                <a:lnTo>
                  <a:pt x="242" y="1"/>
                </a:lnTo>
                <a:lnTo>
                  <a:pt x="244" y="1"/>
                </a:lnTo>
                <a:lnTo>
                  <a:pt x="246" y="1"/>
                </a:lnTo>
                <a:lnTo>
                  <a:pt x="279" y="1"/>
                </a:lnTo>
                <a:lnTo>
                  <a:pt x="314" y="1"/>
                </a:lnTo>
                <a:lnTo>
                  <a:pt x="348" y="1"/>
                </a:lnTo>
                <a:lnTo>
                  <a:pt x="351" y="1"/>
                </a:lnTo>
                <a:lnTo>
                  <a:pt x="361" y="1"/>
                </a:lnTo>
                <a:lnTo>
                  <a:pt x="418" y="1"/>
                </a:lnTo>
                <a:lnTo>
                  <a:pt x="454" y="1"/>
                </a:lnTo>
                <a:lnTo>
                  <a:pt x="501" y="1"/>
                </a:lnTo>
                <a:lnTo>
                  <a:pt x="513" y="1"/>
                </a:lnTo>
                <a:lnTo>
                  <a:pt x="537" y="1"/>
                </a:lnTo>
                <a:lnTo>
                  <a:pt x="548" y="1"/>
                </a:lnTo>
                <a:lnTo>
                  <a:pt x="559" y="1"/>
                </a:lnTo>
                <a:lnTo>
                  <a:pt x="594" y="1"/>
                </a:lnTo>
                <a:lnTo>
                  <a:pt x="618" y="1"/>
                </a:lnTo>
                <a:lnTo>
                  <a:pt x="622" y="1"/>
                </a:lnTo>
                <a:lnTo>
                  <a:pt x="641" y="1"/>
                </a:lnTo>
                <a:lnTo>
                  <a:pt x="664" y="1"/>
                </a:lnTo>
                <a:lnTo>
                  <a:pt x="665" y="1"/>
                </a:lnTo>
                <a:lnTo>
                  <a:pt x="688" y="1"/>
                </a:lnTo>
                <a:lnTo>
                  <a:pt x="707" y="1"/>
                </a:lnTo>
                <a:lnTo>
                  <a:pt x="734" y="1"/>
                </a:lnTo>
                <a:lnTo>
                  <a:pt x="758" y="1"/>
                </a:lnTo>
                <a:lnTo>
                  <a:pt x="771" y="1"/>
                </a:lnTo>
                <a:lnTo>
                  <a:pt x="781" y="1"/>
                </a:lnTo>
                <a:lnTo>
                  <a:pt x="792" y="1"/>
                </a:lnTo>
                <a:lnTo>
                  <a:pt x="828" y="1"/>
                </a:lnTo>
                <a:lnTo>
                  <a:pt x="874" y="1"/>
                </a:lnTo>
                <a:lnTo>
                  <a:pt x="877" y="1"/>
                </a:lnTo>
                <a:lnTo>
                  <a:pt x="898" y="1"/>
                </a:lnTo>
                <a:lnTo>
                  <a:pt x="921" y="1"/>
                </a:lnTo>
                <a:lnTo>
                  <a:pt x="961" y="1"/>
                </a:lnTo>
                <a:lnTo>
                  <a:pt x="969" y="1"/>
                </a:lnTo>
                <a:lnTo>
                  <a:pt x="981" y="1"/>
                </a:lnTo>
                <a:lnTo>
                  <a:pt x="992" y="1"/>
                </a:lnTo>
                <a:lnTo>
                  <a:pt x="1038" y="1"/>
                </a:lnTo>
                <a:lnTo>
                  <a:pt x="1046" y="1"/>
                </a:lnTo>
                <a:lnTo>
                  <a:pt x="1062" y="1"/>
                </a:lnTo>
                <a:lnTo>
                  <a:pt x="1085" y="1"/>
                </a:lnTo>
                <a:lnTo>
                  <a:pt x="1087" y="1"/>
                </a:lnTo>
                <a:lnTo>
                  <a:pt x="1109" y="1"/>
                </a:lnTo>
                <a:lnTo>
                  <a:pt x="1130" y="1"/>
                </a:lnTo>
                <a:lnTo>
                  <a:pt x="1132" y="1"/>
                </a:lnTo>
                <a:lnTo>
                  <a:pt x="1156" y="1"/>
                </a:lnTo>
                <a:lnTo>
                  <a:pt x="1172" y="1"/>
                </a:lnTo>
                <a:lnTo>
                  <a:pt x="1255" y="1"/>
                </a:lnTo>
                <a:lnTo>
                  <a:pt x="1262" y="1"/>
                </a:lnTo>
                <a:lnTo>
                  <a:pt x="1296" y="31"/>
                </a:lnTo>
                <a:lnTo>
                  <a:pt x="1314" y="31"/>
                </a:lnTo>
                <a:lnTo>
                  <a:pt x="1321" y="26"/>
                </a:lnTo>
                <a:lnTo>
                  <a:pt x="1332" y="31"/>
                </a:lnTo>
                <a:lnTo>
                  <a:pt x="1342" y="44"/>
                </a:lnTo>
                <a:lnTo>
                  <a:pt x="1342" y="66"/>
                </a:lnTo>
                <a:lnTo>
                  <a:pt x="1320" y="77"/>
                </a:lnTo>
                <a:lnTo>
                  <a:pt x="1309" y="90"/>
                </a:lnTo>
                <a:lnTo>
                  <a:pt x="1300" y="112"/>
                </a:lnTo>
                <a:lnTo>
                  <a:pt x="1310" y="119"/>
                </a:lnTo>
                <a:lnTo>
                  <a:pt x="1316" y="131"/>
                </a:lnTo>
                <a:lnTo>
                  <a:pt x="1325" y="138"/>
                </a:lnTo>
                <a:lnTo>
                  <a:pt x="1342" y="149"/>
                </a:lnTo>
                <a:lnTo>
                  <a:pt x="1342" y="172"/>
                </a:lnTo>
                <a:lnTo>
                  <a:pt x="1361" y="190"/>
                </a:lnTo>
                <a:lnTo>
                  <a:pt x="1366" y="197"/>
                </a:lnTo>
                <a:lnTo>
                  <a:pt x="1389" y="200"/>
                </a:lnTo>
                <a:lnTo>
                  <a:pt x="1393" y="200"/>
                </a:lnTo>
                <a:lnTo>
                  <a:pt x="1393" y="208"/>
                </a:lnTo>
                <a:lnTo>
                  <a:pt x="1392" y="209"/>
                </a:lnTo>
                <a:lnTo>
                  <a:pt x="1392" y="211"/>
                </a:lnTo>
                <a:lnTo>
                  <a:pt x="1392" y="22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8" name="S_IN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>
            <a:spLocks/>
          </xdr:cNvSpPr>
        </xdr:nvSpPr>
        <xdr:spPr bwMode="auto">
          <a:xfrm>
            <a:off x="6590740" y="1683124"/>
            <a:ext cx="600075" cy="884144"/>
          </a:xfrm>
          <a:custGeom>
            <a:avLst/>
            <a:gdLst>
              <a:gd name="T0" fmla="*/ 2147483647 w 619"/>
              <a:gd name="T1" fmla="*/ 2147483647 h 940"/>
              <a:gd name="T2" fmla="*/ 2147483647 w 619"/>
              <a:gd name="T3" fmla="*/ 2147483647 h 940"/>
              <a:gd name="T4" fmla="*/ 2147483647 w 619"/>
              <a:gd name="T5" fmla="*/ 2147483647 h 940"/>
              <a:gd name="T6" fmla="*/ 2147483647 w 619"/>
              <a:gd name="T7" fmla="*/ 2147483647 h 940"/>
              <a:gd name="T8" fmla="*/ 2147483647 w 619"/>
              <a:gd name="T9" fmla="*/ 2147483647 h 940"/>
              <a:gd name="T10" fmla="*/ 2147483647 w 619"/>
              <a:gd name="T11" fmla="*/ 2147483647 h 940"/>
              <a:gd name="T12" fmla="*/ 2147483647 w 619"/>
              <a:gd name="T13" fmla="*/ 2147483647 h 940"/>
              <a:gd name="T14" fmla="*/ 2147483647 w 619"/>
              <a:gd name="T15" fmla="*/ 2147483647 h 940"/>
              <a:gd name="T16" fmla="*/ 2147483647 w 619"/>
              <a:gd name="T17" fmla="*/ 2147483647 h 940"/>
              <a:gd name="T18" fmla="*/ 2147483647 w 619"/>
              <a:gd name="T19" fmla="*/ 2147483647 h 940"/>
              <a:gd name="T20" fmla="*/ 2147483647 w 619"/>
              <a:gd name="T21" fmla="*/ 2147483647 h 940"/>
              <a:gd name="T22" fmla="*/ 2147483647 w 619"/>
              <a:gd name="T23" fmla="*/ 2147483647 h 940"/>
              <a:gd name="T24" fmla="*/ 2147483647 w 619"/>
              <a:gd name="T25" fmla="*/ 2147483647 h 940"/>
              <a:gd name="T26" fmla="*/ 2147483647 w 619"/>
              <a:gd name="T27" fmla="*/ 2147483647 h 940"/>
              <a:gd name="T28" fmla="*/ 2147483647 w 619"/>
              <a:gd name="T29" fmla="*/ 2147483647 h 940"/>
              <a:gd name="T30" fmla="*/ 2147483647 w 619"/>
              <a:gd name="T31" fmla="*/ 2147483647 h 940"/>
              <a:gd name="T32" fmla="*/ 2147483647 w 619"/>
              <a:gd name="T33" fmla="*/ 2147483647 h 940"/>
              <a:gd name="T34" fmla="*/ 2147483647 w 619"/>
              <a:gd name="T35" fmla="*/ 2147483647 h 940"/>
              <a:gd name="T36" fmla="*/ 2147483647 w 619"/>
              <a:gd name="T37" fmla="*/ 2147483647 h 940"/>
              <a:gd name="T38" fmla="*/ 2147483647 w 619"/>
              <a:gd name="T39" fmla="*/ 2147483647 h 940"/>
              <a:gd name="T40" fmla="*/ 2147483647 w 619"/>
              <a:gd name="T41" fmla="*/ 2147483647 h 940"/>
              <a:gd name="T42" fmla="*/ 2147483647 w 619"/>
              <a:gd name="T43" fmla="*/ 2147483647 h 940"/>
              <a:gd name="T44" fmla="*/ 0 w 619"/>
              <a:gd name="T45" fmla="*/ 2147483647 h 940"/>
              <a:gd name="T46" fmla="*/ 2147483647 w 619"/>
              <a:gd name="T47" fmla="*/ 2147483647 h 940"/>
              <a:gd name="T48" fmla="*/ 2147483647 w 619"/>
              <a:gd name="T49" fmla="*/ 2147483647 h 940"/>
              <a:gd name="T50" fmla="*/ 2147483647 w 619"/>
              <a:gd name="T51" fmla="*/ 2147483647 h 940"/>
              <a:gd name="T52" fmla="*/ 2147483647 w 619"/>
              <a:gd name="T53" fmla="*/ 2147483647 h 940"/>
              <a:gd name="T54" fmla="*/ 2147483647 w 619"/>
              <a:gd name="T55" fmla="*/ 2147483647 h 940"/>
              <a:gd name="T56" fmla="*/ 2147483647 w 619"/>
              <a:gd name="T57" fmla="*/ 2147483647 h 940"/>
              <a:gd name="T58" fmla="*/ 2147483647 w 619"/>
              <a:gd name="T59" fmla="*/ 2147483647 h 940"/>
              <a:gd name="T60" fmla="*/ 2147483647 w 619"/>
              <a:gd name="T61" fmla="*/ 2147483647 h 940"/>
              <a:gd name="T62" fmla="*/ 2147483647 w 619"/>
              <a:gd name="T63" fmla="*/ 2147483647 h 940"/>
              <a:gd name="T64" fmla="*/ 2147483647 w 619"/>
              <a:gd name="T65" fmla="*/ 2147483647 h 940"/>
              <a:gd name="T66" fmla="*/ 2147483647 w 619"/>
              <a:gd name="T67" fmla="*/ 2147483647 h 940"/>
              <a:gd name="T68" fmla="*/ 2147483647 w 619"/>
              <a:gd name="T69" fmla="*/ 2147483647 h 940"/>
              <a:gd name="T70" fmla="*/ 2147483647 w 619"/>
              <a:gd name="T71" fmla="*/ 2147483647 h 940"/>
              <a:gd name="T72" fmla="*/ 2147483647 w 619"/>
              <a:gd name="T73" fmla="*/ 2147483647 h 940"/>
              <a:gd name="T74" fmla="*/ 2147483647 w 619"/>
              <a:gd name="T75" fmla="*/ 2147483647 h 940"/>
              <a:gd name="T76" fmla="*/ 2147483647 w 619"/>
              <a:gd name="T77" fmla="*/ 2147483647 h 940"/>
              <a:gd name="T78" fmla="*/ 2147483647 w 619"/>
              <a:gd name="T79" fmla="*/ 2147483647 h 940"/>
              <a:gd name="T80" fmla="*/ 2147483647 w 619"/>
              <a:gd name="T81" fmla="*/ 2147483647 h 940"/>
              <a:gd name="T82" fmla="*/ 2147483647 w 619"/>
              <a:gd name="T83" fmla="*/ 2147483647 h 940"/>
              <a:gd name="T84" fmla="*/ 2147483647 w 619"/>
              <a:gd name="T85" fmla="*/ 2147483647 h 940"/>
              <a:gd name="T86" fmla="*/ 2147483647 w 619"/>
              <a:gd name="T87" fmla="*/ 2147483647 h 940"/>
              <a:gd name="T88" fmla="*/ 2147483647 w 619"/>
              <a:gd name="T89" fmla="*/ 2147483647 h 940"/>
              <a:gd name="T90" fmla="*/ 2147483647 w 619"/>
              <a:gd name="T91" fmla="*/ 2147483647 h 940"/>
              <a:gd name="T92" fmla="*/ 2147483647 w 619"/>
              <a:gd name="T93" fmla="*/ 2147483647 h 940"/>
              <a:gd name="T94" fmla="*/ 2147483647 w 619"/>
              <a:gd name="T95" fmla="*/ 2147483647 h 940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619"/>
              <a:gd name="T145" fmla="*/ 0 h 940"/>
              <a:gd name="T146" fmla="*/ 619 w 619"/>
              <a:gd name="T147" fmla="*/ 940 h 940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619" h="940">
                <a:moveTo>
                  <a:pt x="616" y="282"/>
                </a:moveTo>
                <a:lnTo>
                  <a:pt x="616" y="299"/>
                </a:lnTo>
                <a:lnTo>
                  <a:pt x="616" y="319"/>
                </a:lnTo>
                <a:lnTo>
                  <a:pt x="616" y="333"/>
                </a:lnTo>
                <a:lnTo>
                  <a:pt x="616" y="344"/>
                </a:lnTo>
                <a:lnTo>
                  <a:pt x="616" y="358"/>
                </a:lnTo>
                <a:lnTo>
                  <a:pt x="615" y="386"/>
                </a:lnTo>
                <a:lnTo>
                  <a:pt x="615" y="415"/>
                </a:lnTo>
                <a:lnTo>
                  <a:pt x="615" y="416"/>
                </a:lnTo>
                <a:lnTo>
                  <a:pt x="614" y="436"/>
                </a:lnTo>
                <a:lnTo>
                  <a:pt x="614" y="446"/>
                </a:lnTo>
                <a:lnTo>
                  <a:pt x="614" y="458"/>
                </a:lnTo>
                <a:lnTo>
                  <a:pt x="614" y="482"/>
                </a:lnTo>
                <a:lnTo>
                  <a:pt x="614" y="508"/>
                </a:lnTo>
                <a:lnTo>
                  <a:pt x="614" y="513"/>
                </a:lnTo>
                <a:lnTo>
                  <a:pt x="614" y="519"/>
                </a:lnTo>
                <a:lnTo>
                  <a:pt x="614" y="529"/>
                </a:lnTo>
                <a:lnTo>
                  <a:pt x="614" y="534"/>
                </a:lnTo>
                <a:lnTo>
                  <a:pt x="614" y="544"/>
                </a:lnTo>
                <a:lnTo>
                  <a:pt x="613" y="580"/>
                </a:lnTo>
                <a:lnTo>
                  <a:pt x="613" y="611"/>
                </a:lnTo>
                <a:lnTo>
                  <a:pt x="613" y="623"/>
                </a:lnTo>
                <a:lnTo>
                  <a:pt x="613" y="628"/>
                </a:lnTo>
                <a:lnTo>
                  <a:pt x="602" y="636"/>
                </a:lnTo>
                <a:lnTo>
                  <a:pt x="602" y="645"/>
                </a:lnTo>
                <a:lnTo>
                  <a:pt x="607" y="652"/>
                </a:lnTo>
                <a:lnTo>
                  <a:pt x="602" y="671"/>
                </a:lnTo>
                <a:lnTo>
                  <a:pt x="603" y="676"/>
                </a:lnTo>
                <a:lnTo>
                  <a:pt x="619" y="682"/>
                </a:lnTo>
                <a:lnTo>
                  <a:pt x="617" y="686"/>
                </a:lnTo>
                <a:lnTo>
                  <a:pt x="602" y="702"/>
                </a:lnTo>
                <a:lnTo>
                  <a:pt x="578" y="706"/>
                </a:lnTo>
                <a:lnTo>
                  <a:pt x="574" y="709"/>
                </a:lnTo>
                <a:lnTo>
                  <a:pt x="568" y="713"/>
                </a:lnTo>
                <a:lnTo>
                  <a:pt x="556" y="721"/>
                </a:lnTo>
                <a:lnTo>
                  <a:pt x="541" y="726"/>
                </a:lnTo>
                <a:lnTo>
                  <a:pt x="532" y="716"/>
                </a:lnTo>
                <a:lnTo>
                  <a:pt x="530" y="715"/>
                </a:lnTo>
                <a:lnTo>
                  <a:pt x="516" y="715"/>
                </a:lnTo>
                <a:lnTo>
                  <a:pt x="509" y="716"/>
                </a:lnTo>
                <a:lnTo>
                  <a:pt x="497" y="742"/>
                </a:lnTo>
                <a:lnTo>
                  <a:pt x="499" y="750"/>
                </a:lnTo>
                <a:lnTo>
                  <a:pt x="499" y="751"/>
                </a:lnTo>
                <a:lnTo>
                  <a:pt x="498" y="765"/>
                </a:lnTo>
                <a:lnTo>
                  <a:pt x="486" y="778"/>
                </a:lnTo>
                <a:lnTo>
                  <a:pt x="462" y="792"/>
                </a:lnTo>
                <a:lnTo>
                  <a:pt x="460" y="800"/>
                </a:lnTo>
                <a:lnTo>
                  <a:pt x="438" y="825"/>
                </a:lnTo>
                <a:lnTo>
                  <a:pt x="436" y="823"/>
                </a:lnTo>
                <a:lnTo>
                  <a:pt x="431" y="821"/>
                </a:lnTo>
                <a:lnTo>
                  <a:pt x="422" y="830"/>
                </a:lnTo>
                <a:lnTo>
                  <a:pt x="410" y="847"/>
                </a:lnTo>
                <a:lnTo>
                  <a:pt x="409" y="858"/>
                </a:lnTo>
                <a:lnTo>
                  <a:pt x="409" y="859"/>
                </a:lnTo>
                <a:lnTo>
                  <a:pt x="402" y="887"/>
                </a:lnTo>
                <a:lnTo>
                  <a:pt x="401" y="888"/>
                </a:lnTo>
                <a:lnTo>
                  <a:pt x="392" y="889"/>
                </a:lnTo>
                <a:lnTo>
                  <a:pt x="345" y="878"/>
                </a:lnTo>
                <a:lnTo>
                  <a:pt x="341" y="859"/>
                </a:lnTo>
                <a:lnTo>
                  <a:pt x="330" y="846"/>
                </a:lnTo>
                <a:lnTo>
                  <a:pt x="321" y="843"/>
                </a:lnTo>
                <a:lnTo>
                  <a:pt x="321" y="858"/>
                </a:lnTo>
                <a:lnTo>
                  <a:pt x="305" y="861"/>
                </a:lnTo>
                <a:lnTo>
                  <a:pt x="304" y="863"/>
                </a:lnTo>
                <a:lnTo>
                  <a:pt x="305" y="866"/>
                </a:lnTo>
                <a:lnTo>
                  <a:pt x="300" y="878"/>
                </a:lnTo>
                <a:lnTo>
                  <a:pt x="296" y="879"/>
                </a:lnTo>
                <a:lnTo>
                  <a:pt x="280" y="918"/>
                </a:lnTo>
                <a:lnTo>
                  <a:pt x="269" y="926"/>
                </a:lnTo>
                <a:lnTo>
                  <a:pt x="269" y="918"/>
                </a:lnTo>
                <a:lnTo>
                  <a:pt x="252" y="910"/>
                </a:lnTo>
                <a:lnTo>
                  <a:pt x="239" y="889"/>
                </a:lnTo>
                <a:lnTo>
                  <a:pt x="228" y="895"/>
                </a:lnTo>
                <a:lnTo>
                  <a:pt x="209" y="906"/>
                </a:lnTo>
                <a:lnTo>
                  <a:pt x="205" y="907"/>
                </a:lnTo>
                <a:lnTo>
                  <a:pt x="181" y="940"/>
                </a:lnTo>
                <a:lnTo>
                  <a:pt x="155" y="918"/>
                </a:lnTo>
                <a:lnTo>
                  <a:pt x="148" y="913"/>
                </a:lnTo>
                <a:lnTo>
                  <a:pt x="132" y="903"/>
                </a:lnTo>
                <a:lnTo>
                  <a:pt x="130" y="903"/>
                </a:lnTo>
                <a:lnTo>
                  <a:pt x="120" y="903"/>
                </a:lnTo>
                <a:lnTo>
                  <a:pt x="88" y="907"/>
                </a:lnTo>
                <a:lnTo>
                  <a:pt x="88" y="929"/>
                </a:lnTo>
                <a:lnTo>
                  <a:pt x="74" y="913"/>
                </a:lnTo>
                <a:lnTo>
                  <a:pt x="64" y="914"/>
                </a:lnTo>
                <a:lnTo>
                  <a:pt x="41" y="908"/>
                </a:lnTo>
                <a:lnTo>
                  <a:pt x="31" y="912"/>
                </a:lnTo>
                <a:lnTo>
                  <a:pt x="29" y="919"/>
                </a:lnTo>
                <a:lnTo>
                  <a:pt x="18" y="937"/>
                </a:lnTo>
                <a:lnTo>
                  <a:pt x="12" y="937"/>
                </a:lnTo>
                <a:lnTo>
                  <a:pt x="4" y="918"/>
                </a:lnTo>
                <a:lnTo>
                  <a:pt x="0" y="915"/>
                </a:lnTo>
                <a:lnTo>
                  <a:pt x="18" y="877"/>
                </a:lnTo>
                <a:lnTo>
                  <a:pt x="23" y="859"/>
                </a:lnTo>
                <a:lnTo>
                  <a:pt x="21" y="835"/>
                </a:lnTo>
                <a:lnTo>
                  <a:pt x="21" y="830"/>
                </a:lnTo>
                <a:lnTo>
                  <a:pt x="20" y="828"/>
                </a:lnTo>
                <a:lnTo>
                  <a:pt x="26" y="830"/>
                </a:lnTo>
                <a:lnTo>
                  <a:pt x="58" y="802"/>
                </a:lnTo>
                <a:lnTo>
                  <a:pt x="66" y="791"/>
                </a:lnTo>
                <a:lnTo>
                  <a:pt x="65" y="778"/>
                </a:lnTo>
                <a:lnTo>
                  <a:pt x="79" y="771"/>
                </a:lnTo>
                <a:lnTo>
                  <a:pt x="83" y="755"/>
                </a:lnTo>
                <a:lnTo>
                  <a:pt x="88" y="750"/>
                </a:lnTo>
                <a:lnTo>
                  <a:pt x="111" y="715"/>
                </a:lnTo>
                <a:lnTo>
                  <a:pt x="105" y="687"/>
                </a:lnTo>
                <a:lnTo>
                  <a:pt x="102" y="682"/>
                </a:lnTo>
                <a:lnTo>
                  <a:pt x="103" y="679"/>
                </a:lnTo>
                <a:lnTo>
                  <a:pt x="107" y="675"/>
                </a:lnTo>
                <a:lnTo>
                  <a:pt x="97" y="653"/>
                </a:lnTo>
                <a:lnTo>
                  <a:pt x="88" y="628"/>
                </a:lnTo>
                <a:lnTo>
                  <a:pt x="87" y="615"/>
                </a:lnTo>
                <a:lnTo>
                  <a:pt x="97" y="592"/>
                </a:lnTo>
                <a:lnTo>
                  <a:pt x="93" y="594"/>
                </a:lnTo>
                <a:lnTo>
                  <a:pt x="91" y="592"/>
                </a:lnTo>
                <a:lnTo>
                  <a:pt x="105" y="571"/>
                </a:lnTo>
                <a:lnTo>
                  <a:pt x="105" y="541"/>
                </a:lnTo>
                <a:lnTo>
                  <a:pt x="105" y="534"/>
                </a:lnTo>
                <a:lnTo>
                  <a:pt x="105" y="510"/>
                </a:lnTo>
                <a:lnTo>
                  <a:pt x="105" y="489"/>
                </a:lnTo>
                <a:lnTo>
                  <a:pt x="105" y="461"/>
                </a:lnTo>
                <a:lnTo>
                  <a:pt x="105" y="444"/>
                </a:lnTo>
                <a:lnTo>
                  <a:pt x="105" y="401"/>
                </a:lnTo>
                <a:lnTo>
                  <a:pt x="105" y="386"/>
                </a:lnTo>
                <a:lnTo>
                  <a:pt x="105" y="381"/>
                </a:lnTo>
                <a:lnTo>
                  <a:pt x="105" y="341"/>
                </a:lnTo>
                <a:lnTo>
                  <a:pt x="106" y="321"/>
                </a:lnTo>
                <a:lnTo>
                  <a:pt x="106" y="304"/>
                </a:lnTo>
                <a:lnTo>
                  <a:pt x="106" y="301"/>
                </a:lnTo>
                <a:lnTo>
                  <a:pt x="106" y="283"/>
                </a:lnTo>
                <a:lnTo>
                  <a:pt x="106" y="269"/>
                </a:lnTo>
                <a:lnTo>
                  <a:pt x="106" y="242"/>
                </a:lnTo>
                <a:lnTo>
                  <a:pt x="106" y="193"/>
                </a:lnTo>
                <a:lnTo>
                  <a:pt x="106" y="180"/>
                </a:lnTo>
                <a:lnTo>
                  <a:pt x="106" y="178"/>
                </a:lnTo>
                <a:lnTo>
                  <a:pt x="106" y="160"/>
                </a:lnTo>
                <a:lnTo>
                  <a:pt x="106" y="151"/>
                </a:lnTo>
                <a:lnTo>
                  <a:pt x="106" y="141"/>
                </a:lnTo>
                <a:lnTo>
                  <a:pt x="106" y="121"/>
                </a:lnTo>
                <a:lnTo>
                  <a:pt x="106" y="115"/>
                </a:lnTo>
                <a:lnTo>
                  <a:pt x="106" y="110"/>
                </a:lnTo>
                <a:lnTo>
                  <a:pt x="106" y="102"/>
                </a:lnTo>
                <a:lnTo>
                  <a:pt x="106" y="92"/>
                </a:lnTo>
                <a:lnTo>
                  <a:pt x="106" y="70"/>
                </a:lnTo>
                <a:lnTo>
                  <a:pt x="106" y="55"/>
                </a:lnTo>
                <a:lnTo>
                  <a:pt x="106" y="48"/>
                </a:lnTo>
                <a:lnTo>
                  <a:pt x="106" y="12"/>
                </a:lnTo>
                <a:lnTo>
                  <a:pt x="108" y="14"/>
                </a:lnTo>
                <a:lnTo>
                  <a:pt x="134" y="31"/>
                </a:lnTo>
                <a:lnTo>
                  <a:pt x="163" y="33"/>
                </a:lnTo>
                <a:lnTo>
                  <a:pt x="171" y="31"/>
                </a:lnTo>
                <a:lnTo>
                  <a:pt x="175" y="30"/>
                </a:lnTo>
                <a:lnTo>
                  <a:pt x="218" y="13"/>
                </a:lnTo>
                <a:lnTo>
                  <a:pt x="226" y="8"/>
                </a:lnTo>
                <a:lnTo>
                  <a:pt x="226" y="7"/>
                </a:lnTo>
                <a:lnTo>
                  <a:pt x="237" y="1"/>
                </a:lnTo>
                <a:lnTo>
                  <a:pt x="252" y="1"/>
                </a:lnTo>
                <a:lnTo>
                  <a:pt x="274" y="1"/>
                </a:lnTo>
                <a:lnTo>
                  <a:pt x="294" y="1"/>
                </a:lnTo>
                <a:lnTo>
                  <a:pt x="321" y="1"/>
                </a:lnTo>
                <a:lnTo>
                  <a:pt x="345" y="1"/>
                </a:lnTo>
                <a:lnTo>
                  <a:pt x="349" y="1"/>
                </a:lnTo>
                <a:lnTo>
                  <a:pt x="380" y="0"/>
                </a:lnTo>
                <a:lnTo>
                  <a:pt x="392" y="1"/>
                </a:lnTo>
                <a:lnTo>
                  <a:pt x="437" y="1"/>
                </a:lnTo>
                <a:lnTo>
                  <a:pt x="438" y="1"/>
                </a:lnTo>
                <a:lnTo>
                  <a:pt x="455" y="1"/>
                </a:lnTo>
                <a:lnTo>
                  <a:pt x="485" y="1"/>
                </a:lnTo>
                <a:lnTo>
                  <a:pt x="509" y="1"/>
                </a:lnTo>
                <a:lnTo>
                  <a:pt x="524" y="1"/>
                </a:lnTo>
                <a:lnTo>
                  <a:pt x="532" y="1"/>
                </a:lnTo>
                <a:lnTo>
                  <a:pt x="537" y="1"/>
                </a:lnTo>
                <a:lnTo>
                  <a:pt x="542" y="1"/>
                </a:lnTo>
                <a:lnTo>
                  <a:pt x="556" y="1"/>
                </a:lnTo>
                <a:lnTo>
                  <a:pt x="578" y="1"/>
                </a:lnTo>
                <a:lnTo>
                  <a:pt x="611" y="1"/>
                </a:lnTo>
                <a:lnTo>
                  <a:pt x="615" y="1"/>
                </a:lnTo>
                <a:lnTo>
                  <a:pt x="615" y="16"/>
                </a:lnTo>
                <a:lnTo>
                  <a:pt x="616" y="55"/>
                </a:lnTo>
                <a:lnTo>
                  <a:pt x="616" y="79"/>
                </a:lnTo>
                <a:lnTo>
                  <a:pt x="616" y="92"/>
                </a:lnTo>
                <a:lnTo>
                  <a:pt x="616" y="95"/>
                </a:lnTo>
                <a:lnTo>
                  <a:pt x="616" y="117"/>
                </a:lnTo>
                <a:lnTo>
                  <a:pt x="616" y="121"/>
                </a:lnTo>
                <a:lnTo>
                  <a:pt x="616" y="151"/>
                </a:lnTo>
                <a:lnTo>
                  <a:pt x="616" y="180"/>
                </a:lnTo>
                <a:lnTo>
                  <a:pt x="616" y="183"/>
                </a:lnTo>
                <a:lnTo>
                  <a:pt x="616" y="198"/>
                </a:lnTo>
                <a:lnTo>
                  <a:pt x="616" y="210"/>
                </a:lnTo>
                <a:lnTo>
                  <a:pt x="616" y="240"/>
                </a:lnTo>
                <a:lnTo>
                  <a:pt x="616" y="244"/>
                </a:lnTo>
                <a:lnTo>
                  <a:pt x="616" y="269"/>
                </a:lnTo>
                <a:lnTo>
                  <a:pt x="616" y="28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39" name="S_IL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>
            <a:spLocks/>
          </xdr:cNvSpPr>
        </xdr:nvSpPr>
        <xdr:spPr bwMode="auto">
          <a:xfrm>
            <a:off x="5978338" y="1526241"/>
            <a:ext cx="717177" cy="1207434"/>
          </a:xfrm>
          <a:custGeom>
            <a:avLst/>
            <a:gdLst>
              <a:gd name="T0" fmla="*/ 2147483647 w 750"/>
              <a:gd name="T1" fmla="*/ 2147483647 h 1301"/>
              <a:gd name="T2" fmla="*/ 2147483647 w 750"/>
              <a:gd name="T3" fmla="*/ 2147483647 h 1301"/>
              <a:gd name="T4" fmla="*/ 2147483647 w 750"/>
              <a:gd name="T5" fmla="*/ 2147483647 h 1301"/>
              <a:gd name="T6" fmla="*/ 2147483647 w 750"/>
              <a:gd name="T7" fmla="*/ 2147483647 h 1301"/>
              <a:gd name="T8" fmla="*/ 2147483647 w 750"/>
              <a:gd name="T9" fmla="*/ 2147483647 h 1301"/>
              <a:gd name="T10" fmla="*/ 2147483647 w 750"/>
              <a:gd name="T11" fmla="*/ 2147483647 h 1301"/>
              <a:gd name="T12" fmla="*/ 2147483647 w 750"/>
              <a:gd name="T13" fmla="*/ 2147483647 h 1301"/>
              <a:gd name="T14" fmla="*/ 2147483647 w 750"/>
              <a:gd name="T15" fmla="*/ 2147483647 h 1301"/>
              <a:gd name="T16" fmla="*/ 2147483647 w 750"/>
              <a:gd name="T17" fmla="*/ 2147483647 h 1301"/>
              <a:gd name="T18" fmla="*/ 2147483647 w 750"/>
              <a:gd name="T19" fmla="*/ 0 h 1301"/>
              <a:gd name="T20" fmla="*/ 2147483647 w 750"/>
              <a:gd name="T21" fmla="*/ 0 h 1301"/>
              <a:gd name="T22" fmla="*/ 2147483647 w 750"/>
              <a:gd name="T23" fmla="*/ 0 h 1301"/>
              <a:gd name="T24" fmla="*/ 2147483647 w 750"/>
              <a:gd name="T25" fmla="*/ 0 h 1301"/>
              <a:gd name="T26" fmla="*/ 2147483647 w 750"/>
              <a:gd name="T27" fmla="*/ 0 h 1301"/>
              <a:gd name="T28" fmla="*/ 2147483647 w 750"/>
              <a:gd name="T29" fmla="*/ 0 h 1301"/>
              <a:gd name="T30" fmla="*/ 2147483647 w 750"/>
              <a:gd name="T31" fmla="*/ 0 h 1301"/>
              <a:gd name="T32" fmla="*/ 2147483647 w 750"/>
              <a:gd name="T33" fmla="*/ 0 h 1301"/>
              <a:gd name="T34" fmla="*/ 2147483647 w 750"/>
              <a:gd name="T35" fmla="*/ 0 h 1301"/>
              <a:gd name="T36" fmla="*/ 2147483647 w 750"/>
              <a:gd name="T37" fmla="*/ 2147483647 h 1301"/>
              <a:gd name="T38" fmla="*/ 2147483647 w 750"/>
              <a:gd name="T39" fmla="*/ 2147483647 h 1301"/>
              <a:gd name="T40" fmla="*/ 2147483647 w 750"/>
              <a:gd name="T41" fmla="*/ 2147483647 h 1301"/>
              <a:gd name="T42" fmla="*/ 2147483647 w 750"/>
              <a:gd name="T43" fmla="*/ 2147483647 h 1301"/>
              <a:gd name="T44" fmla="*/ 2147483647 w 750"/>
              <a:gd name="T45" fmla="*/ 2147483647 h 1301"/>
              <a:gd name="T46" fmla="*/ 2147483647 w 750"/>
              <a:gd name="T47" fmla="*/ 2147483647 h 1301"/>
              <a:gd name="T48" fmla="*/ 2147483647 w 750"/>
              <a:gd name="T49" fmla="*/ 2147483647 h 1301"/>
              <a:gd name="T50" fmla="*/ 2147483647 w 750"/>
              <a:gd name="T51" fmla="*/ 2147483647 h 1301"/>
              <a:gd name="T52" fmla="*/ 2147483647 w 750"/>
              <a:gd name="T53" fmla="*/ 2147483647 h 1301"/>
              <a:gd name="T54" fmla="*/ 2147483647 w 750"/>
              <a:gd name="T55" fmla="*/ 2147483647 h 1301"/>
              <a:gd name="T56" fmla="*/ 2147483647 w 750"/>
              <a:gd name="T57" fmla="*/ 2147483647 h 1301"/>
              <a:gd name="T58" fmla="*/ 2147483647 w 750"/>
              <a:gd name="T59" fmla="*/ 2147483647 h 1301"/>
              <a:gd name="T60" fmla="*/ 2147483647 w 750"/>
              <a:gd name="T61" fmla="*/ 2147483647 h 1301"/>
              <a:gd name="T62" fmla="*/ 2147483647 w 750"/>
              <a:gd name="T63" fmla="*/ 2147483647 h 1301"/>
              <a:gd name="T64" fmla="*/ 2147483647 w 750"/>
              <a:gd name="T65" fmla="*/ 2147483647 h 1301"/>
              <a:gd name="T66" fmla="*/ 2147483647 w 750"/>
              <a:gd name="T67" fmla="*/ 2147483647 h 1301"/>
              <a:gd name="T68" fmla="*/ 2147483647 w 750"/>
              <a:gd name="T69" fmla="*/ 2147483647 h 1301"/>
              <a:gd name="T70" fmla="*/ 2147483647 w 750"/>
              <a:gd name="T71" fmla="*/ 2147483647 h 1301"/>
              <a:gd name="T72" fmla="*/ 2147483647 w 750"/>
              <a:gd name="T73" fmla="*/ 2147483647 h 1301"/>
              <a:gd name="T74" fmla="*/ 2147483647 w 750"/>
              <a:gd name="T75" fmla="*/ 2147483647 h 1301"/>
              <a:gd name="T76" fmla="*/ 2147483647 w 750"/>
              <a:gd name="T77" fmla="*/ 2147483647 h 1301"/>
              <a:gd name="T78" fmla="*/ 2147483647 w 750"/>
              <a:gd name="T79" fmla="*/ 2147483647 h 1301"/>
              <a:gd name="T80" fmla="*/ 2147483647 w 750"/>
              <a:gd name="T81" fmla="*/ 2147483647 h 1301"/>
              <a:gd name="T82" fmla="*/ 2147483647 w 750"/>
              <a:gd name="T83" fmla="*/ 2147483647 h 1301"/>
              <a:gd name="T84" fmla="*/ 2147483647 w 750"/>
              <a:gd name="T85" fmla="*/ 2147483647 h 1301"/>
              <a:gd name="T86" fmla="*/ 2147483647 w 750"/>
              <a:gd name="T87" fmla="*/ 2147483647 h 1301"/>
              <a:gd name="T88" fmla="*/ 2147483647 w 750"/>
              <a:gd name="T89" fmla="*/ 2147483647 h 1301"/>
              <a:gd name="T90" fmla="*/ 2147483647 w 750"/>
              <a:gd name="T91" fmla="*/ 2147483647 h 1301"/>
              <a:gd name="T92" fmla="*/ 2147483647 w 750"/>
              <a:gd name="T93" fmla="*/ 2147483647 h 1301"/>
              <a:gd name="T94" fmla="*/ 2147483647 w 750"/>
              <a:gd name="T95" fmla="*/ 2147483647 h 1301"/>
              <a:gd name="T96" fmla="*/ 2147483647 w 750"/>
              <a:gd name="T97" fmla="*/ 2147483647 h 1301"/>
              <a:gd name="T98" fmla="*/ 2147483647 w 750"/>
              <a:gd name="T99" fmla="*/ 2147483647 h 1301"/>
              <a:gd name="T100" fmla="*/ 2147483647 w 750"/>
              <a:gd name="T101" fmla="*/ 2147483647 h 1301"/>
              <a:gd name="T102" fmla="*/ 2147483647 w 750"/>
              <a:gd name="T103" fmla="*/ 2147483647 h 1301"/>
              <a:gd name="T104" fmla="*/ 2147483647 w 750"/>
              <a:gd name="T105" fmla="*/ 2147483647 h 1301"/>
              <a:gd name="T106" fmla="*/ 2147483647 w 750"/>
              <a:gd name="T107" fmla="*/ 2147483647 h 1301"/>
              <a:gd name="T108" fmla="*/ 2147483647 w 750"/>
              <a:gd name="T109" fmla="*/ 2147483647 h 1301"/>
              <a:gd name="T110" fmla="*/ 2147483647 w 750"/>
              <a:gd name="T111" fmla="*/ 2147483647 h 1301"/>
              <a:gd name="T112" fmla="*/ 2147483647 w 750"/>
              <a:gd name="T113" fmla="*/ 2147483647 h 130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750"/>
              <a:gd name="T172" fmla="*/ 0 h 1301"/>
              <a:gd name="T173" fmla="*/ 750 w 750"/>
              <a:gd name="T174" fmla="*/ 1301 h 1301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750" h="1301">
                <a:moveTo>
                  <a:pt x="0" y="545"/>
                </a:moveTo>
                <a:lnTo>
                  <a:pt x="2" y="535"/>
                </a:lnTo>
                <a:lnTo>
                  <a:pt x="3" y="534"/>
                </a:lnTo>
                <a:lnTo>
                  <a:pt x="12" y="507"/>
                </a:lnTo>
                <a:lnTo>
                  <a:pt x="15" y="505"/>
                </a:lnTo>
                <a:lnTo>
                  <a:pt x="18" y="504"/>
                </a:lnTo>
                <a:lnTo>
                  <a:pt x="25" y="499"/>
                </a:lnTo>
                <a:lnTo>
                  <a:pt x="25" y="455"/>
                </a:lnTo>
                <a:lnTo>
                  <a:pt x="60" y="442"/>
                </a:lnTo>
                <a:lnTo>
                  <a:pt x="69" y="436"/>
                </a:lnTo>
                <a:lnTo>
                  <a:pt x="72" y="435"/>
                </a:lnTo>
                <a:lnTo>
                  <a:pt x="74" y="428"/>
                </a:lnTo>
                <a:lnTo>
                  <a:pt x="75" y="416"/>
                </a:lnTo>
                <a:lnTo>
                  <a:pt x="105" y="356"/>
                </a:lnTo>
                <a:lnTo>
                  <a:pt x="105" y="339"/>
                </a:lnTo>
                <a:lnTo>
                  <a:pt x="96" y="317"/>
                </a:lnTo>
                <a:lnTo>
                  <a:pt x="74" y="297"/>
                </a:lnTo>
                <a:lnTo>
                  <a:pt x="82" y="278"/>
                </a:lnTo>
                <a:lnTo>
                  <a:pt x="84" y="268"/>
                </a:lnTo>
                <a:lnTo>
                  <a:pt x="96" y="255"/>
                </a:lnTo>
                <a:lnTo>
                  <a:pt x="135" y="249"/>
                </a:lnTo>
                <a:lnTo>
                  <a:pt x="189" y="234"/>
                </a:lnTo>
                <a:lnTo>
                  <a:pt x="212" y="220"/>
                </a:lnTo>
                <a:lnTo>
                  <a:pt x="223" y="184"/>
                </a:lnTo>
                <a:lnTo>
                  <a:pt x="226" y="179"/>
                </a:lnTo>
                <a:lnTo>
                  <a:pt x="236" y="172"/>
                </a:lnTo>
                <a:lnTo>
                  <a:pt x="237" y="172"/>
                </a:lnTo>
                <a:lnTo>
                  <a:pt x="251" y="149"/>
                </a:lnTo>
                <a:lnTo>
                  <a:pt x="254" y="136"/>
                </a:lnTo>
                <a:lnTo>
                  <a:pt x="256" y="120"/>
                </a:lnTo>
                <a:lnTo>
                  <a:pt x="256" y="118"/>
                </a:lnTo>
                <a:lnTo>
                  <a:pt x="254" y="112"/>
                </a:lnTo>
                <a:lnTo>
                  <a:pt x="251" y="90"/>
                </a:lnTo>
                <a:lnTo>
                  <a:pt x="231" y="79"/>
                </a:lnTo>
                <a:lnTo>
                  <a:pt x="222" y="74"/>
                </a:lnTo>
                <a:lnTo>
                  <a:pt x="210" y="68"/>
                </a:lnTo>
                <a:lnTo>
                  <a:pt x="205" y="62"/>
                </a:lnTo>
                <a:lnTo>
                  <a:pt x="194" y="29"/>
                </a:lnTo>
                <a:lnTo>
                  <a:pt x="165" y="11"/>
                </a:lnTo>
                <a:lnTo>
                  <a:pt x="161" y="2"/>
                </a:lnTo>
                <a:lnTo>
                  <a:pt x="163" y="1"/>
                </a:lnTo>
                <a:lnTo>
                  <a:pt x="173" y="1"/>
                </a:lnTo>
                <a:lnTo>
                  <a:pt x="193" y="1"/>
                </a:lnTo>
                <a:lnTo>
                  <a:pt x="203" y="1"/>
                </a:lnTo>
                <a:lnTo>
                  <a:pt x="257" y="0"/>
                </a:lnTo>
                <a:lnTo>
                  <a:pt x="273" y="1"/>
                </a:lnTo>
                <a:lnTo>
                  <a:pt x="296" y="1"/>
                </a:lnTo>
                <a:lnTo>
                  <a:pt x="305" y="1"/>
                </a:lnTo>
                <a:lnTo>
                  <a:pt x="313" y="1"/>
                </a:lnTo>
                <a:lnTo>
                  <a:pt x="353" y="1"/>
                </a:lnTo>
                <a:lnTo>
                  <a:pt x="376" y="2"/>
                </a:lnTo>
                <a:lnTo>
                  <a:pt x="394" y="2"/>
                </a:lnTo>
                <a:lnTo>
                  <a:pt x="395" y="2"/>
                </a:lnTo>
                <a:lnTo>
                  <a:pt x="400" y="2"/>
                </a:lnTo>
                <a:lnTo>
                  <a:pt x="401" y="2"/>
                </a:lnTo>
                <a:lnTo>
                  <a:pt x="423" y="3"/>
                </a:lnTo>
                <a:lnTo>
                  <a:pt x="462" y="3"/>
                </a:lnTo>
                <a:lnTo>
                  <a:pt x="481" y="3"/>
                </a:lnTo>
                <a:lnTo>
                  <a:pt x="493" y="4"/>
                </a:lnTo>
                <a:lnTo>
                  <a:pt x="507" y="4"/>
                </a:lnTo>
                <a:lnTo>
                  <a:pt x="511" y="4"/>
                </a:lnTo>
                <a:lnTo>
                  <a:pt x="514" y="4"/>
                </a:lnTo>
                <a:lnTo>
                  <a:pt x="516" y="4"/>
                </a:lnTo>
                <a:lnTo>
                  <a:pt x="524" y="4"/>
                </a:lnTo>
                <a:lnTo>
                  <a:pt x="530" y="4"/>
                </a:lnTo>
                <a:lnTo>
                  <a:pt x="540" y="3"/>
                </a:lnTo>
                <a:lnTo>
                  <a:pt x="600" y="3"/>
                </a:lnTo>
                <a:lnTo>
                  <a:pt x="607" y="3"/>
                </a:lnTo>
                <a:lnTo>
                  <a:pt x="609" y="3"/>
                </a:lnTo>
                <a:lnTo>
                  <a:pt x="619" y="3"/>
                </a:lnTo>
                <a:lnTo>
                  <a:pt x="633" y="3"/>
                </a:lnTo>
                <a:lnTo>
                  <a:pt x="657" y="3"/>
                </a:lnTo>
                <a:lnTo>
                  <a:pt x="694" y="4"/>
                </a:lnTo>
                <a:lnTo>
                  <a:pt x="692" y="32"/>
                </a:lnTo>
                <a:lnTo>
                  <a:pt x="691" y="61"/>
                </a:lnTo>
                <a:lnTo>
                  <a:pt x="701" y="84"/>
                </a:lnTo>
                <a:lnTo>
                  <a:pt x="722" y="120"/>
                </a:lnTo>
                <a:lnTo>
                  <a:pt x="730" y="149"/>
                </a:lnTo>
                <a:lnTo>
                  <a:pt x="745" y="188"/>
                </a:lnTo>
                <a:lnTo>
                  <a:pt x="745" y="224"/>
                </a:lnTo>
                <a:lnTo>
                  <a:pt x="745" y="231"/>
                </a:lnTo>
                <a:lnTo>
                  <a:pt x="745" y="246"/>
                </a:lnTo>
                <a:lnTo>
                  <a:pt x="745" y="268"/>
                </a:lnTo>
                <a:lnTo>
                  <a:pt x="745" y="278"/>
                </a:lnTo>
                <a:lnTo>
                  <a:pt x="745" y="286"/>
                </a:lnTo>
                <a:lnTo>
                  <a:pt x="745" y="291"/>
                </a:lnTo>
                <a:lnTo>
                  <a:pt x="745" y="297"/>
                </a:lnTo>
                <a:lnTo>
                  <a:pt x="745" y="317"/>
                </a:lnTo>
                <a:lnTo>
                  <a:pt x="745" y="327"/>
                </a:lnTo>
                <a:lnTo>
                  <a:pt x="745" y="336"/>
                </a:lnTo>
                <a:lnTo>
                  <a:pt x="745" y="354"/>
                </a:lnTo>
                <a:lnTo>
                  <a:pt x="745" y="356"/>
                </a:lnTo>
                <a:lnTo>
                  <a:pt x="745" y="369"/>
                </a:lnTo>
                <a:lnTo>
                  <a:pt x="745" y="418"/>
                </a:lnTo>
                <a:lnTo>
                  <a:pt x="745" y="445"/>
                </a:lnTo>
                <a:lnTo>
                  <a:pt x="745" y="459"/>
                </a:lnTo>
                <a:lnTo>
                  <a:pt x="745" y="477"/>
                </a:lnTo>
                <a:lnTo>
                  <a:pt x="745" y="480"/>
                </a:lnTo>
                <a:lnTo>
                  <a:pt x="745" y="497"/>
                </a:lnTo>
                <a:lnTo>
                  <a:pt x="744" y="517"/>
                </a:lnTo>
                <a:lnTo>
                  <a:pt x="744" y="557"/>
                </a:lnTo>
                <a:lnTo>
                  <a:pt x="744" y="562"/>
                </a:lnTo>
                <a:lnTo>
                  <a:pt x="744" y="577"/>
                </a:lnTo>
                <a:lnTo>
                  <a:pt x="744" y="620"/>
                </a:lnTo>
                <a:lnTo>
                  <a:pt x="744" y="637"/>
                </a:lnTo>
                <a:lnTo>
                  <a:pt x="744" y="665"/>
                </a:lnTo>
                <a:lnTo>
                  <a:pt x="744" y="686"/>
                </a:lnTo>
                <a:lnTo>
                  <a:pt x="744" y="710"/>
                </a:lnTo>
                <a:lnTo>
                  <a:pt x="744" y="717"/>
                </a:lnTo>
                <a:lnTo>
                  <a:pt x="744" y="747"/>
                </a:lnTo>
                <a:lnTo>
                  <a:pt x="730" y="768"/>
                </a:lnTo>
                <a:lnTo>
                  <a:pt x="732" y="770"/>
                </a:lnTo>
                <a:lnTo>
                  <a:pt x="736" y="768"/>
                </a:lnTo>
                <a:lnTo>
                  <a:pt x="726" y="791"/>
                </a:lnTo>
                <a:lnTo>
                  <a:pt x="727" y="804"/>
                </a:lnTo>
                <a:lnTo>
                  <a:pt x="736" y="829"/>
                </a:lnTo>
                <a:lnTo>
                  <a:pt x="746" y="851"/>
                </a:lnTo>
                <a:lnTo>
                  <a:pt x="742" y="855"/>
                </a:lnTo>
                <a:lnTo>
                  <a:pt x="741" y="858"/>
                </a:lnTo>
                <a:lnTo>
                  <a:pt x="744" y="863"/>
                </a:lnTo>
                <a:lnTo>
                  <a:pt x="750" y="891"/>
                </a:lnTo>
                <a:lnTo>
                  <a:pt x="727" y="926"/>
                </a:lnTo>
                <a:lnTo>
                  <a:pt x="722" y="931"/>
                </a:lnTo>
                <a:lnTo>
                  <a:pt x="718" y="947"/>
                </a:lnTo>
                <a:lnTo>
                  <a:pt x="704" y="954"/>
                </a:lnTo>
                <a:lnTo>
                  <a:pt x="705" y="967"/>
                </a:lnTo>
                <a:lnTo>
                  <a:pt x="697" y="978"/>
                </a:lnTo>
                <a:lnTo>
                  <a:pt x="665" y="1006"/>
                </a:lnTo>
                <a:lnTo>
                  <a:pt x="659" y="1004"/>
                </a:lnTo>
                <a:lnTo>
                  <a:pt x="660" y="1006"/>
                </a:lnTo>
                <a:lnTo>
                  <a:pt x="660" y="1011"/>
                </a:lnTo>
                <a:lnTo>
                  <a:pt x="662" y="1035"/>
                </a:lnTo>
                <a:lnTo>
                  <a:pt x="657" y="1053"/>
                </a:lnTo>
                <a:lnTo>
                  <a:pt x="639" y="1091"/>
                </a:lnTo>
                <a:lnTo>
                  <a:pt x="643" y="1094"/>
                </a:lnTo>
                <a:lnTo>
                  <a:pt x="651" y="1113"/>
                </a:lnTo>
                <a:lnTo>
                  <a:pt x="633" y="1134"/>
                </a:lnTo>
                <a:lnTo>
                  <a:pt x="628" y="1153"/>
                </a:lnTo>
                <a:lnTo>
                  <a:pt x="632" y="1166"/>
                </a:lnTo>
                <a:lnTo>
                  <a:pt x="633" y="1166"/>
                </a:lnTo>
                <a:lnTo>
                  <a:pt x="645" y="1182"/>
                </a:lnTo>
                <a:lnTo>
                  <a:pt x="633" y="1190"/>
                </a:lnTo>
                <a:lnTo>
                  <a:pt x="609" y="1193"/>
                </a:lnTo>
                <a:lnTo>
                  <a:pt x="590" y="1206"/>
                </a:lnTo>
                <a:lnTo>
                  <a:pt x="588" y="1207"/>
                </a:lnTo>
                <a:lnTo>
                  <a:pt x="587" y="1206"/>
                </a:lnTo>
                <a:lnTo>
                  <a:pt x="579" y="1201"/>
                </a:lnTo>
                <a:lnTo>
                  <a:pt x="563" y="1241"/>
                </a:lnTo>
                <a:lnTo>
                  <a:pt x="575" y="1272"/>
                </a:lnTo>
                <a:lnTo>
                  <a:pt x="564" y="1285"/>
                </a:lnTo>
                <a:lnTo>
                  <a:pt x="563" y="1286"/>
                </a:lnTo>
                <a:lnTo>
                  <a:pt x="551" y="1284"/>
                </a:lnTo>
                <a:lnTo>
                  <a:pt x="540" y="1273"/>
                </a:lnTo>
                <a:lnTo>
                  <a:pt x="516" y="1265"/>
                </a:lnTo>
                <a:lnTo>
                  <a:pt x="483" y="1247"/>
                </a:lnTo>
                <a:lnTo>
                  <a:pt x="482" y="1248"/>
                </a:lnTo>
                <a:lnTo>
                  <a:pt x="469" y="1248"/>
                </a:lnTo>
                <a:lnTo>
                  <a:pt x="444" y="1277"/>
                </a:lnTo>
                <a:lnTo>
                  <a:pt x="437" y="1285"/>
                </a:lnTo>
                <a:lnTo>
                  <a:pt x="436" y="1290"/>
                </a:lnTo>
                <a:lnTo>
                  <a:pt x="439" y="1301"/>
                </a:lnTo>
                <a:lnTo>
                  <a:pt x="422" y="1284"/>
                </a:lnTo>
                <a:lnTo>
                  <a:pt x="420" y="1301"/>
                </a:lnTo>
                <a:lnTo>
                  <a:pt x="411" y="1299"/>
                </a:lnTo>
                <a:lnTo>
                  <a:pt x="400" y="1292"/>
                </a:lnTo>
                <a:lnTo>
                  <a:pt x="384" y="1242"/>
                </a:lnTo>
                <a:lnTo>
                  <a:pt x="378" y="1242"/>
                </a:lnTo>
                <a:lnTo>
                  <a:pt x="376" y="1242"/>
                </a:lnTo>
                <a:lnTo>
                  <a:pt x="374" y="1227"/>
                </a:lnTo>
                <a:lnTo>
                  <a:pt x="378" y="1222"/>
                </a:lnTo>
                <a:lnTo>
                  <a:pt x="385" y="1221"/>
                </a:lnTo>
                <a:lnTo>
                  <a:pt x="390" y="1212"/>
                </a:lnTo>
                <a:lnTo>
                  <a:pt x="372" y="1167"/>
                </a:lnTo>
                <a:lnTo>
                  <a:pt x="372" y="1166"/>
                </a:lnTo>
                <a:lnTo>
                  <a:pt x="376" y="1155"/>
                </a:lnTo>
                <a:lnTo>
                  <a:pt x="345" y="1124"/>
                </a:lnTo>
                <a:lnTo>
                  <a:pt x="344" y="1111"/>
                </a:lnTo>
                <a:lnTo>
                  <a:pt x="320" y="1094"/>
                </a:lnTo>
                <a:lnTo>
                  <a:pt x="305" y="1092"/>
                </a:lnTo>
                <a:lnTo>
                  <a:pt x="294" y="1094"/>
                </a:lnTo>
                <a:lnTo>
                  <a:pt x="283" y="1073"/>
                </a:lnTo>
                <a:lnTo>
                  <a:pt x="259" y="1050"/>
                </a:lnTo>
                <a:lnTo>
                  <a:pt x="243" y="1044"/>
                </a:lnTo>
                <a:lnTo>
                  <a:pt x="236" y="1038"/>
                </a:lnTo>
                <a:lnTo>
                  <a:pt x="236" y="1035"/>
                </a:lnTo>
                <a:lnTo>
                  <a:pt x="235" y="1034"/>
                </a:lnTo>
                <a:lnTo>
                  <a:pt x="216" y="1012"/>
                </a:lnTo>
                <a:lnTo>
                  <a:pt x="213" y="1006"/>
                </a:lnTo>
                <a:lnTo>
                  <a:pt x="219" y="974"/>
                </a:lnTo>
                <a:lnTo>
                  <a:pt x="232" y="947"/>
                </a:lnTo>
                <a:lnTo>
                  <a:pt x="233" y="942"/>
                </a:lnTo>
                <a:lnTo>
                  <a:pt x="235" y="939"/>
                </a:lnTo>
                <a:lnTo>
                  <a:pt x="236" y="937"/>
                </a:lnTo>
                <a:lnTo>
                  <a:pt x="249" y="918"/>
                </a:lnTo>
                <a:lnTo>
                  <a:pt x="249" y="909"/>
                </a:lnTo>
                <a:lnTo>
                  <a:pt x="249" y="888"/>
                </a:lnTo>
                <a:lnTo>
                  <a:pt x="251" y="882"/>
                </a:lnTo>
                <a:lnTo>
                  <a:pt x="259" y="877"/>
                </a:lnTo>
                <a:lnTo>
                  <a:pt x="259" y="876"/>
                </a:lnTo>
                <a:lnTo>
                  <a:pt x="261" y="875"/>
                </a:lnTo>
                <a:lnTo>
                  <a:pt x="259" y="863"/>
                </a:lnTo>
                <a:lnTo>
                  <a:pt x="236" y="848"/>
                </a:lnTo>
                <a:lnTo>
                  <a:pt x="231" y="847"/>
                </a:lnTo>
                <a:lnTo>
                  <a:pt x="220" y="844"/>
                </a:lnTo>
                <a:lnTo>
                  <a:pt x="212" y="840"/>
                </a:lnTo>
                <a:lnTo>
                  <a:pt x="198" y="836"/>
                </a:lnTo>
                <a:lnTo>
                  <a:pt x="180" y="858"/>
                </a:lnTo>
                <a:lnTo>
                  <a:pt x="174" y="860"/>
                </a:lnTo>
                <a:lnTo>
                  <a:pt x="159" y="844"/>
                </a:lnTo>
                <a:lnTo>
                  <a:pt x="155" y="829"/>
                </a:lnTo>
                <a:lnTo>
                  <a:pt x="154" y="799"/>
                </a:lnTo>
                <a:lnTo>
                  <a:pt x="147" y="775"/>
                </a:lnTo>
                <a:lnTo>
                  <a:pt x="142" y="766"/>
                </a:lnTo>
                <a:lnTo>
                  <a:pt x="125" y="748"/>
                </a:lnTo>
                <a:lnTo>
                  <a:pt x="107" y="735"/>
                </a:lnTo>
                <a:lnTo>
                  <a:pt x="96" y="728"/>
                </a:lnTo>
                <a:lnTo>
                  <a:pt x="75" y="702"/>
                </a:lnTo>
                <a:lnTo>
                  <a:pt x="67" y="699"/>
                </a:lnTo>
                <a:lnTo>
                  <a:pt x="63" y="688"/>
                </a:lnTo>
                <a:lnTo>
                  <a:pt x="46" y="676"/>
                </a:lnTo>
                <a:lnTo>
                  <a:pt x="44" y="672"/>
                </a:lnTo>
                <a:lnTo>
                  <a:pt x="38" y="667"/>
                </a:lnTo>
                <a:lnTo>
                  <a:pt x="37" y="666"/>
                </a:lnTo>
                <a:lnTo>
                  <a:pt x="26" y="651"/>
                </a:lnTo>
                <a:lnTo>
                  <a:pt x="27" y="649"/>
                </a:lnTo>
                <a:lnTo>
                  <a:pt x="25" y="637"/>
                </a:lnTo>
                <a:lnTo>
                  <a:pt x="12" y="622"/>
                </a:lnTo>
                <a:lnTo>
                  <a:pt x="14" y="605"/>
                </a:lnTo>
                <a:lnTo>
                  <a:pt x="7" y="592"/>
                </a:lnTo>
                <a:lnTo>
                  <a:pt x="0" y="562"/>
                </a:lnTo>
                <a:lnTo>
                  <a:pt x="0" y="5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0" name="S_ID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>
            <a:spLocks/>
          </xdr:cNvSpPr>
        </xdr:nvSpPr>
        <xdr:spPr bwMode="auto">
          <a:xfrm>
            <a:off x="1348628" y="85725"/>
            <a:ext cx="1120028" cy="1549774"/>
          </a:xfrm>
          <a:custGeom>
            <a:avLst/>
            <a:gdLst>
              <a:gd name="T0" fmla="*/ 2147483647 w 1159"/>
              <a:gd name="T1" fmla="*/ 2147483647 h 1657"/>
              <a:gd name="T2" fmla="*/ 2147483647 w 1159"/>
              <a:gd name="T3" fmla="*/ 2147483647 h 1657"/>
              <a:gd name="T4" fmla="*/ 2147483647 w 1159"/>
              <a:gd name="T5" fmla="*/ 2147483647 h 1657"/>
              <a:gd name="T6" fmla="*/ 2147483647 w 1159"/>
              <a:gd name="T7" fmla="*/ 2147483647 h 1657"/>
              <a:gd name="T8" fmla="*/ 2147483647 w 1159"/>
              <a:gd name="T9" fmla="*/ 2147483647 h 1657"/>
              <a:gd name="T10" fmla="*/ 2147483647 w 1159"/>
              <a:gd name="T11" fmla="*/ 2147483647 h 1657"/>
              <a:gd name="T12" fmla="*/ 2147483647 w 1159"/>
              <a:gd name="T13" fmla="*/ 2147483647 h 1657"/>
              <a:gd name="T14" fmla="*/ 2147483647 w 1159"/>
              <a:gd name="T15" fmla="*/ 2147483647 h 1657"/>
              <a:gd name="T16" fmla="*/ 2147483647 w 1159"/>
              <a:gd name="T17" fmla="*/ 2147483647 h 1657"/>
              <a:gd name="T18" fmla="*/ 2147483647 w 1159"/>
              <a:gd name="T19" fmla="*/ 2147483647 h 1657"/>
              <a:gd name="T20" fmla="*/ 2147483647 w 1159"/>
              <a:gd name="T21" fmla="*/ 2147483647 h 1657"/>
              <a:gd name="T22" fmla="*/ 2147483647 w 1159"/>
              <a:gd name="T23" fmla="*/ 2147483647 h 1657"/>
              <a:gd name="T24" fmla="*/ 2147483647 w 1159"/>
              <a:gd name="T25" fmla="*/ 2147483647 h 1657"/>
              <a:gd name="T26" fmla="*/ 2147483647 w 1159"/>
              <a:gd name="T27" fmla="*/ 2147483647 h 1657"/>
              <a:gd name="T28" fmla="*/ 2147483647 w 1159"/>
              <a:gd name="T29" fmla="*/ 2147483647 h 1657"/>
              <a:gd name="T30" fmla="*/ 2147483647 w 1159"/>
              <a:gd name="T31" fmla="*/ 2147483647 h 1657"/>
              <a:gd name="T32" fmla="*/ 2147483647 w 1159"/>
              <a:gd name="T33" fmla="*/ 2147483647 h 1657"/>
              <a:gd name="T34" fmla="*/ 2147483647 w 1159"/>
              <a:gd name="T35" fmla="*/ 2147483647 h 1657"/>
              <a:gd name="T36" fmla="*/ 2147483647 w 1159"/>
              <a:gd name="T37" fmla="*/ 2147483647 h 1657"/>
              <a:gd name="T38" fmla="*/ 2147483647 w 1159"/>
              <a:gd name="T39" fmla="*/ 2147483647 h 1657"/>
              <a:gd name="T40" fmla="*/ 2147483647 w 1159"/>
              <a:gd name="T41" fmla="*/ 2147483647 h 1657"/>
              <a:gd name="T42" fmla="*/ 2147483647 w 1159"/>
              <a:gd name="T43" fmla="*/ 2147483647 h 1657"/>
              <a:gd name="T44" fmla="*/ 2147483647 w 1159"/>
              <a:gd name="T45" fmla="*/ 2147483647 h 1657"/>
              <a:gd name="T46" fmla="*/ 2147483647 w 1159"/>
              <a:gd name="T47" fmla="*/ 2147483647 h 1657"/>
              <a:gd name="T48" fmla="*/ 2147483647 w 1159"/>
              <a:gd name="T49" fmla="*/ 2147483647 h 1657"/>
              <a:gd name="T50" fmla="*/ 2147483647 w 1159"/>
              <a:gd name="T51" fmla="*/ 2147483647 h 1657"/>
              <a:gd name="T52" fmla="*/ 2147483647 w 1159"/>
              <a:gd name="T53" fmla="*/ 2147483647 h 1657"/>
              <a:gd name="T54" fmla="*/ 2147483647 w 1159"/>
              <a:gd name="T55" fmla="*/ 2147483647 h 1657"/>
              <a:gd name="T56" fmla="*/ 2147483647 w 1159"/>
              <a:gd name="T57" fmla="*/ 2147483647 h 1657"/>
              <a:gd name="T58" fmla="*/ 2147483647 w 1159"/>
              <a:gd name="T59" fmla="*/ 2147483647 h 1657"/>
              <a:gd name="T60" fmla="*/ 2147483647 w 1159"/>
              <a:gd name="T61" fmla="*/ 2147483647 h 1657"/>
              <a:gd name="T62" fmla="*/ 2147483647 w 1159"/>
              <a:gd name="T63" fmla="*/ 2147483647 h 1657"/>
              <a:gd name="T64" fmla="*/ 2147483647 w 1159"/>
              <a:gd name="T65" fmla="*/ 2147483647 h 1657"/>
              <a:gd name="T66" fmla="*/ 2147483647 w 1159"/>
              <a:gd name="T67" fmla="*/ 2147483647 h 1657"/>
              <a:gd name="T68" fmla="*/ 2147483647 w 1159"/>
              <a:gd name="T69" fmla="*/ 2147483647 h 1657"/>
              <a:gd name="T70" fmla="*/ 2147483647 w 1159"/>
              <a:gd name="T71" fmla="*/ 0 h 1657"/>
              <a:gd name="T72" fmla="*/ 2147483647 w 1159"/>
              <a:gd name="T73" fmla="*/ 2147483647 h 1657"/>
              <a:gd name="T74" fmla="*/ 2147483647 w 1159"/>
              <a:gd name="T75" fmla="*/ 2147483647 h 1657"/>
              <a:gd name="T76" fmla="*/ 2147483647 w 1159"/>
              <a:gd name="T77" fmla="*/ 2147483647 h 1657"/>
              <a:gd name="T78" fmla="*/ 2147483647 w 1159"/>
              <a:gd name="T79" fmla="*/ 2147483647 h 1657"/>
              <a:gd name="T80" fmla="*/ 2147483647 w 1159"/>
              <a:gd name="T81" fmla="*/ 2147483647 h 1657"/>
              <a:gd name="T82" fmla="*/ 2147483647 w 1159"/>
              <a:gd name="T83" fmla="*/ 2147483647 h 1657"/>
              <a:gd name="T84" fmla="*/ 2147483647 w 1159"/>
              <a:gd name="T85" fmla="*/ 2147483647 h 1657"/>
              <a:gd name="T86" fmla="*/ 2147483647 w 1159"/>
              <a:gd name="T87" fmla="*/ 2147483647 h 1657"/>
              <a:gd name="T88" fmla="*/ 2147483647 w 1159"/>
              <a:gd name="T89" fmla="*/ 2147483647 h 1657"/>
              <a:gd name="T90" fmla="*/ 2147483647 w 1159"/>
              <a:gd name="T91" fmla="*/ 2147483647 h 1657"/>
              <a:gd name="T92" fmla="*/ 2147483647 w 1159"/>
              <a:gd name="T93" fmla="*/ 2147483647 h 1657"/>
              <a:gd name="T94" fmla="*/ 0 w 1159"/>
              <a:gd name="T95" fmla="*/ 2147483647 h 1657"/>
              <a:gd name="T96" fmla="*/ 2147483647 w 1159"/>
              <a:gd name="T97" fmla="*/ 2147483647 h 1657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1159"/>
              <a:gd name="T148" fmla="*/ 0 h 1657"/>
              <a:gd name="T149" fmla="*/ 1159 w 1159"/>
              <a:gd name="T150" fmla="*/ 1657 h 1657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1159" h="1657">
                <a:moveTo>
                  <a:pt x="63" y="1145"/>
                </a:moveTo>
                <a:lnTo>
                  <a:pt x="60" y="1153"/>
                </a:lnTo>
                <a:lnTo>
                  <a:pt x="57" y="1154"/>
                </a:lnTo>
                <a:lnTo>
                  <a:pt x="47" y="1210"/>
                </a:lnTo>
                <a:lnTo>
                  <a:pt x="43" y="1214"/>
                </a:lnTo>
                <a:lnTo>
                  <a:pt x="39" y="1227"/>
                </a:lnTo>
                <a:lnTo>
                  <a:pt x="39" y="1257"/>
                </a:lnTo>
                <a:lnTo>
                  <a:pt x="39" y="1281"/>
                </a:lnTo>
                <a:lnTo>
                  <a:pt x="39" y="1379"/>
                </a:lnTo>
                <a:lnTo>
                  <a:pt x="39" y="1653"/>
                </a:lnTo>
                <a:lnTo>
                  <a:pt x="50" y="1654"/>
                </a:lnTo>
                <a:lnTo>
                  <a:pt x="222" y="1654"/>
                </a:lnTo>
                <a:lnTo>
                  <a:pt x="412" y="1654"/>
                </a:lnTo>
                <a:lnTo>
                  <a:pt x="465" y="1654"/>
                </a:lnTo>
                <a:lnTo>
                  <a:pt x="493" y="1656"/>
                </a:lnTo>
                <a:lnTo>
                  <a:pt x="553" y="1656"/>
                </a:lnTo>
                <a:lnTo>
                  <a:pt x="558" y="1656"/>
                </a:lnTo>
                <a:lnTo>
                  <a:pt x="561" y="1656"/>
                </a:lnTo>
                <a:lnTo>
                  <a:pt x="598" y="1656"/>
                </a:lnTo>
                <a:lnTo>
                  <a:pt x="651" y="1657"/>
                </a:lnTo>
                <a:lnTo>
                  <a:pt x="746" y="1654"/>
                </a:lnTo>
                <a:lnTo>
                  <a:pt x="792" y="1654"/>
                </a:lnTo>
                <a:lnTo>
                  <a:pt x="944" y="1653"/>
                </a:lnTo>
                <a:lnTo>
                  <a:pt x="947" y="1654"/>
                </a:lnTo>
                <a:lnTo>
                  <a:pt x="949" y="1654"/>
                </a:lnTo>
                <a:lnTo>
                  <a:pt x="955" y="1654"/>
                </a:lnTo>
                <a:lnTo>
                  <a:pt x="959" y="1654"/>
                </a:lnTo>
                <a:lnTo>
                  <a:pt x="979" y="1654"/>
                </a:lnTo>
                <a:lnTo>
                  <a:pt x="1026" y="1654"/>
                </a:lnTo>
                <a:lnTo>
                  <a:pt x="1071" y="1654"/>
                </a:lnTo>
                <a:lnTo>
                  <a:pt x="1081" y="1654"/>
                </a:lnTo>
                <a:lnTo>
                  <a:pt x="1087" y="1653"/>
                </a:lnTo>
                <a:lnTo>
                  <a:pt x="1158" y="1653"/>
                </a:lnTo>
                <a:lnTo>
                  <a:pt x="1158" y="1624"/>
                </a:lnTo>
                <a:lnTo>
                  <a:pt x="1158" y="1542"/>
                </a:lnTo>
                <a:lnTo>
                  <a:pt x="1158" y="1534"/>
                </a:lnTo>
                <a:lnTo>
                  <a:pt x="1159" y="1477"/>
                </a:lnTo>
                <a:lnTo>
                  <a:pt x="1158" y="1418"/>
                </a:lnTo>
                <a:lnTo>
                  <a:pt x="1158" y="1414"/>
                </a:lnTo>
                <a:lnTo>
                  <a:pt x="1158" y="1403"/>
                </a:lnTo>
                <a:lnTo>
                  <a:pt x="1158" y="1359"/>
                </a:lnTo>
                <a:lnTo>
                  <a:pt x="1158" y="1343"/>
                </a:lnTo>
                <a:lnTo>
                  <a:pt x="1158" y="1311"/>
                </a:lnTo>
                <a:lnTo>
                  <a:pt x="1158" y="1300"/>
                </a:lnTo>
                <a:lnTo>
                  <a:pt x="1158" y="1299"/>
                </a:lnTo>
                <a:lnTo>
                  <a:pt x="1158" y="1240"/>
                </a:lnTo>
                <a:lnTo>
                  <a:pt x="1158" y="1211"/>
                </a:lnTo>
                <a:lnTo>
                  <a:pt x="1158" y="1186"/>
                </a:lnTo>
                <a:lnTo>
                  <a:pt x="1158" y="1150"/>
                </a:lnTo>
                <a:lnTo>
                  <a:pt x="1158" y="1123"/>
                </a:lnTo>
                <a:lnTo>
                  <a:pt x="1157" y="1069"/>
                </a:lnTo>
                <a:lnTo>
                  <a:pt x="1149" y="1067"/>
                </a:lnTo>
                <a:lnTo>
                  <a:pt x="1148" y="1067"/>
                </a:lnTo>
                <a:lnTo>
                  <a:pt x="1142" y="1064"/>
                </a:lnTo>
                <a:lnTo>
                  <a:pt x="1119" y="1028"/>
                </a:lnTo>
                <a:lnTo>
                  <a:pt x="1096" y="1004"/>
                </a:lnTo>
                <a:lnTo>
                  <a:pt x="1092" y="1005"/>
                </a:lnTo>
                <a:lnTo>
                  <a:pt x="1077" y="1014"/>
                </a:lnTo>
                <a:lnTo>
                  <a:pt x="1070" y="1029"/>
                </a:lnTo>
                <a:lnTo>
                  <a:pt x="1073" y="1054"/>
                </a:lnTo>
                <a:lnTo>
                  <a:pt x="1051" y="1052"/>
                </a:lnTo>
                <a:lnTo>
                  <a:pt x="955" y="1056"/>
                </a:lnTo>
                <a:lnTo>
                  <a:pt x="933" y="1048"/>
                </a:lnTo>
                <a:lnTo>
                  <a:pt x="913" y="1064"/>
                </a:lnTo>
                <a:lnTo>
                  <a:pt x="886" y="1072"/>
                </a:lnTo>
                <a:lnTo>
                  <a:pt x="842" y="1064"/>
                </a:lnTo>
                <a:lnTo>
                  <a:pt x="823" y="1081"/>
                </a:lnTo>
                <a:lnTo>
                  <a:pt x="827" y="1093"/>
                </a:lnTo>
                <a:lnTo>
                  <a:pt x="822" y="1097"/>
                </a:lnTo>
                <a:lnTo>
                  <a:pt x="792" y="1075"/>
                </a:lnTo>
                <a:lnTo>
                  <a:pt x="767" y="1003"/>
                </a:lnTo>
                <a:lnTo>
                  <a:pt x="707" y="975"/>
                </a:lnTo>
                <a:lnTo>
                  <a:pt x="709" y="945"/>
                </a:lnTo>
                <a:lnTo>
                  <a:pt x="617" y="781"/>
                </a:lnTo>
                <a:lnTo>
                  <a:pt x="558" y="823"/>
                </a:lnTo>
                <a:lnTo>
                  <a:pt x="534" y="827"/>
                </a:lnTo>
                <a:lnTo>
                  <a:pt x="499" y="813"/>
                </a:lnTo>
                <a:lnTo>
                  <a:pt x="529" y="591"/>
                </a:lnTo>
                <a:lnTo>
                  <a:pt x="535" y="591"/>
                </a:lnTo>
                <a:lnTo>
                  <a:pt x="544" y="562"/>
                </a:lnTo>
                <a:lnTo>
                  <a:pt x="543" y="553"/>
                </a:lnTo>
                <a:lnTo>
                  <a:pt x="535" y="551"/>
                </a:lnTo>
                <a:lnTo>
                  <a:pt x="511" y="557"/>
                </a:lnTo>
                <a:lnTo>
                  <a:pt x="494" y="560"/>
                </a:lnTo>
                <a:lnTo>
                  <a:pt x="488" y="553"/>
                </a:lnTo>
                <a:lnTo>
                  <a:pt x="488" y="540"/>
                </a:lnTo>
                <a:lnTo>
                  <a:pt x="479" y="535"/>
                </a:lnTo>
                <a:lnTo>
                  <a:pt x="462" y="545"/>
                </a:lnTo>
                <a:lnTo>
                  <a:pt x="458" y="540"/>
                </a:lnTo>
                <a:lnTo>
                  <a:pt x="462" y="532"/>
                </a:lnTo>
                <a:lnTo>
                  <a:pt x="426" y="489"/>
                </a:lnTo>
                <a:lnTo>
                  <a:pt x="406" y="473"/>
                </a:lnTo>
                <a:lnTo>
                  <a:pt x="357" y="415"/>
                </a:lnTo>
                <a:lnTo>
                  <a:pt x="328" y="407"/>
                </a:lnTo>
                <a:lnTo>
                  <a:pt x="278" y="369"/>
                </a:lnTo>
                <a:lnTo>
                  <a:pt x="300" y="359"/>
                </a:lnTo>
                <a:lnTo>
                  <a:pt x="278" y="344"/>
                </a:lnTo>
                <a:lnTo>
                  <a:pt x="278" y="304"/>
                </a:lnTo>
                <a:lnTo>
                  <a:pt x="222" y="242"/>
                </a:lnTo>
                <a:lnTo>
                  <a:pt x="222" y="236"/>
                </a:lnTo>
                <a:lnTo>
                  <a:pt x="222" y="186"/>
                </a:lnTo>
                <a:lnTo>
                  <a:pt x="222" y="127"/>
                </a:lnTo>
                <a:lnTo>
                  <a:pt x="222" y="119"/>
                </a:lnTo>
                <a:lnTo>
                  <a:pt x="222" y="118"/>
                </a:lnTo>
                <a:lnTo>
                  <a:pt x="222" y="30"/>
                </a:lnTo>
                <a:lnTo>
                  <a:pt x="222" y="6"/>
                </a:lnTo>
                <a:lnTo>
                  <a:pt x="222" y="0"/>
                </a:lnTo>
                <a:lnTo>
                  <a:pt x="38" y="1"/>
                </a:lnTo>
                <a:lnTo>
                  <a:pt x="38" y="10"/>
                </a:lnTo>
                <a:lnTo>
                  <a:pt x="38" y="20"/>
                </a:lnTo>
                <a:lnTo>
                  <a:pt x="38" y="36"/>
                </a:lnTo>
                <a:lnTo>
                  <a:pt x="37" y="170"/>
                </a:lnTo>
                <a:lnTo>
                  <a:pt x="36" y="207"/>
                </a:lnTo>
                <a:lnTo>
                  <a:pt x="36" y="226"/>
                </a:lnTo>
                <a:lnTo>
                  <a:pt x="36" y="233"/>
                </a:lnTo>
                <a:lnTo>
                  <a:pt x="36" y="236"/>
                </a:lnTo>
                <a:lnTo>
                  <a:pt x="36" y="242"/>
                </a:lnTo>
                <a:lnTo>
                  <a:pt x="36" y="295"/>
                </a:lnTo>
                <a:lnTo>
                  <a:pt x="36" y="325"/>
                </a:lnTo>
                <a:lnTo>
                  <a:pt x="36" y="386"/>
                </a:lnTo>
                <a:lnTo>
                  <a:pt x="37" y="412"/>
                </a:lnTo>
                <a:lnTo>
                  <a:pt x="37" y="414"/>
                </a:lnTo>
                <a:lnTo>
                  <a:pt x="37" y="443"/>
                </a:lnTo>
                <a:lnTo>
                  <a:pt x="36" y="532"/>
                </a:lnTo>
                <a:lnTo>
                  <a:pt x="37" y="544"/>
                </a:lnTo>
                <a:lnTo>
                  <a:pt x="37" y="581"/>
                </a:lnTo>
                <a:lnTo>
                  <a:pt x="37" y="591"/>
                </a:lnTo>
                <a:lnTo>
                  <a:pt x="36" y="609"/>
                </a:lnTo>
                <a:lnTo>
                  <a:pt x="34" y="621"/>
                </a:lnTo>
                <a:lnTo>
                  <a:pt x="51" y="649"/>
                </a:lnTo>
                <a:lnTo>
                  <a:pt x="60" y="711"/>
                </a:lnTo>
                <a:lnTo>
                  <a:pt x="67" y="720"/>
                </a:lnTo>
                <a:lnTo>
                  <a:pt x="79" y="738"/>
                </a:lnTo>
                <a:lnTo>
                  <a:pt x="82" y="743"/>
                </a:lnTo>
                <a:lnTo>
                  <a:pt x="129" y="768"/>
                </a:lnTo>
                <a:lnTo>
                  <a:pt x="143" y="797"/>
                </a:lnTo>
                <a:lnTo>
                  <a:pt x="102" y="882"/>
                </a:lnTo>
                <a:lnTo>
                  <a:pt x="101" y="884"/>
                </a:lnTo>
                <a:lnTo>
                  <a:pt x="91" y="916"/>
                </a:lnTo>
                <a:lnTo>
                  <a:pt x="84" y="927"/>
                </a:lnTo>
                <a:lnTo>
                  <a:pt x="72" y="946"/>
                </a:lnTo>
                <a:lnTo>
                  <a:pt x="63" y="983"/>
                </a:lnTo>
                <a:lnTo>
                  <a:pt x="38" y="1005"/>
                </a:lnTo>
                <a:lnTo>
                  <a:pt x="0" y="1093"/>
                </a:lnTo>
                <a:lnTo>
                  <a:pt x="3" y="1111"/>
                </a:lnTo>
                <a:lnTo>
                  <a:pt x="30" y="1123"/>
                </a:lnTo>
                <a:lnTo>
                  <a:pt x="43" y="1124"/>
                </a:lnTo>
                <a:lnTo>
                  <a:pt x="63" y="11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1" name="S_IA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>
            <a:spLocks/>
          </xdr:cNvSpPr>
        </xdr:nvSpPr>
        <xdr:spPr bwMode="auto">
          <a:xfrm>
            <a:off x="5058335" y="1302684"/>
            <a:ext cx="1167653" cy="694204"/>
          </a:xfrm>
          <a:custGeom>
            <a:avLst/>
            <a:gdLst>
              <a:gd name="T0" fmla="*/ 2147483647 w 1212"/>
              <a:gd name="T1" fmla="*/ 0 h 739"/>
              <a:gd name="T2" fmla="*/ 2147483647 w 1212"/>
              <a:gd name="T3" fmla="*/ 0 h 739"/>
              <a:gd name="T4" fmla="*/ 2147483647 w 1212"/>
              <a:gd name="T5" fmla="*/ 0 h 739"/>
              <a:gd name="T6" fmla="*/ 2147483647 w 1212"/>
              <a:gd name="T7" fmla="*/ 0 h 739"/>
              <a:gd name="T8" fmla="*/ 2147483647 w 1212"/>
              <a:gd name="T9" fmla="*/ 0 h 739"/>
              <a:gd name="T10" fmla="*/ 2147483647 w 1212"/>
              <a:gd name="T11" fmla="*/ 0 h 739"/>
              <a:gd name="T12" fmla="*/ 2147483647 w 1212"/>
              <a:gd name="T13" fmla="*/ 0 h 739"/>
              <a:gd name="T14" fmla="*/ 2147483647 w 1212"/>
              <a:gd name="T15" fmla="*/ 0 h 739"/>
              <a:gd name="T16" fmla="*/ 2147483647 w 1212"/>
              <a:gd name="T17" fmla="*/ 0 h 739"/>
              <a:gd name="T18" fmla="*/ 2147483647 w 1212"/>
              <a:gd name="T19" fmla="*/ 0 h 739"/>
              <a:gd name="T20" fmla="*/ 2147483647 w 1212"/>
              <a:gd name="T21" fmla="*/ 2147483647 h 739"/>
              <a:gd name="T22" fmla="*/ 2147483647 w 1212"/>
              <a:gd name="T23" fmla="*/ 2147483647 h 739"/>
              <a:gd name="T24" fmla="*/ 2147483647 w 1212"/>
              <a:gd name="T25" fmla="*/ 2147483647 h 739"/>
              <a:gd name="T26" fmla="*/ 2147483647 w 1212"/>
              <a:gd name="T27" fmla="*/ 2147483647 h 739"/>
              <a:gd name="T28" fmla="*/ 2147483647 w 1212"/>
              <a:gd name="T29" fmla="*/ 2147483647 h 739"/>
              <a:gd name="T30" fmla="*/ 2147483647 w 1212"/>
              <a:gd name="T31" fmla="*/ 2147483647 h 739"/>
              <a:gd name="T32" fmla="*/ 2147483647 w 1212"/>
              <a:gd name="T33" fmla="*/ 2147483647 h 739"/>
              <a:gd name="T34" fmla="*/ 2147483647 w 1212"/>
              <a:gd name="T35" fmla="*/ 2147483647 h 739"/>
              <a:gd name="T36" fmla="*/ 2147483647 w 1212"/>
              <a:gd name="T37" fmla="*/ 2147483647 h 739"/>
              <a:gd name="T38" fmla="*/ 2147483647 w 1212"/>
              <a:gd name="T39" fmla="*/ 2147483647 h 739"/>
              <a:gd name="T40" fmla="*/ 2147483647 w 1212"/>
              <a:gd name="T41" fmla="*/ 2147483647 h 739"/>
              <a:gd name="T42" fmla="*/ 2147483647 w 1212"/>
              <a:gd name="T43" fmla="*/ 2147483647 h 739"/>
              <a:gd name="T44" fmla="*/ 2147483647 w 1212"/>
              <a:gd name="T45" fmla="*/ 2147483647 h 739"/>
              <a:gd name="T46" fmla="*/ 2147483647 w 1212"/>
              <a:gd name="T47" fmla="*/ 2147483647 h 739"/>
              <a:gd name="T48" fmla="*/ 2147483647 w 1212"/>
              <a:gd name="T49" fmla="*/ 2147483647 h 739"/>
              <a:gd name="T50" fmla="*/ 2147483647 w 1212"/>
              <a:gd name="T51" fmla="*/ 2147483647 h 739"/>
              <a:gd name="T52" fmla="*/ 2147483647 w 1212"/>
              <a:gd name="T53" fmla="*/ 2147483647 h 739"/>
              <a:gd name="T54" fmla="*/ 2147483647 w 1212"/>
              <a:gd name="T55" fmla="*/ 2147483647 h 739"/>
              <a:gd name="T56" fmla="*/ 2147483647 w 1212"/>
              <a:gd name="T57" fmla="*/ 2147483647 h 739"/>
              <a:gd name="T58" fmla="*/ 2147483647 w 1212"/>
              <a:gd name="T59" fmla="*/ 2147483647 h 739"/>
              <a:gd name="T60" fmla="*/ 2147483647 w 1212"/>
              <a:gd name="T61" fmla="*/ 2147483647 h 739"/>
              <a:gd name="T62" fmla="*/ 2147483647 w 1212"/>
              <a:gd name="T63" fmla="*/ 2147483647 h 739"/>
              <a:gd name="T64" fmla="*/ 2147483647 w 1212"/>
              <a:gd name="T65" fmla="*/ 2147483647 h 739"/>
              <a:gd name="T66" fmla="*/ 2147483647 w 1212"/>
              <a:gd name="T67" fmla="*/ 2147483647 h 739"/>
              <a:gd name="T68" fmla="*/ 2147483647 w 1212"/>
              <a:gd name="T69" fmla="*/ 2147483647 h 739"/>
              <a:gd name="T70" fmla="*/ 2147483647 w 1212"/>
              <a:gd name="T71" fmla="*/ 2147483647 h 739"/>
              <a:gd name="T72" fmla="*/ 2147483647 w 1212"/>
              <a:gd name="T73" fmla="*/ 2147483647 h 739"/>
              <a:gd name="T74" fmla="*/ 2147483647 w 1212"/>
              <a:gd name="T75" fmla="*/ 2147483647 h 739"/>
              <a:gd name="T76" fmla="*/ 2147483647 w 1212"/>
              <a:gd name="T77" fmla="*/ 2147483647 h 739"/>
              <a:gd name="T78" fmla="*/ 2147483647 w 1212"/>
              <a:gd name="T79" fmla="*/ 2147483647 h 739"/>
              <a:gd name="T80" fmla="*/ 2147483647 w 1212"/>
              <a:gd name="T81" fmla="*/ 2147483647 h 739"/>
              <a:gd name="T82" fmla="*/ 2147483647 w 1212"/>
              <a:gd name="T83" fmla="*/ 2147483647 h 739"/>
              <a:gd name="T84" fmla="*/ 2147483647 w 1212"/>
              <a:gd name="T85" fmla="*/ 2147483647 h 739"/>
              <a:gd name="T86" fmla="*/ 2147483647 w 1212"/>
              <a:gd name="T87" fmla="*/ 2147483647 h 739"/>
              <a:gd name="T88" fmla="*/ 2147483647 w 1212"/>
              <a:gd name="T89" fmla="*/ 2147483647 h 739"/>
              <a:gd name="T90" fmla="*/ 2147483647 w 1212"/>
              <a:gd name="T91" fmla="*/ 2147483647 h 739"/>
              <a:gd name="T92" fmla="*/ 2147483647 w 1212"/>
              <a:gd name="T93" fmla="*/ 2147483647 h 739"/>
              <a:gd name="T94" fmla="*/ 2147483647 w 1212"/>
              <a:gd name="T95" fmla="*/ 2147483647 h 739"/>
              <a:gd name="T96" fmla="*/ 2147483647 w 1212"/>
              <a:gd name="T97" fmla="*/ 2147483647 h 739"/>
              <a:gd name="T98" fmla="*/ 2147483647 w 1212"/>
              <a:gd name="T99" fmla="*/ 2147483647 h 739"/>
              <a:gd name="T100" fmla="*/ 2147483647 w 1212"/>
              <a:gd name="T101" fmla="*/ 2147483647 h 739"/>
              <a:gd name="T102" fmla="*/ 2147483647 w 1212"/>
              <a:gd name="T103" fmla="*/ 2147483647 h 739"/>
              <a:gd name="T104" fmla="*/ 2147483647 w 1212"/>
              <a:gd name="T105" fmla="*/ 2147483647 h 739"/>
              <a:gd name="T106" fmla="*/ 2147483647 w 1212"/>
              <a:gd name="T107" fmla="*/ 2147483647 h 739"/>
              <a:gd name="T108" fmla="*/ 2147483647 w 1212"/>
              <a:gd name="T109" fmla="*/ 2147483647 h 739"/>
              <a:gd name="T110" fmla="*/ 2147483647 w 1212"/>
              <a:gd name="T111" fmla="*/ 2147483647 h 739"/>
              <a:gd name="T112" fmla="*/ 2147483647 w 1212"/>
              <a:gd name="T113" fmla="*/ 0 h 739"/>
              <a:gd name="T114" fmla="*/ 2147483647 w 1212"/>
              <a:gd name="T115" fmla="*/ 0 h 739"/>
              <a:gd name="T116" fmla="*/ 2147483647 w 1212"/>
              <a:gd name="T117" fmla="*/ 0 h 739"/>
              <a:gd name="T118" fmla="*/ 2147483647 w 1212"/>
              <a:gd name="T119" fmla="*/ 0 h 739"/>
              <a:gd name="T120" fmla="*/ 2147483647 w 1212"/>
              <a:gd name="T121" fmla="*/ 0 h 739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212"/>
              <a:gd name="T184" fmla="*/ 0 h 739"/>
              <a:gd name="T185" fmla="*/ 1212 w 1212"/>
              <a:gd name="T186" fmla="*/ 739 h 739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212" h="739">
                <a:moveTo>
                  <a:pt x="584" y="1"/>
                </a:moveTo>
                <a:lnTo>
                  <a:pt x="556" y="1"/>
                </a:lnTo>
                <a:lnTo>
                  <a:pt x="518" y="1"/>
                </a:lnTo>
                <a:lnTo>
                  <a:pt x="513" y="1"/>
                </a:lnTo>
                <a:lnTo>
                  <a:pt x="496" y="1"/>
                </a:lnTo>
                <a:lnTo>
                  <a:pt x="494" y="1"/>
                </a:lnTo>
                <a:lnTo>
                  <a:pt x="490" y="1"/>
                </a:lnTo>
                <a:lnTo>
                  <a:pt x="444" y="0"/>
                </a:lnTo>
                <a:lnTo>
                  <a:pt x="420" y="0"/>
                </a:lnTo>
                <a:lnTo>
                  <a:pt x="407" y="0"/>
                </a:lnTo>
                <a:lnTo>
                  <a:pt x="368" y="0"/>
                </a:lnTo>
                <a:lnTo>
                  <a:pt x="350" y="0"/>
                </a:lnTo>
                <a:lnTo>
                  <a:pt x="330" y="0"/>
                </a:lnTo>
                <a:lnTo>
                  <a:pt x="326" y="0"/>
                </a:lnTo>
                <a:lnTo>
                  <a:pt x="320" y="0"/>
                </a:lnTo>
                <a:lnTo>
                  <a:pt x="280" y="0"/>
                </a:lnTo>
                <a:lnTo>
                  <a:pt x="257" y="0"/>
                </a:lnTo>
                <a:lnTo>
                  <a:pt x="231" y="0"/>
                </a:lnTo>
                <a:lnTo>
                  <a:pt x="218" y="1"/>
                </a:lnTo>
                <a:lnTo>
                  <a:pt x="169" y="1"/>
                </a:lnTo>
                <a:lnTo>
                  <a:pt x="163" y="0"/>
                </a:lnTo>
                <a:lnTo>
                  <a:pt x="142" y="0"/>
                </a:lnTo>
                <a:lnTo>
                  <a:pt x="128" y="0"/>
                </a:lnTo>
                <a:lnTo>
                  <a:pt x="116" y="0"/>
                </a:lnTo>
                <a:lnTo>
                  <a:pt x="107" y="0"/>
                </a:lnTo>
                <a:lnTo>
                  <a:pt x="69" y="0"/>
                </a:lnTo>
                <a:lnTo>
                  <a:pt x="46" y="0"/>
                </a:lnTo>
                <a:lnTo>
                  <a:pt x="32" y="0"/>
                </a:lnTo>
                <a:lnTo>
                  <a:pt x="22" y="0"/>
                </a:lnTo>
                <a:lnTo>
                  <a:pt x="4" y="0"/>
                </a:lnTo>
                <a:lnTo>
                  <a:pt x="4" y="1"/>
                </a:lnTo>
                <a:lnTo>
                  <a:pt x="19" y="30"/>
                </a:lnTo>
                <a:lnTo>
                  <a:pt x="13" y="58"/>
                </a:lnTo>
                <a:lnTo>
                  <a:pt x="22" y="66"/>
                </a:lnTo>
                <a:lnTo>
                  <a:pt x="34" y="89"/>
                </a:lnTo>
                <a:lnTo>
                  <a:pt x="31" y="99"/>
                </a:lnTo>
                <a:lnTo>
                  <a:pt x="22" y="107"/>
                </a:lnTo>
                <a:lnTo>
                  <a:pt x="22" y="129"/>
                </a:lnTo>
                <a:lnTo>
                  <a:pt x="16" y="140"/>
                </a:lnTo>
                <a:lnTo>
                  <a:pt x="0" y="188"/>
                </a:lnTo>
                <a:lnTo>
                  <a:pt x="22" y="214"/>
                </a:lnTo>
                <a:lnTo>
                  <a:pt x="23" y="223"/>
                </a:lnTo>
                <a:lnTo>
                  <a:pt x="27" y="237"/>
                </a:lnTo>
                <a:lnTo>
                  <a:pt x="33" y="240"/>
                </a:lnTo>
                <a:lnTo>
                  <a:pt x="49" y="290"/>
                </a:lnTo>
                <a:lnTo>
                  <a:pt x="55" y="296"/>
                </a:lnTo>
                <a:lnTo>
                  <a:pt x="54" y="298"/>
                </a:lnTo>
                <a:lnTo>
                  <a:pt x="50" y="304"/>
                </a:lnTo>
                <a:lnTo>
                  <a:pt x="63" y="325"/>
                </a:lnTo>
                <a:lnTo>
                  <a:pt x="65" y="344"/>
                </a:lnTo>
                <a:lnTo>
                  <a:pt x="71" y="355"/>
                </a:lnTo>
                <a:lnTo>
                  <a:pt x="82" y="355"/>
                </a:lnTo>
                <a:lnTo>
                  <a:pt x="91" y="386"/>
                </a:lnTo>
                <a:lnTo>
                  <a:pt x="93" y="389"/>
                </a:lnTo>
                <a:lnTo>
                  <a:pt x="99" y="414"/>
                </a:lnTo>
                <a:lnTo>
                  <a:pt x="94" y="430"/>
                </a:lnTo>
                <a:lnTo>
                  <a:pt x="95" y="444"/>
                </a:lnTo>
                <a:lnTo>
                  <a:pt x="116" y="464"/>
                </a:lnTo>
                <a:lnTo>
                  <a:pt x="117" y="471"/>
                </a:lnTo>
                <a:lnTo>
                  <a:pt x="115" y="473"/>
                </a:lnTo>
                <a:lnTo>
                  <a:pt x="116" y="480"/>
                </a:lnTo>
                <a:lnTo>
                  <a:pt x="128" y="499"/>
                </a:lnTo>
                <a:lnTo>
                  <a:pt x="140" y="523"/>
                </a:lnTo>
                <a:lnTo>
                  <a:pt x="131" y="532"/>
                </a:lnTo>
                <a:lnTo>
                  <a:pt x="130" y="546"/>
                </a:lnTo>
                <a:lnTo>
                  <a:pt x="140" y="547"/>
                </a:lnTo>
                <a:lnTo>
                  <a:pt x="141" y="551"/>
                </a:lnTo>
                <a:lnTo>
                  <a:pt x="139" y="553"/>
                </a:lnTo>
                <a:lnTo>
                  <a:pt x="141" y="562"/>
                </a:lnTo>
                <a:lnTo>
                  <a:pt x="138" y="577"/>
                </a:lnTo>
                <a:lnTo>
                  <a:pt x="139" y="579"/>
                </a:lnTo>
                <a:lnTo>
                  <a:pt x="140" y="579"/>
                </a:lnTo>
                <a:lnTo>
                  <a:pt x="141" y="591"/>
                </a:lnTo>
                <a:lnTo>
                  <a:pt x="152" y="614"/>
                </a:lnTo>
                <a:lnTo>
                  <a:pt x="152" y="616"/>
                </a:lnTo>
                <a:lnTo>
                  <a:pt x="148" y="621"/>
                </a:lnTo>
                <a:lnTo>
                  <a:pt x="147" y="642"/>
                </a:lnTo>
                <a:lnTo>
                  <a:pt x="139" y="651"/>
                </a:lnTo>
                <a:lnTo>
                  <a:pt x="163" y="684"/>
                </a:lnTo>
                <a:lnTo>
                  <a:pt x="160" y="689"/>
                </a:lnTo>
                <a:lnTo>
                  <a:pt x="163" y="689"/>
                </a:lnTo>
                <a:lnTo>
                  <a:pt x="209" y="690"/>
                </a:lnTo>
                <a:lnTo>
                  <a:pt x="233" y="690"/>
                </a:lnTo>
                <a:lnTo>
                  <a:pt x="257" y="690"/>
                </a:lnTo>
                <a:lnTo>
                  <a:pt x="265" y="691"/>
                </a:lnTo>
                <a:lnTo>
                  <a:pt x="304" y="691"/>
                </a:lnTo>
                <a:lnTo>
                  <a:pt x="319" y="691"/>
                </a:lnTo>
                <a:lnTo>
                  <a:pt x="350" y="693"/>
                </a:lnTo>
                <a:lnTo>
                  <a:pt x="372" y="693"/>
                </a:lnTo>
                <a:lnTo>
                  <a:pt x="397" y="693"/>
                </a:lnTo>
                <a:lnTo>
                  <a:pt x="402" y="693"/>
                </a:lnTo>
                <a:lnTo>
                  <a:pt x="444" y="693"/>
                </a:lnTo>
                <a:lnTo>
                  <a:pt x="447" y="693"/>
                </a:lnTo>
                <a:lnTo>
                  <a:pt x="488" y="693"/>
                </a:lnTo>
                <a:lnTo>
                  <a:pt x="490" y="691"/>
                </a:lnTo>
                <a:lnTo>
                  <a:pt x="533" y="691"/>
                </a:lnTo>
                <a:lnTo>
                  <a:pt x="534" y="690"/>
                </a:lnTo>
                <a:lnTo>
                  <a:pt x="537" y="691"/>
                </a:lnTo>
                <a:lnTo>
                  <a:pt x="573" y="690"/>
                </a:lnTo>
                <a:lnTo>
                  <a:pt x="584" y="690"/>
                </a:lnTo>
                <a:lnTo>
                  <a:pt x="595" y="690"/>
                </a:lnTo>
                <a:lnTo>
                  <a:pt x="608" y="690"/>
                </a:lnTo>
                <a:lnTo>
                  <a:pt x="631" y="690"/>
                </a:lnTo>
                <a:lnTo>
                  <a:pt x="659" y="689"/>
                </a:lnTo>
                <a:lnTo>
                  <a:pt x="677" y="689"/>
                </a:lnTo>
                <a:lnTo>
                  <a:pt x="724" y="688"/>
                </a:lnTo>
                <a:lnTo>
                  <a:pt x="731" y="688"/>
                </a:lnTo>
                <a:lnTo>
                  <a:pt x="746" y="687"/>
                </a:lnTo>
                <a:lnTo>
                  <a:pt x="771" y="687"/>
                </a:lnTo>
                <a:lnTo>
                  <a:pt x="799" y="686"/>
                </a:lnTo>
                <a:lnTo>
                  <a:pt x="817" y="686"/>
                </a:lnTo>
                <a:lnTo>
                  <a:pt x="821" y="686"/>
                </a:lnTo>
                <a:lnTo>
                  <a:pt x="831" y="686"/>
                </a:lnTo>
                <a:lnTo>
                  <a:pt x="853" y="685"/>
                </a:lnTo>
                <a:lnTo>
                  <a:pt x="860" y="685"/>
                </a:lnTo>
                <a:lnTo>
                  <a:pt x="875" y="684"/>
                </a:lnTo>
                <a:lnTo>
                  <a:pt x="915" y="683"/>
                </a:lnTo>
                <a:lnTo>
                  <a:pt x="917" y="685"/>
                </a:lnTo>
                <a:lnTo>
                  <a:pt x="918" y="686"/>
                </a:lnTo>
                <a:lnTo>
                  <a:pt x="935" y="699"/>
                </a:lnTo>
                <a:lnTo>
                  <a:pt x="958" y="732"/>
                </a:lnTo>
                <a:lnTo>
                  <a:pt x="974" y="739"/>
                </a:lnTo>
                <a:lnTo>
                  <a:pt x="981" y="734"/>
                </a:lnTo>
                <a:lnTo>
                  <a:pt x="981" y="690"/>
                </a:lnTo>
                <a:lnTo>
                  <a:pt x="1016" y="677"/>
                </a:lnTo>
                <a:lnTo>
                  <a:pt x="1025" y="671"/>
                </a:lnTo>
                <a:lnTo>
                  <a:pt x="1028" y="670"/>
                </a:lnTo>
                <a:lnTo>
                  <a:pt x="1030" y="663"/>
                </a:lnTo>
                <a:lnTo>
                  <a:pt x="1031" y="651"/>
                </a:lnTo>
                <a:lnTo>
                  <a:pt x="1061" y="591"/>
                </a:lnTo>
                <a:lnTo>
                  <a:pt x="1061" y="574"/>
                </a:lnTo>
                <a:lnTo>
                  <a:pt x="1052" y="552"/>
                </a:lnTo>
                <a:lnTo>
                  <a:pt x="1030" y="532"/>
                </a:lnTo>
                <a:lnTo>
                  <a:pt x="1038" y="513"/>
                </a:lnTo>
                <a:lnTo>
                  <a:pt x="1040" y="503"/>
                </a:lnTo>
                <a:lnTo>
                  <a:pt x="1052" y="490"/>
                </a:lnTo>
                <a:lnTo>
                  <a:pt x="1091" y="484"/>
                </a:lnTo>
                <a:lnTo>
                  <a:pt x="1145" y="469"/>
                </a:lnTo>
                <a:lnTo>
                  <a:pt x="1168" y="455"/>
                </a:lnTo>
                <a:lnTo>
                  <a:pt x="1179" y="419"/>
                </a:lnTo>
                <a:lnTo>
                  <a:pt x="1182" y="414"/>
                </a:lnTo>
                <a:lnTo>
                  <a:pt x="1192" y="407"/>
                </a:lnTo>
                <a:lnTo>
                  <a:pt x="1193" y="407"/>
                </a:lnTo>
                <a:lnTo>
                  <a:pt x="1207" y="384"/>
                </a:lnTo>
                <a:lnTo>
                  <a:pt x="1210" y="371"/>
                </a:lnTo>
                <a:lnTo>
                  <a:pt x="1212" y="355"/>
                </a:lnTo>
                <a:lnTo>
                  <a:pt x="1212" y="353"/>
                </a:lnTo>
                <a:lnTo>
                  <a:pt x="1210" y="347"/>
                </a:lnTo>
                <a:lnTo>
                  <a:pt x="1207" y="325"/>
                </a:lnTo>
                <a:lnTo>
                  <a:pt x="1187" y="314"/>
                </a:lnTo>
                <a:lnTo>
                  <a:pt x="1178" y="309"/>
                </a:lnTo>
                <a:lnTo>
                  <a:pt x="1166" y="303"/>
                </a:lnTo>
                <a:lnTo>
                  <a:pt x="1161" y="297"/>
                </a:lnTo>
                <a:lnTo>
                  <a:pt x="1150" y="264"/>
                </a:lnTo>
                <a:lnTo>
                  <a:pt x="1121" y="246"/>
                </a:lnTo>
                <a:lnTo>
                  <a:pt x="1117" y="237"/>
                </a:lnTo>
                <a:lnTo>
                  <a:pt x="1119" y="236"/>
                </a:lnTo>
                <a:lnTo>
                  <a:pt x="1107" y="208"/>
                </a:lnTo>
                <a:lnTo>
                  <a:pt x="1098" y="202"/>
                </a:lnTo>
                <a:lnTo>
                  <a:pt x="1071" y="196"/>
                </a:lnTo>
                <a:lnTo>
                  <a:pt x="1040" y="178"/>
                </a:lnTo>
                <a:lnTo>
                  <a:pt x="1036" y="148"/>
                </a:lnTo>
                <a:lnTo>
                  <a:pt x="1022" y="122"/>
                </a:lnTo>
                <a:lnTo>
                  <a:pt x="1022" y="119"/>
                </a:lnTo>
                <a:lnTo>
                  <a:pt x="1019" y="101"/>
                </a:lnTo>
                <a:lnTo>
                  <a:pt x="1019" y="100"/>
                </a:lnTo>
                <a:lnTo>
                  <a:pt x="1041" y="60"/>
                </a:lnTo>
                <a:lnTo>
                  <a:pt x="1014" y="23"/>
                </a:lnTo>
                <a:lnTo>
                  <a:pt x="1013" y="19"/>
                </a:lnTo>
                <a:lnTo>
                  <a:pt x="1011" y="1"/>
                </a:lnTo>
                <a:lnTo>
                  <a:pt x="1011" y="0"/>
                </a:lnTo>
                <a:lnTo>
                  <a:pt x="1005" y="0"/>
                </a:lnTo>
                <a:lnTo>
                  <a:pt x="991" y="0"/>
                </a:lnTo>
                <a:lnTo>
                  <a:pt x="937" y="0"/>
                </a:lnTo>
                <a:lnTo>
                  <a:pt x="935" y="0"/>
                </a:lnTo>
                <a:lnTo>
                  <a:pt x="915" y="0"/>
                </a:lnTo>
                <a:lnTo>
                  <a:pt x="849" y="0"/>
                </a:lnTo>
                <a:lnTo>
                  <a:pt x="781" y="0"/>
                </a:lnTo>
                <a:lnTo>
                  <a:pt x="761" y="0"/>
                </a:lnTo>
                <a:lnTo>
                  <a:pt x="677" y="1"/>
                </a:lnTo>
                <a:lnTo>
                  <a:pt x="673" y="1"/>
                </a:lnTo>
                <a:lnTo>
                  <a:pt x="669" y="1"/>
                </a:lnTo>
                <a:lnTo>
                  <a:pt x="608" y="1"/>
                </a:lnTo>
                <a:lnTo>
                  <a:pt x="603" y="1"/>
                </a:lnTo>
                <a:lnTo>
                  <a:pt x="584" y="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2" name="S_GA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>
            <a:spLocks/>
          </xdr:cNvSpPr>
        </xdr:nvSpPr>
        <xdr:spPr bwMode="auto">
          <a:xfrm>
            <a:off x="7038415" y="3185272"/>
            <a:ext cx="860051" cy="1012452"/>
          </a:xfrm>
          <a:custGeom>
            <a:avLst/>
            <a:gdLst>
              <a:gd name="T0" fmla="*/ 2147483647 w 890"/>
              <a:gd name="T1" fmla="*/ 0 h 1095"/>
              <a:gd name="T2" fmla="*/ 2147483647 w 890"/>
              <a:gd name="T3" fmla="*/ 0 h 1095"/>
              <a:gd name="T4" fmla="*/ 2147483647 w 890"/>
              <a:gd name="T5" fmla="*/ 0 h 1095"/>
              <a:gd name="T6" fmla="*/ 2147483647 w 890"/>
              <a:gd name="T7" fmla="*/ 0 h 1095"/>
              <a:gd name="T8" fmla="*/ 2147483647 w 890"/>
              <a:gd name="T9" fmla="*/ 0 h 1095"/>
              <a:gd name="T10" fmla="*/ 2147483647 w 890"/>
              <a:gd name="T11" fmla="*/ 2147483647 h 1095"/>
              <a:gd name="T12" fmla="*/ 2147483647 w 890"/>
              <a:gd name="T13" fmla="*/ 2147483647 h 1095"/>
              <a:gd name="T14" fmla="*/ 2147483647 w 890"/>
              <a:gd name="T15" fmla="*/ 2147483647 h 1095"/>
              <a:gd name="T16" fmla="*/ 2147483647 w 890"/>
              <a:gd name="T17" fmla="*/ 2147483647 h 1095"/>
              <a:gd name="T18" fmla="*/ 2147483647 w 890"/>
              <a:gd name="T19" fmla="*/ 2147483647 h 1095"/>
              <a:gd name="T20" fmla="*/ 2147483647 w 890"/>
              <a:gd name="T21" fmla="*/ 2147483647 h 1095"/>
              <a:gd name="T22" fmla="*/ 2147483647 w 890"/>
              <a:gd name="T23" fmla="*/ 2147483647 h 1095"/>
              <a:gd name="T24" fmla="*/ 2147483647 w 890"/>
              <a:gd name="T25" fmla="*/ 2147483647 h 1095"/>
              <a:gd name="T26" fmla="*/ 2147483647 w 890"/>
              <a:gd name="T27" fmla="*/ 2147483647 h 1095"/>
              <a:gd name="T28" fmla="*/ 2147483647 w 890"/>
              <a:gd name="T29" fmla="*/ 2147483647 h 1095"/>
              <a:gd name="T30" fmla="*/ 2147483647 w 890"/>
              <a:gd name="T31" fmla="*/ 2147483647 h 1095"/>
              <a:gd name="T32" fmla="*/ 2147483647 w 890"/>
              <a:gd name="T33" fmla="*/ 2147483647 h 1095"/>
              <a:gd name="T34" fmla="*/ 2147483647 w 890"/>
              <a:gd name="T35" fmla="*/ 2147483647 h 1095"/>
              <a:gd name="T36" fmla="*/ 2147483647 w 890"/>
              <a:gd name="T37" fmla="*/ 2147483647 h 1095"/>
              <a:gd name="T38" fmla="*/ 2147483647 w 890"/>
              <a:gd name="T39" fmla="*/ 2147483647 h 1095"/>
              <a:gd name="T40" fmla="*/ 2147483647 w 890"/>
              <a:gd name="T41" fmla="*/ 2147483647 h 1095"/>
              <a:gd name="T42" fmla="*/ 2147483647 w 890"/>
              <a:gd name="T43" fmla="*/ 2147483647 h 1095"/>
              <a:gd name="T44" fmla="*/ 2147483647 w 890"/>
              <a:gd name="T45" fmla="*/ 2147483647 h 1095"/>
              <a:gd name="T46" fmla="*/ 2147483647 w 890"/>
              <a:gd name="T47" fmla="*/ 2147483647 h 1095"/>
              <a:gd name="T48" fmla="*/ 2147483647 w 890"/>
              <a:gd name="T49" fmla="*/ 2147483647 h 1095"/>
              <a:gd name="T50" fmla="*/ 2147483647 w 890"/>
              <a:gd name="T51" fmla="*/ 2147483647 h 1095"/>
              <a:gd name="T52" fmla="*/ 2147483647 w 890"/>
              <a:gd name="T53" fmla="*/ 2147483647 h 1095"/>
              <a:gd name="T54" fmla="*/ 2147483647 w 890"/>
              <a:gd name="T55" fmla="*/ 2147483647 h 1095"/>
              <a:gd name="T56" fmla="*/ 2147483647 w 890"/>
              <a:gd name="T57" fmla="*/ 2147483647 h 1095"/>
              <a:gd name="T58" fmla="*/ 2147483647 w 890"/>
              <a:gd name="T59" fmla="*/ 2147483647 h 1095"/>
              <a:gd name="T60" fmla="*/ 2147483647 w 890"/>
              <a:gd name="T61" fmla="*/ 2147483647 h 1095"/>
              <a:gd name="T62" fmla="*/ 2147483647 w 890"/>
              <a:gd name="T63" fmla="*/ 2147483647 h 1095"/>
              <a:gd name="T64" fmla="*/ 2147483647 w 890"/>
              <a:gd name="T65" fmla="*/ 2147483647 h 1095"/>
              <a:gd name="T66" fmla="*/ 2147483647 w 890"/>
              <a:gd name="T67" fmla="*/ 2147483647 h 1095"/>
              <a:gd name="T68" fmla="*/ 2147483647 w 890"/>
              <a:gd name="T69" fmla="*/ 2147483647 h 1095"/>
              <a:gd name="T70" fmla="*/ 2147483647 w 890"/>
              <a:gd name="T71" fmla="*/ 2147483647 h 1095"/>
              <a:gd name="T72" fmla="*/ 2147483647 w 890"/>
              <a:gd name="T73" fmla="*/ 2147483647 h 1095"/>
              <a:gd name="T74" fmla="*/ 2147483647 w 890"/>
              <a:gd name="T75" fmla="*/ 2147483647 h 1095"/>
              <a:gd name="T76" fmla="*/ 2147483647 w 890"/>
              <a:gd name="T77" fmla="*/ 2147483647 h 1095"/>
              <a:gd name="T78" fmla="*/ 2147483647 w 890"/>
              <a:gd name="T79" fmla="*/ 2147483647 h 1095"/>
              <a:gd name="T80" fmla="*/ 2147483647 w 890"/>
              <a:gd name="T81" fmla="*/ 2147483647 h 1095"/>
              <a:gd name="T82" fmla="*/ 2147483647 w 890"/>
              <a:gd name="T83" fmla="*/ 2147483647 h 1095"/>
              <a:gd name="T84" fmla="*/ 2147483647 w 890"/>
              <a:gd name="T85" fmla="*/ 2147483647 h 1095"/>
              <a:gd name="T86" fmla="*/ 2147483647 w 890"/>
              <a:gd name="T87" fmla="*/ 2147483647 h 1095"/>
              <a:gd name="T88" fmla="*/ 2147483647 w 890"/>
              <a:gd name="T89" fmla="*/ 2147483647 h 1095"/>
              <a:gd name="T90" fmla="*/ 2147483647 w 890"/>
              <a:gd name="T91" fmla="*/ 2147483647 h 1095"/>
              <a:gd name="T92" fmla="*/ 2147483647 w 890"/>
              <a:gd name="T93" fmla="*/ 2147483647 h 1095"/>
              <a:gd name="T94" fmla="*/ 2147483647 w 890"/>
              <a:gd name="T95" fmla="*/ 2147483647 h 1095"/>
              <a:gd name="T96" fmla="*/ 2147483647 w 890"/>
              <a:gd name="T97" fmla="*/ 2147483647 h 1095"/>
              <a:gd name="T98" fmla="*/ 2147483647 w 890"/>
              <a:gd name="T99" fmla="*/ 2147483647 h 1095"/>
              <a:gd name="T100" fmla="*/ 2147483647 w 890"/>
              <a:gd name="T101" fmla="*/ 2147483647 h 1095"/>
              <a:gd name="T102" fmla="*/ 2147483647 w 890"/>
              <a:gd name="T103" fmla="*/ 2147483647 h 1095"/>
              <a:gd name="T104" fmla="*/ 2147483647 w 890"/>
              <a:gd name="T105" fmla="*/ 2147483647 h 1095"/>
              <a:gd name="T106" fmla="*/ 2147483647 w 890"/>
              <a:gd name="T107" fmla="*/ 2147483647 h 1095"/>
              <a:gd name="T108" fmla="*/ 2147483647 w 890"/>
              <a:gd name="T109" fmla="*/ 2147483647 h 1095"/>
              <a:gd name="T110" fmla="*/ 2147483647 w 890"/>
              <a:gd name="T111" fmla="*/ 0 h 1095"/>
              <a:gd name="T112" fmla="*/ 2147483647 w 890"/>
              <a:gd name="T113" fmla="*/ 0 h 1095"/>
              <a:gd name="T114" fmla="*/ 2147483647 w 890"/>
              <a:gd name="T115" fmla="*/ 0 h 1095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890"/>
              <a:gd name="T175" fmla="*/ 0 h 1095"/>
              <a:gd name="T176" fmla="*/ 890 w 890"/>
              <a:gd name="T177" fmla="*/ 1095 h 1095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890" h="1095">
                <a:moveTo>
                  <a:pt x="149" y="2"/>
                </a:moveTo>
                <a:lnTo>
                  <a:pt x="155" y="2"/>
                </a:lnTo>
                <a:lnTo>
                  <a:pt x="159" y="2"/>
                </a:lnTo>
                <a:lnTo>
                  <a:pt x="167" y="2"/>
                </a:lnTo>
                <a:lnTo>
                  <a:pt x="184" y="2"/>
                </a:lnTo>
                <a:lnTo>
                  <a:pt x="210" y="2"/>
                </a:lnTo>
                <a:lnTo>
                  <a:pt x="230" y="2"/>
                </a:lnTo>
                <a:lnTo>
                  <a:pt x="240" y="2"/>
                </a:lnTo>
                <a:lnTo>
                  <a:pt x="254" y="2"/>
                </a:lnTo>
                <a:lnTo>
                  <a:pt x="276" y="3"/>
                </a:lnTo>
                <a:lnTo>
                  <a:pt x="299" y="3"/>
                </a:lnTo>
                <a:lnTo>
                  <a:pt x="309" y="3"/>
                </a:lnTo>
                <a:lnTo>
                  <a:pt x="311" y="3"/>
                </a:lnTo>
                <a:lnTo>
                  <a:pt x="371" y="3"/>
                </a:lnTo>
                <a:lnTo>
                  <a:pt x="371" y="1"/>
                </a:lnTo>
                <a:lnTo>
                  <a:pt x="384" y="1"/>
                </a:lnTo>
                <a:lnTo>
                  <a:pt x="394" y="1"/>
                </a:lnTo>
                <a:lnTo>
                  <a:pt x="397" y="1"/>
                </a:lnTo>
                <a:lnTo>
                  <a:pt x="427" y="1"/>
                </a:lnTo>
                <a:lnTo>
                  <a:pt x="455" y="0"/>
                </a:lnTo>
                <a:lnTo>
                  <a:pt x="467" y="0"/>
                </a:lnTo>
                <a:lnTo>
                  <a:pt x="463" y="15"/>
                </a:lnTo>
                <a:lnTo>
                  <a:pt x="440" y="34"/>
                </a:lnTo>
                <a:lnTo>
                  <a:pt x="421" y="66"/>
                </a:lnTo>
                <a:lnTo>
                  <a:pt x="421" y="67"/>
                </a:lnTo>
                <a:lnTo>
                  <a:pt x="424" y="74"/>
                </a:lnTo>
                <a:lnTo>
                  <a:pt x="442" y="89"/>
                </a:lnTo>
                <a:lnTo>
                  <a:pt x="463" y="104"/>
                </a:lnTo>
                <a:lnTo>
                  <a:pt x="468" y="109"/>
                </a:lnTo>
                <a:lnTo>
                  <a:pt x="477" y="118"/>
                </a:lnTo>
                <a:lnTo>
                  <a:pt x="477" y="119"/>
                </a:lnTo>
                <a:lnTo>
                  <a:pt x="480" y="122"/>
                </a:lnTo>
                <a:lnTo>
                  <a:pt x="488" y="124"/>
                </a:lnTo>
                <a:lnTo>
                  <a:pt x="488" y="123"/>
                </a:lnTo>
                <a:lnTo>
                  <a:pt x="510" y="126"/>
                </a:lnTo>
                <a:lnTo>
                  <a:pt x="518" y="148"/>
                </a:lnTo>
                <a:lnTo>
                  <a:pt x="530" y="168"/>
                </a:lnTo>
                <a:lnTo>
                  <a:pt x="534" y="172"/>
                </a:lnTo>
                <a:lnTo>
                  <a:pt x="535" y="177"/>
                </a:lnTo>
                <a:lnTo>
                  <a:pt x="535" y="186"/>
                </a:lnTo>
                <a:lnTo>
                  <a:pt x="548" y="206"/>
                </a:lnTo>
                <a:lnTo>
                  <a:pt x="558" y="221"/>
                </a:lnTo>
                <a:lnTo>
                  <a:pt x="563" y="232"/>
                </a:lnTo>
                <a:lnTo>
                  <a:pt x="563" y="234"/>
                </a:lnTo>
                <a:lnTo>
                  <a:pt x="564" y="235"/>
                </a:lnTo>
                <a:lnTo>
                  <a:pt x="568" y="246"/>
                </a:lnTo>
                <a:lnTo>
                  <a:pt x="604" y="272"/>
                </a:lnTo>
                <a:lnTo>
                  <a:pt x="627" y="294"/>
                </a:lnTo>
                <a:lnTo>
                  <a:pt x="634" y="310"/>
                </a:lnTo>
                <a:lnTo>
                  <a:pt x="639" y="324"/>
                </a:lnTo>
                <a:lnTo>
                  <a:pt x="651" y="333"/>
                </a:lnTo>
                <a:lnTo>
                  <a:pt x="653" y="331"/>
                </a:lnTo>
                <a:lnTo>
                  <a:pt x="668" y="342"/>
                </a:lnTo>
                <a:lnTo>
                  <a:pt x="668" y="343"/>
                </a:lnTo>
                <a:lnTo>
                  <a:pt x="669" y="343"/>
                </a:lnTo>
                <a:lnTo>
                  <a:pt x="670" y="345"/>
                </a:lnTo>
                <a:lnTo>
                  <a:pt x="688" y="383"/>
                </a:lnTo>
                <a:lnTo>
                  <a:pt x="698" y="398"/>
                </a:lnTo>
                <a:lnTo>
                  <a:pt x="702" y="414"/>
                </a:lnTo>
                <a:lnTo>
                  <a:pt x="719" y="425"/>
                </a:lnTo>
                <a:lnTo>
                  <a:pt x="721" y="438"/>
                </a:lnTo>
                <a:lnTo>
                  <a:pt x="727" y="443"/>
                </a:lnTo>
                <a:lnTo>
                  <a:pt x="746" y="449"/>
                </a:lnTo>
                <a:lnTo>
                  <a:pt x="760" y="461"/>
                </a:lnTo>
                <a:lnTo>
                  <a:pt x="769" y="470"/>
                </a:lnTo>
                <a:lnTo>
                  <a:pt x="767" y="488"/>
                </a:lnTo>
                <a:lnTo>
                  <a:pt x="785" y="533"/>
                </a:lnTo>
                <a:lnTo>
                  <a:pt x="783" y="561"/>
                </a:lnTo>
                <a:lnTo>
                  <a:pt x="789" y="568"/>
                </a:lnTo>
                <a:lnTo>
                  <a:pt x="791" y="569"/>
                </a:lnTo>
                <a:lnTo>
                  <a:pt x="791" y="568"/>
                </a:lnTo>
                <a:lnTo>
                  <a:pt x="808" y="577"/>
                </a:lnTo>
                <a:lnTo>
                  <a:pt x="838" y="636"/>
                </a:lnTo>
                <a:lnTo>
                  <a:pt x="834" y="650"/>
                </a:lnTo>
                <a:lnTo>
                  <a:pt x="834" y="655"/>
                </a:lnTo>
                <a:lnTo>
                  <a:pt x="839" y="680"/>
                </a:lnTo>
                <a:lnTo>
                  <a:pt x="861" y="685"/>
                </a:lnTo>
                <a:lnTo>
                  <a:pt x="881" y="697"/>
                </a:lnTo>
                <a:lnTo>
                  <a:pt x="889" y="699"/>
                </a:lnTo>
                <a:lnTo>
                  <a:pt x="890" y="710"/>
                </a:lnTo>
                <a:lnTo>
                  <a:pt x="861" y="742"/>
                </a:lnTo>
                <a:lnTo>
                  <a:pt x="850" y="738"/>
                </a:lnTo>
                <a:lnTo>
                  <a:pt x="854" y="752"/>
                </a:lnTo>
                <a:lnTo>
                  <a:pt x="837" y="774"/>
                </a:lnTo>
                <a:lnTo>
                  <a:pt x="833" y="772"/>
                </a:lnTo>
                <a:lnTo>
                  <a:pt x="830" y="772"/>
                </a:lnTo>
                <a:lnTo>
                  <a:pt x="826" y="775"/>
                </a:lnTo>
                <a:lnTo>
                  <a:pt x="836" y="779"/>
                </a:lnTo>
                <a:lnTo>
                  <a:pt x="837" y="797"/>
                </a:lnTo>
                <a:lnTo>
                  <a:pt x="828" y="813"/>
                </a:lnTo>
                <a:lnTo>
                  <a:pt x="825" y="810"/>
                </a:lnTo>
                <a:lnTo>
                  <a:pt x="812" y="814"/>
                </a:lnTo>
                <a:lnTo>
                  <a:pt x="814" y="820"/>
                </a:lnTo>
                <a:lnTo>
                  <a:pt x="828" y="822"/>
                </a:lnTo>
                <a:lnTo>
                  <a:pt x="811" y="854"/>
                </a:lnTo>
                <a:lnTo>
                  <a:pt x="806" y="856"/>
                </a:lnTo>
                <a:lnTo>
                  <a:pt x="809" y="875"/>
                </a:lnTo>
                <a:lnTo>
                  <a:pt x="812" y="882"/>
                </a:lnTo>
                <a:lnTo>
                  <a:pt x="791" y="911"/>
                </a:lnTo>
                <a:lnTo>
                  <a:pt x="778" y="915"/>
                </a:lnTo>
                <a:lnTo>
                  <a:pt x="784" y="916"/>
                </a:lnTo>
                <a:lnTo>
                  <a:pt x="779" y="942"/>
                </a:lnTo>
                <a:lnTo>
                  <a:pt x="775" y="945"/>
                </a:lnTo>
                <a:lnTo>
                  <a:pt x="784" y="950"/>
                </a:lnTo>
                <a:lnTo>
                  <a:pt x="777" y="1012"/>
                </a:lnTo>
                <a:lnTo>
                  <a:pt x="724" y="1004"/>
                </a:lnTo>
                <a:lnTo>
                  <a:pt x="698" y="992"/>
                </a:lnTo>
                <a:lnTo>
                  <a:pt x="691" y="986"/>
                </a:lnTo>
                <a:lnTo>
                  <a:pt x="667" y="1004"/>
                </a:lnTo>
                <a:lnTo>
                  <a:pt x="671" y="1063"/>
                </a:lnTo>
                <a:lnTo>
                  <a:pt x="665" y="1095"/>
                </a:lnTo>
                <a:lnTo>
                  <a:pt x="640" y="1093"/>
                </a:lnTo>
                <a:lnTo>
                  <a:pt x="635" y="1063"/>
                </a:lnTo>
                <a:lnTo>
                  <a:pt x="634" y="1047"/>
                </a:lnTo>
                <a:lnTo>
                  <a:pt x="627" y="1046"/>
                </a:lnTo>
                <a:lnTo>
                  <a:pt x="604" y="1044"/>
                </a:lnTo>
                <a:lnTo>
                  <a:pt x="596" y="1043"/>
                </a:lnTo>
                <a:lnTo>
                  <a:pt x="589" y="1042"/>
                </a:lnTo>
                <a:lnTo>
                  <a:pt x="580" y="1042"/>
                </a:lnTo>
                <a:lnTo>
                  <a:pt x="565" y="1041"/>
                </a:lnTo>
                <a:lnTo>
                  <a:pt x="549" y="1040"/>
                </a:lnTo>
                <a:lnTo>
                  <a:pt x="545" y="1039"/>
                </a:lnTo>
                <a:lnTo>
                  <a:pt x="534" y="1039"/>
                </a:lnTo>
                <a:lnTo>
                  <a:pt x="510" y="1037"/>
                </a:lnTo>
                <a:lnTo>
                  <a:pt x="461" y="1034"/>
                </a:lnTo>
                <a:lnTo>
                  <a:pt x="451" y="1033"/>
                </a:lnTo>
                <a:lnTo>
                  <a:pt x="440" y="1032"/>
                </a:lnTo>
                <a:lnTo>
                  <a:pt x="429" y="1031"/>
                </a:lnTo>
                <a:lnTo>
                  <a:pt x="423" y="1031"/>
                </a:lnTo>
                <a:lnTo>
                  <a:pt x="421" y="1031"/>
                </a:lnTo>
                <a:lnTo>
                  <a:pt x="414" y="1030"/>
                </a:lnTo>
                <a:lnTo>
                  <a:pt x="394" y="1028"/>
                </a:lnTo>
                <a:lnTo>
                  <a:pt x="372" y="1027"/>
                </a:lnTo>
                <a:lnTo>
                  <a:pt x="366" y="1026"/>
                </a:lnTo>
                <a:lnTo>
                  <a:pt x="360" y="1026"/>
                </a:lnTo>
                <a:lnTo>
                  <a:pt x="348" y="1025"/>
                </a:lnTo>
                <a:lnTo>
                  <a:pt x="323" y="1024"/>
                </a:lnTo>
                <a:lnTo>
                  <a:pt x="310" y="1023"/>
                </a:lnTo>
                <a:lnTo>
                  <a:pt x="299" y="1022"/>
                </a:lnTo>
                <a:lnTo>
                  <a:pt x="296" y="1022"/>
                </a:lnTo>
                <a:lnTo>
                  <a:pt x="290" y="1022"/>
                </a:lnTo>
                <a:lnTo>
                  <a:pt x="285" y="1021"/>
                </a:lnTo>
                <a:lnTo>
                  <a:pt x="263" y="1020"/>
                </a:lnTo>
                <a:lnTo>
                  <a:pt x="253" y="1019"/>
                </a:lnTo>
                <a:lnTo>
                  <a:pt x="247" y="1019"/>
                </a:lnTo>
                <a:lnTo>
                  <a:pt x="241" y="1019"/>
                </a:lnTo>
                <a:lnTo>
                  <a:pt x="230" y="1018"/>
                </a:lnTo>
                <a:lnTo>
                  <a:pt x="229" y="1018"/>
                </a:lnTo>
                <a:lnTo>
                  <a:pt x="211" y="1018"/>
                </a:lnTo>
                <a:lnTo>
                  <a:pt x="180" y="1015"/>
                </a:lnTo>
                <a:lnTo>
                  <a:pt x="138" y="1012"/>
                </a:lnTo>
                <a:lnTo>
                  <a:pt x="136" y="1009"/>
                </a:lnTo>
                <a:lnTo>
                  <a:pt x="112" y="951"/>
                </a:lnTo>
                <a:lnTo>
                  <a:pt x="112" y="945"/>
                </a:lnTo>
                <a:lnTo>
                  <a:pt x="112" y="943"/>
                </a:lnTo>
                <a:lnTo>
                  <a:pt x="113" y="942"/>
                </a:lnTo>
                <a:lnTo>
                  <a:pt x="107" y="927"/>
                </a:lnTo>
                <a:lnTo>
                  <a:pt x="103" y="915"/>
                </a:lnTo>
                <a:lnTo>
                  <a:pt x="93" y="885"/>
                </a:lnTo>
                <a:lnTo>
                  <a:pt x="96" y="872"/>
                </a:lnTo>
                <a:lnTo>
                  <a:pt x="96" y="856"/>
                </a:lnTo>
                <a:lnTo>
                  <a:pt x="103" y="826"/>
                </a:lnTo>
                <a:lnTo>
                  <a:pt x="105" y="823"/>
                </a:lnTo>
                <a:lnTo>
                  <a:pt x="101" y="797"/>
                </a:lnTo>
                <a:lnTo>
                  <a:pt x="90" y="781"/>
                </a:lnTo>
                <a:lnTo>
                  <a:pt x="89" y="764"/>
                </a:lnTo>
                <a:lnTo>
                  <a:pt x="90" y="763"/>
                </a:lnTo>
                <a:lnTo>
                  <a:pt x="89" y="763"/>
                </a:lnTo>
                <a:lnTo>
                  <a:pt x="87" y="760"/>
                </a:lnTo>
                <a:lnTo>
                  <a:pt x="89" y="738"/>
                </a:lnTo>
                <a:lnTo>
                  <a:pt x="90" y="734"/>
                </a:lnTo>
                <a:lnTo>
                  <a:pt x="101" y="711"/>
                </a:lnTo>
                <a:lnTo>
                  <a:pt x="101" y="708"/>
                </a:lnTo>
                <a:lnTo>
                  <a:pt x="103" y="693"/>
                </a:lnTo>
                <a:lnTo>
                  <a:pt x="102" y="678"/>
                </a:lnTo>
                <a:lnTo>
                  <a:pt x="112" y="666"/>
                </a:lnTo>
                <a:lnTo>
                  <a:pt x="127" y="654"/>
                </a:lnTo>
                <a:lnTo>
                  <a:pt x="131" y="650"/>
                </a:lnTo>
                <a:lnTo>
                  <a:pt x="112" y="632"/>
                </a:lnTo>
                <a:lnTo>
                  <a:pt x="118" y="620"/>
                </a:lnTo>
                <a:lnTo>
                  <a:pt x="113" y="591"/>
                </a:lnTo>
                <a:lnTo>
                  <a:pt x="112" y="589"/>
                </a:lnTo>
                <a:lnTo>
                  <a:pt x="112" y="587"/>
                </a:lnTo>
                <a:lnTo>
                  <a:pt x="97" y="565"/>
                </a:lnTo>
                <a:lnTo>
                  <a:pt x="94" y="559"/>
                </a:lnTo>
                <a:lnTo>
                  <a:pt x="90" y="533"/>
                </a:lnTo>
                <a:lnTo>
                  <a:pt x="88" y="532"/>
                </a:lnTo>
                <a:lnTo>
                  <a:pt x="87" y="531"/>
                </a:lnTo>
                <a:lnTo>
                  <a:pt x="90" y="524"/>
                </a:lnTo>
                <a:lnTo>
                  <a:pt x="78" y="503"/>
                </a:lnTo>
                <a:lnTo>
                  <a:pt x="75" y="483"/>
                </a:lnTo>
                <a:lnTo>
                  <a:pt x="74" y="474"/>
                </a:lnTo>
                <a:lnTo>
                  <a:pt x="70" y="446"/>
                </a:lnTo>
                <a:lnTo>
                  <a:pt x="68" y="443"/>
                </a:lnTo>
                <a:lnTo>
                  <a:pt x="68" y="442"/>
                </a:lnTo>
                <a:lnTo>
                  <a:pt x="65" y="422"/>
                </a:lnTo>
                <a:lnTo>
                  <a:pt x="60" y="383"/>
                </a:lnTo>
                <a:lnTo>
                  <a:pt x="58" y="371"/>
                </a:lnTo>
                <a:lnTo>
                  <a:pt x="56" y="358"/>
                </a:lnTo>
                <a:lnTo>
                  <a:pt x="56" y="354"/>
                </a:lnTo>
                <a:lnTo>
                  <a:pt x="50" y="324"/>
                </a:lnTo>
                <a:lnTo>
                  <a:pt x="49" y="318"/>
                </a:lnTo>
                <a:lnTo>
                  <a:pt x="43" y="273"/>
                </a:lnTo>
                <a:lnTo>
                  <a:pt x="42" y="270"/>
                </a:lnTo>
                <a:lnTo>
                  <a:pt x="41" y="259"/>
                </a:lnTo>
                <a:lnTo>
                  <a:pt x="38" y="244"/>
                </a:lnTo>
                <a:lnTo>
                  <a:pt x="37" y="235"/>
                </a:lnTo>
                <a:lnTo>
                  <a:pt x="36" y="229"/>
                </a:lnTo>
                <a:lnTo>
                  <a:pt x="34" y="217"/>
                </a:lnTo>
                <a:lnTo>
                  <a:pt x="31" y="197"/>
                </a:lnTo>
                <a:lnTo>
                  <a:pt x="29" y="182"/>
                </a:lnTo>
                <a:lnTo>
                  <a:pt x="27" y="168"/>
                </a:lnTo>
                <a:lnTo>
                  <a:pt x="21" y="140"/>
                </a:lnTo>
                <a:lnTo>
                  <a:pt x="19" y="126"/>
                </a:lnTo>
                <a:lnTo>
                  <a:pt x="17" y="112"/>
                </a:lnTo>
                <a:lnTo>
                  <a:pt x="14" y="97"/>
                </a:lnTo>
                <a:lnTo>
                  <a:pt x="13" y="89"/>
                </a:lnTo>
                <a:lnTo>
                  <a:pt x="7" y="59"/>
                </a:lnTo>
                <a:lnTo>
                  <a:pt x="5" y="42"/>
                </a:lnTo>
                <a:lnTo>
                  <a:pt x="4" y="33"/>
                </a:lnTo>
                <a:lnTo>
                  <a:pt x="3" y="29"/>
                </a:lnTo>
                <a:lnTo>
                  <a:pt x="0" y="3"/>
                </a:lnTo>
                <a:lnTo>
                  <a:pt x="19" y="3"/>
                </a:lnTo>
                <a:lnTo>
                  <a:pt x="25" y="4"/>
                </a:lnTo>
                <a:lnTo>
                  <a:pt x="43" y="3"/>
                </a:lnTo>
                <a:lnTo>
                  <a:pt x="45" y="3"/>
                </a:lnTo>
                <a:lnTo>
                  <a:pt x="55" y="3"/>
                </a:lnTo>
                <a:lnTo>
                  <a:pt x="63" y="3"/>
                </a:lnTo>
                <a:lnTo>
                  <a:pt x="66" y="3"/>
                </a:lnTo>
                <a:lnTo>
                  <a:pt x="67" y="3"/>
                </a:lnTo>
                <a:lnTo>
                  <a:pt x="117" y="2"/>
                </a:lnTo>
                <a:lnTo>
                  <a:pt x="118" y="2"/>
                </a:lnTo>
                <a:lnTo>
                  <a:pt x="128" y="2"/>
                </a:lnTo>
                <a:lnTo>
                  <a:pt x="142" y="3"/>
                </a:lnTo>
                <a:lnTo>
                  <a:pt x="149" y="2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43" name="S_FL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>
            <a:grpSpLocks/>
          </xdr:cNvGrpSpPr>
        </xdr:nvGrpSpPr>
        <xdr:grpSpPr bwMode="auto">
          <a:xfrm>
            <a:off x="6676465" y="4059891"/>
            <a:ext cx="1367677" cy="1430992"/>
            <a:chOff x="6034432" y="3751120"/>
            <a:chExt cx="1084020" cy="1124599"/>
          </a:xfrm>
          <a:grpFill/>
        </xdr:grpSpPr>
        <xdr:sp macro="" textlink="">
          <xdr:nvSpPr>
            <xdr:cNvPr id="56" name="myShape_FL7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6034432" y="3751120"/>
              <a:ext cx="1084020" cy="1066555"/>
            </a:xfrm>
            <a:custGeom>
              <a:avLst/>
              <a:gdLst>
                <a:gd name="T0" fmla="*/ 2147483647 w 1420"/>
                <a:gd name="T1" fmla="*/ 2147483647 h 1443"/>
                <a:gd name="T2" fmla="*/ 2147483647 w 1420"/>
                <a:gd name="T3" fmla="*/ 2147483647 h 1443"/>
                <a:gd name="T4" fmla="*/ 2147483647 w 1420"/>
                <a:gd name="T5" fmla="*/ 2147483647 h 1443"/>
                <a:gd name="T6" fmla="*/ 2147483647 w 1420"/>
                <a:gd name="T7" fmla="*/ 2147483647 h 1443"/>
                <a:gd name="T8" fmla="*/ 2147483647 w 1420"/>
                <a:gd name="T9" fmla="*/ 2147483647 h 1443"/>
                <a:gd name="T10" fmla="*/ 2147483647 w 1420"/>
                <a:gd name="T11" fmla="*/ 2147483647 h 1443"/>
                <a:gd name="T12" fmla="*/ 2147483647 w 1420"/>
                <a:gd name="T13" fmla="*/ 2147483647 h 1443"/>
                <a:gd name="T14" fmla="*/ 2147483647 w 1420"/>
                <a:gd name="T15" fmla="*/ 2147483647 h 1443"/>
                <a:gd name="T16" fmla="*/ 2147483647 w 1420"/>
                <a:gd name="T17" fmla="*/ 2147483647 h 1443"/>
                <a:gd name="T18" fmla="*/ 2147483647 w 1420"/>
                <a:gd name="T19" fmla="*/ 2147483647 h 1443"/>
                <a:gd name="T20" fmla="*/ 2147483647 w 1420"/>
                <a:gd name="T21" fmla="*/ 2147483647 h 1443"/>
                <a:gd name="T22" fmla="*/ 2147483647 w 1420"/>
                <a:gd name="T23" fmla="*/ 2147483647 h 1443"/>
                <a:gd name="T24" fmla="*/ 2147483647 w 1420"/>
                <a:gd name="T25" fmla="*/ 2147483647 h 1443"/>
                <a:gd name="T26" fmla="*/ 2147483647 w 1420"/>
                <a:gd name="T27" fmla="*/ 2147483647 h 1443"/>
                <a:gd name="T28" fmla="*/ 2147483647 w 1420"/>
                <a:gd name="T29" fmla="*/ 2147483647 h 1443"/>
                <a:gd name="T30" fmla="*/ 2147483647 w 1420"/>
                <a:gd name="T31" fmla="*/ 2147483647 h 1443"/>
                <a:gd name="T32" fmla="*/ 2147483647 w 1420"/>
                <a:gd name="T33" fmla="*/ 2147483647 h 1443"/>
                <a:gd name="T34" fmla="*/ 2147483647 w 1420"/>
                <a:gd name="T35" fmla="*/ 2147483647 h 1443"/>
                <a:gd name="T36" fmla="*/ 2147483647 w 1420"/>
                <a:gd name="T37" fmla="*/ 2147483647 h 1443"/>
                <a:gd name="T38" fmla="*/ 2147483647 w 1420"/>
                <a:gd name="T39" fmla="*/ 2147483647 h 1443"/>
                <a:gd name="T40" fmla="*/ 2147483647 w 1420"/>
                <a:gd name="T41" fmla="*/ 2147483647 h 1443"/>
                <a:gd name="T42" fmla="*/ 2147483647 w 1420"/>
                <a:gd name="T43" fmla="*/ 2147483647 h 1443"/>
                <a:gd name="T44" fmla="*/ 2147483647 w 1420"/>
                <a:gd name="T45" fmla="*/ 2147483647 h 1443"/>
                <a:gd name="T46" fmla="*/ 2147483647 w 1420"/>
                <a:gd name="T47" fmla="*/ 2147483647 h 1443"/>
                <a:gd name="T48" fmla="*/ 2147483647 w 1420"/>
                <a:gd name="T49" fmla="*/ 2147483647 h 1443"/>
                <a:gd name="T50" fmla="*/ 2147483647 w 1420"/>
                <a:gd name="T51" fmla="*/ 2147483647 h 1443"/>
                <a:gd name="T52" fmla="*/ 2147483647 w 1420"/>
                <a:gd name="T53" fmla="*/ 2147483647 h 1443"/>
                <a:gd name="T54" fmla="*/ 2147483647 w 1420"/>
                <a:gd name="T55" fmla="*/ 2147483647 h 1443"/>
                <a:gd name="T56" fmla="*/ 2147483647 w 1420"/>
                <a:gd name="T57" fmla="*/ 2147483647 h 1443"/>
                <a:gd name="T58" fmla="*/ 2147483647 w 1420"/>
                <a:gd name="T59" fmla="*/ 2147483647 h 1443"/>
                <a:gd name="T60" fmla="*/ 2147483647 w 1420"/>
                <a:gd name="T61" fmla="*/ 2147483647 h 1443"/>
                <a:gd name="T62" fmla="*/ 2147483647 w 1420"/>
                <a:gd name="T63" fmla="*/ 2147483647 h 1443"/>
                <a:gd name="T64" fmla="*/ 2147483647 w 1420"/>
                <a:gd name="T65" fmla="*/ 2147483647 h 1443"/>
                <a:gd name="T66" fmla="*/ 2147483647 w 1420"/>
                <a:gd name="T67" fmla="*/ 2147483647 h 1443"/>
                <a:gd name="T68" fmla="*/ 2147483647 w 1420"/>
                <a:gd name="T69" fmla="*/ 2147483647 h 1443"/>
                <a:gd name="T70" fmla="*/ 2147483647 w 1420"/>
                <a:gd name="T71" fmla="*/ 2147483647 h 1443"/>
                <a:gd name="T72" fmla="*/ 2147483647 w 1420"/>
                <a:gd name="T73" fmla="*/ 2147483647 h 1443"/>
                <a:gd name="T74" fmla="*/ 2147483647 w 1420"/>
                <a:gd name="T75" fmla="*/ 2147483647 h 1443"/>
                <a:gd name="T76" fmla="*/ 2147483647 w 1420"/>
                <a:gd name="T77" fmla="*/ 2147483647 h 1443"/>
                <a:gd name="T78" fmla="*/ 2147483647 w 1420"/>
                <a:gd name="T79" fmla="*/ 2147483647 h 1443"/>
                <a:gd name="T80" fmla="*/ 2147483647 w 1420"/>
                <a:gd name="T81" fmla="*/ 2147483647 h 1443"/>
                <a:gd name="T82" fmla="*/ 2147483647 w 1420"/>
                <a:gd name="T83" fmla="*/ 2147483647 h 1443"/>
                <a:gd name="T84" fmla="*/ 2147483647 w 1420"/>
                <a:gd name="T85" fmla="*/ 2147483647 h 1443"/>
                <a:gd name="T86" fmla="*/ 2147483647 w 1420"/>
                <a:gd name="T87" fmla="*/ 2147483647 h 1443"/>
                <a:gd name="T88" fmla="*/ 2147483647 w 1420"/>
                <a:gd name="T89" fmla="*/ 2147483647 h 1443"/>
                <a:gd name="T90" fmla="*/ 2147483647 w 1420"/>
                <a:gd name="T91" fmla="*/ 0 h 1443"/>
                <a:gd name="T92" fmla="*/ 2147483647 w 1420"/>
                <a:gd name="T93" fmla="*/ 0 h 1443"/>
                <a:gd name="T94" fmla="*/ 2147483647 w 1420"/>
                <a:gd name="T95" fmla="*/ 0 h 1443"/>
                <a:gd name="T96" fmla="*/ 2147483647 w 1420"/>
                <a:gd name="T97" fmla="*/ 0 h 1443"/>
                <a:gd name="T98" fmla="*/ 2147483647 w 1420"/>
                <a:gd name="T99" fmla="*/ 0 h 1443"/>
                <a:gd name="T100" fmla="*/ 2147483647 w 1420"/>
                <a:gd name="T101" fmla="*/ 0 h 1443"/>
                <a:gd name="T102" fmla="*/ 2147483647 w 1420"/>
                <a:gd name="T103" fmla="*/ 0 h 1443"/>
                <a:gd name="T104" fmla="*/ 2147483647 w 1420"/>
                <a:gd name="T105" fmla="*/ 2147483647 h 1443"/>
                <a:gd name="T106" fmla="*/ 2147483647 w 1420"/>
                <a:gd name="T107" fmla="*/ 2147483647 h 1443"/>
                <a:gd name="T108" fmla="*/ 2147483647 w 1420"/>
                <a:gd name="T109" fmla="*/ 2147483647 h 1443"/>
                <a:gd name="T110" fmla="*/ 2147483647 w 1420"/>
                <a:gd name="T111" fmla="*/ 2147483647 h 1443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w 1420"/>
                <a:gd name="T169" fmla="*/ 0 h 1443"/>
                <a:gd name="T170" fmla="*/ 1420 w 1420"/>
                <a:gd name="T171" fmla="*/ 1443 h 1443"/>
              </a:gdLst>
              <a:ahLst/>
              <a:cxnLst>
                <a:cxn ang="T112">
                  <a:pos x="T0" y="T1"/>
                </a:cxn>
                <a:cxn ang="T113">
                  <a:pos x="T2" y="T3"/>
                </a:cxn>
                <a:cxn ang="T114">
                  <a:pos x="T4" y="T5"/>
                </a:cxn>
                <a:cxn ang="T115">
                  <a:pos x="T6" y="T7"/>
                </a:cxn>
                <a:cxn ang="T116">
                  <a:pos x="T8" y="T9"/>
                </a:cxn>
                <a:cxn ang="T117">
                  <a:pos x="T10" y="T11"/>
                </a:cxn>
                <a:cxn ang="T118">
                  <a:pos x="T12" y="T13"/>
                </a:cxn>
                <a:cxn ang="T119">
                  <a:pos x="T14" y="T15"/>
                </a:cxn>
                <a:cxn ang="T120">
                  <a:pos x="T16" y="T17"/>
                </a:cxn>
                <a:cxn ang="T121">
                  <a:pos x="T18" y="T19"/>
                </a:cxn>
                <a:cxn ang="T122">
                  <a:pos x="T20" y="T21"/>
                </a:cxn>
                <a:cxn ang="T123">
                  <a:pos x="T22" y="T23"/>
                </a:cxn>
                <a:cxn ang="T124">
                  <a:pos x="T24" y="T25"/>
                </a:cxn>
                <a:cxn ang="T125">
                  <a:pos x="T26" y="T27"/>
                </a:cxn>
                <a:cxn ang="T126">
                  <a:pos x="T28" y="T29"/>
                </a:cxn>
                <a:cxn ang="T127">
                  <a:pos x="T30" y="T31"/>
                </a:cxn>
                <a:cxn ang="T128">
                  <a:pos x="T32" y="T33"/>
                </a:cxn>
                <a:cxn ang="T129">
                  <a:pos x="T34" y="T35"/>
                </a:cxn>
                <a:cxn ang="T130">
                  <a:pos x="T36" y="T37"/>
                </a:cxn>
                <a:cxn ang="T131">
                  <a:pos x="T38" y="T39"/>
                </a:cxn>
                <a:cxn ang="T132">
                  <a:pos x="T40" y="T41"/>
                </a:cxn>
                <a:cxn ang="T133">
                  <a:pos x="T42" y="T43"/>
                </a:cxn>
                <a:cxn ang="T134">
                  <a:pos x="T44" y="T45"/>
                </a:cxn>
                <a:cxn ang="T135">
                  <a:pos x="T46" y="T47"/>
                </a:cxn>
                <a:cxn ang="T136">
                  <a:pos x="T48" y="T49"/>
                </a:cxn>
                <a:cxn ang="T137">
                  <a:pos x="T50" y="T51"/>
                </a:cxn>
                <a:cxn ang="T138">
                  <a:pos x="T52" y="T53"/>
                </a:cxn>
                <a:cxn ang="T139">
                  <a:pos x="T54" y="T55"/>
                </a:cxn>
                <a:cxn ang="T140">
                  <a:pos x="T56" y="T57"/>
                </a:cxn>
                <a:cxn ang="T141">
                  <a:pos x="T58" y="T59"/>
                </a:cxn>
                <a:cxn ang="T142">
                  <a:pos x="T60" y="T61"/>
                </a:cxn>
                <a:cxn ang="T143">
                  <a:pos x="T62" y="T63"/>
                </a:cxn>
                <a:cxn ang="T144">
                  <a:pos x="T64" y="T65"/>
                </a:cxn>
                <a:cxn ang="T145">
                  <a:pos x="T66" y="T67"/>
                </a:cxn>
                <a:cxn ang="T146">
                  <a:pos x="T68" y="T69"/>
                </a:cxn>
                <a:cxn ang="T147">
                  <a:pos x="T70" y="T71"/>
                </a:cxn>
                <a:cxn ang="T148">
                  <a:pos x="T72" y="T73"/>
                </a:cxn>
                <a:cxn ang="T149">
                  <a:pos x="T74" y="T75"/>
                </a:cxn>
                <a:cxn ang="T150">
                  <a:pos x="T76" y="T77"/>
                </a:cxn>
                <a:cxn ang="T151">
                  <a:pos x="T78" y="T79"/>
                </a:cxn>
                <a:cxn ang="T152">
                  <a:pos x="T80" y="T81"/>
                </a:cxn>
                <a:cxn ang="T153">
                  <a:pos x="T82" y="T83"/>
                </a:cxn>
                <a:cxn ang="T154">
                  <a:pos x="T84" y="T85"/>
                </a:cxn>
                <a:cxn ang="T155">
                  <a:pos x="T86" y="T87"/>
                </a:cxn>
                <a:cxn ang="T156">
                  <a:pos x="T88" y="T89"/>
                </a:cxn>
                <a:cxn ang="T157">
                  <a:pos x="T90" y="T91"/>
                </a:cxn>
                <a:cxn ang="T158">
                  <a:pos x="T92" y="T93"/>
                </a:cxn>
                <a:cxn ang="T159">
                  <a:pos x="T94" y="T95"/>
                </a:cxn>
                <a:cxn ang="T160">
                  <a:pos x="T96" y="T97"/>
                </a:cxn>
                <a:cxn ang="T161">
                  <a:pos x="T98" y="T99"/>
                </a:cxn>
                <a:cxn ang="T162">
                  <a:pos x="T100" y="T101"/>
                </a:cxn>
                <a:cxn ang="T163">
                  <a:pos x="T102" y="T103"/>
                </a:cxn>
                <a:cxn ang="T164">
                  <a:pos x="T104" y="T105"/>
                </a:cxn>
                <a:cxn ang="T165">
                  <a:pos x="T106" y="T107"/>
                </a:cxn>
                <a:cxn ang="T166">
                  <a:pos x="T108" y="T109"/>
                </a:cxn>
                <a:cxn ang="T167">
                  <a:pos x="T110" y="T111"/>
                </a:cxn>
              </a:cxnLst>
              <a:rect l="T168" t="T169" r="T170" b="T171"/>
              <a:pathLst>
                <a:path w="1420" h="1443">
                  <a:moveTo>
                    <a:pt x="304" y="173"/>
                  </a:moveTo>
                  <a:lnTo>
                    <a:pt x="374" y="218"/>
                  </a:lnTo>
                  <a:lnTo>
                    <a:pt x="397" y="245"/>
                  </a:lnTo>
                  <a:lnTo>
                    <a:pt x="419" y="255"/>
                  </a:lnTo>
                  <a:lnTo>
                    <a:pt x="421" y="306"/>
                  </a:lnTo>
                  <a:lnTo>
                    <a:pt x="418" y="266"/>
                  </a:lnTo>
                  <a:lnTo>
                    <a:pt x="421" y="311"/>
                  </a:lnTo>
                  <a:lnTo>
                    <a:pt x="449" y="312"/>
                  </a:lnTo>
                  <a:lnTo>
                    <a:pt x="468" y="324"/>
                  </a:lnTo>
                  <a:lnTo>
                    <a:pt x="468" y="304"/>
                  </a:lnTo>
                  <a:lnTo>
                    <a:pt x="490" y="305"/>
                  </a:lnTo>
                  <a:lnTo>
                    <a:pt x="513" y="292"/>
                  </a:lnTo>
                  <a:lnTo>
                    <a:pt x="506" y="300"/>
                  </a:lnTo>
                  <a:lnTo>
                    <a:pt x="583" y="257"/>
                  </a:lnTo>
                  <a:lnTo>
                    <a:pt x="608" y="262"/>
                  </a:lnTo>
                  <a:lnTo>
                    <a:pt x="611" y="244"/>
                  </a:lnTo>
                  <a:lnTo>
                    <a:pt x="610" y="237"/>
                  </a:lnTo>
                  <a:lnTo>
                    <a:pt x="632" y="217"/>
                  </a:lnTo>
                  <a:lnTo>
                    <a:pt x="664" y="214"/>
                  </a:lnTo>
                  <a:lnTo>
                    <a:pt x="678" y="217"/>
                  </a:lnTo>
                  <a:lnTo>
                    <a:pt x="680" y="218"/>
                  </a:lnTo>
                  <a:lnTo>
                    <a:pt x="746" y="266"/>
                  </a:lnTo>
                  <a:lnTo>
                    <a:pt x="756" y="294"/>
                  </a:lnTo>
                  <a:lnTo>
                    <a:pt x="786" y="317"/>
                  </a:lnTo>
                  <a:lnTo>
                    <a:pt x="795" y="357"/>
                  </a:lnTo>
                  <a:lnTo>
                    <a:pt x="817" y="371"/>
                  </a:lnTo>
                  <a:lnTo>
                    <a:pt x="834" y="405"/>
                  </a:lnTo>
                  <a:lnTo>
                    <a:pt x="850" y="414"/>
                  </a:lnTo>
                  <a:lnTo>
                    <a:pt x="848" y="444"/>
                  </a:lnTo>
                  <a:lnTo>
                    <a:pt x="861" y="444"/>
                  </a:lnTo>
                  <a:lnTo>
                    <a:pt x="865" y="437"/>
                  </a:lnTo>
                  <a:lnTo>
                    <a:pt x="888" y="435"/>
                  </a:lnTo>
                  <a:lnTo>
                    <a:pt x="901" y="444"/>
                  </a:lnTo>
                  <a:lnTo>
                    <a:pt x="909" y="476"/>
                  </a:lnTo>
                  <a:lnTo>
                    <a:pt x="924" y="498"/>
                  </a:lnTo>
                  <a:lnTo>
                    <a:pt x="910" y="520"/>
                  </a:lnTo>
                  <a:lnTo>
                    <a:pt x="922" y="532"/>
                  </a:lnTo>
                  <a:lnTo>
                    <a:pt x="917" y="540"/>
                  </a:lnTo>
                  <a:lnTo>
                    <a:pt x="926" y="546"/>
                  </a:lnTo>
                  <a:lnTo>
                    <a:pt x="927" y="548"/>
                  </a:lnTo>
                  <a:lnTo>
                    <a:pt x="925" y="607"/>
                  </a:lnTo>
                  <a:lnTo>
                    <a:pt x="909" y="652"/>
                  </a:lnTo>
                  <a:lnTo>
                    <a:pt x="901" y="669"/>
                  </a:lnTo>
                  <a:lnTo>
                    <a:pt x="906" y="679"/>
                  </a:lnTo>
                  <a:lnTo>
                    <a:pt x="896" y="687"/>
                  </a:lnTo>
                  <a:lnTo>
                    <a:pt x="893" y="738"/>
                  </a:lnTo>
                  <a:lnTo>
                    <a:pt x="909" y="768"/>
                  </a:lnTo>
                  <a:lnTo>
                    <a:pt x="912" y="794"/>
                  </a:lnTo>
                  <a:lnTo>
                    <a:pt x="918" y="799"/>
                  </a:lnTo>
                  <a:lnTo>
                    <a:pt x="934" y="770"/>
                  </a:lnTo>
                  <a:lnTo>
                    <a:pt x="940" y="738"/>
                  </a:lnTo>
                  <a:lnTo>
                    <a:pt x="936" y="731"/>
                  </a:lnTo>
                  <a:lnTo>
                    <a:pt x="917" y="722"/>
                  </a:lnTo>
                  <a:lnTo>
                    <a:pt x="930" y="717"/>
                  </a:lnTo>
                  <a:lnTo>
                    <a:pt x="958" y="751"/>
                  </a:lnTo>
                  <a:lnTo>
                    <a:pt x="961" y="738"/>
                  </a:lnTo>
                  <a:lnTo>
                    <a:pt x="976" y="738"/>
                  </a:lnTo>
                  <a:lnTo>
                    <a:pt x="948" y="793"/>
                  </a:lnTo>
                  <a:lnTo>
                    <a:pt x="936" y="807"/>
                  </a:lnTo>
                  <a:lnTo>
                    <a:pt x="936" y="813"/>
                  </a:lnTo>
                  <a:lnTo>
                    <a:pt x="912" y="819"/>
                  </a:lnTo>
                  <a:lnTo>
                    <a:pt x="932" y="854"/>
                  </a:lnTo>
                  <a:lnTo>
                    <a:pt x="952" y="886"/>
                  </a:lnTo>
                  <a:lnTo>
                    <a:pt x="982" y="959"/>
                  </a:lnTo>
                  <a:lnTo>
                    <a:pt x="991" y="975"/>
                  </a:lnTo>
                  <a:lnTo>
                    <a:pt x="1001" y="995"/>
                  </a:lnTo>
                  <a:lnTo>
                    <a:pt x="1017" y="1064"/>
                  </a:lnTo>
                  <a:lnTo>
                    <a:pt x="1029" y="1079"/>
                  </a:lnTo>
                  <a:lnTo>
                    <a:pt x="1049" y="1074"/>
                  </a:lnTo>
                  <a:lnTo>
                    <a:pt x="1052" y="1067"/>
                  </a:lnTo>
                  <a:lnTo>
                    <a:pt x="1081" y="1103"/>
                  </a:lnTo>
                  <a:lnTo>
                    <a:pt x="1089" y="1153"/>
                  </a:lnTo>
                  <a:lnTo>
                    <a:pt x="1112" y="1219"/>
                  </a:lnTo>
                  <a:lnTo>
                    <a:pt x="1113" y="1211"/>
                  </a:lnTo>
                  <a:lnTo>
                    <a:pt x="1122" y="1208"/>
                  </a:lnTo>
                  <a:lnTo>
                    <a:pt x="1152" y="1229"/>
                  </a:lnTo>
                  <a:lnTo>
                    <a:pt x="1165" y="1234"/>
                  </a:lnTo>
                  <a:lnTo>
                    <a:pt x="1192" y="1271"/>
                  </a:lnTo>
                  <a:lnTo>
                    <a:pt x="1216" y="1338"/>
                  </a:lnTo>
                  <a:lnTo>
                    <a:pt x="1211" y="1341"/>
                  </a:lnTo>
                  <a:lnTo>
                    <a:pt x="1207" y="1365"/>
                  </a:lnTo>
                  <a:lnTo>
                    <a:pt x="1222" y="1390"/>
                  </a:lnTo>
                  <a:lnTo>
                    <a:pt x="1238" y="1389"/>
                  </a:lnTo>
                  <a:lnTo>
                    <a:pt x="1265" y="1376"/>
                  </a:lnTo>
                  <a:lnTo>
                    <a:pt x="1277" y="1379"/>
                  </a:lnTo>
                  <a:lnTo>
                    <a:pt x="1276" y="1385"/>
                  </a:lnTo>
                  <a:lnTo>
                    <a:pt x="1294" y="1385"/>
                  </a:lnTo>
                  <a:lnTo>
                    <a:pt x="1284" y="1409"/>
                  </a:lnTo>
                  <a:lnTo>
                    <a:pt x="1291" y="1418"/>
                  </a:lnTo>
                  <a:lnTo>
                    <a:pt x="1305" y="1413"/>
                  </a:lnTo>
                  <a:lnTo>
                    <a:pt x="1304" y="1384"/>
                  </a:lnTo>
                  <a:lnTo>
                    <a:pt x="1309" y="1372"/>
                  </a:lnTo>
                  <a:lnTo>
                    <a:pt x="1311" y="1376"/>
                  </a:lnTo>
                  <a:lnTo>
                    <a:pt x="1335" y="1369"/>
                  </a:lnTo>
                  <a:lnTo>
                    <a:pt x="1333" y="1408"/>
                  </a:lnTo>
                  <a:lnTo>
                    <a:pt x="1321" y="1416"/>
                  </a:lnTo>
                  <a:lnTo>
                    <a:pt x="1323" y="1421"/>
                  </a:lnTo>
                  <a:lnTo>
                    <a:pt x="1303" y="1443"/>
                  </a:lnTo>
                  <a:lnTo>
                    <a:pt x="1320" y="1429"/>
                  </a:lnTo>
                  <a:lnTo>
                    <a:pt x="1356" y="1386"/>
                  </a:lnTo>
                  <a:lnTo>
                    <a:pt x="1380" y="1338"/>
                  </a:lnTo>
                  <a:lnTo>
                    <a:pt x="1393" y="1300"/>
                  </a:lnTo>
                  <a:lnTo>
                    <a:pt x="1394" y="1296"/>
                  </a:lnTo>
                  <a:lnTo>
                    <a:pt x="1376" y="1334"/>
                  </a:lnTo>
                  <a:lnTo>
                    <a:pt x="1356" y="1345"/>
                  </a:lnTo>
                  <a:lnTo>
                    <a:pt x="1368" y="1330"/>
                  </a:lnTo>
                  <a:lnTo>
                    <a:pt x="1363" y="1300"/>
                  </a:lnTo>
                  <a:lnTo>
                    <a:pt x="1380" y="1255"/>
                  </a:lnTo>
                  <a:lnTo>
                    <a:pt x="1394" y="1250"/>
                  </a:lnTo>
                  <a:lnTo>
                    <a:pt x="1397" y="1261"/>
                  </a:lnTo>
                  <a:lnTo>
                    <a:pt x="1404" y="1188"/>
                  </a:lnTo>
                  <a:lnTo>
                    <a:pt x="1404" y="1181"/>
                  </a:lnTo>
                  <a:lnTo>
                    <a:pt x="1412" y="1106"/>
                  </a:lnTo>
                  <a:lnTo>
                    <a:pt x="1420" y="995"/>
                  </a:lnTo>
                  <a:lnTo>
                    <a:pt x="1411" y="952"/>
                  </a:lnTo>
                  <a:lnTo>
                    <a:pt x="1389" y="884"/>
                  </a:lnTo>
                  <a:lnTo>
                    <a:pt x="1366" y="814"/>
                  </a:lnTo>
                  <a:lnTo>
                    <a:pt x="1342" y="743"/>
                  </a:lnTo>
                  <a:lnTo>
                    <a:pt x="1319" y="679"/>
                  </a:lnTo>
                  <a:lnTo>
                    <a:pt x="1313" y="627"/>
                  </a:lnTo>
                  <a:lnTo>
                    <a:pt x="1324" y="591"/>
                  </a:lnTo>
                  <a:lnTo>
                    <a:pt x="1289" y="522"/>
                  </a:lnTo>
                  <a:lnTo>
                    <a:pt x="1243" y="432"/>
                  </a:lnTo>
                  <a:lnTo>
                    <a:pt x="1221" y="377"/>
                  </a:lnTo>
                  <a:lnTo>
                    <a:pt x="1220" y="372"/>
                  </a:lnTo>
                  <a:lnTo>
                    <a:pt x="1199" y="315"/>
                  </a:lnTo>
                  <a:lnTo>
                    <a:pt x="1197" y="315"/>
                  </a:lnTo>
                  <a:lnTo>
                    <a:pt x="1193" y="296"/>
                  </a:lnTo>
                  <a:lnTo>
                    <a:pt x="1186" y="259"/>
                  </a:lnTo>
                  <a:lnTo>
                    <a:pt x="1168" y="178"/>
                  </a:lnTo>
                  <a:lnTo>
                    <a:pt x="1160" y="120"/>
                  </a:lnTo>
                  <a:lnTo>
                    <a:pt x="1156" y="119"/>
                  </a:lnTo>
                  <a:lnTo>
                    <a:pt x="1157" y="117"/>
                  </a:lnTo>
                  <a:lnTo>
                    <a:pt x="1156" y="71"/>
                  </a:lnTo>
                  <a:lnTo>
                    <a:pt x="1155" y="69"/>
                  </a:lnTo>
                  <a:lnTo>
                    <a:pt x="1155" y="68"/>
                  </a:lnTo>
                  <a:lnTo>
                    <a:pt x="1102" y="60"/>
                  </a:lnTo>
                  <a:lnTo>
                    <a:pt x="1076" y="48"/>
                  </a:lnTo>
                  <a:lnTo>
                    <a:pt x="1069" y="42"/>
                  </a:lnTo>
                  <a:lnTo>
                    <a:pt x="1045" y="60"/>
                  </a:lnTo>
                  <a:lnTo>
                    <a:pt x="1049" y="119"/>
                  </a:lnTo>
                  <a:lnTo>
                    <a:pt x="1043" y="151"/>
                  </a:lnTo>
                  <a:lnTo>
                    <a:pt x="1018" y="149"/>
                  </a:lnTo>
                  <a:lnTo>
                    <a:pt x="1013" y="119"/>
                  </a:lnTo>
                  <a:lnTo>
                    <a:pt x="1012" y="103"/>
                  </a:lnTo>
                  <a:lnTo>
                    <a:pt x="1005" y="102"/>
                  </a:lnTo>
                  <a:lnTo>
                    <a:pt x="982" y="100"/>
                  </a:lnTo>
                  <a:lnTo>
                    <a:pt x="974" y="99"/>
                  </a:lnTo>
                  <a:lnTo>
                    <a:pt x="967" y="98"/>
                  </a:lnTo>
                  <a:lnTo>
                    <a:pt x="958" y="98"/>
                  </a:lnTo>
                  <a:lnTo>
                    <a:pt x="943" y="97"/>
                  </a:lnTo>
                  <a:lnTo>
                    <a:pt x="927" y="96"/>
                  </a:lnTo>
                  <a:lnTo>
                    <a:pt x="923" y="95"/>
                  </a:lnTo>
                  <a:lnTo>
                    <a:pt x="912" y="95"/>
                  </a:lnTo>
                  <a:lnTo>
                    <a:pt x="888" y="93"/>
                  </a:lnTo>
                  <a:lnTo>
                    <a:pt x="839" y="90"/>
                  </a:lnTo>
                  <a:lnTo>
                    <a:pt x="829" y="89"/>
                  </a:lnTo>
                  <a:lnTo>
                    <a:pt x="818" y="88"/>
                  </a:lnTo>
                  <a:lnTo>
                    <a:pt x="807" y="87"/>
                  </a:lnTo>
                  <a:lnTo>
                    <a:pt x="801" y="87"/>
                  </a:lnTo>
                  <a:lnTo>
                    <a:pt x="799" y="87"/>
                  </a:lnTo>
                  <a:lnTo>
                    <a:pt x="792" y="86"/>
                  </a:lnTo>
                  <a:lnTo>
                    <a:pt x="772" y="84"/>
                  </a:lnTo>
                  <a:lnTo>
                    <a:pt x="750" y="83"/>
                  </a:lnTo>
                  <a:lnTo>
                    <a:pt x="744" y="82"/>
                  </a:lnTo>
                  <a:lnTo>
                    <a:pt x="738" y="82"/>
                  </a:lnTo>
                  <a:lnTo>
                    <a:pt x="726" y="81"/>
                  </a:lnTo>
                  <a:lnTo>
                    <a:pt x="701" y="80"/>
                  </a:lnTo>
                  <a:lnTo>
                    <a:pt x="688" y="79"/>
                  </a:lnTo>
                  <a:lnTo>
                    <a:pt x="677" y="78"/>
                  </a:lnTo>
                  <a:lnTo>
                    <a:pt x="674" y="78"/>
                  </a:lnTo>
                  <a:lnTo>
                    <a:pt x="668" y="78"/>
                  </a:lnTo>
                  <a:lnTo>
                    <a:pt x="663" y="77"/>
                  </a:lnTo>
                  <a:lnTo>
                    <a:pt x="641" y="76"/>
                  </a:lnTo>
                  <a:lnTo>
                    <a:pt x="631" y="75"/>
                  </a:lnTo>
                  <a:lnTo>
                    <a:pt x="625" y="75"/>
                  </a:lnTo>
                  <a:lnTo>
                    <a:pt x="619" y="75"/>
                  </a:lnTo>
                  <a:lnTo>
                    <a:pt x="608" y="74"/>
                  </a:lnTo>
                  <a:lnTo>
                    <a:pt x="607" y="74"/>
                  </a:lnTo>
                  <a:lnTo>
                    <a:pt x="589" y="74"/>
                  </a:lnTo>
                  <a:lnTo>
                    <a:pt x="558" y="71"/>
                  </a:lnTo>
                  <a:lnTo>
                    <a:pt x="516" y="68"/>
                  </a:lnTo>
                  <a:lnTo>
                    <a:pt x="514" y="65"/>
                  </a:lnTo>
                  <a:lnTo>
                    <a:pt x="490" y="7"/>
                  </a:lnTo>
                  <a:lnTo>
                    <a:pt x="490" y="1"/>
                  </a:lnTo>
                  <a:lnTo>
                    <a:pt x="461" y="0"/>
                  </a:lnTo>
                  <a:lnTo>
                    <a:pt x="444" y="1"/>
                  </a:lnTo>
                  <a:lnTo>
                    <a:pt x="399" y="1"/>
                  </a:lnTo>
                  <a:lnTo>
                    <a:pt x="397" y="1"/>
                  </a:lnTo>
                  <a:lnTo>
                    <a:pt x="347" y="2"/>
                  </a:lnTo>
                  <a:lnTo>
                    <a:pt x="314" y="2"/>
                  </a:lnTo>
                  <a:lnTo>
                    <a:pt x="298" y="2"/>
                  </a:lnTo>
                  <a:lnTo>
                    <a:pt x="281" y="2"/>
                  </a:lnTo>
                  <a:lnTo>
                    <a:pt x="273" y="2"/>
                  </a:lnTo>
                  <a:lnTo>
                    <a:pt x="269" y="2"/>
                  </a:lnTo>
                  <a:lnTo>
                    <a:pt x="257" y="2"/>
                  </a:lnTo>
                  <a:lnTo>
                    <a:pt x="233" y="2"/>
                  </a:lnTo>
                  <a:lnTo>
                    <a:pt x="231" y="2"/>
                  </a:lnTo>
                  <a:lnTo>
                    <a:pt x="203" y="2"/>
                  </a:lnTo>
                  <a:lnTo>
                    <a:pt x="198" y="2"/>
                  </a:lnTo>
                  <a:lnTo>
                    <a:pt x="175" y="2"/>
                  </a:lnTo>
                  <a:lnTo>
                    <a:pt x="171" y="2"/>
                  </a:lnTo>
                  <a:lnTo>
                    <a:pt x="169" y="1"/>
                  </a:lnTo>
                  <a:lnTo>
                    <a:pt x="156" y="1"/>
                  </a:lnTo>
                  <a:lnTo>
                    <a:pt x="117" y="1"/>
                  </a:lnTo>
                  <a:lnTo>
                    <a:pt x="91" y="1"/>
                  </a:lnTo>
                  <a:lnTo>
                    <a:pt x="87" y="1"/>
                  </a:lnTo>
                  <a:lnTo>
                    <a:pt x="73" y="2"/>
                  </a:lnTo>
                  <a:lnTo>
                    <a:pt x="69" y="1"/>
                  </a:lnTo>
                  <a:lnTo>
                    <a:pt x="4" y="1"/>
                  </a:lnTo>
                  <a:lnTo>
                    <a:pt x="0" y="37"/>
                  </a:lnTo>
                  <a:lnTo>
                    <a:pt x="43" y="89"/>
                  </a:lnTo>
                  <a:lnTo>
                    <a:pt x="35" y="119"/>
                  </a:lnTo>
                  <a:lnTo>
                    <a:pt x="46" y="130"/>
                  </a:lnTo>
                  <a:lnTo>
                    <a:pt x="14" y="172"/>
                  </a:lnTo>
                  <a:lnTo>
                    <a:pt x="46" y="165"/>
                  </a:lnTo>
                  <a:lnTo>
                    <a:pt x="46" y="164"/>
                  </a:lnTo>
                  <a:lnTo>
                    <a:pt x="145" y="147"/>
                  </a:lnTo>
                  <a:lnTo>
                    <a:pt x="154" y="145"/>
                  </a:lnTo>
                  <a:lnTo>
                    <a:pt x="209" y="147"/>
                  </a:lnTo>
                  <a:lnTo>
                    <a:pt x="229" y="148"/>
                  </a:lnTo>
                  <a:lnTo>
                    <a:pt x="231" y="148"/>
                  </a:lnTo>
                  <a:lnTo>
                    <a:pt x="233" y="148"/>
                  </a:lnTo>
                  <a:lnTo>
                    <a:pt x="304" y="17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7" name="myShape_FL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6868294" y="4832186"/>
              <a:ext cx="68225" cy="43533"/>
            </a:xfrm>
            <a:custGeom>
              <a:avLst/>
              <a:gdLst>
                <a:gd name="T0" fmla="*/ 0 w 96"/>
                <a:gd name="T1" fmla="*/ 2147483647 h 60"/>
                <a:gd name="T2" fmla="*/ 2147483647 w 96"/>
                <a:gd name="T3" fmla="*/ 2147483647 h 60"/>
                <a:gd name="T4" fmla="*/ 2147483647 w 96"/>
                <a:gd name="T5" fmla="*/ 2147483647 h 60"/>
                <a:gd name="T6" fmla="*/ 2147483647 w 96"/>
                <a:gd name="T7" fmla="*/ 2147483647 h 60"/>
                <a:gd name="T8" fmla="*/ 2147483647 w 96"/>
                <a:gd name="T9" fmla="*/ 2147483647 h 60"/>
                <a:gd name="T10" fmla="*/ 2147483647 w 96"/>
                <a:gd name="T11" fmla="*/ 2147483647 h 60"/>
                <a:gd name="T12" fmla="*/ 2147483647 w 96"/>
                <a:gd name="T13" fmla="*/ 0 h 60"/>
                <a:gd name="T14" fmla="*/ 2147483647 w 96"/>
                <a:gd name="T15" fmla="*/ 2147483647 h 60"/>
                <a:gd name="T16" fmla="*/ 2147483647 w 96"/>
                <a:gd name="T17" fmla="*/ 2147483647 h 60"/>
                <a:gd name="T18" fmla="*/ 2147483647 w 96"/>
                <a:gd name="T19" fmla="*/ 2147483647 h 60"/>
                <a:gd name="T20" fmla="*/ 2147483647 w 96"/>
                <a:gd name="T21" fmla="*/ 2147483647 h 60"/>
                <a:gd name="T22" fmla="*/ 2147483647 w 96"/>
                <a:gd name="T23" fmla="*/ 2147483647 h 60"/>
                <a:gd name="T24" fmla="*/ 0 w 96"/>
                <a:gd name="T25" fmla="*/ 2147483647 h 60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96"/>
                <a:gd name="T40" fmla="*/ 0 h 60"/>
                <a:gd name="T41" fmla="*/ 96 w 96"/>
                <a:gd name="T42" fmla="*/ 60 h 60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96" h="60">
                  <a:moveTo>
                    <a:pt x="0" y="60"/>
                  </a:moveTo>
                  <a:lnTo>
                    <a:pt x="54" y="42"/>
                  </a:lnTo>
                  <a:lnTo>
                    <a:pt x="57" y="31"/>
                  </a:lnTo>
                  <a:lnTo>
                    <a:pt x="78" y="41"/>
                  </a:lnTo>
                  <a:lnTo>
                    <a:pt x="96" y="33"/>
                  </a:lnTo>
                  <a:lnTo>
                    <a:pt x="81" y="13"/>
                  </a:lnTo>
                  <a:lnTo>
                    <a:pt x="59" y="0"/>
                  </a:lnTo>
                  <a:lnTo>
                    <a:pt x="58" y="16"/>
                  </a:lnTo>
                  <a:lnTo>
                    <a:pt x="53" y="23"/>
                  </a:lnTo>
                  <a:lnTo>
                    <a:pt x="40" y="15"/>
                  </a:lnTo>
                  <a:lnTo>
                    <a:pt x="11" y="32"/>
                  </a:lnTo>
                  <a:lnTo>
                    <a:pt x="11" y="51"/>
                  </a:lnTo>
                  <a:lnTo>
                    <a:pt x="0" y="6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8" name="myShape_FL5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6959260" y="4839442"/>
              <a:ext cx="37903" cy="14511"/>
            </a:xfrm>
            <a:custGeom>
              <a:avLst/>
              <a:gdLst>
                <a:gd name="T0" fmla="*/ 0 w 45"/>
                <a:gd name="T1" fmla="*/ 2147483647 h 25"/>
                <a:gd name="T2" fmla="*/ 0 w 45"/>
                <a:gd name="T3" fmla="*/ 2147483647 h 25"/>
                <a:gd name="T4" fmla="*/ 2147483647 w 45"/>
                <a:gd name="T5" fmla="*/ 0 h 25"/>
                <a:gd name="T6" fmla="*/ 2147483647 w 45"/>
                <a:gd name="T7" fmla="*/ 2147483647 h 25"/>
                <a:gd name="T8" fmla="*/ 0 w 45"/>
                <a:gd name="T9" fmla="*/ 2147483647 h 25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45"/>
                <a:gd name="T16" fmla="*/ 0 h 25"/>
                <a:gd name="T17" fmla="*/ 45 w 45"/>
                <a:gd name="T18" fmla="*/ 25 h 25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45" h="25">
                  <a:moveTo>
                    <a:pt x="0" y="20"/>
                  </a:moveTo>
                  <a:lnTo>
                    <a:pt x="3" y="25"/>
                  </a:lnTo>
                  <a:lnTo>
                    <a:pt x="45" y="0"/>
                  </a:lnTo>
                  <a:lnTo>
                    <a:pt x="26" y="10"/>
                  </a:lnTo>
                  <a:lnTo>
                    <a:pt x="0" y="2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9" name="myShape_FL4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7004744" y="4824931"/>
              <a:ext cx="7581" cy="7255"/>
            </a:xfrm>
            <a:custGeom>
              <a:avLst/>
              <a:gdLst>
                <a:gd name="T0" fmla="*/ 0 w 12"/>
                <a:gd name="T1" fmla="*/ 2147483647 h 10"/>
                <a:gd name="T2" fmla="*/ 2147483647 w 12"/>
                <a:gd name="T3" fmla="*/ 0 h 10"/>
                <a:gd name="T4" fmla="*/ 2147483647 w 12"/>
                <a:gd name="T5" fmla="*/ 2147483647 h 10"/>
                <a:gd name="T6" fmla="*/ 0 w 12"/>
                <a:gd name="T7" fmla="*/ 2147483647 h 1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12"/>
                <a:gd name="T13" fmla="*/ 0 h 10"/>
                <a:gd name="T14" fmla="*/ 12 w 12"/>
                <a:gd name="T15" fmla="*/ 10 h 1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12" h="10">
                  <a:moveTo>
                    <a:pt x="0" y="10"/>
                  </a:moveTo>
                  <a:lnTo>
                    <a:pt x="12" y="0"/>
                  </a:lnTo>
                  <a:lnTo>
                    <a:pt x="10" y="8"/>
                  </a:lnTo>
                  <a:lnTo>
                    <a:pt x="0" y="1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0" name="myShape_FL3">
              <a:extLst>
                <a:ext uri="{FF2B5EF4-FFF2-40B4-BE49-F238E27FC236}">
                  <a16:creationId xmlns:a16="http://schemas.microsoft.com/office/drawing/2014/main" id="{00000000-0008-0000-05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6928938" y="4839442"/>
              <a:ext cx="7581" cy="7255"/>
            </a:xfrm>
            <a:custGeom>
              <a:avLst/>
              <a:gdLst>
                <a:gd name="T0" fmla="*/ 0 w 8"/>
                <a:gd name="T1" fmla="*/ 0 h 6"/>
                <a:gd name="T2" fmla="*/ 0 w 8"/>
                <a:gd name="T3" fmla="*/ 2147483647 h 6"/>
                <a:gd name="T4" fmla="*/ 0 w 8"/>
                <a:gd name="T5" fmla="*/ 2147483647 h 6"/>
                <a:gd name="T6" fmla="*/ 0 w 8"/>
                <a:gd name="T7" fmla="*/ 0 h 6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8"/>
                <a:gd name="T13" fmla="*/ 0 h 6"/>
                <a:gd name="T14" fmla="*/ 8 w 8"/>
                <a:gd name="T15" fmla="*/ 6 h 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8" h="6">
                  <a:moveTo>
                    <a:pt x="0" y="0"/>
                  </a:moveTo>
                  <a:lnTo>
                    <a:pt x="2" y="6"/>
                  </a:lnTo>
                  <a:lnTo>
                    <a:pt x="8" y="1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1" name="myShape_FL2">
              <a:extLst>
                <a:ext uri="{FF2B5EF4-FFF2-40B4-BE49-F238E27FC236}">
                  <a16:creationId xmlns:a16="http://schemas.microsoft.com/office/drawing/2014/main" id="{00000000-0008-0000-05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7019905" y="4817675"/>
              <a:ext cx="7581" cy="7255"/>
            </a:xfrm>
            <a:custGeom>
              <a:avLst/>
              <a:gdLst>
                <a:gd name="T0" fmla="*/ 0 w 10"/>
                <a:gd name="T1" fmla="*/ 2147483647 h 9"/>
                <a:gd name="T2" fmla="*/ 2147483647 w 10"/>
                <a:gd name="T3" fmla="*/ 2147483647 h 9"/>
                <a:gd name="T4" fmla="*/ 2147483647 w 10"/>
                <a:gd name="T5" fmla="*/ 0 h 9"/>
                <a:gd name="T6" fmla="*/ 0 w 10"/>
                <a:gd name="T7" fmla="*/ 2147483647 h 9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10"/>
                <a:gd name="T13" fmla="*/ 0 h 9"/>
                <a:gd name="T14" fmla="*/ 10 w 10"/>
                <a:gd name="T15" fmla="*/ 9 h 9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10" h="9">
                  <a:moveTo>
                    <a:pt x="0" y="9"/>
                  </a:moveTo>
                  <a:lnTo>
                    <a:pt x="10" y="1"/>
                  </a:lnTo>
                  <a:lnTo>
                    <a:pt x="10" y="0"/>
                  </a:lnTo>
                  <a:lnTo>
                    <a:pt x="0" y="9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62" name="myShape_FL1">
              <a:extLst>
                <a:ext uri="{FF2B5EF4-FFF2-40B4-BE49-F238E27FC236}">
                  <a16:creationId xmlns:a16="http://schemas.microsoft.com/office/drawing/2014/main" id="{00000000-0008-0000-05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7012324" y="4824931"/>
              <a:ext cx="7581" cy="7255"/>
            </a:xfrm>
            <a:custGeom>
              <a:avLst/>
              <a:gdLst>
                <a:gd name="T0" fmla="*/ 0 w 1"/>
                <a:gd name="T1" fmla="*/ 2147483647 h 1"/>
                <a:gd name="T2" fmla="*/ 2147483647 w 1"/>
                <a:gd name="T3" fmla="*/ 0 h 1"/>
                <a:gd name="T4" fmla="*/ 0 w 1"/>
                <a:gd name="T5" fmla="*/ 2147483647 h 1"/>
                <a:gd name="T6" fmla="*/ 0 60000 65536"/>
                <a:gd name="T7" fmla="*/ 0 60000 65536"/>
                <a:gd name="T8" fmla="*/ 0 60000 65536"/>
                <a:gd name="T9" fmla="*/ 0 w 1"/>
                <a:gd name="T10" fmla="*/ 0 h 1"/>
                <a:gd name="T11" fmla="*/ 1 w 1"/>
                <a:gd name="T12" fmla="*/ 1 h 1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1" h="1">
                  <a:moveTo>
                    <a:pt x="0" y="1"/>
                  </a:moveTo>
                  <a:lnTo>
                    <a:pt x="1" y="0"/>
                  </a:lnTo>
                  <a:lnTo>
                    <a:pt x="0" y="1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44" name="S_DE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>
            <a:spLocks/>
          </xdr:cNvSpPr>
        </xdr:nvSpPr>
        <xdr:spPr bwMode="auto">
          <a:xfrm>
            <a:off x="8808944" y="2115671"/>
            <a:ext cx="133350" cy="304240"/>
          </a:xfrm>
          <a:custGeom>
            <a:avLst/>
            <a:gdLst>
              <a:gd name="T0" fmla="*/ 2147483647 w 139"/>
              <a:gd name="T1" fmla="*/ 2147483647 h 327"/>
              <a:gd name="T2" fmla="*/ 2147483647 w 139"/>
              <a:gd name="T3" fmla="*/ 2147483647 h 327"/>
              <a:gd name="T4" fmla="*/ 2147483647 w 139"/>
              <a:gd name="T5" fmla="*/ 2147483647 h 327"/>
              <a:gd name="T6" fmla="*/ 2147483647 w 139"/>
              <a:gd name="T7" fmla="*/ 2147483647 h 327"/>
              <a:gd name="T8" fmla="*/ 2147483647 w 139"/>
              <a:gd name="T9" fmla="*/ 2147483647 h 327"/>
              <a:gd name="T10" fmla="*/ 2147483647 w 139"/>
              <a:gd name="T11" fmla="*/ 2147483647 h 327"/>
              <a:gd name="T12" fmla="*/ 2147483647 w 139"/>
              <a:gd name="T13" fmla="*/ 2147483647 h 327"/>
              <a:gd name="T14" fmla="*/ 2147483647 w 139"/>
              <a:gd name="T15" fmla="*/ 2147483647 h 327"/>
              <a:gd name="T16" fmla="*/ 2147483647 w 139"/>
              <a:gd name="T17" fmla="*/ 2147483647 h 327"/>
              <a:gd name="T18" fmla="*/ 2147483647 w 139"/>
              <a:gd name="T19" fmla="*/ 0 h 327"/>
              <a:gd name="T20" fmla="*/ 2147483647 w 139"/>
              <a:gd name="T21" fmla="*/ 0 h 327"/>
              <a:gd name="T22" fmla="*/ 0 w 139"/>
              <a:gd name="T23" fmla="*/ 2147483647 h 327"/>
              <a:gd name="T24" fmla="*/ 0 w 139"/>
              <a:gd name="T25" fmla="*/ 2147483647 h 327"/>
              <a:gd name="T26" fmla="*/ 0 w 139"/>
              <a:gd name="T27" fmla="*/ 2147483647 h 327"/>
              <a:gd name="T28" fmla="*/ 0 w 139"/>
              <a:gd name="T29" fmla="*/ 2147483647 h 327"/>
              <a:gd name="T30" fmla="*/ 0 w 139"/>
              <a:gd name="T31" fmla="*/ 2147483647 h 327"/>
              <a:gd name="T32" fmla="*/ 0 w 139"/>
              <a:gd name="T33" fmla="*/ 2147483647 h 327"/>
              <a:gd name="T34" fmla="*/ 0 w 139"/>
              <a:gd name="T35" fmla="*/ 2147483647 h 327"/>
              <a:gd name="T36" fmla="*/ 0 w 139"/>
              <a:gd name="T37" fmla="*/ 2147483647 h 327"/>
              <a:gd name="T38" fmla="*/ 0 w 139"/>
              <a:gd name="T39" fmla="*/ 2147483647 h 327"/>
              <a:gd name="T40" fmla="*/ 0 w 139"/>
              <a:gd name="T41" fmla="*/ 2147483647 h 327"/>
              <a:gd name="T42" fmla="*/ 0 w 139"/>
              <a:gd name="T43" fmla="*/ 2147483647 h 327"/>
              <a:gd name="T44" fmla="*/ 0 w 139"/>
              <a:gd name="T45" fmla="*/ 2147483647 h 327"/>
              <a:gd name="T46" fmla="*/ 0 w 139"/>
              <a:gd name="T47" fmla="*/ 2147483647 h 327"/>
              <a:gd name="T48" fmla="*/ 0 w 139"/>
              <a:gd name="T49" fmla="*/ 2147483647 h 327"/>
              <a:gd name="T50" fmla="*/ 2147483647 w 139"/>
              <a:gd name="T51" fmla="*/ 2147483647 h 327"/>
              <a:gd name="T52" fmla="*/ 2147483647 w 139"/>
              <a:gd name="T53" fmla="*/ 2147483647 h 327"/>
              <a:gd name="T54" fmla="*/ 2147483647 w 139"/>
              <a:gd name="T55" fmla="*/ 2147483647 h 327"/>
              <a:gd name="T56" fmla="*/ 2147483647 w 139"/>
              <a:gd name="T57" fmla="*/ 2147483647 h 327"/>
              <a:gd name="T58" fmla="*/ 2147483647 w 139"/>
              <a:gd name="T59" fmla="*/ 2147483647 h 327"/>
              <a:gd name="T60" fmla="*/ 2147483647 w 139"/>
              <a:gd name="T61" fmla="*/ 2147483647 h 327"/>
              <a:gd name="T62" fmla="*/ 2147483647 w 139"/>
              <a:gd name="T63" fmla="*/ 2147483647 h 327"/>
              <a:gd name="T64" fmla="*/ 2147483647 w 139"/>
              <a:gd name="T65" fmla="*/ 2147483647 h 327"/>
              <a:gd name="T66" fmla="*/ 2147483647 w 139"/>
              <a:gd name="T67" fmla="*/ 2147483647 h 327"/>
              <a:gd name="T68" fmla="*/ 2147483647 w 139"/>
              <a:gd name="T69" fmla="*/ 2147483647 h 327"/>
              <a:gd name="T70" fmla="*/ 2147483647 w 139"/>
              <a:gd name="T71" fmla="*/ 2147483647 h 327"/>
              <a:gd name="T72" fmla="*/ 2147483647 w 139"/>
              <a:gd name="T73" fmla="*/ 2147483647 h 327"/>
              <a:gd name="T74" fmla="*/ 2147483647 w 139"/>
              <a:gd name="T75" fmla="*/ 2147483647 h 327"/>
              <a:gd name="T76" fmla="*/ 2147483647 w 139"/>
              <a:gd name="T77" fmla="*/ 2147483647 h 327"/>
              <a:gd name="T78" fmla="*/ 2147483647 w 139"/>
              <a:gd name="T79" fmla="*/ 2147483647 h 327"/>
              <a:gd name="T80" fmla="*/ 2147483647 w 139"/>
              <a:gd name="T81" fmla="*/ 2147483647 h 327"/>
              <a:gd name="T82" fmla="*/ 2147483647 w 139"/>
              <a:gd name="T83" fmla="*/ 2147483647 h 327"/>
              <a:gd name="T84" fmla="*/ 2147483647 w 139"/>
              <a:gd name="T85" fmla="*/ 2147483647 h 327"/>
              <a:gd name="T86" fmla="*/ 2147483647 w 139"/>
              <a:gd name="T87" fmla="*/ 2147483647 h 327"/>
              <a:gd name="T88" fmla="*/ 2147483647 w 139"/>
              <a:gd name="T89" fmla="*/ 2147483647 h 327"/>
              <a:gd name="T90" fmla="*/ 2147483647 w 139"/>
              <a:gd name="T91" fmla="*/ 2147483647 h 327"/>
              <a:gd name="T92" fmla="*/ 2147483647 w 139"/>
              <a:gd name="T93" fmla="*/ 2147483647 h 32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139"/>
              <a:gd name="T142" fmla="*/ 0 h 327"/>
              <a:gd name="T143" fmla="*/ 139 w 139"/>
              <a:gd name="T144" fmla="*/ 327 h 32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139" h="327">
                <a:moveTo>
                  <a:pt x="52" y="111"/>
                </a:moveTo>
                <a:lnTo>
                  <a:pt x="41" y="79"/>
                </a:lnTo>
                <a:lnTo>
                  <a:pt x="42" y="59"/>
                </a:lnTo>
                <a:lnTo>
                  <a:pt x="45" y="57"/>
                </a:lnTo>
                <a:lnTo>
                  <a:pt x="43" y="49"/>
                </a:lnTo>
                <a:lnTo>
                  <a:pt x="54" y="32"/>
                </a:lnTo>
                <a:lnTo>
                  <a:pt x="65" y="14"/>
                </a:lnTo>
                <a:lnTo>
                  <a:pt x="70" y="9"/>
                </a:lnTo>
                <a:lnTo>
                  <a:pt x="54" y="1"/>
                </a:lnTo>
                <a:lnTo>
                  <a:pt x="39" y="0"/>
                </a:lnTo>
                <a:lnTo>
                  <a:pt x="36" y="0"/>
                </a:lnTo>
                <a:lnTo>
                  <a:pt x="6" y="20"/>
                </a:lnTo>
                <a:lnTo>
                  <a:pt x="3" y="27"/>
                </a:lnTo>
                <a:lnTo>
                  <a:pt x="0" y="27"/>
                </a:lnTo>
                <a:lnTo>
                  <a:pt x="0" y="42"/>
                </a:lnTo>
                <a:lnTo>
                  <a:pt x="0" y="45"/>
                </a:lnTo>
                <a:lnTo>
                  <a:pt x="4" y="109"/>
                </a:lnTo>
                <a:lnTo>
                  <a:pt x="5" y="117"/>
                </a:lnTo>
                <a:lnTo>
                  <a:pt x="6" y="127"/>
                </a:lnTo>
                <a:lnTo>
                  <a:pt x="6" y="134"/>
                </a:lnTo>
                <a:lnTo>
                  <a:pt x="6" y="137"/>
                </a:lnTo>
                <a:lnTo>
                  <a:pt x="6" y="139"/>
                </a:lnTo>
                <a:lnTo>
                  <a:pt x="6" y="140"/>
                </a:lnTo>
                <a:lnTo>
                  <a:pt x="7" y="158"/>
                </a:lnTo>
                <a:lnTo>
                  <a:pt x="7" y="160"/>
                </a:lnTo>
                <a:lnTo>
                  <a:pt x="8" y="164"/>
                </a:lnTo>
                <a:lnTo>
                  <a:pt x="10" y="198"/>
                </a:lnTo>
                <a:lnTo>
                  <a:pt x="12" y="236"/>
                </a:lnTo>
                <a:lnTo>
                  <a:pt x="12" y="238"/>
                </a:lnTo>
                <a:lnTo>
                  <a:pt x="13" y="254"/>
                </a:lnTo>
                <a:lnTo>
                  <a:pt x="14" y="277"/>
                </a:lnTo>
                <a:lnTo>
                  <a:pt x="15" y="284"/>
                </a:lnTo>
                <a:lnTo>
                  <a:pt x="15" y="287"/>
                </a:lnTo>
                <a:lnTo>
                  <a:pt x="15" y="294"/>
                </a:lnTo>
                <a:lnTo>
                  <a:pt x="17" y="302"/>
                </a:lnTo>
                <a:lnTo>
                  <a:pt x="18" y="325"/>
                </a:lnTo>
                <a:lnTo>
                  <a:pt x="54" y="326"/>
                </a:lnTo>
                <a:lnTo>
                  <a:pt x="84" y="327"/>
                </a:lnTo>
                <a:lnTo>
                  <a:pt x="105" y="327"/>
                </a:lnTo>
                <a:lnTo>
                  <a:pt x="125" y="327"/>
                </a:lnTo>
                <a:lnTo>
                  <a:pt x="139" y="327"/>
                </a:lnTo>
                <a:lnTo>
                  <a:pt x="130" y="244"/>
                </a:lnTo>
                <a:lnTo>
                  <a:pt x="125" y="249"/>
                </a:lnTo>
                <a:lnTo>
                  <a:pt x="89" y="211"/>
                </a:lnTo>
                <a:lnTo>
                  <a:pt x="78" y="187"/>
                </a:lnTo>
                <a:lnTo>
                  <a:pt x="72" y="139"/>
                </a:lnTo>
                <a:lnTo>
                  <a:pt x="52" y="111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5" name="S_CT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>
            <a:spLocks/>
          </xdr:cNvSpPr>
        </xdr:nvSpPr>
        <xdr:spPr bwMode="auto">
          <a:xfrm>
            <a:off x="9180419" y="1625974"/>
            <a:ext cx="345701" cy="228039"/>
          </a:xfrm>
          <a:custGeom>
            <a:avLst/>
            <a:gdLst>
              <a:gd name="T0" fmla="*/ 2147483647 w 363"/>
              <a:gd name="T1" fmla="*/ 2147483647 h 252"/>
              <a:gd name="T2" fmla="*/ 2147483647 w 363"/>
              <a:gd name="T3" fmla="*/ 2147483647 h 252"/>
              <a:gd name="T4" fmla="*/ 2147483647 w 363"/>
              <a:gd name="T5" fmla="*/ 2147483647 h 252"/>
              <a:gd name="T6" fmla="*/ 2147483647 w 363"/>
              <a:gd name="T7" fmla="*/ 2147483647 h 252"/>
              <a:gd name="T8" fmla="*/ 2147483647 w 363"/>
              <a:gd name="T9" fmla="*/ 2147483647 h 252"/>
              <a:gd name="T10" fmla="*/ 2147483647 w 363"/>
              <a:gd name="T11" fmla="*/ 2147483647 h 252"/>
              <a:gd name="T12" fmla="*/ 2147483647 w 363"/>
              <a:gd name="T13" fmla="*/ 2147483647 h 252"/>
              <a:gd name="T14" fmla="*/ 2147483647 w 363"/>
              <a:gd name="T15" fmla="*/ 2147483647 h 252"/>
              <a:gd name="T16" fmla="*/ 2147483647 w 363"/>
              <a:gd name="T17" fmla="*/ 2147483647 h 252"/>
              <a:gd name="T18" fmla="*/ 2147483647 w 363"/>
              <a:gd name="T19" fmla="*/ 2147483647 h 252"/>
              <a:gd name="T20" fmla="*/ 2147483647 w 363"/>
              <a:gd name="T21" fmla="*/ 2147483647 h 252"/>
              <a:gd name="T22" fmla="*/ 2147483647 w 363"/>
              <a:gd name="T23" fmla="*/ 2147483647 h 252"/>
              <a:gd name="T24" fmla="*/ 2147483647 w 363"/>
              <a:gd name="T25" fmla="*/ 2147483647 h 252"/>
              <a:gd name="T26" fmla="*/ 2147483647 w 363"/>
              <a:gd name="T27" fmla="*/ 2147483647 h 252"/>
              <a:gd name="T28" fmla="*/ 2147483647 w 363"/>
              <a:gd name="T29" fmla="*/ 2147483647 h 252"/>
              <a:gd name="T30" fmla="*/ 2147483647 w 363"/>
              <a:gd name="T31" fmla="*/ 2147483647 h 252"/>
              <a:gd name="T32" fmla="*/ 2147483647 w 363"/>
              <a:gd name="T33" fmla="*/ 2147483647 h 252"/>
              <a:gd name="T34" fmla="*/ 2147483647 w 363"/>
              <a:gd name="T35" fmla="*/ 2147483647 h 252"/>
              <a:gd name="T36" fmla="*/ 2147483647 w 363"/>
              <a:gd name="T37" fmla="*/ 2147483647 h 252"/>
              <a:gd name="T38" fmla="*/ 2147483647 w 363"/>
              <a:gd name="T39" fmla="*/ 2147483647 h 252"/>
              <a:gd name="T40" fmla="*/ 2147483647 w 363"/>
              <a:gd name="T41" fmla="*/ 2147483647 h 252"/>
              <a:gd name="T42" fmla="*/ 2147483647 w 363"/>
              <a:gd name="T43" fmla="*/ 2147483647 h 252"/>
              <a:gd name="T44" fmla="*/ 2147483647 w 363"/>
              <a:gd name="T45" fmla="*/ 2147483647 h 252"/>
              <a:gd name="T46" fmla="*/ 2147483647 w 363"/>
              <a:gd name="T47" fmla="*/ 2147483647 h 252"/>
              <a:gd name="T48" fmla="*/ 2147483647 w 363"/>
              <a:gd name="T49" fmla="*/ 2147483647 h 252"/>
              <a:gd name="T50" fmla="*/ 2147483647 w 363"/>
              <a:gd name="T51" fmla="*/ 2147483647 h 252"/>
              <a:gd name="T52" fmla="*/ 2147483647 w 363"/>
              <a:gd name="T53" fmla="*/ 2147483647 h 252"/>
              <a:gd name="T54" fmla="*/ 2147483647 w 363"/>
              <a:gd name="T55" fmla="*/ 2147483647 h 252"/>
              <a:gd name="T56" fmla="*/ 2147483647 w 363"/>
              <a:gd name="T57" fmla="*/ 2147483647 h 252"/>
              <a:gd name="T58" fmla="*/ 2147483647 w 363"/>
              <a:gd name="T59" fmla="*/ 2147483647 h 252"/>
              <a:gd name="T60" fmla="*/ 2147483647 w 363"/>
              <a:gd name="T61" fmla="*/ 2147483647 h 252"/>
              <a:gd name="T62" fmla="*/ 2147483647 w 363"/>
              <a:gd name="T63" fmla="*/ 2147483647 h 252"/>
              <a:gd name="T64" fmla="*/ 2147483647 w 363"/>
              <a:gd name="T65" fmla="*/ 2147483647 h 252"/>
              <a:gd name="T66" fmla="*/ 2147483647 w 363"/>
              <a:gd name="T67" fmla="*/ 2147483647 h 252"/>
              <a:gd name="T68" fmla="*/ 2147483647 w 363"/>
              <a:gd name="T69" fmla="*/ 2147483647 h 252"/>
              <a:gd name="T70" fmla="*/ 2147483647 w 363"/>
              <a:gd name="T71" fmla="*/ 0 h 252"/>
              <a:gd name="T72" fmla="*/ 2147483647 w 363"/>
              <a:gd name="T73" fmla="*/ 2147483647 h 252"/>
              <a:gd name="T74" fmla="*/ 2147483647 w 363"/>
              <a:gd name="T75" fmla="*/ 2147483647 h 252"/>
              <a:gd name="T76" fmla="*/ 2147483647 w 363"/>
              <a:gd name="T77" fmla="*/ 2147483647 h 252"/>
              <a:gd name="T78" fmla="*/ 2147483647 w 363"/>
              <a:gd name="T79" fmla="*/ 2147483647 h 252"/>
              <a:gd name="T80" fmla="*/ 2147483647 w 363"/>
              <a:gd name="T81" fmla="*/ 2147483647 h 252"/>
              <a:gd name="T82" fmla="*/ 2147483647 w 363"/>
              <a:gd name="T83" fmla="*/ 2147483647 h 252"/>
              <a:gd name="T84" fmla="*/ 2147483647 w 363"/>
              <a:gd name="T85" fmla="*/ 2147483647 h 252"/>
              <a:gd name="T86" fmla="*/ 2147483647 w 363"/>
              <a:gd name="T87" fmla="*/ 2147483647 h 252"/>
              <a:gd name="T88" fmla="*/ 2147483647 w 363"/>
              <a:gd name="T89" fmla="*/ 2147483647 h 252"/>
              <a:gd name="T90" fmla="*/ 2147483647 w 363"/>
              <a:gd name="T91" fmla="*/ 2147483647 h 252"/>
              <a:gd name="T92" fmla="*/ 2147483647 w 363"/>
              <a:gd name="T93" fmla="*/ 2147483647 h 252"/>
              <a:gd name="T94" fmla="*/ 0 w 363"/>
              <a:gd name="T95" fmla="*/ 2147483647 h 252"/>
              <a:gd name="T96" fmla="*/ 2147483647 w 363"/>
              <a:gd name="T97" fmla="*/ 2147483647 h 252"/>
              <a:gd name="T98" fmla="*/ 2147483647 w 363"/>
              <a:gd name="T99" fmla="*/ 2147483647 h 252"/>
              <a:gd name="T100" fmla="*/ 2147483647 w 363"/>
              <a:gd name="T101" fmla="*/ 2147483647 h 252"/>
              <a:gd name="T102" fmla="*/ 2147483647 w 363"/>
              <a:gd name="T103" fmla="*/ 2147483647 h 252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363"/>
              <a:gd name="T157" fmla="*/ 0 h 252"/>
              <a:gd name="T158" fmla="*/ 363 w 363"/>
              <a:gd name="T159" fmla="*/ 252 h 252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363" h="252">
                <a:moveTo>
                  <a:pt x="116" y="209"/>
                </a:moveTo>
                <a:lnTo>
                  <a:pt x="142" y="189"/>
                </a:lnTo>
                <a:lnTo>
                  <a:pt x="183" y="190"/>
                </a:lnTo>
                <a:lnTo>
                  <a:pt x="206" y="185"/>
                </a:lnTo>
                <a:lnTo>
                  <a:pt x="223" y="189"/>
                </a:lnTo>
                <a:lnTo>
                  <a:pt x="228" y="188"/>
                </a:lnTo>
                <a:lnTo>
                  <a:pt x="260" y="184"/>
                </a:lnTo>
                <a:lnTo>
                  <a:pt x="323" y="175"/>
                </a:lnTo>
                <a:lnTo>
                  <a:pt x="338" y="171"/>
                </a:lnTo>
                <a:lnTo>
                  <a:pt x="342" y="171"/>
                </a:lnTo>
                <a:lnTo>
                  <a:pt x="347" y="172"/>
                </a:lnTo>
                <a:lnTo>
                  <a:pt x="360" y="149"/>
                </a:lnTo>
                <a:lnTo>
                  <a:pt x="361" y="108"/>
                </a:lnTo>
                <a:lnTo>
                  <a:pt x="363" y="100"/>
                </a:lnTo>
                <a:lnTo>
                  <a:pt x="363" y="97"/>
                </a:lnTo>
                <a:lnTo>
                  <a:pt x="363" y="94"/>
                </a:lnTo>
                <a:lnTo>
                  <a:pt x="363" y="91"/>
                </a:lnTo>
                <a:lnTo>
                  <a:pt x="361" y="77"/>
                </a:lnTo>
                <a:lnTo>
                  <a:pt x="361" y="71"/>
                </a:lnTo>
                <a:lnTo>
                  <a:pt x="360" y="28"/>
                </a:lnTo>
                <a:lnTo>
                  <a:pt x="360" y="10"/>
                </a:lnTo>
                <a:lnTo>
                  <a:pt x="359" y="6"/>
                </a:lnTo>
                <a:lnTo>
                  <a:pt x="309" y="6"/>
                </a:lnTo>
                <a:lnTo>
                  <a:pt x="304" y="5"/>
                </a:lnTo>
                <a:lnTo>
                  <a:pt x="302" y="5"/>
                </a:lnTo>
                <a:lnTo>
                  <a:pt x="299" y="5"/>
                </a:lnTo>
                <a:lnTo>
                  <a:pt x="297" y="5"/>
                </a:lnTo>
                <a:lnTo>
                  <a:pt x="263" y="5"/>
                </a:lnTo>
                <a:lnTo>
                  <a:pt x="253" y="4"/>
                </a:lnTo>
                <a:lnTo>
                  <a:pt x="228" y="4"/>
                </a:lnTo>
                <a:lnTo>
                  <a:pt x="170" y="12"/>
                </a:lnTo>
                <a:lnTo>
                  <a:pt x="170" y="4"/>
                </a:lnTo>
                <a:lnTo>
                  <a:pt x="134" y="3"/>
                </a:lnTo>
                <a:lnTo>
                  <a:pt x="126" y="3"/>
                </a:lnTo>
                <a:lnTo>
                  <a:pt x="65" y="1"/>
                </a:lnTo>
                <a:lnTo>
                  <a:pt x="54" y="0"/>
                </a:lnTo>
                <a:lnTo>
                  <a:pt x="45" y="1"/>
                </a:lnTo>
                <a:lnTo>
                  <a:pt x="44" y="12"/>
                </a:lnTo>
                <a:lnTo>
                  <a:pt x="40" y="71"/>
                </a:lnTo>
                <a:lnTo>
                  <a:pt x="38" y="91"/>
                </a:lnTo>
                <a:lnTo>
                  <a:pt x="38" y="100"/>
                </a:lnTo>
                <a:lnTo>
                  <a:pt x="37" y="106"/>
                </a:lnTo>
                <a:lnTo>
                  <a:pt x="36" y="124"/>
                </a:lnTo>
                <a:lnTo>
                  <a:pt x="35" y="146"/>
                </a:lnTo>
                <a:lnTo>
                  <a:pt x="35" y="152"/>
                </a:lnTo>
                <a:lnTo>
                  <a:pt x="34" y="161"/>
                </a:lnTo>
                <a:lnTo>
                  <a:pt x="46" y="198"/>
                </a:lnTo>
                <a:lnTo>
                  <a:pt x="0" y="224"/>
                </a:lnTo>
                <a:lnTo>
                  <a:pt x="14" y="252"/>
                </a:lnTo>
                <a:lnTo>
                  <a:pt x="63" y="234"/>
                </a:lnTo>
                <a:lnTo>
                  <a:pt x="89" y="218"/>
                </a:lnTo>
                <a:lnTo>
                  <a:pt x="116" y="20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6" name="S_CO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>
            <a:spLocks/>
          </xdr:cNvSpPr>
        </xdr:nvSpPr>
        <xdr:spPr bwMode="auto">
          <a:xfrm>
            <a:off x="2821081" y="1854013"/>
            <a:ext cx="1262903" cy="889187"/>
          </a:xfrm>
          <a:custGeom>
            <a:avLst/>
            <a:gdLst>
              <a:gd name="T0" fmla="*/ 2147483647 w 1313"/>
              <a:gd name="T1" fmla="*/ 2147483647 h 947"/>
              <a:gd name="T2" fmla="*/ 2147483647 w 1313"/>
              <a:gd name="T3" fmla="*/ 2147483647 h 947"/>
              <a:gd name="T4" fmla="*/ 2147483647 w 1313"/>
              <a:gd name="T5" fmla="*/ 2147483647 h 947"/>
              <a:gd name="T6" fmla="*/ 2147483647 w 1313"/>
              <a:gd name="T7" fmla="*/ 2147483647 h 947"/>
              <a:gd name="T8" fmla="*/ 2147483647 w 1313"/>
              <a:gd name="T9" fmla="*/ 2147483647 h 947"/>
              <a:gd name="T10" fmla="*/ 2147483647 w 1313"/>
              <a:gd name="T11" fmla="*/ 2147483647 h 947"/>
              <a:gd name="T12" fmla="*/ 2147483647 w 1313"/>
              <a:gd name="T13" fmla="*/ 2147483647 h 947"/>
              <a:gd name="T14" fmla="*/ 2147483647 w 1313"/>
              <a:gd name="T15" fmla="*/ 2147483647 h 947"/>
              <a:gd name="T16" fmla="*/ 2147483647 w 1313"/>
              <a:gd name="T17" fmla="*/ 2147483647 h 947"/>
              <a:gd name="T18" fmla="*/ 2147483647 w 1313"/>
              <a:gd name="T19" fmla="*/ 2147483647 h 947"/>
              <a:gd name="T20" fmla="*/ 2147483647 w 1313"/>
              <a:gd name="T21" fmla="*/ 2147483647 h 947"/>
              <a:gd name="T22" fmla="*/ 2147483647 w 1313"/>
              <a:gd name="T23" fmla="*/ 2147483647 h 947"/>
              <a:gd name="T24" fmla="*/ 2147483647 w 1313"/>
              <a:gd name="T25" fmla="*/ 2147483647 h 947"/>
              <a:gd name="T26" fmla="*/ 2147483647 w 1313"/>
              <a:gd name="T27" fmla="*/ 2147483647 h 947"/>
              <a:gd name="T28" fmla="*/ 2147483647 w 1313"/>
              <a:gd name="T29" fmla="*/ 2147483647 h 947"/>
              <a:gd name="T30" fmla="*/ 2147483647 w 1313"/>
              <a:gd name="T31" fmla="*/ 2147483647 h 947"/>
              <a:gd name="T32" fmla="*/ 2147483647 w 1313"/>
              <a:gd name="T33" fmla="*/ 2147483647 h 947"/>
              <a:gd name="T34" fmla="*/ 2147483647 w 1313"/>
              <a:gd name="T35" fmla="*/ 2147483647 h 947"/>
              <a:gd name="T36" fmla="*/ 2147483647 w 1313"/>
              <a:gd name="T37" fmla="*/ 2147483647 h 947"/>
              <a:gd name="T38" fmla="*/ 2147483647 w 1313"/>
              <a:gd name="T39" fmla="*/ 2147483647 h 947"/>
              <a:gd name="T40" fmla="*/ 2147483647 w 1313"/>
              <a:gd name="T41" fmla="*/ 2147483647 h 947"/>
              <a:gd name="T42" fmla="*/ 2147483647 w 1313"/>
              <a:gd name="T43" fmla="*/ 2147483647 h 947"/>
              <a:gd name="T44" fmla="*/ 2147483647 w 1313"/>
              <a:gd name="T45" fmla="*/ 2147483647 h 947"/>
              <a:gd name="T46" fmla="*/ 2147483647 w 1313"/>
              <a:gd name="T47" fmla="*/ 2147483647 h 947"/>
              <a:gd name="T48" fmla="*/ 2147483647 w 1313"/>
              <a:gd name="T49" fmla="*/ 2147483647 h 947"/>
              <a:gd name="T50" fmla="*/ 2147483647 w 1313"/>
              <a:gd name="T51" fmla="*/ 2147483647 h 947"/>
              <a:gd name="T52" fmla="*/ 2147483647 w 1313"/>
              <a:gd name="T53" fmla="*/ 2147483647 h 947"/>
              <a:gd name="T54" fmla="*/ 2147483647 w 1313"/>
              <a:gd name="T55" fmla="*/ 2147483647 h 947"/>
              <a:gd name="T56" fmla="*/ 2147483647 w 1313"/>
              <a:gd name="T57" fmla="*/ 2147483647 h 947"/>
              <a:gd name="T58" fmla="*/ 0 w 1313"/>
              <a:gd name="T59" fmla="*/ 2147483647 h 947"/>
              <a:gd name="T60" fmla="*/ 0 w 1313"/>
              <a:gd name="T61" fmla="*/ 2147483647 h 947"/>
              <a:gd name="T62" fmla="*/ 2147483647 w 1313"/>
              <a:gd name="T63" fmla="*/ 2147483647 h 947"/>
              <a:gd name="T64" fmla="*/ 2147483647 w 1313"/>
              <a:gd name="T65" fmla="*/ 2147483647 h 947"/>
              <a:gd name="T66" fmla="*/ 2147483647 w 1313"/>
              <a:gd name="T67" fmla="*/ 2147483647 h 947"/>
              <a:gd name="T68" fmla="*/ 2147483647 w 1313"/>
              <a:gd name="T69" fmla="*/ 2147483647 h 947"/>
              <a:gd name="T70" fmla="*/ 2147483647 w 1313"/>
              <a:gd name="T71" fmla="*/ 2147483647 h 947"/>
              <a:gd name="T72" fmla="*/ 2147483647 w 1313"/>
              <a:gd name="T73" fmla="*/ 2147483647 h 947"/>
              <a:gd name="T74" fmla="*/ 2147483647 w 1313"/>
              <a:gd name="T75" fmla="*/ 2147483647 h 947"/>
              <a:gd name="T76" fmla="*/ 2147483647 w 1313"/>
              <a:gd name="T77" fmla="*/ 0 h 947"/>
              <a:gd name="T78" fmla="*/ 2147483647 w 1313"/>
              <a:gd name="T79" fmla="*/ 0 h 947"/>
              <a:gd name="T80" fmla="*/ 2147483647 w 1313"/>
              <a:gd name="T81" fmla="*/ 0 h 947"/>
              <a:gd name="T82" fmla="*/ 2147483647 w 1313"/>
              <a:gd name="T83" fmla="*/ 0 h 947"/>
              <a:gd name="T84" fmla="*/ 2147483647 w 1313"/>
              <a:gd name="T85" fmla="*/ 0 h 947"/>
              <a:gd name="T86" fmla="*/ 2147483647 w 1313"/>
              <a:gd name="T87" fmla="*/ 0 h 947"/>
              <a:gd name="T88" fmla="*/ 2147483647 w 1313"/>
              <a:gd name="T89" fmla="*/ 2147483647 h 947"/>
              <a:gd name="T90" fmla="*/ 2147483647 w 1313"/>
              <a:gd name="T91" fmla="*/ 2147483647 h 947"/>
              <a:gd name="T92" fmla="*/ 2147483647 w 1313"/>
              <a:gd name="T93" fmla="*/ 2147483647 h 947"/>
              <a:gd name="T94" fmla="*/ 2147483647 w 1313"/>
              <a:gd name="T95" fmla="*/ 2147483647 h 947"/>
              <a:gd name="T96" fmla="*/ 2147483647 w 1313"/>
              <a:gd name="T97" fmla="*/ 2147483647 h 947"/>
              <a:gd name="T98" fmla="*/ 2147483647 w 1313"/>
              <a:gd name="T99" fmla="*/ 0 h 947"/>
              <a:gd name="T100" fmla="*/ 2147483647 w 1313"/>
              <a:gd name="T101" fmla="*/ 0 h 947"/>
              <a:gd name="T102" fmla="*/ 2147483647 w 1313"/>
              <a:gd name="T103" fmla="*/ 0 h 947"/>
              <a:gd name="T104" fmla="*/ 2147483647 w 1313"/>
              <a:gd name="T105" fmla="*/ 0 h 947"/>
              <a:gd name="T106" fmla="*/ 2147483647 w 1313"/>
              <a:gd name="T107" fmla="*/ 0 h 947"/>
              <a:gd name="T108" fmla="*/ 2147483647 w 1313"/>
              <a:gd name="T109" fmla="*/ 2147483647 h 947"/>
              <a:gd name="T110" fmla="*/ 2147483647 w 1313"/>
              <a:gd name="T111" fmla="*/ 2147483647 h 947"/>
              <a:gd name="T112" fmla="*/ 2147483647 w 1313"/>
              <a:gd name="T113" fmla="*/ 2147483647 h 947"/>
              <a:gd name="T114" fmla="*/ 2147483647 w 1313"/>
              <a:gd name="T115" fmla="*/ 2147483647 h 94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313"/>
              <a:gd name="T175" fmla="*/ 0 h 947"/>
              <a:gd name="T176" fmla="*/ 1313 w 1313"/>
              <a:gd name="T177" fmla="*/ 947 h 947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313" h="947">
                <a:moveTo>
                  <a:pt x="1311" y="337"/>
                </a:moveTo>
                <a:lnTo>
                  <a:pt x="1311" y="338"/>
                </a:lnTo>
                <a:lnTo>
                  <a:pt x="1312" y="354"/>
                </a:lnTo>
                <a:lnTo>
                  <a:pt x="1312" y="384"/>
                </a:lnTo>
                <a:lnTo>
                  <a:pt x="1312" y="441"/>
                </a:lnTo>
                <a:lnTo>
                  <a:pt x="1312" y="443"/>
                </a:lnTo>
                <a:lnTo>
                  <a:pt x="1312" y="455"/>
                </a:lnTo>
                <a:lnTo>
                  <a:pt x="1312" y="461"/>
                </a:lnTo>
                <a:lnTo>
                  <a:pt x="1312" y="473"/>
                </a:lnTo>
                <a:lnTo>
                  <a:pt x="1312" y="520"/>
                </a:lnTo>
                <a:lnTo>
                  <a:pt x="1312" y="545"/>
                </a:lnTo>
                <a:lnTo>
                  <a:pt x="1312" y="562"/>
                </a:lnTo>
                <a:lnTo>
                  <a:pt x="1312" y="564"/>
                </a:lnTo>
                <a:lnTo>
                  <a:pt x="1312" y="605"/>
                </a:lnTo>
                <a:lnTo>
                  <a:pt x="1312" y="621"/>
                </a:lnTo>
                <a:lnTo>
                  <a:pt x="1312" y="645"/>
                </a:lnTo>
                <a:lnTo>
                  <a:pt x="1312" y="647"/>
                </a:lnTo>
                <a:lnTo>
                  <a:pt x="1312" y="679"/>
                </a:lnTo>
                <a:lnTo>
                  <a:pt x="1312" y="709"/>
                </a:lnTo>
                <a:lnTo>
                  <a:pt x="1313" y="770"/>
                </a:lnTo>
                <a:lnTo>
                  <a:pt x="1313" y="793"/>
                </a:lnTo>
                <a:lnTo>
                  <a:pt x="1313" y="797"/>
                </a:lnTo>
                <a:lnTo>
                  <a:pt x="1313" y="827"/>
                </a:lnTo>
                <a:lnTo>
                  <a:pt x="1313" y="854"/>
                </a:lnTo>
                <a:lnTo>
                  <a:pt x="1313" y="886"/>
                </a:lnTo>
                <a:lnTo>
                  <a:pt x="1313" y="916"/>
                </a:lnTo>
                <a:lnTo>
                  <a:pt x="1313" y="947"/>
                </a:lnTo>
                <a:lnTo>
                  <a:pt x="1204" y="946"/>
                </a:lnTo>
                <a:lnTo>
                  <a:pt x="1178" y="945"/>
                </a:lnTo>
                <a:lnTo>
                  <a:pt x="1133" y="945"/>
                </a:lnTo>
                <a:lnTo>
                  <a:pt x="1117" y="945"/>
                </a:lnTo>
                <a:lnTo>
                  <a:pt x="1074" y="945"/>
                </a:lnTo>
                <a:lnTo>
                  <a:pt x="1064" y="945"/>
                </a:lnTo>
                <a:lnTo>
                  <a:pt x="945" y="946"/>
                </a:lnTo>
                <a:lnTo>
                  <a:pt x="877" y="947"/>
                </a:lnTo>
                <a:lnTo>
                  <a:pt x="772" y="947"/>
                </a:lnTo>
                <a:lnTo>
                  <a:pt x="731" y="946"/>
                </a:lnTo>
                <a:lnTo>
                  <a:pt x="718" y="946"/>
                </a:lnTo>
                <a:lnTo>
                  <a:pt x="625" y="946"/>
                </a:lnTo>
                <a:lnTo>
                  <a:pt x="620" y="946"/>
                </a:lnTo>
                <a:lnTo>
                  <a:pt x="596" y="946"/>
                </a:lnTo>
                <a:lnTo>
                  <a:pt x="571" y="946"/>
                </a:lnTo>
                <a:lnTo>
                  <a:pt x="484" y="947"/>
                </a:lnTo>
                <a:lnTo>
                  <a:pt x="307" y="945"/>
                </a:lnTo>
                <a:lnTo>
                  <a:pt x="302" y="945"/>
                </a:lnTo>
                <a:lnTo>
                  <a:pt x="295" y="945"/>
                </a:lnTo>
                <a:lnTo>
                  <a:pt x="293" y="945"/>
                </a:lnTo>
                <a:lnTo>
                  <a:pt x="175" y="945"/>
                </a:lnTo>
                <a:lnTo>
                  <a:pt x="127" y="945"/>
                </a:lnTo>
                <a:lnTo>
                  <a:pt x="73" y="945"/>
                </a:lnTo>
                <a:lnTo>
                  <a:pt x="58" y="946"/>
                </a:lnTo>
                <a:lnTo>
                  <a:pt x="3" y="946"/>
                </a:lnTo>
                <a:lnTo>
                  <a:pt x="3" y="831"/>
                </a:lnTo>
                <a:lnTo>
                  <a:pt x="3" y="827"/>
                </a:lnTo>
                <a:lnTo>
                  <a:pt x="3" y="768"/>
                </a:lnTo>
                <a:lnTo>
                  <a:pt x="3" y="737"/>
                </a:lnTo>
                <a:lnTo>
                  <a:pt x="3" y="709"/>
                </a:lnTo>
                <a:lnTo>
                  <a:pt x="3" y="672"/>
                </a:lnTo>
                <a:lnTo>
                  <a:pt x="3" y="670"/>
                </a:lnTo>
                <a:lnTo>
                  <a:pt x="0" y="644"/>
                </a:lnTo>
                <a:lnTo>
                  <a:pt x="0" y="591"/>
                </a:lnTo>
                <a:lnTo>
                  <a:pt x="0" y="532"/>
                </a:lnTo>
                <a:lnTo>
                  <a:pt x="2" y="473"/>
                </a:lnTo>
                <a:lnTo>
                  <a:pt x="2" y="386"/>
                </a:lnTo>
                <a:lnTo>
                  <a:pt x="2" y="384"/>
                </a:lnTo>
                <a:lnTo>
                  <a:pt x="2" y="355"/>
                </a:lnTo>
                <a:lnTo>
                  <a:pt x="2" y="354"/>
                </a:lnTo>
                <a:lnTo>
                  <a:pt x="2" y="325"/>
                </a:lnTo>
                <a:lnTo>
                  <a:pt x="2" y="317"/>
                </a:lnTo>
                <a:lnTo>
                  <a:pt x="2" y="266"/>
                </a:lnTo>
                <a:lnTo>
                  <a:pt x="2" y="236"/>
                </a:lnTo>
                <a:lnTo>
                  <a:pt x="2" y="184"/>
                </a:lnTo>
                <a:lnTo>
                  <a:pt x="2" y="133"/>
                </a:lnTo>
                <a:lnTo>
                  <a:pt x="2" y="89"/>
                </a:lnTo>
                <a:lnTo>
                  <a:pt x="2" y="82"/>
                </a:lnTo>
                <a:lnTo>
                  <a:pt x="2" y="60"/>
                </a:lnTo>
                <a:lnTo>
                  <a:pt x="2" y="30"/>
                </a:lnTo>
                <a:lnTo>
                  <a:pt x="2" y="0"/>
                </a:lnTo>
                <a:lnTo>
                  <a:pt x="49" y="0"/>
                </a:lnTo>
                <a:lnTo>
                  <a:pt x="165" y="0"/>
                </a:lnTo>
                <a:lnTo>
                  <a:pt x="214" y="0"/>
                </a:lnTo>
                <a:lnTo>
                  <a:pt x="268" y="0"/>
                </a:lnTo>
                <a:lnTo>
                  <a:pt x="316" y="0"/>
                </a:lnTo>
                <a:lnTo>
                  <a:pt x="326" y="0"/>
                </a:lnTo>
                <a:lnTo>
                  <a:pt x="406" y="0"/>
                </a:lnTo>
                <a:lnTo>
                  <a:pt x="412" y="0"/>
                </a:lnTo>
                <a:lnTo>
                  <a:pt x="479" y="0"/>
                </a:lnTo>
                <a:lnTo>
                  <a:pt x="502" y="0"/>
                </a:lnTo>
                <a:lnTo>
                  <a:pt x="513" y="1"/>
                </a:lnTo>
                <a:lnTo>
                  <a:pt x="519" y="1"/>
                </a:lnTo>
                <a:lnTo>
                  <a:pt x="534" y="1"/>
                </a:lnTo>
                <a:lnTo>
                  <a:pt x="537" y="1"/>
                </a:lnTo>
                <a:lnTo>
                  <a:pt x="560" y="1"/>
                </a:lnTo>
                <a:lnTo>
                  <a:pt x="676" y="1"/>
                </a:lnTo>
                <a:lnTo>
                  <a:pt x="707" y="1"/>
                </a:lnTo>
                <a:lnTo>
                  <a:pt x="713" y="1"/>
                </a:lnTo>
                <a:lnTo>
                  <a:pt x="736" y="1"/>
                </a:lnTo>
                <a:lnTo>
                  <a:pt x="771" y="1"/>
                </a:lnTo>
                <a:lnTo>
                  <a:pt x="783" y="1"/>
                </a:lnTo>
                <a:lnTo>
                  <a:pt x="827" y="0"/>
                </a:lnTo>
                <a:lnTo>
                  <a:pt x="936" y="0"/>
                </a:lnTo>
                <a:lnTo>
                  <a:pt x="1017" y="0"/>
                </a:lnTo>
                <a:lnTo>
                  <a:pt x="1027" y="0"/>
                </a:lnTo>
                <a:lnTo>
                  <a:pt x="1026" y="0"/>
                </a:lnTo>
                <a:lnTo>
                  <a:pt x="1063" y="0"/>
                </a:lnTo>
                <a:lnTo>
                  <a:pt x="1199" y="0"/>
                </a:lnTo>
                <a:lnTo>
                  <a:pt x="1204" y="0"/>
                </a:lnTo>
                <a:lnTo>
                  <a:pt x="1205" y="0"/>
                </a:lnTo>
                <a:lnTo>
                  <a:pt x="1311" y="0"/>
                </a:lnTo>
                <a:lnTo>
                  <a:pt x="1311" y="60"/>
                </a:lnTo>
                <a:lnTo>
                  <a:pt x="1311" y="72"/>
                </a:lnTo>
                <a:lnTo>
                  <a:pt x="1311" y="89"/>
                </a:lnTo>
                <a:lnTo>
                  <a:pt x="1311" y="119"/>
                </a:lnTo>
                <a:lnTo>
                  <a:pt x="1311" y="133"/>
                </a:lnTo>
                <a:lnTo>
                  <a:pt x="1311" y="154"/>
                </a:lnTo>
                <a:lnTo>
                  <a:pt x="1311" y="235"/>
                </a:lnTo>
                <a:lnTo>
                  <a:pt x="1311" y="337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grpSp>
        <xdr:nvGrpSpPr>
          <xdr:cNvPr id="47" name="S_CA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GrpSpPr>
            <a:grpSpLocks/>
          </xdr:cNvGrpSpPr>
        </xdr:nvGrpSpPr>
        <xdr:grpSpPr bwMode="auto">
          <a:xfrm>
            <a:off x="85725" y="1616449"/>
            <a:ext cx="1846729" cy="2096620"/>
            <a:chOff x="783810" y="1897248"/>
            <a:chExt cx="1464190" cy="1723443"/>
          </a:xfrm>
          <a:grpFill/>
        </xdr:grpSpPr>
        <xdr:sp macro="" textlink="">
          <xdr:nvSpPr>
            <xdr:cNvPr id="51" name="myShape_CA5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783810" y="1897248"/>
              <a:ext cx="1464190" cy="1723443"/>
            </a:xfrm>
            <a:custGeom>
              <a:avLst/>
              <a:gdLst>
                <a:gd name="T0" fmla="*/ 2147483647 w 1919"/>
                <a:gd name="T1" fmla="*/ 2147483647 h 2238"/>
                <a:gd name="T2" fmla="*/ 2147483647 w 1919"/>
                <a:gd name="T3" fmla="*/ 2147483647 h 2238"/>
                <a:gd name="T4" fmla="*/ 2147483647 w 1919"/>
                <a:gd name="T5" fmla="*/ 2147483647 h 2238"/>
                <a:gd name="T6" fmla="*/ 2147483647 w 1919"/>
                <a:gd name="T7" fmla="*/ 2147483647 h 2238"/>
                <a:gd name="T8" fmla="*/ 2147483647 w 1919"/>
                <a:gd name="T9" fmla="*/ 2147483647 h 2238"/>
                <a:gd name="T10" fmla="*/ 2147483647 w 1919"/>
                <a:gd name="T11" fmla="*/ 2147483647 h 2238"/>
                <a:gd name="T12" fmla="*/ 2147483647 w 1919"/>
                <a:gd name="T13" fmla="*/ 2147483647 h 2238"/>
                <a:gd name="T14" fmla="*/ 2147483647 w 1919"/>
                <a:gd name="T15" fmla="*/ 2147483647 h 2238"/>
                <a:gd name="T16" fmla="*/ 2147483647 w 1919"/>
                <a:gd name="T17" fmla="*/ 2147483647 h 2238"/>
                <a:gd name="T18" fmla="*/ 2147483647 w 1919"/>
                <a:gd name="T19" fmla="*/ 2147483647 h 2238"/>
                <a:gd name="T20" fmla="*/ 2147483647 w 1919"/>
                <a:gd name="T21" fmla="*/ 2147483647 h 2238"/>
                <a:gd name="T22" fmla="*/ 2147483647 w 1919"/>
                <a:gd name="T23" fmla="*/ 2147483647 h 2238"/>
                <a:gd name="T24" fmla="*/ 2147483647 w 1919"/>
                <a:gd name="T25" fmla="*/ 2147483647 h 2238"/>
                <a:gd name="T26" fmla="*/ 2147483647 w 1919"/>
                <a:gd name="T27" fmla="*/ 2147483647 h 2238"/>
                <a:gd name="T28" fmla="*/ 2147483647 w 1919"/>
                <a:gd name="T29" fmla="*/ 2147483647 h 2238"/>
                <a:gd name="T30" fmla="*/ 2147483647 w 1919"/>
                <a:gd name="T31" fmla="*/ 2147483647 h 2238"/>
                <a:gd name="T32" fmla="*/ 2147483647 w 1919"/>
                <a:gd name="T33" fmla="*/ 2147483647 h 2238"/>
                <a:gd name="T34" fmla="*/ 2147483647 w 1919"/>
                <a:gd name="T35" fmla="*/ 2147483647 h 2238"/>
                <a:gd name="T36" fmla="*/ 2147483647 w 1919"/>
                <a:gd name="T37" fmla="*/ 2147483647 h 2238"/>
                <a:gd name="T38" fmla="*/ 2147483647 w 1919"/>
                <a:gd name="T39" fmla="*/ 2147483647 h 2238"/>
                <a:gd name="T40" fmla="*/ 2147483647 w 1919"/>
                <a:gd name="T41" fmla="*/ 2147483647 h 2238"/>
                <a:gd name="T42" fmla="*/ 2147483647 w 1919"/>
                <a:gd name="T43" fmla="*/ 2147483647 h 2238"/>
                <a:gd name="T44" fmla="*/ 2147483647 w 1919"/>
                <a:gd name="T45" fmla="*/ 2147483647 h 2238"/>
                <a:gd name="T46" fmla="*/ 2147483647 w 1919"/>
                <a:gd name="T47" fmla="*/ 2147483647 h 2238"/>
                <a:gd name="T48" fmla="*/ 2147483647 w 1919"/>
                <a:gd name="T49" fmla="*/ 2147483647 h 2238"/>
                <a:gd name="T50" fmla="*/ 2147483647 w 1919"/>
                <a:gd name="T51" fmla="*/ 2147483647 h 2238"/>
                <a:gd name="T52" fmla="*/ 2147483647 w 1919"/>
                <a:gd name="T53" fmla="*/ 2147483647 h 2238"/>
                <a:gd name="T54" fmla="*/ 2147483647 w 1919"/>
                <a:gd name="T55" fmla="*/ 2147483647 h 2238"/>
                <a:gd name="T56" fmla="*/ 2147483647 w 1919"/>
                <a:gd name="T57" fmla="*/ 2147483647 h 2238"/>
                <a:gd name="T58" fmla="*/ 2147483647 w 1919"/>
                <a:gd name="T59" fmla="*/ 2147483647 h 2238"/>
                <a:gd name="T60" fmla="*/ 2147483647 w 1919"/>
                <a:gd name="T61" fmla="*/ 2147483647 h 2238"/>
                <a:gd name="T62" fmla="*/ 2147483647 w 1919"/>
                <a:gd name="T63" fmla="*/ 2147483647 h 2238"/>
                <a:gd name="T64" fmla="*/ 0 w 1919"/>
                <a:gd name="T65" fmla="*/ 2147483647 h 2238"/>
                <a:gd name="T66" fmla="*/ 2147483647 w 1919"/>
                <a:gd name="T67" fmla="*/ 2147483647 h 2238"/>
                <a:gd name="T68" fmla="*/ 2147483647 w 1919"/>
                <a:gd name="T69" fmla="*/ 2147483647 h 2238"/>
                <a:gd name="T70" fmla="*/ 2147483647 w 1919"/>
                <a:gd name="T71" fmla="*/ 2147483647 h 2238"/>
                <a:gd name="T72" fmla="*/ 2147483647 w 1919"/>
                <a:gd name="T73" fmla="*/ 2147483647 h 2238"/>
                <a:gd name="T74" fmla="*/ 2147483647 w 1919"/>
                <a:gd name="T75" fmla="*/ 2147483647 h 2238"/>
                <a:gd name="T76" fmla="*/ 2147483647 w 1919"/>
                <a:gd name="T77" fmla="*/ 2147483647 h 2238"/>
                <a:gd name="T78" fmla="*/ 2147483647 w 1919"/>
                <a:gd name="T79" fmla="*/ 2147483647 h 2238"/>
                <a:gd name="T80" fmla="*/ 2147483647 w 1919"/>
                <a:gd name="T81" fmla="*/ 2147483647 h 2238"/>
                <a:gd name="T82" fmla="*/ 2147483647 w 1919"/>
                <a:gd name="T83" fmla="*/ 2147483647 h 2238"/>
                <a:gd name="T84" fmla="*/ 2147483647 w 1919"/>
                <a:gd name="T85" fmla="*/ 2147483647 h 2238"/>
                <a:gd name="T86" fmla="*/ 2147483647 w 1919"/>
                <a:gd name="T87" fmla="*/ 2147483647 h 2238"/>
                <a:gd name="T88" fmla="*/ 2147483647 w 1919"/>
                <a:gd name="T89" fmla="*/ 2147483647 h 2238"/>
                <a:gd name="T90" fmla="*/ 2147483647 w 1919"/>
                <a:gd name="T91" fmla="*/ 2147483647 h 2238"/>
                <a:gd name="T92" fmla="*/ 2147483647 w 1919"/>
                <a:gd name="T93" fmla="*/ 2147483647 h 2238"/>
                <a:gd name="T94" fmla="*/ 2147483647 w 1919"/>
                <a:gd name="T95" fmla="*/ 2147483647 h 2238"/>
                <a:gd name="T96" fmla="*/ 2147483647 w 1919"/>
                <a:gd name="T97" fmla="*/ 2147483647 h 2238"/>
                <a:gd name="T98" fmla="*/ 2147483647 w 1919"/>
                <a:gd name="T99" fmla="*/ 2147483647 h 2238"/>
                <a:gd name="T100" fmla="*/ 2147483647 w 1919"/>
                <a:gd name="T101" fmla="*/ 2147483647 h 2238"/>
                <a:gd name="T102" fmla="*/ 2147483647 w 1919"/>
                <a:gd name="T103" fmla="*/ 2147483647 h 2238"/>
                <a:gd name="T104" fmla="*/ 2147483647 w 1919"/>
                <a:gd name="T105" fmla="*/ 2147483647 h 2238"/>
                <a:gd name="T106" fmla="*/ 2147483647 w 1919"/>
                <a:gd name="T107" fmla="*/ 2147483647 h 2238"/>
                <a:gd name="T108" fmla="*/ 2147483647 w 1919"/>
                <a:gd name="T109" fmla="*/ 2147483647 h 2238"/>
                <a:gd name="T110" fmla="*/ 2147483647 w 1919"/>
                <a:gd name="T111" fmla="*/ 2147483647 h 2238"/>
                <a:gd name="T112" fmla="*/ 2147483647 w 1919"/>
                <a:gd name="T113" fmla="*/ 2147483647 h 2238"/>
                <a:gd name="T114" fmla="*/ 2147483647 w 1919"/>
                <a:gd name="T115" fmla="*/ 2147483647 h 2238"/>
                <a:gd name="T116" fmla="*/ 2147483647 w 1919"/>
                <a:gd name="T117" fmla="*/ 2147483647 h 2238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w 1919"/>
                <a:gd name="T178" fmla="*/ 0 h 2238"/>
                <a:gd name="T179" fmla="*/ 1919 w 1919"/>
                <a:gd name="T180" fmla="*/ 2238 h 2238"/>
              </a:gdLst>
              <a:ahLst/>
              <a:cxnLst>
                <a:cxn ang="T118">
                  <a:pos x="T0" y="T1"/>
                </a:cxn>
                <a:cxn ang="T119">
                  <a:pos x="T2" y="T3"/>
                </a:cxn>
                <a:cxn ang="T120">
                  <a:pos x="T4" y="T5"/>
                </a:cxn>
                <a:cxn ang="T121">
                  <a:pos x="T6" y="T7"/>
                </a:cxn>
                <a:cxn ang="T122">
                  <a:pos x="T8" y="T9"/>
                </a:cxn>
                <a:cxn ang="T123">
                  <a:pos x="T10" y="T11"/>
                </a:cxn>
                <a:cxn ang="T124">
                  <a:pos x="T12" y="T13"/>
                </a:cxn>
                <a:cxn ang="T125">
                  <a:pos x="T14" y="T15"/>
                </a:cxn>
                <a:cxn ang="T126">
                  <a:pos x="T16" y="T17"/>
                </a:cxn>
                <a:cxn ang="T127">
                  <a:pos x="T18" y="T19"/>
                </a:cxn>
                <a:cxn ang="T128">
                  <a:pos x="T20" y="T21"/>
                </a:cxn>
                <a:cxn ang="T129">
                  <a:pos x="T22" y="T23"/>
                </a:cxn>
                <a:cxn ang="T130">
                  <a:pos x="T24" y="T25"/>
                </a:cxn>
                <a:cxn ang="T131">
                  <a:pos x="T26" y="T27"/>
                </a:cxn>
                <a:cxn ang="T132">
                  <a:pos x="T28" y="T29"/>
                </a:cxn>
                <a:cxn ang="T133">
                  <a:pos x="T30" y="T31"/>
                </a:cxn>
                <a:cxn ang="T134">
                  <a:pos x="T32" y="T33"/>
                </a:cxn>
                <a:cxn ang="T135">
                  <a:pos x="T34" y="T35"/>
                </a:cxn>
                <a:cxn ang="T136">
                  <a:pos x="T36" y="T37"/>
                </a:cxn>
                <a:cxn ang="T137">
                  <a:pos x="T38" y="T39"/>
                </a:cxn>
                <a:cxn ang="T138">
                  <a:pos x="T40" y="T41"/>
                </a:cxn>
                <a:cxn ang="T139">
                  <a:pos x="T42" y="T43"/>
                </a:cxn>
                <a:cxn ang="T140">
                  <a:pos x="T44" y="T45"/>
                </a:cxn>
                <a:cxn ang="T141">
                  <a:pos x="T46" y="T47"/>
                </a:cxn>
                <a:cxn ang="T142">
                  <a:pos x="T48" y="T49"/>
                </a:cxn>
                <a:cxn ang="T143">
                  <a:pos x="T50" y="T51"/>
                </a:cxn>
                <a:cxn ang="T144">
                  <a:pos x="T52" y="T53"/>
                </a:cxn>
                <a:cxn ang="T145">
                  <a:pos x="T54" y="T55"/>
                </a:cxn>
                <a:cxn ang="T146">
                  <a:pos x="T56" y="T57"/>
                </a:cxn>
                <a:cxn ang="T147">
                  <a:pos x="T58" y="T59"/>
                </a:cxn>
                <a:cxn ang="T148">
                  <a:pos x="T60" y="T61"/>
                </a:cxn>
                <a:cxn ang="T149">
                  <a:pos x="T62" y="T63"/>
                </a:cxn>
                <a:cxn ang="T150">
                  <a:pos x="T64" y="T65"/>
                </a:cxn>
                <a:cxn ang="T151">
                  <a:pos x="T66" y="T67"/>
                </a:cxn>
                <a:cxn ang="T152">
                  <a:pos x="T68" y="T69"/>
                </a:cxn>
                <a:cxn ang="T153">
                  <a:pos x="T70" y="T71"/>
                </a:cxn>
                <a:cxn ang="T154">
                  <a:pos x="T72" y="T73"/>
                </a:cxn>
                <a:cxn ang="T155">
                  <a:pos x="T74" y="T75"/>
                </a:cxn>
                <a:cxn ang="T156">
                  <a:pos x="T76" y="T77"/>
                </a:cxn>
                <a:cxn ang="T157">
                  <a:pos x="T78" y="T79"/>
                </a:cxn>
                <a:cxn ang="T158">
                  <a:pos x="T80" y="T81"/>
                </a:cxn>
                <a:cxn ang="T159">
                  <a:pos x="T82" y="T83"/>
                </a:cxn>
                <a:cxn ang="T160">
                  <a:pos x="T84" y="T85"/>
                </a:cxn>
                <a:cxn ang="T161">
                  <a:pos x="T86" y="T87"/>
                </a:cxn>
                <a:cxn ang="T162">
                  <a:pos x="T88" y="T89"/>
                </a:cxn>
                <a:cxn ang="T163">
                  <a:pos x="T90" y="T91"/>
                </a:cxn>
                <a:cxn ang="T164">
                  <a:pos x="T92" y="T93"/>
                </a:cxn>
                <a:cxn ang="T165">
                  <a:pos x="T94" y="T95"/>
                </a:cxn>
                <a:cxn ang="T166">
                  <a:pos x="T96" y="T97"/>
                </a:cxn>
                <a:cxn ang="T167">
                  <a:pos x="T98" y="T99"/>
                </a:cxn>
                <a:cxn ang="T168">
                  <a:pos x="T100" y="T101"/>
                </a:cxn>
                <a:cxn ang="T169">
                  <a:pos x="T102" y="T103"/>
                </a:cxn>
                <a:cxn ang="T170">
                  <a:pos x="T104" y="T105"/>
                </a:cxn>
                <a:cxn ang="T171">
                  <a:pos x="T106" y="T107"/>
                </a:cxn>
                <a:cxn ang="T172">
                  <a:pos x="T108" y="T109"/>
                </a:cxn>
                <a:cxn ang="T173">
                  <a:pos x="T110" y="T111"/>
                </a:cxn>
                <a:cxn ang="T174">
                  <a:pos x="T112" y="T113"/>
                </a:cxn>
                <a:cxn ang="T175">
                  <a:pos x="T114" y="T115"/>
                </a:cxn>
                <a:cxn ang="T176">
                  <a:pos x="T116" y="T117"/>
                </a:cxn>
              </a:cxnLst>
              <a:rect l="T177" t="T178" r="T179" b="T180"/>
              <a:pathLst>
                <a:path w="1919" h="2238">
                  <a:moveTo>
                    <a:pt x="1804" y="2195"/>
                  </a:moveTo>
                  <a:lnTo>
                    <a:pt x="1810" y="2194"/>
                  </a:lnTo>
                  <a:lnTo>
                    <a:pt x="1844" y="2187"/>
                  </a:lnTo>
                  <a:lnTo>
                    <a:pt x="1850" y="2127"/>
                  </a:lnTo>
                  <a:lnTo>
                    <a:pt x="1833" y="2123"/>
                  </a:lnTo>
                  <a:lnTo>
                    <a:pt x="1812" y="2105"/>
                  </a:lnTo>
                  <a:lnTo>
                    <a:pt x="1812" y="2039"/>
                  </a:lnTo>
                  <a:lnTo>
                    <a:pt x="1827" y="2026"/>
                  </a:lnTo>
                  <a:lnTo>
                    <a:pt x="1850" y="1964"/>
                  </a:lnTo>
                  <a:lnTo>
                    <a:pt x="1850" y="1901"/>
                  </a:lnTo>
                  <a:lnTo>
                    <a:pt x="1858" y="1894"/>
                  </a:lnTo>
                  <a:lnTo>
                    <a:pt x="1863" y="1873"/>
                  </a:lnTo>
                  <a:lnTo>
                    <a:pt x="1896" y="1851"/>
                  </a:lnTo>
                  <a:lnTo>
                    <a:pt x="1913" y="1833"/>
                  </a:lnTo>
                  <a:lnTo>
                    <a:pt x="1919" y="1820"/>
                  </a:lnTo>
                  <a:lnTo>
                    <a:pt x="1874" y="1785"/>
                  </a:lnTo>
                  <a:lnTo>
                    <a:pt x="1873" y="1774"/>
                  </a:lnTo>
                  <a:lnTo>
                    <a:pt x="1850" y="1719"/>
                  </a:lnTo>
                  <a:lnTo>
                    <a:pt x="1827" y="1688"/>
                  </a:lnTo>
                  <a:lnTo>
                    <a:pt x="1826" y="1655"/>
                  </a:lnTo>
                  <a:lnTo>
                    <a:pt x="1772" y="1600"/>
                  </a:lnTo>
                  <a:lnTo>
                    <a:pt x="1710" y="1538"/>
                  </a:lnTo>
                  <a:lnTo>
                    <a:pt x="1639" y="1469"/>
                  </a:lnTo>
                  <a:lnTo>
                    <a:pt x="1617" y="1446"/>
                  </a:lnTo>
                  <a:lnTo>
                    <a:pt x="1590" y="1419"/>
                  </a:lnTo>
                  <a:lnTo>
                    <a:pt x="1589" y="1418"/>
                  </a:lnTo>
                  <a:lnTo>
                    <a:pt x="1523" y="1354"/>
                  </a:lnTo>
                  <a:lnTo>
                    <a:pt x="1468" y="1302"/>
                  </a:lnTo>
                  <a:lnTo>
                    <a:pt x="1351" y="1189"/>
                  </a:lnTo>
                  <a:lnTo>
                    <a:pt x="1282" y="1124"/>
                  </a:lnTo>
                  <a:lnTo>
                    <a:pt x="1269" y="1112"/>
                  </a:lnTo>
                  <a:lnTo>
                    <a:pt x="1227" y="1074"/>
                  </a:lnTo>
                  <a:lnTo>
                    <a:pt x="1219" y="1065"/>
                  </a:lnTo>
                  <a:lnTo>
                    <a:pt x="1187" y="1036"/>
                  </a:lnTo>
                  <a:lnTo>
                    <a:pt x="1116" y="971"/>
                  </a:lnTo>
                  <a:lnTo>
                    <a:pt x="1055" y="916"/>
                  </a:lnTo>
                  <a:lnTo>
                    <a:pt x="1023" y="888"/>
                  </a:lnTo>
                  <a:lnTo>
                    <a:pt x="979" y="849"/>
                  </a:lnTo>
                  <a:lnTo>
                    <a:pt x="962" y="833"/>
                  </a:lnTo>
                  <a:lnTo>
                    <a:pt x="957" y="829"/>
                  </a:lnTo>
                  <a:lnTo>
                    <a:pt x="948" y="821"/>
                  </a:lnTo>
                  <a:lnTo>
                    <a:pt x="915" y="792"/>
                  </a:lnTo>
                  <a:lnTo>
                    <a:pt x="900" y="778"/>
                  </a:lnTo>
                  <a:lnTo>
                    <a:pt x="889" y="770"/>
                  </a:lnTo>
                  <a:lnTo>
                    <a:pt x="852" y="737"/>
                  </a:lnTo>
                  <a:lnTo>
                    <a:pt x="840" y="726"/>
                  </a:lnTo>
                  <a:lnTo>
                    <a:pt x="832" y="721"/>
                  </a:lnTo>
                  <a:lnTo>
                    <a:pt x="822" y="711"/>
                  </a:lnTo>
                  <a:lnTo>
                    <a:pt x="822" y="695"/>
                  </a:lnTo>
                  <a:lnTo>
                    <a:pt x="822" y="684"/>
                  </a:lnTo>
                  <a:lnTo>
                    <a:pt x="821" y="681"/>
                  </a:lnTo>
                  <a:lnTo>
                    <a:pt x="821" y="671"/>
                  </a:lnTo>
                  <a:lnTo>
                    <a:pt x="821" y="652"/>
                  </a:lnTo>
                  <a:lnTo>
                    <a:pt x="821" y="636"/>
                  </a:lnTo>
                  <a:lnTo>
                    <a:pt x="821" y="622"/>
                  </a:lnTo>
                  <a:lnTo>
                    <a:pt x="822" y="606"/>
                  </a:lnTo>
                  <a:lnTo>
                    <a:pt x="822" y="592"/>
                  </a:lnTo>
                  <a:lnTo>
                    <a:pt x="822" y="563"/>
                  </a:lnTo>
                  <a:lnTo>
                    <a:pt x="822" y="540"/>
                  </a:lnTo>
                  <a:lnTo>
                    <a:pt x="822" y="485"/>
                  </a:lnTo>
                  <a:lnTo>
                    <a:pt x="823" y="357"/>
                  </a:lnTo>
                  <a:lnTo>
                    <a:pt x="822" y="195"/>
                  </a:lnTo>
                  <a:lnTo>
                    <a:pt x="822" y="155"/>
                  </a:lnTo>
                  <a:lnTo>
                    <a:pt x="822" y="56"/>
                  </a:lnTo>
                  <a:lnTo>
                    <a:pt x="822" y="4"/>
                  </a:lnTo>
                  <a:lnTo>
                    <a:pt x="783" y="4"/>
                  </a:lnTo>
                  <a:lnTo>
                    <a:pt x="775" y="4"/>
                  </a:lnTo>
                  <a:lnTo>
                    <a:pt x="657" y="4"/>
                  </a:lnTo>
                  <a:lnTo>
                    <a:pt x="622" y="4"/>
                  </a:lnTo>
                  <a:lnTo>
                    <a:pt x="579" y="2"/>
                  </a:lnTo>
                  <a:lnTo>
                    <a:pt x="551" y="2"/>
                  </a:lnTo>
                  <a:lnTo>
                    <a:pt x="447" y="1"/>
                  </a:lnTo>
                  <a:lnTo>
                    <a:pt x="415" y="0"/>
                  </a:lnTo>
                  <a:lnTo>
                    <a:pt x="394" y="0"/>
                  </a:lnTo>
                  <a:lnTo>
                    <a:pt x="252" y="1"/>
                  </a:lnTo>
                  <a:lnTo>
                    <a:pt x="233" y="0"/>
                  </a:lnTo>
                  <a:lnTo>
                    <a:pt x="217" y="1"/>
                  </a:lnTo>
                  <a:lnTo>
                    <a:pt x="196" y="2"/>
                  </a:lnTo>
                  <a:lnTo>
                    <a:pt x="180" y="1"/>
                  </a:lnTo>
                  <a:lnTo>
                    <a:pt x="163" y="2"/>
                  </a:lnTo>
                  <a:lnTo>
                    <a:pt x="144" y="2"/>
                  </a:lnTo>
                  <a:lnTo>
                    <a:pt x="138" y="4"/>
                  </a:lnTo>
                  <a:lnTo>
                    <a:pt x="107" y="4"/>
                  </a:lnTo>
                  <a:lnTo>
                    <a:pt x="74" y="2"/>
                  </a:lnTo>
                  <a:lnTo>
                    <a:pt x="50" y="2"/>
                  </a:lnTo>
                  <a:lnTo>
                    <a:pt x="33" y="2"/>
                  </a:lnTo>
                  <a:lnTo>
                    <a:pt x="25" y="56"/>
                  </a:lnTo>
                  <a:lnTo>
                    <a:pt x="47" y="71"/>
                  </a:lnTo>
                  <a:lnTo>
                    <a:pt x="61" y="129"/>
                  </a:lnTo>
                  <a:lnTo>
                    <a:pt x="60" y="150"/>
                  </a:lnTo>
                  <a:lnTo>
                    <a:pt x="46" y="205"/>
                  </a:lnTo>
                  <a:lnTo>
                    <a:pt x="39" y="207"/>
                  </a:lnTo>
                  <a:lnTo>
                    <a:pt x="45" y="228"/>
                  </a:lnTo>
                  <a:lnTo>
                    <a:pt x="49" y="226"/>
                  </a:lnTo>
                  <a:lnTo>
                    <a:pt x="52" y="238"/>
                  </a:lnTo>
                  <a:lnTo>
                    <a:pt x="44" y="268"/>
                  </a:lnTo>
                  <a:lnTo>
                    <a:pt x="1" y="357"/>
                  </a:lnTo>
                  <a:lnTo>
                    <a:pt x="5" y="386"/>
                  </a:lnTo>
                  <a:lnTo>
                    <a:pt x="0" y="411"/>
                  </a:lnTo>
                  <a:lnTo>
                    <a:pt x="50" y="449"/>
                  </a:lnTo>
                  <a:lnTo>
                    <a:pt x="69" y="474"/>
                  </a:lnTo>
                  <a:lnTo>
                    <a:pt x="104" y="533"/>
                  </a:lnTo>
                  <a:lnTo>
                    <a:pt x="113" y="563"/>
                  </a:lnTo>
                  <a:lnTo>
                    <a:pt x="106" y="622"/>
                  </a:lnTo>
                  <a:lnTo>
                    <a:pt x="137" y="740"/>
                  </a:lnTo>
                  <a:lnTo>
                    <a:pt x="159" y="766"/>
                  </a:lnTo>
                  <a:lnTo>
                    <a:pt x="214" y="827"/>
                  </a:lnTo>
                  <a:lnTo>
                    <a:pt x="236" y="845"/>
                  </a:lnTo>
                  <a:lnTo>
                    <a:pt x="250" y="877"/>
                  </a:lnTo>
                  <a:lnTo>
                    <a:pt x="260" y="878"/>
                  </a:lnTo>
                  <a:lnTo>
                    <a:pt x="266" y="888"/>
                  </a:lnTo>
                  <a:lnTo>
                    <a:pt x="262" y="890"/>
                  </a:lnTo>
                  <a:lnTo>
                    <a:pt x="268" y="916"/>
                  </a:lnTo>
                  <a:lnTo>
                    <a:pt x="267" y="950"/>
                  </a:lnTo>
                  <a:lnTo>
                    <a:pt x="274" y="940"/>
                  </a:lnTo>
                  <a:lnTo>
                    <a:pt x="286" y="942"/>
                  </a:lnTo>
                  <a:lnTo>
                    <a:pt x="307" y="962"/>
                  </a:lnTo>
                  <a:lnTo>
                    <a:pt x="327" y="971"/>
                  </a:lnTo>
                  <a:lnTo>
                    <a:pt x="349" y="990"/>
                  </a:lnTo>
                  <a:lnTo>
                    <a:pt x="357" y="988"/>
                  </a:lnTo>
                  <a:lnTo>
                    <a:pt x="356" y="997"/>
                  </a:lnTo>
                  <a:lnTo>
                    <a:pt x="351" y="999"/>
                  </a:lnTo>
                  <a:lnTo>
                    <a:pt x="354" y="1016"/>
                  </a:lnTo>
                  <a:lnTo>
                    <a:pt x="354" y="1065"/>
                  </a:lnTo>
                  <a:lnTo>
                    <a:pt x="359" y="1065"/>
                  </a:lnTo>
                  <a:lnTo>
                    <a:pt x="371" y="1094"/>
                  </a:lnTo>
                  <a:lnTo>
                    <a:pt x="370" y="1124"/>
                  </a:lnTo>
                  <a:lnTo>
                    <a:pt x="385" y="1153"/>
                  </a:lnTo>
                  <a:lnTo>
                    <a:pt x="393" y="1158"/>
                  </a:lnTo>
                  <a:lnTo>
                    <a:pt x="412" y="1182"/>
                  </a:lnTo>
                  <a:lnTo>
                    <a:pt x="439" y="1195"/>
                  </a:lnTo>
                  <a:lnTo>
                    <a:pt x="467" y="1193"/>
                  </a:lnTo>
                  <a:lnTo>
                    <a:pt x="483" y="1218"/>
                  </a:lnTo>
                  <a:lnTo>
                    <a:pt x="480" y="1263"/>
                  </a:lnTo>
                  <a:lnTo>
                    <a:pt x="471" y="1277"/>
                  </a:lnTo>
                  <a:lnTo>
                    <a:pt x="461" y="1269"/>
                  </a:lnTo>
                  <a:lnTo>
                    <a:pt x="451" y="1281"/>
                  </a:lnTo>
                  <a:lnTo>
                    <a:pt x="477" y="1361"/>
                  </a:lnTo>
                  <a:lnTo>
                    <a:pt x="494" y="1370"/>
                  </a:lnTo>
                  <a:lnTo>
                    <a:pt x="541" y="1420"/>
                  </a:lnTo>
                  <a:lnTo>
                    <a:pt x="550" y="1449"/>
                  </a:lnTo>
                  <a:lnTo>
                    <a:pt x="569" y="1468"/>
                  </a:lnTo>
                  <a:lnTo>
                    <a:pt x="578" y="1490"/>
                  </a:lnTo>
                  <a:lnTo>
                    <a:pt x="606" y="1508"/>
                  </a:lnTo>
                  <a:lnTo>
                    <a:pt x="626" y="1537"/>
                  </a:lnTo>
                  <a:lnTo>
                    <a:pt x="655" y="1553"/>
                  </a:lnTo>
                  <a:lnTo>
                    <a:pt x="660" y="1567"/>
                  </a:lnTo>
                  <a:lnTo>
                    <a:pt x="654" y="1597"/>
                  </a:lnTo>
                  <a:lnTo>
                    <a:pt x="681" y="1618"/>
                  </a:lnTo>
                  <a:lnTo>
                    <a:pt x="703" y="1626"/>
                  </a:lnTo>
                  <a:lnTo>
                    <a:pt x="701" y="1661"/>
                  </a:lnTo>
                  <a:lnTo>
                    <a:pt x="704" y="1685"/>
                  </a:lnTo>
                  <a:lnTo>
                    <a:pt x="705" y="1761"/>
                  </a:lnTo>
                  <a:lnTo>
                    <a:pt x="751" y="1784"/>
                  </a:lnTo>
                  <a:lnTo>
                    <a:pt x="822" y="1783"/>
                  </a:lnTo>
                  <a:lnTo>
                    <a:pt x="845" y="1795"/>
                  </a:lnTo>
                  <a:lnTo>
                    <a:pt x="891" y="1793"/>
                  </a:lnTo>
                  <a:lnTo>
                    <a:pt x="920" y="1804"/>
                  </a:lnTo>
                  <a:lnTo>
                    <a:pt x="959" y="1833"/>
                  </a:lnTo>
                  <a:lnTo>
                    <a:pt x="977" y="1862"/>
                  </a:lnTo>
                  <a:lnTo>
                    <a:pt x="1019" y="1882"/>
                  </a:lnTo>
                  <a:lnTo>
                    <a:pt x="1079" y="1883"/>
                  </a:lnTo>
                  <a:lnTo>
                    <a:pt x="1102" y="1890"/>
                  </a:lnTo>
                  <a:lnTo>
                    <a:pt x="1117" y="1917"/>
                  </a:lnTo>
                  <a:lnTo>
                    <a:pt x="1126" y="1953"/>
                  </a:lnTo>
                  <a:lnTo>
                    <a:pt x="1145" y="1962"/>
                  </a:lnTo>
                  <a:lnTo>
                    <a:pt x="1173" y="1953"/>
                  </a:lnTo>
                  <a:lnTo>
                    <a:pt x="1195" y="1974"/>
                  </a:lnTo>
                  <a:lnTo>
                    <a:pt x="1219" y="1989"/>
                  </a:lnTo>
                  <a:lnTo>
                    <a:pt x="1271" y="2037"/>
                  </a:lnTo>
                  <a:lnTo>
                    <a:pt x="1289" y="2051"/>
                  </a:lnTo>
                  <a:lnTo>
                    <a:pt x="1321" y="2099"/>
                  </a:lnTo>
                  <a:lnTo>
                    <a:pt x="1335" y="2187"/>
                  </a:lnTo>
                  <a:lnTo>
                    <a:pt x="1357" y="2217"/>
                  </a:lnTo>
                  <a:lnTo>
                    <a:pt x="1360" y="2238"/>
                  </a:lnTo>
                  <a:lnTo>
                    <a:pt x="1551" y="2218"/>
                  </a:lnTo>
                  <a:lnTo>
                    <a:pt x="1804" y="2195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2" name="myShape_CA4">
              <a:extLst>
                <a:ext uri="{FF2B5EF4-FFF2-40B4-BE49-F238E27FC236}">
                  <a16:creationId xmlns:a16="http://schemas.microsoft.com/office/drawing/2014/main" id="{00000000-0008-0000-05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421074" y="3339777"/>
              <a:ext cx="53105" cy="22777"/>
            </a:xfrm>
            <a:custGeom>
              <a:avLst/>
              <a:gdLst>
                <a:gd name="T0" fmla="*/ 0 w 70"/>
                <a:gd name="T1" fmla="*/ 0 h 27"/>
                <a:gd name="T2" fmla="*/ 2147483647 w 70"/>
                <a:gd name="T3" fmla="*/ 2147483647 h 27"/>
                <a:gd name="T4" fmla="*/ 2147483647 w 70"/>
                <a:gd name="T5" fmla="*/ 0 h 27"/>
                <a:gd name="T6" fmla="*/ 2147483647 w 70"/>
                <a:gd name="T7" fmla="*/ 2147483647 h 27"/>
                <a:gd name="T8" fmla="*/ 2147483647 w 70"/>
                <a:gd name="T9" fmla="*/ 2147483647 h 27"/>
                <a:gd name="T10" fmla="*/ 2147483647 w 70"/>
                <a:gd name="T11" fmla="*/ 2147483647 h 27"/>
                <a:gd name="T12" fmla="*/ 0 w 70"/>
                <a:gd name="T13" fmla="*/ 0 h 27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70"/>
                <a:gd name="T22" fmla="*/ 0 h 27"/>
                <a:gd name="T23" fmla="*/ 70 w 70"/>
                <a:gd name="T24" fmla="*/ 27 h 27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70" h="27">
                  <a:moveTo>
                    <a:pt x="0" y="0"/>
                  </a:moveTo>
                  <a:lnTo>
                    <a:pt x="52" y="16"/>
                  </a:lnTo>
                  <a:lnTo>
                    <a:pt x="63" y="7"/>
                  </a:lnTo>
                  <a:lnTo>
                    <a:pt x="70" y="14"/>
                  </a:lnTo>
                  <a:lnTo>
                    <a:pt x="63" y="21"/>
                  </a:lnTo>
                  <a:lnTo>
                    <a:pt x="13" y="27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3" name="myShape_CA3">
              <a:extLst>
                <a:ext uri="{FF2B5EF4-FFF2-40B4-BE49-F238E27FC236}">
                  <a16:creationId xmlns:a16="http://schemas.microsoft.com/office/drawing/2014/main" id="{00000000-0008-0000-05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383142" y="3347370"/>
              <a:ext cx="30346" cy="22777"/>
            </a:xfrm>
            <a:custGeom>
              <a:avLst/>
              <a:gdLst>
                <a:gd name="T0" fmla="*/ 0 w 47"/>
                <a:gd name="T1" fmla="*/ 2147483647 h 28"/>
                <a:gd name="T2" fmla="*/ 2147483647 w 47"/>
                <a:gd name="T3" fmla="*/ 2147483647 h 28"/>
                <a:gd name="T4" fmla="*/ 2147483647 w 47"/>
                <a:gd name="T5" fmla="*/ 2147483647 h 28"/>
                <a:gd name="T6" fmla="*/ 2147483647 w 47"/>
                <a:gd name="T7" fmla="*/ 2147483647 h 28"/>
                <a:gd name="T8" fmla="*/ 2147483647 w 47"/>
                <a:gd name="T9" fmla="*/ 0 h 28"/>
                <a:gd name="T10" fmla="*/ 0 w 47"/>
                <a:gd name="T11" fmla="*/ 2147483647 h 28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47"/>
                <a:gd name="T19" fmla="*/ 0 h 28"/>
                <a:gd name="T20" fmla="*/ 47 w 47"/>
                <a:gd name="T21" fmla="*/ 28 h 28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47" h="28">
                  <a:moveTo>
                    <a:pt x="0" y="13"/>
                  </a:moveTo>
                  <a:lnTo>
                    <a:pt x="10" y="28"/>
                  </a:lnTo>
                  <a:lnTo>
                    <a:pt x="47" y="21"/>
                  </a:lnTo>
                  <a:lnTo>
                    <a:pt x="33" y="8"/>
                  </a:lnTo>
                  <a:lnTo>
                    <a:pt x="33" y="0"/>
                  </a:lnTo>
                  <a:lnTo>
                    <a:pt x="0" y="13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4" name="myShape_CA2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618322" y="3446069"/>
              <a:ext cx="30346" cy="30369"/>
            </a:xfrm>
            <a:custGeom>
              <a:avLst/>
              <a:gdLst>
                <a:gd name="T0" fmla="*/ 0 w 45"/>
                <a:gd name="T1" fmla="*/ 0 h 37"/>
                <a:gd name="T2" fmla="*/ 0 w 45"/>
                <a:gd name="T3" fmla="*/ 2147483647 h 37"/>
                <a:gd name="T4" fmla="*/ 2147483647 w 45"/>
                <a:gd name="T5" fmla="*/ 2147483647 h 37"/>
                <a:gd name="T6" fmla="*/ 2147483647 w 45"/>
                <a:gd name="T7" fmla="*/ 2147483647 h 37"/>
                <a:gd name="T8" fmla="*/ 2147483647 w 45"/>
                <a:gd name="T9" fmla="*/ 2147483647 h 37"/>
                <a:gd name="T10" fmla="*/ 2147483647 w 45"/>
                <a:gd name="T11" fmla="*/ 2147483647 h 37"/>
                <a:gd name="T12" fmla="*/ 0 w 45"/>
                <a:gd name="T13" fmla="*/ 0 h 37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45"/>
                <a:gd name="T22" fmla="*/ 0 h 37"/>
                <a:gd name="T23" fmla="*/ 45 w 45"/>
                <a:gd name="T24" fmla="*/ 37 h 37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45" h="37">
                  <a:moveTo>
                    <a:pt x="0" y="0"/>
                  </a:moveTo>
                  <a:lnTo>
                    <a:pt x="1" y="9"/>
                  </a:lnTo>
                  <a:lnTo>
                    <a:pt x="13" y="12"/>
                  </a:lnTo>
                  <a:lnTo>
                    <a:pt x="27" y="37"/>
                  </a:lnTo>
                  <a:lnTo>
                    <a:pt x="45" y="30"/>
                  </a:lnTo>
                  <a:lnTo>
                    <a:pt x="37" y="16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  <xdr:sp macro="" textlink="">
          <xdr:nvSpPr>
            <xdr:cNvPr id="55" name="myShape_CA1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610736" y="3529584"/>
              <a:ext cx="37932" cy="37961"/>
            </a:xfrm>
            <a:custGeom>
              <a:avLst/>
              <a:gdLst>
                <a:gd name="T0" fmla="*/ 0 w 43"/>
                <a:gd name="T1" fmla="*/ 0 h 50"/>
                <a:gd name="T2" fmla="*/ 2147483647 w 43"/>
                <a:gd name="T3" fmla="*/ 2147483647 h 50"/>
                <a:gd name="T4" fmla="*/ 2147483647 w 43"/>
                <a:gd name="T5" fmla="*/ 2147483647 h 50"/>
                <a:gd name="T6" fmla="*/ 0 w 43"/>
                <a:gd name="T7" fmla="*/ 0 h 5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43"/>
                <a:gd name="T13" fmla="*/ 0 h 50"/>
                <a:gd name="T14" fmla="*/ 43 w 43"/>
                <a:gd name="T15" fmla="*/ 50 h 5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43" h="50">
                  <a:moveTo>
                    <a:pt x="0" y="0"/>
                  </a:moveTo>
                  <a:lnTo>
                    <a:pt x="25" y="50"/>
                  </a:lnTo>
                  <a:lnTo>
                    <a:pt x="43" y="49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17526">
              <a:noFill/>
              <a:round/>
              <a:headEnd/>
              <a:tailEnd/>
            </a:ln>
          </xdr:spPr>
        </xdr:sp>
      </xdr:grpSp>
      <xdr:sp macro="" textlink="">
        <xdr:nvSpPr>
          <xdr:cNvPr id="48" name="S_AZ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>
            <a:spLocks/>
          </xdr:cNvSpPr>
        </xdr:nvSpPr>
        <xdr:spPr bwMode="auto">
          <a:xfrm>
            <a:off x="1789579" y="2733675"/>
            <a:ext cx="1031502" cy="1255059"/>
          </a:xfrm>
          <a:custGeom>
            <a:avLst/>
            <a:gdLst>
              <a:gd name="T0" fmla="*/ 2147483647 w 1079"/>
              <a:gd name="T1" fmla="*/ 2147483647 h 1340"/>
              <a:gd name="T2" fmla="*/ 2147483647 w 1079"/>
              <a:gd name="T3" fmla="*/ 2147483647 h 1340"/>
              <a:gd name="T4" fmla="*/ 2147483647 w 1079"/>
              <a:gd name="T5" fmla="*/ 2147483647 h 1340"/>
              <a:gd name="T6" fmla="*/ 2147483647 w 1079"/>
              <a:gd name="T7" fmla="*/ 2147483647 h 1340"/>
              <a:gd name="T8" fmla="*/ 2147483647 w 1079"/>
              <a:gd name="T9" fmla="*/ 2147483647 h 1340"/>
              <a:gd name="T10" fmla="*/ 2147483647 w 1079"/>
              <a:gd name="T11" fmla="*/ 2147483647 h 1340"/>
              <a:gd name="T12" fmla="*/ 2147483647 w 1079"/>
              <a:gd name="T13" fmla="*/ 2147483647 h 1340"/>
              <a:gd name="T14" fmla="*/ 2147483647 w 1079"/>
              <a:gd name="T15" fmla="*/ 2147483647 h 1340"/>
              <a:gd name="T16" fmla="*/ 2147483647 w 1079"/>
              <a:gd name="T17" fmla="*/ 2147483647 h 1340"/>
              <a:gd name="T18" fmla="*/ 2147483647 w 1079"/>
              <a:gd name="T19" fmla="*/ 2147483647 h 1340"/>
              <a:gd name="T20" fmla="*/ 2147483647 w 1079"/>
              <a:gd name="T21" fmla="*/ 2147483647 h 1340"/>
              <a:gd name="T22" fmla="*/ 2147483647 w 1079"/>
              <a:gd name="T23" fmla="*/ 2147483647 h 1340"/>
              <a:gd name="T24" fmla="*/ 2147483647 w 1079"/>
              <a:gd name="T25" fmla="*/ 2147483647 h 1340"/>
              <a:gd name="T26" fmla="*/ 2147483647 w 1079"/>
              <a:gd name="T27" fmla="*/ 2147483647 h 1340"/>
              <a:gd name="T28" fmla="*/ 2147483647 w 1079"/>
              <a:gd name="T29" fmla="*/ 2147483647 h 1340"/>
              <a:gd name="T30" fmla="*/ 2147483647 w 1079"/>
              <a:gd name="T31" fmla="*/ 2147483647 h 1340"/>
              <a:gd name="T32" fmla="*/ 2147483647 w 1079"/>
              <a:gd name="T33" fmla="*/ 2147483647 h 1340"/>
              <a:gd name="T34" fmla="*/ 2147483647 w 1079"/>
              <a:gd name="T35" fmla="*/ 2147483647 h 1340"/>
              <a:gd name="T36" fmla="*/ 2147483647 w 1079"/>
              <a:gd name="T37" fmla="*/ 2147483647 h 1340"/>
              <a:gd name="T38" fmla="*/ 2147483647 w 1079"/>
              <a:gd name="T39" fmla="*/ 2147483647 h 1340"/>
              <a:gd name="T40" fmla="*/ 2147483647 w 1079"/>
              <a:gd name="T41" fmla="*/ 0 h 1340"/>
              <a:gd name="T42" fmla="*/ 2147483647 w 1079"/>
              <a:gd name="T43" fmla="*/ 2147483647 h 1340"/>
              <a:gd name="T44" fmla="*/ 2147483647 w 1079"/>
              <a:gd name="T45" fmla="*/ 2147483647 h 1340"/>
              <a:gd name="T46" fmla="*/ 2147483647 w 1079"/>
              <a:gd name="T47" fmla="*/ 2147483647 h 1340"/>
              <a:gd name="T48" fmla="*/ 2147483647 w 1079"/>
              <a:gd name="T49" fmla="*/ 2147483647 h 1340"/>
              <a:gd name="T50" fmla="*/ 2147483647 w 1079"/>
              <a:gd name="T51" fmla="*/ 2147483647 h 1340"/>
              <a:gd name="T52" fmla="*/ 2147483647 w 1079"/>
              <a:gd name="T53" fmla="*/ 2147483647 h 1340"/>
              <a:gd name="T54" fmla="*/ 2147483647 w 1079"/>
              <a:gd name="T55" fmla="*/ 2147483647 h 1340"/>
              <a:gd name="T56" fmla="*/ 2147483647 w 1079"/>
              <a:gd name="T57" fmla="*/ 2147483647 h 1340"/>
              <a:gd name="T58" fmla="*/ 2147483647 w 1079"/>
              <a:gd name="T59" fmla="*/ 2147483647 h 1340"/>
              <a:gd name="T60" fmla="*/ 2147483647 w 1079"/>
              <a:gd name="T61" fmla="*/ 2147483647 h 1340"/>
              <a:gd name="T62" fmla="*/ 2147483647 w 1079"/>
              <a:gd name="T63" fmla="*/ 2147483647 h 1340"/>
              <a:gd name="T64" fmla="*/ 2147483647 w 1079"/>
              <a:gd name="T65" fmla="*/ 2147483647 h 1340"/>
              <a:gd name="T66" fmla="*/ 2147483647 w 1079"/>
              <a:gd name="T67" fmla="*/ 2147483647 h 1340"/>
              <a:gd name="T68" fmla="*/ 2147483647 w 1079"/>
              <a:gd name="T69" fmla="*/ 2147483647 h 1340"/>
              <a:gd name="T70" fmla="*/ 2147483647 w 1079"/>
              <a:gd name="T71" fmla="*/ 2147483647 h 1340"/>
              <a:gd name="T72" fmla="*/ 2147483647 w 1079"/>
              <a:gd name="T73" fmla="*/ 2147483647 h 1340"/>
              <a:gd name="T74" fmla="*/ 2147483647 w 1079"/>
              <a:gd name="T75" fmla="*/ 2147483647 h 1340"/>
              <a:gd name="T76" fmla="*/ 2147483647 w 1079"/>
              <a:gd name="T77" fmla="*/ 2147483647 h 1340"/>
              <a:gd name="T78" fmla="*/ 0 w 1079"/>
              <a:gd name="T79" fmla="*/ 2147483647 h 1340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1079"/>
              <a:gd name="T121" fmla="*/ 0 h 1340"/>
              <a:gd name="T122" fmla="*/ 1079 w 1079"/>
              <a:gd name="T123" fmla="*/ 1340 h 1340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1079" h="1340">
                <a:moveTo>
                  <a:pt x="0" y="1045"/>
                </a:moveTo>
                <a:lnTo>
                  <a:pt x="18" y="1012"/>
                </a:lnTo>
                <a:lnTo>
                  <a:pt x="52" y="1005"/>
                </a:lnTo>
                <a:lnTo>
                  <a:pt x="58" y="945"/>
                </a:lnTo>
                <a:lnTo>
                  <a:pt x="41" y="941"/>
                </a:lnTo>
                <a:lnTo>
                  <a:pt x="20" y="923"/>
                </a:lnTo>
                <a:lnTo>
                  <a:pt x="20" y="857"/>
                </a:lnTo>
                <a:lnTo>
                  <a:pt x="35" y="844"/>
                </a:lnTo>
                <a:lnTo>
                  <a:pt x="58" y="782"/>
                </a:lnTo>
                <a:lnTo>
                  <a:pt x="58" y="719"/>
                </a:lnTo>
                <a:lnTo>
                  <a:pt x="66" y="712"/>
                </a:lnTo>
                <a:lnTo>
                  <a:pt x="71" y="691"/>
                </a:lnTo>
                <a:lnTo>
                  <a:pt x="104" y="669"/>
                </a:lnTo>
                <a:lnTo>
                  <a:pt x="121" y="651"/>
                </a:lnTo>
                <a:lnTo>
                  <a:pt x="127" y="638"/>
                </a:lnTo>
                <a:lnTo>
                  <a:pt x="82" y="603"/>
                </a:lnTo>
                <a:lnTo>
                  <a:pt x="81" y="592"/>
                </a:lnTo>
                <a:lnTo>
                  <a:pt x="58" y="537"/>
                </a:lnTo>
                <a:lnTo>
                  <a:pt x="35" y="506"/>
                </a:lnTo>
                <a:lnTo>
                  <a:pt x="34" y="473"/>
                </a:lnTo>
                <a:lnTo>
                  <a:pt x="42" y="415"/>
                </a:lnTo>
                <a:lnTo>
                  <a:pt x="22" y="296"/>
                </a:lnTo>
                <a:lnTo>
                  <a:pt x="27" y="267"/>
                </a:lnTo>
                <a:lnTo>
                  <a:pt x="12" y="216"/>
                </a:lnTo>
                <a:lnTo>
                  <a:pt x="58" y="203"/>
                </a:lnTo>
                <a:lnTo>
                  <a:pt x="105" y="233"/>
                </a:lnTo>
                <a:lnTo>
                  <a:pt x="142" y="192"/>
                </a:lnTo>
                <a:lnTo>
                  <a:pt x="143" y="38"/>
                </a:lnTo>
                <a:lnTo>
                  <a:pt x="143" y="1"/>
                </a:lnTo>
                <a:lnTo>
                  <a:pt x="204" y="1"/>
                </a:lnTo>
                <a:lnTo>
                  <a:pt x="266" y="1"/>
                </a:lnTo>
                <a:lnTo>
                  <a:pt x="358" y="1"/>
                </a:lnTo>
                <a:lnTo>
                  <a:pt x="362" y="1"/>
                </a:lnTo>
                <a:lnTo>
                  <a:pt x="386" y="1"/>
                </a:lnTo>
                <a:lnTo>
                  <a:pt x="425" y="1"/>
                </a:lnTo>
                <a:lnTo>
                  <a:pt x="573" y="1"/>
                </a:lnTo>
                <a:lnTo>
                  <a:pt x="620" y="1"/>
                </a:lnTo>
                <a:lnTo>
                  <a:pt x="636" y="1"/>
                </a:lnTo>
                <a:lnTo>
                  <a:pt x="666" y="1"/>
                </a:lnTo>
                <a:lnTo>
                  <a:pt x="713" y="1"/>
                </a:lnTo>
                <a:lnTo>
                  <a:pt x="760" y="1"/>
                </a:lnTo>
                <a:lnTo>
                  <a:pt x="808" y="0"/>
                </a:lnTo>
                <a:lnTo>
                  <a:pt x="813" y="2"/>
                </a:lnTo>
                <a:lnTo>
                  <a:pt x="900" y="2"/>
                </a:lnTo>
                <a:lnTo>
                  <a:pt x="970" y="2"/>
                </a:lnTo>
                <a:lnTo>
                  <a:pt x="994" y="1"/>
                </a:lnTo>
                <a:lnTo>
                  <a:pt x="1079" y="2"/>
                </a:lnTo>
                <a:lnTo>
                  <a:pt x="1079" y="60"/>
                </a:lnTo>
                <a:lnTo>
                  <a:pt x="1079" y="120"/>
                </a:lnTo>
                <a:lnTo>
                  <a:pt x="1079" y="236"/>
                </a:lnTo>
                <a:lnTo>
                  <a:pt x="1079" y="348"/>
                </a:lnTo>
                <a:lnTo>
                  <a:pt x="1079" y="355"/>
                </a:lnTo>
                <a:lnTo>
                  <a:pt x="1079" y="484"/>
                </a:lnTo>
                <a:lnTo>
                  <a:pt x="1079" y="524"/>
                </a:lnTo>
                <a:lnTo>
                  <a:pt x="1079" y="529"/>
                </a:lnTo>
                <a:lnTo>
                  <a:pt x="1079" y="573"/>
                </a:lnTo>
                <a:lnTo>
                  <a:pt x="1079" y="622"/>
                </a:lnTo>
                <a:lnTo>
                  <a:pt x="1078" y="709"/>
                </a:lnTo>
                <a:lnTo>
                  <a:pt x="1079" y="763"/>
                </a:lnTo>
                <a:lnTo>
                  <a:pt x="1079" y="767"/>
                </a:lnTo>
                <a:lnTo>
                  <a:pt x="1079" y="769"/>
                </a:lnTo>
                <a:lnTo>
                  <a:pt x="1078" y="897"/>
                </a:lnTo>
                <a:lnTo>
                  <a:pt x="1078" y="911"/>
                </a:lnTo>
                <a:lnTo>
                  <a:pt x="1078" y="946"/>
                </a:lnTo>
                <a:lnTo>
                  <a:pt x="1078" y="998"/>
                </a:lnTo>
                <a:lnTo>
                  <a:pt x="1078" y="1005"/>
                </a:lnTo>
                <a:lnTo>
                  <a:pt x="1078" y="1065"/>
                </a:lnTo>
                <a:lnTo>
                  <a:pt x="1078" y="1082"/>
                </a:lnTo>
                <a:lnTo>
                  <a:pt x="1078" y="1289"/>
                </a:lnTo>
                <a:lnTo>
                  <a:pt x="1078" y="1295"/>
                </a:lnTo>
                <a:lnTo>
                  <a:pt x="1078" y="1340"/>
                </a:lnTo>
                <a:lnTo>
                  <a:pt x="815" y="1340"/>
                </a:lnTo>
                <a:lnTo>
                  <a:pt x="698" y="1340"/>
                </a:lnTo>
                <a:lnTo>
                  <a:pt x="650" y="1320"/>
                </a:lnTo>
                <a:lnTo>
                  <a:pt x="645" y="1318"/>
                </a:lnTo>
                <a:lnTo>
                  <a:pt x="620" y="1308"/>
                </a:lnTo>
                <a:lnTo>
                  <a:pt x="619" y="1308"/>
                </a:lnTo>
                <a:lnTo>
                  <a:pt x="277" y="1173"/>
                </a:lnTo>
                <a:lnTo>
                  <a:pt x="27" y="1076"/>
                </a:lnTo>
                <a:lnTo>
                  <a:pt x="0" y="1045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49" name="S_AR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>
            <a:spLocks/>
          </xdr:cNvSpPr>
        </xdr:nvSpPr>
        <xdr:spPr bwMode="auto">
          <a:xfrm>
            <a:off x="5423087" y="2852458"/>
            <a:ext cx="888626" cy="765361"/>
          </a:xfrm>
          <a:custGeom>
            <a:avLst/>
            <a:gdLst>
              <a:gd name="T0" fmla="*/ 2147483647 w 931"/>
              <a:gd name="T1" fmla="*/ 2147483647 h 825"/>
              <a:gd name="T2" fmla="*/ 2147483647 w 931"/>
              <a:gd name="T3" fmla="*/ 2147483647 h 825"/>
              <a:gd name="T4" fmla="*/ 2147483647 w 931"/>
              <a:gd name="T5" fmla="*/ 2147483647 h 825"/>
              <a:gd name="T6" fmla="*/ 2147483647 w 931"/>
              <a:gd name="T7" fmla="*/ 2147483647 h 825"/>
              <a:gd name="T8" fmla="*/ 2147483647 w 931"/>
              <a:gd name="T9" fmla="*/ 2147483647 h 825"/>
              <a:gd name="T10" fmla="*/ 2147483647 w 931"/>
              <a:gd name="T11" fmla="*/ 2147483647 h 825"/>
              <a:gd name="T12" fmla="*/ 2147483647 w 931"/>
              <a:gd name="T13" fmla="*/ 2147483647 h 825"/>
              <a:gd name="T14" fmla="*/ 2147483647 w 931"/>
              <a:gd name="T15" fmla="*/ 2147483647 h 825"/>
              <a:gd name="T16" fmla="*/ 2147483647 w 931"/>
              <a:gd name="T17" fmla="*/ 2147483647 h 825"/>
              <a:gd name="T18" fmla="*/ 2147483647 w 931"/>
              <a:gd name="T19" fmla="*/ 2147483647 h 825"/>
              <a:gd name="T20" fmla="*/ 2147483647 w 931"/>
              <a:gd name="T21" fmla="*/ 2147483647 h 825"/>
              <a:gd name="T22" fmla="*/ 2147483647 w 931"/>
              <a:gd name="T23" fmla="*/ 2147483647 h 825"/>
              <a:gd name="T24" fmla="*/ 2147483647 w 931"/>
              <a:gd name="T25" fmla="*/ 2147483647 h 825"/>
              <a:gd name="T26" fmla="*/ 2147483647 w 931"/>
              <a:gd name="T27" fmla="*/ 2147483647 h 825"/>
              <a:gd name="T28" fmla="*/ 2147483647 w 931"/>
              <a:gd name="T29" fmla="*/ 2147483647 h 825"/>
              <a:gd name="T30" fmla="*/ 2147483647 w 931"/>
              <a:gd name="T31" fmla="*/ 2147483647 h 825"/>
              <a:gd name="T32" fmla="*/ 2147483647 w 931"/>
              <a:gd name="T33" fmla="*/ 2147483647 h 825"/>
              <a:gd name="T34" fmla="*/ 2147483647 w 931"/>
              <a:gd name="T35" fmla="*/ 2147483647 h 825"/>
              <a:gd name="T36" fmla="*/ 2147483647 w 931"/>
              <a:gd name="T37" fmla="*/ 2147483647 h 825"/>
              <a:gd name="T38" fmla="*/ 2147483647 w 931"/>
              <a:gd name="T39" fmla="*/ 2147483647 h 825"/>
              <a:gd name="T40" fmla="*/ 2147483647 w 931"/>
              <a:gd name="T41" fmla="*/ 2147483647 h 825"/>
              <a:gd name="T42" fmla="*/ 2147483647 w 931"/>
              <a:gd name="T43" fmla="*/ 2147483647 h 825"/>
              <a:gd name="T44" fmla="*/ 2147483647 w 931"/>
              <a:gd name="T45" fmla="*/ 2147483647 h 825"/>
              <a:gd name="T46" fmla="*/ 2147483647 w 931"/>
              <a:gd name="T47" fmla="*/ 2147483647 h 825"/>
              <a:gd name="T48" fmla="*/ 2147483647 w 931"/>
              <a:gd name="T49" fmla="*/ 2147483647 h 825"/>
              <a:gd name="T50" fmla="*/ 2147483647 w 931"/>
              <a:gd name="T51" fmla="*/ 2147483647 h 825"/>
              <a:gd name="T52" fmla="*/ 2147483647 w 931"/>
              <a:gd name="T53" fmla="*/ 2147483647 h 825"/>
              <a:gd name="T54" fmla="*/ 2147483647 w 931"/>
              <a:gd name="T55" fmla="*/ 2147483647 h 825"/>
              <a:gd name="T56" fmla="*/ 2147483647 w 931"/>
              <a:gd name="T57" fmla="*/ 2147483647 h 825"/>
              <a:gd name="T58" fmla="*/ 2147483647 w 931"/>
              <a:gd name="T59" fmla="*/ 2147483647 h 825"/>
              <a:gd name="T60" fmla="*/ 2147483647 w 931"/>
              <a:gd name="T61" fmla="*/ 2147483647 h 825"/>
              <a:gd name="T62" fmla="*/ 2147483647 w 931"/>
              <a:gd name="T63" fmla="*/ 2147483647 h 825"/>
              <a:gd name="T64" fmla="*/ 2147483647 w 931"/>
              <a:gd name="T65" fmla="*/ 2147483647 h 825"/>
              <a:gd name="T66" fmla="*/ 2147483647 w 931"/>
              <a:gd name="T67" fmla="*/ 2147483647 h 825"/>
              <a:gd name="T68" fmla="*/ 2147483647 w 931"/>
              <a:gd name="T69" fmla="*/ 2147483647 h 825"/>
              <a:gd name="T70" fmla="*/ 2147483647 w 931"/>
              <a:gd name="T71" fmla="*/ 2147483647 h 825"/>
              <a:gd name="T72" fmla="*/ 2147483647 w 931"/>
              <a:gd name="T73" fmla="*/ 2147483647 h 825"/>
              <a:gd name="T74" fmla="*/ 2147483647 w 931"/>
              <a:gd name="T75" fmla="*/ 2147483647 h 825"/>
              <a:gd name="T76" fmla="*/ 2147483647 w 931"/>
              <a:gd name="T77" fmla="*/ 2147483647 h 825"/>
              <a:gd name="T78" fmla="*/ 2147483647 w 931"/>
              <a:gd name="T79" fmla="*/ 2147483647 h 825"/>
              <a:gd name="T80" fmla="*/ 2147483647 w 931"/>
              <a:gd name="T81" fmla="*/ 2147483647 h 825"/>
              <a:gd name="T82" fmla="*/ 2147483647 w 931"/>
              <a:gd name="T83" fmla="*/ 2147483647 h 825"/>
              <a:gd name="T84" fmla="*/ 2147483647 w 931"/>
              <a:gd name="T85" fmla="*/ 0 h 825"/>
              <a:gd name="T86" fmla="*/ 2147483647 w 931"/>
              <a:gd name="T87" fmla="*/ 0 h 825"/>
              <a:gd name="T88" fmla="*/ 2147483647 w 931"/>
              <a:gd name="T89" fmla="*/ 0 h 825"/>
              <a:gd name="T90" fmla="*/ 2147483647 w 931"/>
              <a:gd name="T91" fmla="*/ 0 h 825"/>
              <a:gd name="T92" fmla="*/ 2147483647 w 931"/>
              <a:gd name="T93" fmla="*/ 0 h 825"/>
              <a:gd name="T94" fmla="*/ 2147483647 w 931"/>
              <a:gd name="T95" fmla="*/ 0 h 825"/>
              <a:gd name="T96" fmla="*/ 2147483647 w 931"/>
              <a:gd name="T97" fmla="*/ 0 h 825"/>
              <a:gd name="T98" fmla="*/ 2147483647 w 931"/>
              <a:gd name="T99" fmla="*/ 0 h 825"/>
              <a:gd name="T100" fmla="*/ 2147483647 w 931"/>
              <a:gd name="T101" fmla="*/ 0 h 825"/>
              <a:gd name="T102" fmla="*/ 2147483647 w 931"/>
              <a:gd name="T103" fmla="*/ 0 h 825"/>
              <a:gd name="T104" fmla="*/ 2147483647 w 931"/>
              <a:gd name="T105" fmla="*/ 0 h 825"/>
              <a:gd name="T106" fmla="*/ 2147483647 w 931"/>
              <a:gd name="T107" fmla="*/ 0 h 825"/>
              <a:gd name="T108" fmla="*/ 2147483647 w 931"/>
              <a:gd name="T109" fmla="*/ 0 h 825"/>
              <a:gd name="T110" fmla="*/ 2147483647 w 931"/>
              <a:gd name="T111" fmla="*/ 0 h 825"/>
              <a:gd name="T112" fmla="*/ 2147483647 w 931"/>
              <a:gd name="T113" fmla="*/ 0 h 825"/>
              <a:gd name="T114" fmla="*/ 2147483647 w 931"/>
              <a:gd name="T115" fmla="*/ 0 h 825"/>
              <a:gd name="T116" fmla="*/ 0 w 931"/>
              <a:gd name="T117" fmla="*/ 2147483647 h 825"/>
              <a:gd name="T118" fmla="*/ 2147483647 w 931"/>
              <a:gd name="T119" fmla="*/ 2147483647 h 825"/>
              <a:gd name="T120" fmla="*/ 2147483647 w 931"/>
              <a:gd name="T121" fmla="*/ 2147483647 h 82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931"/>
              <a:gd name="T184" fmla="*/ 0 h 825"/>
              <a:gd name="T185" fmla="*/ 931 w 931"/>
              <a:gd name="T186" fmla="*/ 825 h 82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931" h="825">
                <a:moveTo>
                  <a:pt x="24" y="174"/>
                </a:moveTo>
                <a:lnTo>
                  <a:pt x="26" y="187"/>
                </a:lnTo>
                <a:lnTo>
                  <a:pt x="27" y="194"/>
                </a:lnTo>
                <a:lnTo>
                  <a:pt x="28" y="203"/>
                </a:lnTo>
                <a:lnTo>
                  <a:pt x="32" y="233"/>
                </a:lnTo>
                <a:lnTo>
                  <a:pt x="32" y="235"/>
                </a:lnTo>
                <a:lnTo>
                  <a:pt x="36" y="260"/>
                </a:lnTo>
                <a:lnTo>
                  <a:pt x="36" y="261"/>
                </a:lnTo>
                <a:lnTo>
                  <a:pt x="36" y="262"/>
                </a:lnTo>
                <a:lnTo>
                  <a:pt x="36" y="265"/>
                </a:lnTo>
                <a:lnTo>
                  <a:pt x="34" y="295"/>
                </a:lnTo>
                <a:lnTo>
                  <a:pt x="32" y="369"/>
                </a:lnTo>
                <a:lnTo>
                  <a:pt x="32" y="381"/>
                </a:lnTo>
                <a:lnTo>
                  <a:pt x="32" y="383"/>
                </a:lnTo>
                <a:lnTo>
                  <a:pt x="31" y="418"/>
                </a:lnTo>
                <a:lnTo>
                  <a:pt x="31" y="428"/>
                </a:lnTo>
                <a:lnTo>
                  <a:pt x="30" y="437"/>
                </a:lnTo>
                <a:lnTo>
                  <a:pt x="30" y="471"/>
                </a:lnTo>
                <a:lnTo>
                  <a:pt x="30" y="481"/>
                </a:lnTo>
                <a:lnTo>
                  <a:pt x="29" y="531"/>
                </a:lnTo>
                <a:lnTo>
                  <a:pt x="28" y="546"/>
                </a:lnTo>
                <a:lnTo>
                  <a:pt x="28" y="560"/>
                </a:lnTo>
                <a:lnTo>
                  <a:pt x="27" y="600"/>
                </a:lnTo>
                <a:lnTo>
                  <a:pt x="27" y="604"/>
                </a:lnTo>
                <a:lnTo>
                  <a:pt x="27" y="610"/>
                </a:lnTo>
                <a:lnTo>
                  <a:pt x="27" y="615"/>
                </a:lnTo>
                <a:lnTo>
                  <a:pt x="26" y="675"/>
                </a:lnTo>
                <a:lnTo>
                  <a:pt x="46" y="697"/>
                </a:lnTo>
                <a:lnTo>
                  <a:pt x="70" y="688"/>
                </a:lnTo>
                <a:lnTo>
                  <a:pt x="108" y="695"/>
                </a:lnTo>
                <a:lnTo>
                  <a:pt x="108" y="703"/>
                </a:lnTo>
                <a:lnTo>
                  <a:pt x="108" y="737"/>
                </a:lnTo>
                <a:lnTo>
                  <a:pt x="108" y="762"/>
                </a:lnTo>
                <a:lnTo>
                  <a:pt x="108" y="767"/>
                </a:lnTo>
                <a:lnTo>
                  <a:pt x="108" y="797"/>
                </a:lnTo>
                <a:lnTo>
                  <a:pt x="108" y="822"/>
                </a:lnTo>
                <a:lnTo>
                  <a:pt x="116" y="822"/>
                </a:lnTo>
                <a:lnTo>
                  <a:pt x="130" y="822"/>
                </a:lnTo>
                <a:lnTo>
                  <a:pt x="152" y="822"/>
                </a:lnTo>
                <a:lnTo>
                  <a:pt x="176" y="822"/>
                </a:lnTo>
                <a:lnTo>
                  <a:pt x="178" y="822"/>
                </a:lnTo>
                <a:lnTo>
                  <a:pt x="206" y="822"/>
                </a:lnTo>
                <a:lnTo>
                  <a:pt x="210" y="822"/>
                </a:lnTo>
                <a:lnTo>
                  <a:pt x="211" y="822"/>
                </a:lnTo>
                <a:lnTo>
                  <a:pt x="240" y="822"/>
                </a:lnTo>
                <a:lnTo>
                  <a:pt x="256" y="822"/>
                </a:lnTo>
                <a:lnTo>
                  <a:pt x="258" y="822"/>
                </a:lnTo>
                <a:lnTo>
                  <a:pt x="264" y="822"/>
                </a:lnTo>
                <a:lnTo>
                  <a:pt x="269" y="822"/>
                </a:lnTo>
                <a:lnTo>
                  <a:pt x="305" y="822"/>
                </a:lnTo>
                <a:lnTo>
                  <a:pt x="340" y="823"/>
                </a:lnTo>
                <a:lnTo>
                  <a:pt x="354" y="823"/>
                </a:lnTo>
                <a:lnTo>
                  <a:pt x="397" y="824"/>
                </a:lnTo>
                <a:lnTo>
                  <a:pt x="459" y="824"/>
                </a:lnTo>
                <a:lnTo>
                  <a:pt x="478" y="824"/>
                </a:lnTo>
                <a:lnTo>
                  <a:pt x="567" y="825"/>
                </a:lnTo>
                <a:lnTo>
                  <a:pt x="570" y="825"/>
                </a:lnTo>
                <a:lnTo>
                  <a:pt x="591" y="825"/>
                </a:lnTo>
                <a:lnTo>
                  <a:pt x="596" y="825"/>
                </a:lnTo>
                <a:lnTo>
                  <a:pt x="601" y="825"/>
                </a:lnTo>
                <a:lnTo>
                  <a:pt x="602" y="825"/>
                </a:lnTo>
                <a:lnTo>
                  <a:pt x="628" y="825"/>
                </a:lnTo>
                <a:lnTo>
                  <a:pt x="636" y="825"/>
                </a:lnTo>
                <a:lnTo>
                  <a:pt x="640" y="825"/>
                </a:lnTo>
                <a:lnTo>
                  <a:pt x="647" y="825"/>
                </a:lnTo>
                <a:lnTo>
                  <a:pt x="647" y="824"/>
                </a:lnTo>
                <a:lnTo>
                  <a:pt x="654" y="735"/>
                </a:lnTo>
                <a:lnTo>
                  <a:pt x="646" y="736"/>
                </a:lnTo>
                <a:lnTo>
                  <a:pt x="654" y="715"/>
                </a:lnTo>
                <a:lnTo>
                  <a:pt x="634" y="721"/>
                </a:lnTo>
                <a:lnTo>
                  <a:pt x="642" y="706"/>
                </a:lnTo>
                <a:lnTo>
                  <a:pt x="637" y="701"/>
                </a:lnTo>
                <a:lnTo>
                  <a:pt x="636" y="700"/>
                </a:lnTo>
                <a:lnTo>
                  <a:pt x="634" y="693"/>
                </a:lnTo>
                <a:lnTo>
                  <a:pt x="654" y="659"/>
                </a:lnTo>
                <a:lnTo>
                  <a:pt x="654" y="641"/>
                </a:lnTo>
                <a:lnTo>
                  <a:pt x="678" y="645"/>
                </a:lnTo>
                <a:lnTo>
                  <a:pt x="662" y="595"/>
                </a:lnTo>
                <a:lnTo>
                  <a:pt x="678" y="586"/>
                </a:lnTo>
                <a:lnTo>
                  <a:pt x="686" y="562"/>
                </a:lnTo>
                <a:lnTo>
                  <a:pt x="708" y="531"/>
                </a:lnTo>
                <a:lnTo>
                  <a:pt x="724" y="521"/>
                </a:lnTo>
                <a:lnTo>
                  <a:pt x="721" y="506"/>
                </a:lnTo>
                <a:lnTo>
                  <a:pt x="738" y="503"/>
                </a:lnTo>
                <a:lnTo>
                  <a:pt x="734" y="513"/>
                </a:lnTo>
                <a:lnTo>
                  <a:pt x="738" y="516"/>
                </a:lnTo>
                <a:lnTo>
                  <a:pt x="758" y="466"/>
                </a:lnTo>
                <a:lnTo>
                  <a:pt x="755" y="438"/>
                </a:lnTo>
                <a:lnTo>
                  <a:pt x="762" y="432"/>
                </a:lnTo>
                <a:lnTo>
                  <a:pt x="765" y="443"/>
                </a:lnTo>
                <a:lnTo>
                  <a:pt x="778" y="429"/>
                </a:lnTo>
                <a:lnTo>
                  <a:pt x="758" y="417"/>
                </a:lnTo>
                <a:lnTo>
                  <a:pt x="763" y="413"/>
                </a:lnTo>
                <a:lnTo>
                  <a:pt x="771" y="418"/>
                </a:lnTo>
                <a:lnTo>
                  <a:pt x="780" y="413"/>
                </a:lnTo>
                <a:lnTo>
                  <a:pt x="777" y="407"/>
                </a:lnTo>
                <a:lnTo>
                  <a:pt x="788" y="394"/>
                </a:lnTo>
                <a:lnTo>
                  <a:pt x="789" y="392"/>
                </a:lnTo>
                <a:lnTo>
                  <a:pt x="792" y="389"/>
                </a:lnTo>
                <a:lnTo>
                  <a:pt x="807" y="386"/>
                </a:lnTo>
                <a:lnTo>
                  <a:pt x="818" y="377"/>
                </a:lnTo>
                <a:lnTo>
                  <a:pt x="818" y="366"/>
                </a:lnTo>
                <a:lnTo>
                  <a:pt x="807" y="355"/>
                </a:lnTo>
                <a:lnTo>
                  <a:pt x="838" y="323"/>
                </a:lnTo>
                <a:lnTo>
                  <a:pt x="849" y="324"/>
                </a:lnTo>
                <a:lnTo>
                  <a:pt x="847" y="268"/>
                </a:lnTo>
                <a:lnTo>
                  <a:pt x="841" y="257"/>
                </a:lnTo>
                <a:lnTo>
                  <a:pt x="838" y="265"/>
                </a:lnTo>
                <a:lnTo>
                  <a:pt x="831" y="263"/>
                </a:lnTo>
                <a:lnTo>
                  <a:pt x="838" y="250"/>
                </a:lnTo>
                <a:lnTo>
                  <a:pt x="855" y="235"/>
                </a:lnTo>
                <a:lnTo>
                  <a:pt x="865" y="221"/>
                </a:lnTo>
                <a:lnTo>
                  <a:pt x="881" y="227"/>
                </a:lnTo>
                <a:lnTo>
                  <a:pt x="887" y="175"/>
                </a:lnTo>
                <a:lnTo>
                  <a:pt x="911" y="140"/>
                </a:lnTo>
                <a:lnTo>
                  <a:pt x="931" y="140"/>
                </a:lnTo>
                <a:lnTo>
                  <a:pt x="914" y="117"/>
                </a:lnTo>
                <a:lnTo>
                  <a:pt x="911" y="117"/>
                </a:lnTo>
                <a:lnTo>
                  <a:pt x="881" y="117"/>
                </a:lnTo>
                <a:lnTo>
                  <a:pt x="872" y="117"/>
                </a:lnTo>
                <a:lnTo>
                  <a:pt x="834" y="118"/>
                </a:lnTo>
                <a:lnTo>
                  <a:pt x="818" y="118"/>
                </a:lnTo>
                <a:lnTo>
                  <a:pt x="810" y="118"/>
                </a:lnTo>
                <a:lnTo>
                  <a:pt x="794" y="118"/>
                </a:lnTo>
                <a:lnTo>
                  <a:pt x="809" y="91"/>
                </a:lnTo>
                <a:lnTo>
                  <a:pt x="815" y="89"/>
                </a:lnTo>
                <a:lnTo>
                  <a:pt x="829" y="70"/>
                </a:lnTo>
                <a:lnTo>
                  <a:pt x="841" y="60"/>
                </a:lnTo>
                <a:lnTo>
                  <a:pt x="836" y="0"/>
                </a:lnTo>
                <a:lnTo>
                  <a:pt x="823" y="0"/>
                </a:lnTo>
                <a:lnTo>
                  <a:pt x="818" y="0"/>
                </a:lnTo>
                <a:lnTo>
                  <a:pt x="809" y="0"/>
                </a:lnTo>
                <a:lnTo>
                  <a:pt x="757" y="0"/>
                </a:lnTo>
                <a:lnTo>
                  <a:pt x="731" y="0"/>
                </a:lnTo>
                <a:lnTo>
                  <a:pt x="728" y="0"/>
                </a:lnTo>
                <a:lnTo>
                  <a:pt x="717" y="0"/>
                </a:lnTo>
                <a:lnTo>
                  <a:pt x="701" y="0"/>
                </a:lnTo>
                <a:lnTo>
                  <a:pt x="678" y="0"/>
                </a:lnTo>
                <a:lnTo>
                  <a:pt x="654" y="0"/>
                </a:lnTo>
                <a:lnTo>
                  <a:pt x="640" y="0"/>
                </a:lnTo>
                <a:lnTo>
                  <a:pt x="634" y="0"/>
                </a:lnTo>
                <a:lnTo>
                  <a:pt x="602" y="0"/>
                </a:lnTo>
                <a:lnTo>
                  <a:pt x="601" y="0"/>
                </a:lnTo>
                <a:lnTo>
                  <a:pt x="599" y="0"/>
                </a:lnTo>
                <a:lnTo>
                  <a:pt x="593" y="0"/>
                </a:lnTo>
                <a:lnTo>
                  <a:pt x="584" y="0"/>
                </a:lnTo>
                <a:lnTo>
                  <a:pt x="575" y="0"/>
                </a:lnTo>
                <a:lnTo>
                  <a:pt x="551" y="0"/>
                </a:lnTo>
                <a:lnTo>
                  <a:pt x="538" y="0"/>
                </a:lnTo>
                <a:lnTo>
                  <a:pt x="490" y="0"/>
                </a:lnTo>
                <a:lnTo>
                  <a:pt x="468" y="0"/>
                </a:lnTo>
                <a:lnTo>
                  <a:pt x="467" y="0"/>
                </a:lnTo>
                <a:lnTo>
                  <a:pt x="463" y="0"/>
                </a:lnTo>
                <a:lnTo>
                  <a:pt x="420" y="0"/>
                </a:lnTo>
                <a:lnTo>
                  <a:pt x="408" y="0"/>
                </a:lnTo>
                <a:lnTo>
                  <a:pt x="392" y="0"/>
                </a:lnTo>
                <a:lnTo>
                  <a:pt x="357" y="0"/>
                </a:lnTo>
                <a:lnTo>
                  <a:pt x="350" y="0"/>
                </a:lnTo>
                <a:lnTo>
                  <a:pt x="346" y="0"/>
                </a:lnTo>
                <a:lnTo>
                  <a:pt x="331" y="0"/>
                </a:lnTo>
                <a:lnTo>
                  <a:pt x="295" y="0"/>
                </a:lnTo>
                <a:lnTo>
                  <a:pt x="275" y="0"/>
                </a:lnTo>
                <a:lnTo>
                  <a:pt x="249" y="0"/>
                </a:lnTo>
                <a:lnTo>
                  <a:pt x="244" y="0"/>
                </a:lnTo>
                <a:lnTo>
                  <a:pt x="234" y="0"/>
                </a:lnTo>
                <a:lnTo>
                  <a:pt x="221" y="0"/>
                </a:lnTo>
                <a:lnTo>
                  <a:pt x="194" y="0"/>
                </a:lnTo>
                <a:lnTo>
                  <a:pt x="171" y="0"/>
                </a:lnTo>
                <a:lnTo>
                  <a:pt x="154" y="0"/>
                </a:lnTo>
                <a:lnTo>
                  <a:pt x="142" y="0"/>
                </a:lnTo>
                <a:lnTo>
                  <a:pt x="129" y="0"/>
                </a:lnTo>
                <a:lnTo>
                  <a:pt x="116" y="0"/>
                </a:lnTo>
                <a:lnTo>
                  <a:pt x="102" y="0"/>
                </a:lnTo>
                <a:lnTo>
                  <a:pt x="46" y="0"/>
                </a:lnTo>
                <a:lnTo>
                  <a:pt x="23" y="0"/>
                </a:lnTo>
                <a:lnTo>
                  <a:pt x="0" y="0"/>
                </a:lnTo>
                <a:lnTo>
                  <a:pt x="5" y="29"/>
                </a:lnTo>
                <a:lnTo>
                  <a:pt x="7" y="45"/>
                </a:lnTo>
                <a:lnTo>
                  <a:pt x="11" y="79"/>
                </a:lnTo>
                <a:lnTo>
                  <a:pt x="12" y="87"/>
                </a:lnTo>
                <a:lnTo>
                  <a:pt x="13" y="94"/>
                </a:lnTo>
                <a:lnTo>
                  <a:pt x="21" y="147"/>
                </a:lnTo>
                <a:lnTo>
                  <a:pt x="23" y="165"/>
                </a:lnTo>
                <a:lnTo>
                  <a:pt x="24" y="174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  <xdr:sp macro="" textlink="">
        <xdr:nvSpPr>
          <xdr:cNvPr id="50" name="S_AL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SpPr>
            <a:spLocks/>
          </xdr:cNvSpPr>
        </xdr:nvSpPr>
        <xdr:spPr bwMode="auto">
          <a:xfrm>
            <a:off x="6521263" y="3175747"/>
            <a:ext cx="640977" cy="1060077"/>
          </a:xfrm>
          <a:custGeom>
            <a:avLst/>
            <a:gdLst>
              <a:gd name="T0" fmla="*/ 2147483647 w 668"/>
              <a:gd name="T1" fmla="*/ 2147483647 h 1131"/>
              <a:gd name="T2" fmla="*/ 2147483647 w 668"/>
              <a:gd name="T3" fmla="*/ 2147483647 h 1131"/>
              <a:gd name="T4" fmla="*/ 2147483647 w 668"/>
              <a:gd name="T5" fmla="*/ 2147483647 h 1131"/>
              <a:gd name="T6" fmla="*/ 2147483647 w 668"/>
              <a:gd name="T7" fmla="*/ 2147483647 h 1131"/>
              <a:gd name="T8" fmla="*/ 2147483647 w 668"/>
              <a:gd name="T9" fmla="*/ 2147483647 h 1131"/>
              <a:gd name="T10" fmla="*/ 2147483647 w 668"/>
              <a:gd name="T11" fmla="*/ 2147483647 h 1131"/>
              <a:gd name="T12" fmla="*/ 2147483647 w 668"/>
              <a:gd name="T13" fmla="*/ 2147483647 h 1131"/>
              <a:gd name="T14" fmla="*/ 2147483647 w 668"/>
              <a:gd name="T15" fmla="*/ 2147483647 h 1131"/>
              <a:gd name="T16" fmla="*/ 2147483647 w 668"/>
              <a:gd name="T17" fmla="*/ 2147483647 h 1131"/>
              <a:gd name="T18" fmla="*/ 2147483647 w 668"/>
              <a:gd name="T19" fmla="*/ 2147483647 h 1131"/>
              <a:gd name="T20" fmla="*/ 2147483647 w 668"/>
              <a:gd name="T21" fmla="*/ 2147483647 h 1131"/>
              <a:gd name="T22" fmla="*/ 2147483647 w 668"/>
              <a:gd name="T23" fmla="*/ 2147483647 h 1131"/>
              <a:gd name="T24" fmla="*/ 2147483647 w 668"/>
              <a:gd name="T25" fmla="*/ 2147483647 h 1131"/>
              <a:gd name="T26" fmla="*/ 2147483647 w 668"/>
              <a:gd name="T27" fmla="*/ 2147483647 h 1131"/>
              <a:gd name="T28" fmla="*/ 2147483647 w 668"/>
              <a:gd name="T29" fmla="*/ 2147483647 h 1131"/>
              <a:gd name="T30" fmla="*/ 2147483647 w 668"/>
              <a:gd name="T31" fmla="*/ 2147483647 h 1131"/>
              <a:gd name="T32" fmla="*/ 2147483647 w 668"/>
              <a:gd name="T33" fmla="*/ 2147483647 h 1131"/>
              <a:gd name="T34" fmla="*/ 2147483647 w 668"/>
              <a:gd name="T35" fmla="*/ 2147483647 h 1131"/>
              <a:gd name="T36" fmla="*/ 2147483647 w 668"/>
              <a:gd name="T37" fmla="*/ 2147483647 h 1131"/>
              <a:gd name="T38" fmla="*/ 2147483647 w 668"/>
              <a:gd name="T39" fmla="*/ 2147483647 h 1131"/>
              <a:gd name="T40" fmla="*/ 2147483647 w 668"/>
              <a:gd name="T41" fmla="*/ 2147483647 h 1131"/>
              <a:gd name="T42" fmla="*/ 2147483647 w 668"/>
              <a:gd name="T43" fmla="*/ 2147483647 h 1131"/>
              <a:gd name="T44" fmla="*/ 2147483647 w 668"/>
              <a:gd name="T45" fmla="*/ 2147483647 h 1131"/>
              <a:gd name="T46" fmla="*/ 2147483647 w 668"/>
              <a:gd name="T47" fmla="*/ 2147483647 h 1131"/>
              <a:gd name="T48" fmla="*/ 2147483647 w 668"/>
              <a:gd name="T49" fmla="*/ 2147483647 h 1131"/>
              <a:gd name="T50" fmla="*/ 2147483647 w 668"/>
              <a:gd name="T51" fmla="*/ 2147483647 h 1131"/>
              <a:gd name="T52" fmla="*/ 2147483647 w 668"/>
              <a:gd name="T53" fmla="*/ 2147483647 h 1131"/>
              <a:gd name="T54" fmla="*/ 2147483647 w 668"/>
              <a:gd name="T55" fmla="*/ 2147483647 h 1131"/>
              <a:gd name="T56" fmla="*/ 2147483647 w 668"/>
              <a:gd name="T57" fmla="*/ 2147483647 h 1131"/>
              <a:gd name="T58" fmla="*/ 2147483647 w 668"/>
              <a:gd name="T59" fmla="*/ 2147483647 h 1131"/>
              <a:gd name="T60" fmla="*/ 2147483647 w 668"/>
              <a:gd name="T61" fmla="*/ 2147483647 h 1131"/>
              <a:gd name="T62" fmla="*/ 2147483647 w 668"/>
              <a:gd name="T63" fmla="*/ 2147483647 h 1131"/>
              <a:gd name="T64" fmla="*/ 2147483647 w 668"/>
              <a:gd name="T65" fmla="*/ 2147483647 h 1131"/>
              <a:gd name="T66" fmla="*/ 2147483647 w 668"/>
              <a:gd name="T67" fmla="*/ 2147483647 h 1131"/>
              <a:gd name="T68" fmla="*/ 2147483647 w 668"/>
              <a:gd name="T69" fmla="*/ 2147483647 h 1131"/>
              <a:gd name="T70" fmla="*/ 2147483647 w 668"/>
              <a:gd name="T71" fmla="*/ 2147483647 h 1131"/>
              <a:gd name="T72" fmla="*/ 2147483647 w 668"/>
              <a:gd name="T73" fmla="*/ 2147483647 h 1131"/>
              <a:gd name="T74" fmla="*/ 2147483647 w 668"/>
              <a:gd name="T75" fmla="*/ 2147483647 h 1131"/>
              <a:gd name="T76" fmla="*/ 2147483647 w 668"/>
              <a:gd name="T77" fmla="*/ 2147483647 h 1131"/>
              <a:gd name="T78" fmla="*/ 2147483647 w 668"/>
              <a:gd name="T79" fmla="*/ 2147483647 h 1131"/>
              <a:gd name="T80" fmla="*/ 2147483647 w 668"/>
              <a:gd name="T81" fmla="*/ 2147483647 h 1131"/>
              <a:gd name="T82" fmla="*/ 2147483647 w 668"/>
              <a:gd name="T83" fmla="*/ 2147483647 h 1131"/>
              <a:gd name="T84" fmla="*/ 2147483647 w 668"/>
              <a:gd name="T85" fmla="*/ 2147483647 h 1131"/>
              <a:gd name="T86" fmla="*/ 2147483647 w 668"/>
              <a:gd name="T87" fmla="*/ 2147483647 h 1131"/>
              <a:gd name="T88" fmla="*/ 2147483647 w 668"/>
              <a:gd name="T89" fmla="*/ 2147483647 h 1131"/>
              <a:gd name="T90" fmla="*/ 2147483647 w 668"/>
              <a:gd name="T91" fmla="*/ 0 h 1131"/>
              <a:gd name="T92" fmla="*/ 2147483647 w 668"/>
              <a:gd name="T93" fmla="*/ 2147483647 h 1131"/>
              <a:gd name="T94" fmla="*/ 2147483647 w 668"/>
              <a:gd name="T95" fmla="*/ 2147483647 h 1131"/>
              <a:gd name="T96" fmla="*/ 2147483647 w 668"/>
              <a:gd name="T97" fmla="*/ 2147483647 h 1131"/>
              <a:gd name="T98" fmla="*/ 2147483647 w 668"/>
              <a:gd name="T99" fmla="*/ 2147483647 h 1131"/>
              <a:gd name="T100" fmla="*/ 2147483647 w 668"/>
              <a:gd name="T101" fmla="*/ 2147483647 h 1131"/>
              <a:gd name="T102" fmla="*/ 2147483647 w 668"/>
              <a:gd name="T103" fmla="*/ 2147483647 h 1131"/>
              <a:gd name="T104" fmla="*/ 2147483647 w 668"/>
              <a:gd name="T105" fmla="*/ 2147483647 h 1131"/>
              <a:gd name="T106" fmla="*/ 2147483647 w 668"/>
              <a:gd name="T107" fmla="*/ 2147483647 h 1131"/>
              <a:gd name="T108" fmla="*/ 2147483647 w 668"/>
              <a:gd name="T109" fmla="*/ 2147483647 h 1131"/>
              <a:gd name="T110" fmla="*/ 2147483647 w 668"/>
              <a:gd name="T111" fmla="*/ 2147483647 h 1131"/>
              <a:gd name="T112" fmla="*/ 2147483647 w 668"/>
              <a:gd name="T113" fmla="*/ 2147483647 h 1131"/>
              <a:gd name="T114" fmla="*/ 2147483647 w 668"/>
              <a:gd name="T115" fmla="*/ 2147483647 h 1131"/>
              <a:gd name="T116" fmla="*/ 2147483647 w 668"/>
              <a:gd name="T117" fmla="*/ 2147483647 h 1131"/>
              <a:gd name="T118" fmla="*/ 2147483647 w 668"/>
              <a:gd name="T119" fmla="*/ 2147483647 h 1131"/>
              <a:gd name="T120" fmla="*/ 0 w 668"/>
              <a:gd name="T121" fmla="*/ 2147483647 h 1131"/>
              <a:gd name="T122" fmla="*/ 2147483647 w 668"/>
              <a:gd name="T123" fmla="*/ 2147483647 h 1131"/>
              <a:gd name="T124" fmla="*/ 2147483647 w 668"/>
              <a:gd name="T125" fmla="*/ 2147483647 h 113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668"/>
              <a:gd name="T190" fmla="*/ 0 h 1131"/>
              <a:gd name="T191" fmla="*/ 668 w 668"/>
              <a:gd name="T192" fmla="*/ 1131 h 1131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668" h="1131">
                <a:moveTo>
                  <a:pt x="8" y="919"/>
                </a:moveTo>
                <a:lnTo>
                  <a:pt x="8" y="927"/>
                </a:lnTo>
                <a:lnTo>
                  <a:pt x="8" y="935"/>
                </a:lnTo>
                <a:lnTo>
                  <a:pt x="9" y="947"/>
                </a:lnTo>
                <a:lnTo>
                  <a:pt x="11" y="1006"/>
                </a:lnTo>
                <a:lnTo>
                  <a:pt x="11" y="1009"/>
                </a:lnTo>
                <a:lnTo>
                  <a:pt x="13" y="1041"/>
                </a:lnTo>
                <a:lnTo>
                  <a:pt x="14" y="1071"/>
                </a:lnTo>
                <a:lnTo>
                  <a:pt x="15" y="1100"/>
                </a:lnTo>
                <a:lnTo>
                  <a:pt x="19" y="1091"/>
                </a:lnTo>
                <a:lnTo>
                  <a:pt x="41" y="1094"/>
                </a:lnTo>
                <a:lnTo>
                  <a:pt x="50" y="1107"/>
                </a:lnTo>
                <a:lnTo>
                  <a:pt x="65" y="1102"/>
                </a:lnTo>
                <a:lnTo>
                  <a:pt x="69" y="1065"/>
                </a:lnTo>
                <a:lnTo>
                  <a:pt x="86" y="1022"/>
                </a:lnTo>
                <a:lnTo>
                  <a:pt x="103" y="1035"/>
                </a:lnTo>
                <a:lnTo>
                  <a:pt x="102" y="1065"/>
                </a:lnTo>
                <a:lnTo>
                  <a:pt x="83" y="1131"/>
                </a:lnTo>
                <a:lnTo>
                  <a:pt x="173" y="1118"/>
                </a:lnTo>
                <a:lnTo>
                  <a:pt x="205" y="1076"/>
                </a:lnTo>
                <a:lnTo>
                  <a:pt x="194" y="1065"/>
                </a:lnTo>
                <a:lnTo>
                  <a:pt x="202" y="1035"/>
                </a:lnTo>
                <a:lnTo>
                  <a:pt x="159" y="983"/>
                </a:lnTo>
                <a:lnTo>
                  <a:pt x="163" y="947"/>
                </a:lnTo>
                <a:lnTo>
                  <a:pt x="228" y="947"/>
                </a:lnTo>
                <a:lnTo>
                  <a:pt x="232" y="948"/>
                </a:lnTo>
                <a:lnTo>
                  <a:pt x="246" y="947"/>
                </a:lnTo>
                <a:lnTo>
                  <a:pt x="250" y="947"/>
                </a:lnTo>
                <a:lnTo>
                  <a:pt x="276" y="947"/>
                </a:lnTo>
                <a:lnTo>
                  <a:pt x="315" y="947"/>
                </a:lnTo>
                <a:lnTo>
                  <a:pt x="328" y="947"/>
                </a:lnTo>
                <a:lnTo>
                  <a:pt x="330" y="948"/>
                </a:lnTo>
                <a:lnTo>
                  <a:pt x="334" y="948"/>
                </a:lnTo>
                <a:lnTo>
                  <a:pt x="357" y="948"/>
                </a:lnTo>
                <a:lnTo>
                  <a:pt x="362" y="948"/>
                </a:lnTo>
                <a:lnTo>
                  <a:pt x="390" y="948"/>
                </a:lnTo>
                <a:lnTo>
                  <a:pt x="392" y="948"/>
                </a:lnTo>
                <a:lnTo>
                  <a:pt x="416" y="948"/>
                </a:lnTo>
                <a:lnTo>
                  <a:pt x="428" y="948"/>
                </a:lnTo>
                <a:lnTo>
                  <a:pt x="432" y="948"/>
                </a:lnTo>
                <a:lnTo>
                  <a:pt x="440" y="948"/>
                </a:lnTo>
                <a:lnTo>
                  <a:pt x="457" y="948"/>
                </a:lnTo>
                <a:lnTo>
                  <a:pt x="473" y="948"/>
                </a:lnTo>
                <a:lnTo>
                  <a:pt x="506" y="948"/>
                </a:lnTo>
                <a:lnTo>
                  <a:pt x="556" y="947"/>
                </a:lnTo>
                <a:lnTo>
                  <a:pt x="558" y="947"/>
                </a:lnTo>
                <a:lnTo>
                  <a:pt x="603" y="947"/>
                </a:lnTo>
                <a:lnTo>
                  <a:pt x="620" y="946"/>
                </a:lnTo>
                <a:lnTo>
                  <a:pt x="649" y="947"/>
                </a:lnTo>
                <a:lnTo>
                  <a:pt x="649" y="945"/>
                </a:lnTo>
                <a:lnTo>
                  <a:pt x="650" y="944"/>
                </a:lnTo>
                <a:lnTo>
                  <a:pt x="644" y="929"/>
                </a:lnTo>
                <a:lnTo>
                  <a:pt x="640" y="917"/>
                </a:lnTo>
                <a:lnTo>
                  <a:pt x="630" y="887"/>
                </a:lnTo>
                <a:lnTo>
                  <a:pt x="633" y="874"/>
                </a:lnTo>
                <a:lnTo>
                  <a:pt x="633" y="858"/>
                </a:lnTo>
                <a:lnTo>
                  <a:pt x="640" y="828"/>
                </a:lnTo>
                <a:lnTo>
                  <a:pt x="642" y="825"/>
                </a:lnTo>
                <a:lnTo>
                  <a:pt x="638" y="799"/>
                </a:lnTo>
                <a:lnTo>
                  <a:pt x="627" y="783"/>
                </a:lnTo>
                <a:lnTo>
                  <a:pt x="626" y="766"/>
                </a:lnTo>
                <a:lnTo>
                  <a:pt x="627" y="765"/>
                </a:lnTo>
                <a:lnTo>
                  <a:pt x="626" y="765"/>
                </a:lnTo>
                <a:lnTo>
                  <a:pt x="624" y="762"/>
                </a:lnTo>
                <a:lnTo>
                  <a:pt x="626" y="740"/>
                </a:lnTo>
                <a:lnTo>
                  <a:pt x="627" y="736"/>
                </a:lnTo>
                <a:lnTo>
                  <a:pt x="638" y="713"/>
                </a:lnTo>
                <a:lnTo>
                  <a:pt x="638" y="710"/>
                </a:lnTo>
                <a:lnTo>
                  <a:pt x="640" y="695"/>
                </a:lnTo>
                <a:lnTo>
                  <a:pt x="639" y="680"/>
                </a:lnTo>
                <a:lnTo>
                  <a:pt x="649" y="668"/>
                </a:lnTo>
                <a:lnTo>
                  <a:pt x="664" y="656"/>
                </a:lnTo>
                <a:lnTo>
                  <a:pt x="668" y="652"/>
                </a:lnTo>
                <a:lnTo>
                  <a:pt x="649" y="634"/>
                </a:lnTo>
                <a:lnTo>
                  <a:pt x="655" y="622"/>
                </a:lnTo>
                <a:lnTo>
                  <a:pt x="650" y="593"/>
                </a:lnTo>
                <a:lnTo>
                  <a:pt x="649" y="591"/>
                </a:lnTo>
                <a:lnTo>
                  <a:pt x="649" y="589"/>
                </a:lnTo>
                <a:lnTo>
                  <a:pt x="634" y="567"/>
                </a:lnTo>
                <a:lnTo>
                  <a:pt x="631" y="561"/>
                </a:lnTo>
                <a:lnTo>
                  <a:pt x="627" y="535"/>
                </a:lnTo>
                <a:lnTo>
                  <a:pt x="625" y="534"/>
                </a:lnTo>
                <a:lnTo>
                  <a:pt x="624" y="533"/>
                </a:lnTo>
                <a:lnTo>
                  <a:pt x="627" y="526"/>
                </a:lnTo>
                <a:lnTo>
                  <a:pt x="615" y="505"/>
                </a:lnTo>
                <a:lnTo>
                  <a:pt x="612" y="485"/>
                </a:lnTo>
                <a:lnTo>
                  <a:pt x="611" y="476"/>
                </a:lnTo>
                <a:lnTo>
                  <a:pt x="607" y="448"/>
                </a:lnTo>
                <a:lnTo>
                  <a:pt x="605" y="445"/>
                </a:lnTo>
                <a:lnTo>
                  <a:pt x="605" y="444"/>
                </a:lnTo>
                <a:lnTo>
                  <a:pt x="602" y="424"/>
                </a:lnTo>
                <a:lnTo>
                  <a:pt x="597" y="385"/>
                </a:lnTo>
                <a:lnTo>
                  <a:pt x="595" y="373"/>
                </a:lnTo>
                <a:lnTo>
                  <a:pt x="593" y="360"/>
                </a:lnTo>
                <a:lnTo>
                  <a:pt x="593" y="356"/>
                </a:lnTo>
                <a:lnTo>
                  <a:pt x="587" y="326"/>
                </a:lnTo>
                <a:lnTo>
                  <a:pt x="586" y="320"/>
                </a:lnTo>
                <a:lnTo>
                  <a:pt x="580" y="275"/>
                </a:lnTo>
                <a:lnTo>
                  <a:pt x="579" y="272"/>
                </a:lnTo>
                <a:lnTo>
                  <a:pt x="578" y="261"/>
                </a:lnTo>
                <a:lnTo>
                  <a:pt x="575" y="246"/>
                </a:lnTo>
                <a:lnTo>
                  <a:pt x="574" y="237"/>
                </a:lnTo>
                <a:lnTo>
                  <a:pt x="573" y="231"/>
                </a:lnTo>
                <a:lnTo>
                  <a:pt x="571" y="219"/>
                </a:lnTo>
                <a:lnTo>
                  <a:pt x="568" y="199"/>
                </a:lnTo>
                <a:lnTo>
                  <a:pt x="566" y="184"/>
                </a:lnTo>
                <a:lnTo>
                  <a:pt x="564" y="170"/>
                </a:lnTo>
                <a:lnTo>
                  <a:pt x="558" y="142"/>
                </a:lnTo>
                <a:lnTo>
                  <a:pt x="556" y="128"/>
                </a:lnTo>
                <a:lnTo>
                  <a:pt x="554" y="114"/>
                </a:lnTo>
                <a:lnTo>
                  <a:pt x="551" y="99"/>
                </a:lnTo>
                <a:lnTo>
                  <a:pt x="550" y="91"/>
                </a:lnTo>
                <a:lnTo>
                  <a:pt x="544" y="61"/>
                </a:lnTo>
                <a:lnTo>
                  <a:pt x="542" y="44"/>
                </a:lnTo>
                <a:lnTo>
                  <a:pt x="541" y="35"/>
                </a:lnTo>
                <a:lnTo>
                  <a:pt x="540" y="31"/>
                </a:lnTo>
                <a:lnTo>
                  <a:pt x="537" y="5"/>
                </a:lnTo>
                <a:lnTo>
                  <a:pt x="533" y="5"/>
                </a:lnTo>
                <a:lnTo>
                  <a:pt x="492" y="4"/>
                </a:lnTo>
                <a:lnTo>
                  <a:pt x="487" y="4"/>
                </a:lnTo>
                <a:lnTo>
                  <a:pt x="451" y="4"/>
                </a:lnTo>
                <a:lnTo>
                  <a:pt x="412" y="4"/>
                </a:lnTo>
                <a:lnTo>
                  <a:pt x="404" y="4"/>
                </a:lnTo>
                <a:lnTo>
                  <a:pt x="403" y="4"/>
                </a:lnTo>
                <a:lnTo>
                  <a:pt x="392" y="4"/>
                </a:lnTo>
                <a:lnTo>
                  <a:pt x="369" y="4"/>
                </a:lnTo>
                <a:lnTo>
                  <a:pt x="316" y="4"/>
                </a:lnTo>
                <a:lnTo>
                  <a:pt x="307" y="4"/>
                </a:lnTo>
                <a:lnTo>
                  <a:pt x="303" y="4"/>
                </a:lnTo>
                <a:lnTo>
                  <a:pt x="290" y="3"/>
                </a:lnTo>
                <a:lnTo>
                  <a:pt x="236" y="2"/>
                </a:lnTo>
                <a:lnTo>
                  <a:pt x="235" y="2"/>
                </a:lnTo>
                <a:lnTo>
                  <a:pt x="234" y="2"/>
                </a:lnTo>
                <a:lnTo>
                  <a:pt x="229" y="2"/>
                </a:lnTo>
                <a:lnTo>
                  <a:pt x="205" y="1"/>
                </a:lnTo>
                <a:lnTo>
                  <a:pt x="162" y="1"/>
                </a:lnTo>
                <a:lnTo>
                  <a:pt x="148" y="1"/>
                </a:lnTo>
                <a:lnTo>
                  <a:pt x="107" y="0"/>
                </a:lnTo>
                <a:lnTo>
                  <a:pt x="92" y="0"/>
                </a:lnTo>
                <a:lnTo>
                  <a:pt x="51" y="0"/>
                </a:lnTo>
                <a:lnTo>
                  <a:pt x="51" y="1"/>
                </a:lnTo>
                <a:lnTo>
                  <a:pt x="51" y="3"/>
                </a:lnTo>
                <a:lnTo>
                  <a:pt x="65" y="24"/>
                </a:lnTo>
                <a:lnTo>
                  <a:pt x="70" y="28"/>
                </a:lnTo>
                <a:lnTo>
                  <a:pt x="69" y="42"/>
                </a:lnTo>
                <a:lnTo>
                  <a:pt x="65" y="79"/>
                </a:lnTo>
                <a:lnTo>
                  <a:pt x="63" y="100"/>
                </a:lnTo>
                <a:lnTo>
                  <a:pt x="61" y="120"/>
                </a:lnTo>
                <a:lnTo>
                  <a:pt x="61" y="121"/>
                </a:lnTo>
                <a:lnTo>
                  <a:pt x="60" y="128"/>
                </a:lnTo>
                <a:lnTo>
                  <a:pt x="59" y="134"/>
                </a:lnTo>
                <a:lnTo>
                  <a:pt x="57" y="150"/>
                </a:lnTo>
                <a:lnTo>
                  <a:pt x="56" y="162"/>
                </a:lnTo>
                <a:lnTo>
                  <a:pt x="53" y="194"/>
                </a:lnTo>
                <a:lnTo>
                  <a:pt x="52" y="198"/>
                </a:lnTo>
                <a:lnTo>
                  <a:pt x="51" y="217"/>
                </a:lnTo>
                <a:lnTo>
                  <a:pt x="50" y="225"/>
                </a:lnTo>
                <a:lnTo>
                  <a:pt x="49" y="237"/>
                </a:lnTo>
                <a:lnTo>
                  <a:pt x="45" y="276"/>
                </a:lnTo>
                <a:lnTo>
                  <a:pt x="42" y="298"/>
                </a:lnTo>
                <a:lnTo>
                  <a:pt x="41" y="301"/>
                </a:lnTo>
                <a:lnTo>
                  <a:pt x="37" y="348"/>
                </a:lnTo>
                <a:lnTo>
                  <a:pt x="36" y="356"/>
                </a:lnTo>
                <a:lnTo>
                  <a:pt x="35" y="378"/>
                </a:lnTo>
                <a:lnTo>
                  <a:pt x="32" y="406"/>
                </a:lnTo>
                <a:lnTo>
                  <a:pt x="30" y="421"/>
                </a:lnTo>
                <a:lnTo>
                  <a:pt x="30" y="426"/>
                </a:lnTo>
                <a:lnTo>
                  <a:pt x="25" y="476"/>
                </a:lnTo>
                <a:lnTo>
                  <a:pt x="24" y="484"/>
                </a:lnTo>
                <a:lnTo>
                  <a:pt x="23" y="491"/>
                </a:lnTo>
                <a:lnTo>
                  <a:pt x="19" y="545"/>
                </a:lnTo>
                <a:lnTo>
                  <a:pt x="18" y="553"/>
                </a:lnTo>
                <a:lnTo>
                  <a:pt x="16" y="573"/>
                </a:lnTo>
                <a:lnTo>
                  <a:pt x="11" y="616"/>
                </a:lnTo>
                <a:lnTo>
                  <a:pt x="11" y="622"/>
                </a:lnTo>
                <a:lnTo>
                  <a:pt x="9" y="638"/>
                </a:lnTo>
                <a:lnTo>
                  <a:pt x="8" y="652"/>
                </a:lnTo>
                <a:lnTo>
                  <a:pt x="8" y="654"/>
                </a:lnTo>
                <a:lnTo>
                  <a:pt x="8" y="657"/>
                </a:lnTo>
                <a:lnTo>
                  <a:pt x="7" y="664"/>
                </a:lnTo>
                <a:lnTo>
                  <a:pt x="5" y="680"/>
                </a:lnTo>
                <a:lnTo>
                  <a:pt x="0" y="735"/>
                </a:lnTo>
                <a:lnTo>
                  <a:pt x="0" y="740"/>
                </a:lnTo>
                <a:lnTo>
                  <a:pt x="1" y="744"/>
                </a:lnTo>
                <a:lnTo>
                  <a:pt x="2" y="782"/>
                </a:lnTo>
                <a:lnTo>
                  <a:pt x="4" y="828"/>
                </a:lnTo>
                <a:lnTo>
                  <a:pt x="4" y="834"/>
                </a:lnTo>
                <a:lnTo>
                  <a:pt x="5" y="843"/>
                </a:lnTo>
                <a:lnTo>
                  <a:pt x="5" y="857"/>
                </a:lnTo>
                <a:lnTo>
                  <a:pt x="6" y="885"/>
                </a:lnTo>
                <a:lnTo>
                  <a:pt x="8" y="919"/>
                </a:lnTo>
                <a:close/>
              </a:path>
            </a:pathLst>
          </a:custGeom>
          <a:grpFill/>
          <a:ln w="17526">
            <a:noFill/>
            <a:round/>
            <a:headEnd/>
            <a:tailEnd/>
          </a:ln>
        </xdr:spPr>
      </xdr:sp>
    </xdr:grpSp>
    <xdr:clientData/>
  </xdr:twoCellAnchor>
  <xdr:twoCellAnchor>
    <xdr:from>
      <xdr:col>2</xdr:col>
      <xdr:colOff>771525</xdr:colOff>
      <xdr:row>2</xdr:row>
      <xdr:rowOff>104775</xdr:rowOff>
    </xdr:from>
    <xdr:to>
      <xdr:col>2</xdr:col>
      <xdr:colOff>1412502</xdr:colOff>
      <xdr:row>2</xdr:row>
      <xdr:rowOff>1164852</xdr:rowOff>
    </xdr:to>
    <xdr:sp macro="" textlink="">
      <xdr:nvSpPr>
        <xdr:cNvPr id="77" name="S_AL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/>
        </xdr:cNvSpPr>
      </xdr:nvSpPr>
      <xdr:spPr bwMode="auto">
        <a:xfrm>
          <a:off x="2552700" y="1562100"/>
          <a:ext cx="640977" cy="1060077"/>
        </a:xfrm>
        <a:custGeom>
          <a:avLst/>
          <a:gdLst>
            <a:gd name="T0" fmla="*/ 2147483647 w 668"/>
            <a:gd name="T1" fmla="*/ 2147483647 h 1131"/>
            <a:gd name="T2" fmla="*/ 2147483647 w 668"/>
            <a:gd name="T3" fmla="*/ 2147483647 h 1131"/>
            <a:gd name="T4" fmla="*/ 2147483647 w 668"/>
            <a:gd name="T5" fmla="*/ 2147483647 h 1131"/>
            <a:gd name="T6" fmla="*/ 2147483647 w 668"/>
            <a:gd name="T7" fmla="*/ 2147483647 h 1131"/>
            <a:gd name="T8" fmla="*/ 2147483647 w 668"/>
            <a:gd name="T9" fmla="*/ 2147483647 h 1131"/>
            <a:gd name="T10" fmla="*/ 2147483647 w 668"/>
            <a:gd name="T11" fmla="*/ 2147483647 h 1131"/>
            <a:gd name="T12" fmla="*/ 2147483647 w 668"/>
            <a:gd name="T13" fmla="*/ 2147483647 h 1131"/>
            <a:gd name="T14" fmla="*/ 2147483647 w 668"/>
            <a:gd name="T15" fmla="*/ 2147483647 h 1131"/>
            <a:gd name="T16" fmla="*/ 2147483647 w 668"/>
            <a:gd name="T17" fmla="*/ 2147483647 h 1131"/>
            <a:gd name="T18" fmla="*/ 2147483647 w 668"/>
            <a:gd name="T19" fmla="*/ 2147483647 h 1131"/>
            <a:gd name="T20" fmla="*/ 2147483647 w 668"/>
            <a:gd name="T21" fmla="*/ 2147483647 h 1131"/>
            <a:gd name="T22" fmla="*/ 2147483647 w 668"/>
            <a:gd name="T23" fmla="*/ 2147483647 h 1131"/>
            <a:gd name="T24" fmla="*/ 2147483647 w 668"/>
            <a:gd name="T25" fmla="*/ 2147483647 h 1131"/>
            <a:gd name="T26" fmla="*/ 2147483647 w 668"/>
            <a:gd name="T27" fmla="*/ 2147483647 h 1131"/>
            <a:gd name="T28" fmla="*/ 2147483647 w 668"/>
            <a:gd name="T29" fmla="*/ 2147483647 h 1131"/>
            <a:gd name="T30" fmla="*/ 2147483647 w 668"/>
            <a:gd name="T31" fmla="*/ 2147483647 h 1131"/>
            <a:gd name="T32" fmla="*/ 2147483647 w 668"/>
            <a:gd name="T33" fmla="*/ 2147483647 h 1131"/>
            <a:gd name="T34" fmla="*/ 2147483647 w 668"/>
            <a:gd name="T35" fmla="*/ 2147483647 h 1131"/>
            <a:gd name="T36" fmla="*/ 2147483647 w 668"/>
            <a:gd name="T37" fmla="*/ 2147483647 h 1131"/>
            <a:gd name="T38" fmla="*/ 2147483647 w 668"/>
            <a:gd name="T39" fmla="*/ 2147483647 h 1131"/>
            <a:gd name="T40" fmla="*/ 2147483647 w 668"/>
            <a:gd name="T41" fmla="*/ 2147483647 h 1131"/>
            <a:gd name="T42" fmla="*/ 2147483647 w 668"/>
            <a:gd name="T43" fmla="*/ 2147483647 h 1131"/>
            <a:gd name="T44" fmla="*/ 2147483647 w 668"/>
            <a:gd name="T45" fmla="*/ 2147483647 h 1131"/>
            <a:gd name="T46" fmla="*/ 2147483647 w 668"/>
            <a:gd name="T47" fmla="*/ 2147483647 h 1131"/>
            <a:gd name="T48" fmla="*/ 2147483647 w 668"/>
            <a:gd name="T49" fmla="*/ 2147483647 h 1131"/>
            <a:gd name="T50" fmla="*/ 2147483647 w 668"/>
            <a:gd name="T51" fmla="*/ 2147483647 h 1131"/>
            <a:gd name="T52" fmla="*/ 2147483647 w 668"/>
            <a:gd name="T53" fmla="*/ 2147483647 h 1131"/>
            <a:gd name="T54" fmla="*/ 2147483647 w 668"/>
            <a:gd name="T55" fmla="*/ 2147483647 h 1131"/>
            <a:gd name="T56" fmla="*/ 2147483647 w 668"/>
            <a:gd name="T57" fmla="*/ 2147483647 h 1131"/>
            <a:gd name="T58" fmla="*/ 2147483647 w 668"/>
            <a:gd name="T59" fmla="*/ 2147483647 h 1131"/>
            <a:gd name="T60" fmla="*/ 2147483647 w 668"/>
            <a:gd name="T61" fmla="*/ 2147483647 h 1131"/>
            <a:gd name="T62" fmla="*/ 2147483647 w 668"/>
            <a:gd name="T63" fmla="*/ 2147483647 h 1131"/>
            <a:gd name="T64" fmla="*/ 2147483647 w 668"/>
            <a:gd name="T65" fmla="*/ 2147483647 h 1131"/>
            <a:gd name="T66" fmla="*/ 2147483647 w 668"/>
            <a:gd name="T67" fmla="*/ 2147483647 h 1131"/>
            <a:gd name="T68" fmla="*/ 2147483647 w 668"/>
            <a:gd name="T69" fmla="*/ 2147483647 h 1131"/>
            <a:gd name="T70" fmla="*/ 2147483647 w 668"/>
            <a:gd name="T71" fmla="*/ 2147483647 h 1131"/>
            <a:gd name="T72" fmla="*/ 2147483647 w 668"/>
            <a:gd name="T73" fmla="*/ 2147483647 h 1131"/>
            <a:gd name="T74" fmla="*/ 2147483647 w 668"/>
            <a:gd name="T75" fmla="*/ 2147483647 h 1131"/>
            <a:gd name="T76" fmla="*/ 2147483647 w 668"/>
            <a:gd name="T77" fmla="*/ 2147483647 h 1131"/>
            <a:gd name="T78" fmla="*/ 2147483647 w 668"/>
            <a:gd name="T79" fmla="*/ 2147483647 h 1131"/>
            <a:gd name="T80" fmla="*/ 2147483647 w 668"/>
            <a:gd name="T81" fmla="*/ 2147483647 h 1131"/>
            <a:gd name="T82" fmla="*/ 2147483647 w 668"/>
            <a:gd name="T83" fmla="*/ 2147483647 h 1131"/>
            <a:gd name="T84" fmla="*/ 2147483647 w 668"/>
            <a:gd name="T85" fmla="*/ 2147483647 h 1131"/>
            <a:gd name="T86" fmla="*/ 2147483647 w 668"/>
            <a:gd name="T87" fmla="*/ 2147483647 h 1131"/>
            <a:gd name="T88" fmla="*/ 2147483647 w 668"/>
            <a:gd name="T89" fmla="*/ 2147483647 h 1131"/>
            <a:gd name="T90" fmla="*/ 2147483647 w 668"/>
            <a:gd name="T91" fmla="*/ 0 h 1131"/>
            <a:gd name="T92" fmla="*/ 2147483647 w 668"/>
            <a:gd name="T93" fmla="*/ 2147483647 h 1131"/>
            <a:gd name="T94" fmla="*/ 2147483647 w 668"/>
            <a:gd name="T95" fmla="*/ 2147483647 h 1131"/>
            <a:gd name="T96" fmla="*/ 2147483647 w 668"/>
            <a:gd name="T97" fmla="*/ 2147483647 h 1131"/>
            <a:gd name="T98" fmla="*/ 2147483647 w 668"/>
            <a:gd name="T99" fmla="*/ 2147483647 h 1131"/>
            <a:gd name="T100" fmla="*/ 2147483647 w 668"/>
            <a:gd name="T101" fmla="*/ 2147483647 h 1131"/>
            <a:gd name="T102" fmla="*/ 2147483647 w 668"/>
            <a:gd name="T103" fmla="*/ 2147483647 h 1131"/>
            <a:gd name="T104" fmla="*/ 2147483647 w 668"/>
            <a:gd name="T105" fmla="*/ 2147483647 h 1131"/>
            <a:gd name="T106" fmla="*/ 2147483647 w 668"/>
            <a:gd name="T107" fmla="*/ 2147483647 h 1131"/>
            <a:gd name="T108" fmla="*/ 2147483647 w 668"/>
            <a:gd name="T109" fmla="*/ 2147483647 h 1131"/>
            <a:gd name="T110" fmla="*/ 2147483647 w 668"/>
            <a:gd name="T111" fmla="*/ 2147483647 h 1131"/>
            <a:gd name="T112" fmla="*/ 2147483647 w 668"/>
            <a:gd name="T113" fmla="*/ 2147483647 h 1131"/>
            <a:gd name="T114" fmla="*/ 2147483647 w 668"/>
            <a:gd name="T115" fmla="*/ 2147483647 h 1131"/>
            <a:gd name="T116" fmla="*/ 2147483647 w 668"/>
            <a:gd name="T117" fmla="*/ 2147483647 h 1131"/>
            <a:gd name="T118" fmla="*/ 2147483647 w 668"/>
            <a:gd name="T119" fmla="*/ 2147483647 h 1131"/>
            <a:gd name="T120" fmla="*/ 0 w 668"/>
            <a:gd name="T121" fmla="*/ 2147483647 h 1131"/>
            <a:gd name="T122" fmla="*/ 2147483647 w 668"/>
            <a:gd name="T123" fmla="*/ 2147483647 h 1131"/>
            <a:gd name="T124" fmla="*/ 2147483647 w 668"/>
            <a:gd name="T125" fmla="*/ 2147483647 h 1131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8"/>
            <a:gd name="T190" fmla="*/ 0 h 1131"/>
            <a:gd name="T191" fmla="*/ 668 w 668"/>
            <a:gd name="T192" fmla="*/ 1131 h 1131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8" h="1131">
              <a:moveTo>
                <a:pt x="8" y="919"/>
              </a:moveTo>
              <a:lnTo>
                <a:pt x="8" y="927"/>
              </a:lnTo>
              <a:lnTo>
                <a:pt x="8" y="935"/>
              </a:lnTo>
              <a:lnTo>
                <a:pt x="9" y="947"/>
              </a:lnTo>
              <a:lnTo>
                <a:pt x="11" y="1006"/>
              </a:lnTo>
              <a:lnTo>
                <a:pt x="11" y="1009"/>
              </a:lnTo>
              <a:lnTo>
                <a:pt x="13" y="1041"/>
              </a:lnTo>
              <a:lnTo>
                <a:pt x="14" y="1071"/>
              </a:lnTo>
              <a:lnTo>
                <a:pt x="15" y="1100"/>
              </a:lnTo>
              <a:lnTo>
                <a:pt x="19" y="1091"/>
              </a:lnTo>
              <a:lnTo>
                <a:pt x="41" y="1094"/>
              </a:lnTo>
              <a:lnTo>
                <a:pt x="50" y="1107"/>
              </a:lnTo>
              <a:lnTo>
                <a:pt x="65" y="1102"/>
              </a:lnTo>
              <a:lnTo>
                <a:pt x="69" y="1065"/>
              </a:lnTo>
              <a:lnTo>
                <a:pt x="86" y="1022"/>
              </a:lnTo>
              <a:lnTo>
                <a:pt x="103" y="1035"/>
              </a:lnTo>
              <a:lnTo>
                <a:pt x="102" y="1065"/>
              </a:lnTo>
              <a:lnTo>
                <a:pt x="83" y="1131"/>
              </a:lnTo>
              <a:lnTo>
                <a:pt x="173" y="1118"/>
              </a:lnTo>
              <a:lnTo>
                <a:pt x="205" y="1076"/>
              </a:lnTo>
              <a:lnTo>
                <a:pt x="194" y="1065"/>
              </a:lnTo>
              <a:lnTo>
                <a:pt x="202" y="1035"/>
              </a:lnTo>
              <a:lnTo>
                <a:pt x="159" y="983"/>
              </a:lnTo>
              <a:lnTo>
                <a:pt x="163" y="947"/>
              </a:lnTo>
              <a:lnTo>
                <a:pt x="228" y="947"/>
              </a:lnTo>
              <a:lnTo>
                <a:pt x="232" y="948"/>
              </a:lnTo>
              <a:lnTo>
                <a:pt x="246" y="947"/>
              </a:lnTo>
              <a:lnTo>
                <a:pt x="250" y="947"/>
              </a:lnTo>
              <a:lnTo>
                <a:pt x="276" y="947"/>
              </a:lnTo>
              <a:lnTo>
                <a:pt x="315" y="947"/>
              </a:lnTo>
              <a:lnTo>
                <a:pt x="328" y="947"/>
              </a:lnTo>
              <a:lnTo>
                <a:pt x="330" y="948"/>
              </a:lnTo>
              <a:lnTo>
                <a:pt x="334" y="948"/>
              </a:lnTo>
              <a:lnTo>
                <a:pt x="357" y="948"/>
              </a:lnTo>
              <a:lnTo>
                <a:pt x="362" y="948"/>
              </a:lnTo>
              <a:lnTo>
                <a:pt x="390" y="948"/>
              </a:lnTo>
              <a:lnTo>
                <a:pt x="392" y="948"/>
              </a:lnTo>
              <a:lnTo>
                <a:pt x="416" y="948"/>
              </a:lnTo>
              <a:lnTo>
                <a:pt x="428" y="948"/>
              </a:lnTo>
              <a:lnTo>
                <a:pt x="432" y="948"/>
              </a:lnTo>
              <a:lnTo>
                <a:pt x="440" y="948"/>
              </a:lnTo>
              <a:lnTo>
                <a:pt x="457" y="948"/>
              </a:lnTo>
              <a:lnTo>
                <a:pt x="473" y="948"/>
              </a:lnTo>
              <a:lnTo>
                <a:pt x="506" y="948"/>
              </a:lnTo>
              <a:lnTo>
                <a:pt x="556" y="947"/>
              </a:lnTo>
              <a:lnTo>
                <a:pt x="558" y="947"/>
              </a:lnTo>
              <a:lnTo>
                <a:pt x="603" y="947"/>
              </a:lnTo>
              <a:lnTo>
                <a:pt x="620" y="946"/>
              </a:lnTo>
              <a:lnTo>
                <a:pt x="649" y="947"/>
              </a:lnTo>
              <a:lnTo>
                <a:pt x="649" y="945"/>
              </a:lnTo>
              <a:lnTo>
                <a:pt x="650" y="944"/>
              </a:lnTo>
              <a:lnTo>
                <a:pt x="644" y="929"/>
              </a:lnTo>
              <a:lnTo>
                <a:pt x="640" y="917"/>
              </a:lnTo>
              <a:lnTo>
                <a:pt x="630" y="887"/>
              </a:lnTo>
              <a:lnTo>
                <a:pt x="633" y="874"/>
              </a:lnTo>
              <a:lnTo>
                <a:pt x="633" y="858"/>
              </a:lnTo>
              <a:lnTo>
                <a:pt x="640" y="828"/>
              </a:lnTo>
              <a:lnTo>
                <a:pt x="642" y="825"/>
              </a:lnTo>
              <a:lnTo>
                <a:pt x="638" y="799"/>
              </a:lnTo>
              <a:lnTo>
                <a:pt x="627" y="783"/>
              </a:lnTo>
              <a:lnTo>
                <a:pt x="626" y="766"/>
              </a:lnTo>
              <a:lnTo>
                <a:pt x="627" y="765"/>
              </a:lnTo>
              <a:lnTo>
                <a:pt x="626" y="765"/>
              </a:lnTo>
              <a:lnTo>
                <a:pt x="624" y="762"/>
              </a:lnTo>
              <a:lnTo>
                <a:pt x="626" y="740"/>
              </a:lnTo>
              <a:lnTo>
                <a:pt x="627" y="736"/>
              </a:lnTo>
              <a:lnTo>
                <a:pt x="638" y="713"/>
              </a:lnTo>
              <a:lnTo>
                <a:pt x="638" y="710"/>
              </a:lnTo>
              <a:lnTo>
                <a:pt x="640" y="695"/>
              </a:lnTo>
              <a:lnTo>
                <a:pt x="639" y="680"/>
              </a:lnTo>
              <a:lnTo>
                <a:pt x="649" y="668"/>
              </a:lnTo>
              <a:lnTo>
                <a:pt x="664" y="656"/>
              </a:lnTo>
              <a:lnTo>
                <a:pt x="668" y="652"/>
              </a:lnTo>
              <a:lnTo>
                <a:pt x="649" y="634"/>
              </a:lnTo>
              <a:lnTo>
                <a:pt x="655" y="622"/>
              </a:lnTo>
              <a:lnTo>
                <a:pt x="650" y="593"/>
              </a:lnTo>
              <a:lnTo>
                <a:pt x="649" y="591"/>
              </a:lnTo>
              <a:lnTo>
                <a:pt x="649" y="589"/>
              </a:lnTo>
              <a:lnTo>
                <a:pt x="634" y="567"/>
              </a:lnTo>
              <a:lnTo>
                <a:pt x="631" y="561"/>
              </a:lnTo>
              <a:lnTo>
                <a:pt x="627" y="535"/>
              </a:lnTo>
              <a:lnTo>
                <a:pt x="625" y="534"/>
              </a:lnTo>
              <a:lnTo>
                <a:pt x="624" y="533"/>
              </a:lnTo>
              <a:lnTo>
                <a:pt x="627" y="526"/>
              </a:lnTo>
              <a:lnTo>
                <a:pt x="615" y="505"/>
              </a:lnTo>
              <a:lnTo>
                <a:pt x="612" y="485"/>
              </a:lnTo>
              <a:lnTo>
                <a:pt x="611" y="476"/>
              </a:lnTo>
              <a:lnTo>
                <a:pt x="607" y="448"/>
              </a:lnTo>
              <a:lnTo>
                <a:pt x="605" y="445"/>
              </a:lnTo>
              <a:lnTo>
                <a:pt x="605" y="444"/>
              </a:lnTo>
              <a:lnTo>
                <a:pt x="602" y="424"/>
              </a:lnTo>
              <a:lnTo>
                <a:pt x="597" y="385"/>
              </a:lnTo>
              <a:lnTo>
                <a:pt x="595" y="373"/>
              </a:lnTo>
              <a:lnTo>
                <a:pt x="593" y="360"/>
              </a:lnTo>
              <a:lnTo>
                <a:pt x="593" y="356"/>
              </a:lnTo>
              <a:lnTo>
                <a:pt x="587" y="326"/>
              </a:lnTo>
              <a:lnTo>
                <a:pt x="586" y="320"/>
              </a:lnTo>
              <a:lnTo>
                <a:pt x="580" y="275"/>
              </a:lnTo>
              <a:lnTo>
                <a:pt x="579" y="272"/>
              </a:lnTo>
              <a:lnTo>
                <a:pt x="578" y="261"/>
              </a:lnTo>
              <a:lnTo>
                <a:pt x="575" y="246"/>
              </a:lnTo>
              <a:lnTo>
                <a:pt x="574" y="237"/>
              </a:lnTo>
              <a:lnTo>
                <a:pt x="573" y="231"/>
              </a:lnTo>
              <a:lnTo>
                <a:pt x="571" y="219"/>
              </a:lnTo>
              <a:lnTo>
                <a:pt x="568" y="199"/>
              </a:lnTo>
              <a:lnTo>
                <a:pt x="566" y="184"/>
              </a:lnTo>
              <a:lnTo>
                <a:pt x="564" y="170"/>
              </a:lnTo>
              <a:lnTo>
                <a:pt x="558" y="142"/>
              </a:lnTo>
              <a:lnTo>
                <a:pt x="556" y="128"/>
              </a:lnTo>
              <a:lnTo>
                <a:pt x="554" y="114"/>
              </a:lnTo>
              <a:lnTo>
                <a:pt x="551" y="99"/>
              </a:lnTo>
              <a:lnTo>
                <a:pt x="550" y="91"/>
              </a:lnTo>
              <a:lnTo>
                <a:pt x="544" y="61"/>
              </a:lnTo>
              <a:lnTo>
                <a:pt x="542" y="44"/>
              </a:lnTo>
              <a:lnTo>
                <a:pt x="541" y="35"/>
              </a:lnTo>
              <a:lnTo>
                <a:pt x="540" y="31"/>
              </a:lnTo>
              <a:lnTo>
                <a:pt x="537" y="5"/>
              </a:lnTo>
              <a:lnTo>
                <a:pt x="533" y="5"/>
              </a:lnTo>
              <a:lnTo>
                <a:pt x="492" y="4"/>
              </a:lnTo>
              <a:lnTo>
                <a:pt x="487" y="4"/>
              </a:lnTo>
              <a:lnTo>
                <a:pt x="451" y="4"/>
              </a:lnTo>
              <a:lnTo>
                <a:pt x="412" y="4"/>
              </a:lnTo>
              <a:lnTo>
                <a:pt x="404" y="4"/>
              </a:lnTo>
              <a:lnTo>
                <a:pt x="403" y="4"/>
              </a:lnTo>
              <a:lnTo>
                <a:pt x="392" y="4"/>
              </a:lnTo>
              <a:lnTo>
                <a:pt x="369" y="4"/>
              </a:lnTo>
              <a:lnTo>
                <a:pt x="316" y="4"/>
              </a:lnTo>
              <a:lnTo>
                <a:pt x="307" y="4"/>
              </a:lnTo>
              <a:lnTo>
                <a:pt x="303" y="4"/>
              </a:lnTo>
              <a:lnTo>
                <a:pt x="290" y="3"/>
              </a:lnTo>
              <a:lnTo>
                <a:pt x="236" y="2"/>
              </a:lnTo>
              <a:lnTo>
                <a:pt x="235" y="2"/>
              </a:lnTo>
              <a:lnTo>
                <a:pt x="234" y="2"/>
              </a:lnTo>
              <a:lnTo>
                <a:pt x="229" y="2"/>
              </a:lnTo>
              <a:lnTo>
                <a:pt x="205" y="1"/>
              </a:lnTo>
              <a:lnTo>
                <a:pt x="162" y="1"/>
              </a:lnTo>
              <a:lnTo>
                <a:pt x="148" y="1"/>
              </a:lnTo>
              <a:lnTo>
                <a:pt x="107" y="0"/>
              </a:lnTo>
              <a:lnTo>
                <a:pt x="92" y="0"/>
              </a:lnTo>
              <a:lnTo>
                <a:pt x="51" y="0"/>
              </a:lnTo>
              <a:lnTo>
                <a:pt x="51" y="1"/>
              </a:lnTo>
              <a:lnTo>
                <a:pt x="51" y="3"/>
              </a:lnTo>
              <a:lnTo>
                <a:pt x="65" y="24"/>
              </a:lnTo>
              <a:lnTo>
                <a:pt x="70" y="28"/>
              </a:lnTo>
              <a:lnTo>
                <a:pt x="69" y="42"/>
              </a:lnTo>
              <a:lnTo>
                <a:pt x="65" y="79"/>
              </a:lnTo>
              <a:lnTo>
                <a:pt x="63" y="100"/>
              </a:lnTo>
              <a:lnTo>
                <a:pt x="61" y="120"/>
              </a:lnTo>
              <a:lnTo>
                <a:pt x="61" y="121"/>
              </a:lnTo>
              <a:lnTo>
                <a:pt x="60" y="128"/>
              </a:lnTo>
              <a:lnTo>
                <a:pt x="59" y="134"/>
              </a:lnTo>
              <a:lnTo>
                <a:pt x="57" y="150"/>
              </a:lnTo>
              <a:lnTo>
                <a:pt x="56" y="162"/>
              </a:lnTo>
              <a:lnTo>
                <a:pt x="53" y="194"/>
              </a:lnTo>
              <a:lnTo>
                <a:pt x="52" y="198"/>
              </a:lnTo>
              <a:lnTo>
                <a:pt x="51" y="217"/>
              </a:lnTo>
              <a:lnTo>
                <a:pt x="50" y="225"/>
              </a:lnTo>
              <a:lnTo>
                <a:pt x="49" y="237"/>
              </a:lnTo>
              <a:lnTo>
                <a:pt x="45" y="276"/>
              </a:lnTo>
              <a:lnTo>
                <a:pt x="42" y="298"/>
              </a:lnTo>
              <a:lnTo>
                <a:pt x="41" y="301"/>
              </a:lnTo>
              <a:lnTo>
                <a:pt x="37" y="348"/>
              </a:lnTo>
              <a:lnTo>
                <a:pt x="36" y="356"/>
              </a:lnTo>
              <a:lnTo>
                <a:pt x="35" y="378"/>
              </a:lnTo>
              <a:lnTo>
                <a:pt x="32" y="406"/>
              </a:lnTo>
              <a:lnTo>
                <a:pt x="30" y="421"/>
              </a:lnTo>
              <a:lnTo>
                <a:pt x="30" y="426"/>
              </a:lnTo>
              <a:lnTo>
                <a:pt x="25" y="476"/>
              </a:lnTo>
              <a:lnTo>
                <a:pt x="24" y="484"/>
              </a:lnTo>
              <a:lnTo>
                <a:pt x="23" y="491"/>
              </a:lnTo>
              <a:lnTo>
                <a:pt x="19" y="545"/>
              </a:lnTo>
              <a:lnTo>
                <a:pt x="18" y="553"/>
              </a:lnTo>
              <a:lnTo>
                <a:pt x="16" y="573"/>
              </a:lnTo>
              <a:lnTo>
                <a:pt x="11" y="616"/>
              </a:lnTo>
              <a:lnTo>
                <a:pt x="11" y="622"/>
              </a:lnTo>
              <a:lnTo>
                <a:pt x="9" y="638"/>
              </a:lnTo>
              <a:lnTo>
                <a:pt x="8" y="652"/>
              </a:lnTo>
              <a:lnTo>
                <a:pt x="8" y="654"/>
              </a:lnTo>
              <a:lnTo>
                <a:pt x="8" y="657"/>
              </a:lnTo>
              <a:lnTo>
                <a:pt x="7" y="664"/>
              </a:lnTo>
              <a:lnTo>
                <a:pt x="5" y="680"/>
              </a:lnTo>
              <a:lnTo>
                <a:pt x="0" y="735"/>
              </a:lnTo>
              <a:lnTo>
                <a:pt x="0" y="740"/>
              </a:lnTo>
              <a:lnTo>
                <a:pt x="1" y="744"/>
              </a:lnTo>
              <a:lnTo>
                <a:pt x="2" y="782"/>
              </a:lnTo>
              <a:lnTo>
                <a:pt x="4" y="828"/>
              </a:lnTo>
              <a:lnTo>
                <a:pt x="4" y="834"/>
              </a:lnTo>
              <a:lnTo>
                <a:pt x="5" y="843"/>
              </a:lnTo>
              <a:lnTo>
                <a:pt x="5" y="857"/>
              </a:lnTo>
              <a:lnTo>
                <a:pt x="6" y="885"/>
              </a:lnTo>
              <a:lnTo>
                <a:pt x="8" y="91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5</xdr:row>
      <xdr:rowOff>95250</xdr:rowOff>
    </xdr:from>
    <xdr:to>
      <xdr:col>2</xdr:col>
      <xdr:colOff>1704975</xdr:colOff>
      <xdr:row>5</xdr:row>
      <xdr:rowOff>1162050</xdr:rowOff>
    </xdr:to>
    <xdr:sp macro="" textlink="">
      <xdr:nvSpPr>
        <xdr:cNvPr id="78" name="S_AR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/>
        </xdr:cNvSpPr>
      </xdr:nvSpPr>
      <xdr:spPr bwMode="auto">
        <a:xfrm>
          <a:off x="2381250" y="5353050"/>
          <a:ext cx="1104900" cy="1066800"/>
        </a:xfrm>
        <a:custGeom>
          <a:avLst/>
          <a:gdLst>
            <a:gd name="T0" fmla="*/ 2147483647 w 931"/>
            <a:gd name="T1" fmla="*/ 2147483647 h 825"/>
            <a:gd name="T2" fmla="*/ 2147483647 w 931"/>
            <a:gd name="T3" fmla="*/ 2147483647 h 825"/>
            <a:gd name="T4" fmla="*/ 2147483647 w 931"/>
            <a:gd name="T5" fmla="*/ 2147483647 h 825"/>
            <a:gd name="T6" fmla="*/ 2147483647 w 931"/>
            <a:gd name="T7" fmla="*/ 2147483647 h 825"/>
            <a:gd name="T8" fmla="*/ 2147483647 w 931"/>
            <a:gd name="T9" fmla="*/ 2147483647 h 825"/>
            <a:gd name="T10" fmla="*/ 2147483647 w 931"/>
            <a:gd name="T11" fmla="*/ 2147483647 h 825"/>
            <a:gd name="T12" fmla="*/ 2147483647 w 931"/>
            <a:gd name="T13" fmla="*/ 2147483647 h 825"/>
            <a:gd name="T14" fmla="*/ 2147483647 w 931"/>
            <a:gd name="T15" fmla="*/ 2147483647 h 825"/>
            <a:gd name="T16" fmla="*/ 2147483647 w 931"/>
            <a:gd name="T17" fmla="*/ 2147483647 h 825"/>
            <a:gd name="T18" fmla="*/ 2147483647 w 931"/>
            <a:gd name="T19" fmla="*/ 2147483647 h 825"/>
            <a:gd name="T20" fmla="*/ 2147483647 w 931"/>
            <a:gd name="T21" fmla="*/ 2147483647 h 825"/>
            <a:gd name="T22" fmla="*/ 2147483647 w 931"/>
            <a:gd name="T23" fmla="*/ 2147483647 h 825"/>
            <a:gd name="T24" fmla="*/ 2147483647 w 931"/>
            <a:gd name="T25" fmla="*/ 2147483647 h 825"/>
            <a:gd name="T26" fmla="*/ 2147483647 w 931"/>
            <a:gd name="T27" fmla="*/ 2147483647 h 825"/>
            <a:gd name="T28" fmla="*/ 2147483647 w 931"/>
            <a:gd name="T29" fmla="*/ 2147483647 h 825"/>
            <a:gd name="T30" fmla="*/ 2147483647 w 931"/>
            <a:gd name="T31" fmla="*/ 2147483647 h 825"/>
            <a:gd name="T32" fmla="*/ 2147483647 w 931"/>
            <a:gd name="T33" fmla="*/ 2147483647 h 825"/>
            <a:gd name="T34" fmla="*/ 2147483647 w 931"/>
            <a:gd name="T35" fmla="*/ 2147483647 h 825"/>
            <a:gd name="T36" fmla="*/ 2147483647 w 931"/>
            <a:gd name="T37" fmla="*/ 2147483647 h 825"/>
            <a:gd name="T38" fmla="*/ 2147483647 w 931"/>
            <a:gd name="T39" fmla="*/ 2147483647 h 825"/>
            <a:gd name="T40" fmla="*/ 2147483647 w 931"/>
            <a:gd name="T41" fmla="*/ 2147483647 h 825"/>
            <a:gd name="T42" fmla="*/ 2147483647 w 931"/>
            <a:gd name="T43" fmla="*/ 2147483647 h 825"/>
            <a:gd name="T44" fmla="*/ 2147483647 w 931"/>
            <a:gd name="T45" fmla="*/ 2147483647 h 825"/>
            <a:gd name="T46" fmla="*/ 2147483647 w 931"/>
            <a:gd name="T47" fmla="*/ 2147483647 h 825"/>
            <a:gd name="T48" fmla="*/ 2147483647 w 931"/>
            <a:gd name="T49" fmla="*/ 2147483647 h 825"/>
            <a:gd name="T50" fmla="*/ 2147483647 w 931"/>
            <a:gd name="T51" fmla="*/ 2147483647 h 825"/>
            <a:gd name="T52" fmla="*/ 2147483647 w 931"/>
            <a:gd name="T53" fmla="*/ 2147483647 h 825"/>
            <a:gd name="T54" fmla="*/ 2147483647 w 931"/>
            <a:gd name="T55" fmla="*/ 2147483647 h 825"/>
            <a:gd name="T56" fmla="*/ 2147483647 w 931"/>
            <a:gd name="T57" fmla="*/ 2147483647 h 825"/>
            <a:gd name="T58" fmla="*/ 2147483647 w 931"/>
            <a:gd name="T59" fmla="*/ 2147483647 h 825"/>
            <a:gd name="T60" fmla="*/ 2147483647 w 931"/>
            <a:gd name="T61" fmla="*/ 2147483647 h 825"/>
            <a:gd name="T62" fmla="*/ 2147483647 w 931"/>
            <a:gd name="T63" fmla="*/ 2147483647 h 825"/>
            <a:gd name="T64" fmla="*/ 2147483647 w 931"/>
            <a:gd name="T65" fmla="*/ 2147483647 h 825"/>
            <a:gd name="T66" fmla="*/ 2147483647 w 931"/>
            <a:gd name="T67" fmla="*/ 2147483647 h 825"/>
            <a:gd name="T68" fmla="*/ 2147483647 w 931"/>
            <a:gd name="T69" fmla="*/ 2147483647 h 825"/>
            <a:gd name="T70" fmla="*/ 2147483647 w 931"/>
            <a:gd name="T71" fmla="*/ 2147483647 h 825"/>
            <a:gd name="T72" fmla="*/ 2147483647 w 931"/>
            <a:gd name="T73" fmla="*/ 2147483647 h 825"/>
            <a:gd name="T74" fmla="*/ 2147483647 w 931"/>
            <a:gd name="T75" fmla="*/ 2147483647 h 825"/>
            <a:gd name="T76" fmla="*/ 2147483647 w 931"/>
            <a:gd name="T77" fmla="*/ 2147483647 h 825"/>
            <a:gd name="T78" fmla="*/ 2147483647 w 931"/>
            <a:gd name="T79" fmla="*/ 2147483647 h 825"/>
            <a:gd name="T80" fmla="*/ 2147483647 w 931"/>
            <a:gd name="T81" fmla="*/ 2147483647 h 825"/>
            <a:gd name="T82" fmla="*/ 2147483647 w 931"/>
            <a:gd name="T83" fmla="*/ 2147483647 h 825"/>
            <a:gd name="T84" fmla="*/ 2147483647 w 931"/>
            <a:gd name="T85" fmla="*/ 0 h 825"/>
            <a:gd name="T86" fmla="*/ 2147483647 w 931"/>
            <a:gd name="T87" fmla="*/ 0 h 825"/>
            <a:gd name="T88" fmla="*/ 2147483647 w 931"/>
            <a:gd name="T89" fmla="*/ 0 h 825"/>
            <a:gd name="T90" fmla="*/ 2147483647 w 931"/>
            <a:gd name="T91" fmla="*/ 0 h 825"/>
            <a:gd name="T92" fmla="*/ 2147483647 w 931"/>
            <a:gd name="T93" fmla="*/ 0 h 825"/>
            <a:gd name="T94" fmla="*/ 2147483647 w 931"/>
            <a:gd name="T95" fmla="*/ 0 h 825"/>
            <a:gd name="T96" fmla="*/ 2147483647 w 931"/>
            <a:gd name="T97" fmla="*/ 0 h 825"/>
            <a:gd name="T98" fmla="*/ 2147483647 w 931"/>
            <a:gd name="T99" fmla="*/ 0 h 825"/>
            <a:gd name="T100" fmla="*/ 2147483647 w 931"/>
            <a:gd name="T101" fmla="*/ 0 h 825"/>
            <a:gd name="T102" fmla="*/ 2147483647 w 931"/>
            <a:gd name="T103" fmla="*/ 0 h 825"/>
            <a:gd name="T104" fmla="*/ 2147483647 w 931"/>
            <a:gd name="T105" fmla="*/ 0 h 825"/>
            <a:gd name="T106" fmla="*/ 2147483647 w 931"/>
            <a:gd name="T107" fmla="*/ 0 h 825"/>
            <a:gd name="T108" fmla="*/ 2147483647 w 931"/>
            <a:gd name="T109" fmla="*/ 0 h 825"/>
            <a:gd name="T110" fmla="*/ 2147483647 w 931"/>
            <a:gd name="T111" fmla="*/ 0 h 825"/>
            <a:gd name="T112" fmla="*/ 2147483647 w 931"/>
            <a:gd name="T113" fmla="*/ 0 h 825"/>
            <a:gd name="T114" fmla="*/ 2147483647 w 931"/>
            <a:gd name="T115" fmla="*/ 0 h 825"/>
            <a:gd name="T116" fmla="*/ 0 w 931"/>
            <a:gd name="T117" fmla="*/ 2147483647 h 825"/>
            <a:gd name="T118" fmla="*/ 2147483647 w 931"/>
            <a:gd name="T119" fmla="*/ 2147483647 h 825"/>
            <a:gd name="T120" fmla="*/ 2147483647 w 931"/>
            <a:gd name="T121" fmla="*/ 2147483647 h 825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931"/>
            <a:gd name="T184" fmla="*/ 0 h 825"/>
            <a:gd name="T185" fmla="*/ 931 w 931"/>
            <a:gd name="T186" fmla="*/ 825 h 825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931" h="825">
              <a:moveTo>
                <a:pt x="24" y="174"/>
              </a:moveTo>
              <a:lnTo>
                <a:pt x="26" y="187"/>
              </a:lnTo>
              <a:lnTo>
                <a:pt x="27" y="194"/>
              </a:lnTo>
              <a:lnTo>
                <a:pt x="28" y="203"/>
              </a:lnTo>
              <a:lnTo>
                <a:pt x="32" y="233"/>
              </a:lnTo>
              <a:lnTo>
                <a:pt x="32" y="235"/>
              </a:lnTo>
              <a:lnTo>
                <a:pt x="36" y="260"/>
              </a:lnTo>
              <a:lnTo>
                <a:pt x="36" y="261"/>
              </a:lnTo>
              <a:lnTo>
                <a:pt x="36" y="262"/>
              </a:lnTo>
              <a:lnTo>
                <a:pt x="36" y="265"/>
              </a:lnTo>
              <a:lnTo>
                <a:pt x="34" y="295"/>
              </a:lnTo>
              <a:lnTo>
                <a:pt x="32" y="369"/>
              </a:lnTo>
              <a:lnTo>
                <a:pt x="32" y="381"/>
              </a:lnTo>
              <a:lnTo>
                <a:pt x="32" y="383"/>
              </a:lnTo>
              <a:lnTo>
                <a:pt x="31" y="418"/>
              </a:lnTo>
              <a:lnTo>
                <a:pt x="31" y="428"/>
              </a:lnTo>
              <a:lnTo>
                <a:pt x="30" y="437"/>
              </a:lnTo>
              <a:lnTo>
                <a:pt x="30" y="471"/>
              </a:lnTo>
              <a:lnTo>
                <a:pt x="30" y="481"/>
              </a:lnTo>
              <a:lnTo>
                <a:pt x="29" y="531"/>
              </a:lnTo>
              <a:lnTo>
                <a:pt x="28" y="546"/>
              </a:lnTo>
              <a:lnTo>
                <a:pt x="28" y="560"/>
              </a:lnTo>
              <a:lnTo>
                <a:pt x="27" y="600"/>
              </a:lnTo>
              <a:lnTo>
                <a:pt x="27" y="604"/>
              </a:lnTo>
              <a:lnTo>
                <a:pt x="27" y="610"/>
              </a:lnTo>
              <a:lnTo>
                <a:pt x="27" y="615"/>
              </a:lnTo>
              <a:lnTo>
                <a:pt x="26" y="675"/>
              </a:lnTo>
              <a:lnTo>
                <a:pt x="46" y="697"/>
              </a:lnTo>
              <a:lnTo>
                <a:pt x="70" y="688"/>
              </a:lnTo>
              <a:lnTo>
                <a:pt x="108" y="695"/>
              </a:lnTo>
              <a:lnTo>
                <a:pt x="108" y="703"/>
              </a:lnTo>
              <a:lnTo>
                <a:pt x="108" y="737"/>
              </a:lnTo>
              <a:lnTo>
                <a:pt x="108" y="762"/>
              </a:lnTo>
              <a:lnTo>
                <a:pt x="108" y="767"/>
              </a:lnTo>
              <a:lnTo>
                <a:pt x="108" y="797"/>
              </a:lnTo>
              <a:lnTo>
                <a:pt x="108" y="822"/>
              </a:lnTo>
              <a:lnTo>
                <a:pt x="116" y="822"/>
              </a:lnTo>
              <a:lnTo>
                <a:pt x="130" y="822"/>
              </a:lnTo>
              <a:lnTo>
                <a:pt x="152" y="822"/>
              </a:lnTo>
              <a:lnTo>
                <a:pt x="176" y="822"/>
              </a:lnTo>
              <a:lnTo>
                <a:pt x="178" y="822"/>
              </a:lnTo>
              <a:lnTo>
                <a:pt x="206" y="822"/>
              </a:lnTo>
              <a:lnTo>
                <a:pt x="210" y="822"/>
              </a:lnTo>
              <a:lnTo>
                <a:pt x="211" y="822"/>
              </a:lnTo>
              <a:lnTo>
                <a:pt x="240" y="822"/>
              </a:lnTo>
              <a:lnTo>
                <a:pt x="256" y="822"/>
              </a:lnTo>
              <a:lnTo>
                <a:pt x="258" y="822"/>
              </a:lnTo>
              <a:lnTo>
                <a:pt x="264" y="822"/>
              </a:lnTo>
              <a:lnTo>
                <a:pt x="269" y="822"/>
              </a:lnTo>
              <a:lnTo>
                <a:pt x="305" y="822"/>
              </a:lnTo>
              <a:lnTo>
                <a:pt x="340" y="823"/>
              </a:lnTo>
              <a:lnTo>
                <a:pt x="354" y="823"/>
              </a:lnTo>
              <a:lnTo>
                <a:pt x="397" y="824"/>
              </a:lnTo>
              <a:lnTo>
                <a:pt x="459" y="824"/>
              </a:lnTo>
              <a:lnTo>
                <a:pt x="478" y="824"/>
              </a:lnTo>
              <a:lnTo>
                <a:pt x="567" y="825"/>
              </a:lnTo>
              <a:lnTo>
                <a:pt x="570" y="825"/>
              </a:lnTo>
              <a:lnTo>
                <a:pt x="591" y="825"/>
              </a:lnTo>
              <a:lnTo>
                <a:pt x="596" y="825"/>
              </a:lnTo>
              <a:lnTo>
                <a:pt x="601" y="825"/>
              </a:lnTo>
              <a:lnTo>
                <a:pt x="602" y="825"/>
              </a:lnTo>
              <a:lnTo>
                <a:pt x="628" y="825"/>
              </a:lnTo>
              <a:lnTo>
                <a:pt x="636" y="825"/>
              </a:lnTo>
              <a:lnTo>
                <a:pt x="640" y="825"/>
              </a:lnTo>
              <a:lnTo>
                <a:pt x="647" y="825"/>
              </a:lnTo>
              <a:lnTo>
                <a:pt x="647" y="824"/>
              </a:lnTo>
              <a:lnTo>
                <a:pt x="654" y="735"/>
              </a:lnTo>
              <a:lnTo>
                <a:pt x="646" y="736"/>
              </a:lnTo>
              <a:lnTo>
                <a:pt x="654" y="715"/>
              </a:lnTo>
              <a:lnTo>
                <a:pt x="634" y="721"/>
              </a:lnTo>
              <a:lnTo>
                <a:pt x="642" y="706"/>
              </a:lnTo>
              <a:lnTo>
                <a:pt x="637" y="701"/>
              </a:lnTo>
              <a:lnTo>
                <a:pt x="636" y="700"/>
              </a:lnTo>
              <a:lnTo>
                <a:pt x="634" y="693"/>
              </a:lnTo>
              <a:lnTo>
                <a:pt x="654" y="659"/>
              </a:lnTo>
              <a:lnTo>
                <a:pt x="654" y="641"/>
              </a:lnTo>
              <a:lnTo>
                <a:pt x="678" y="645"/>
              </a:lnTo>
              <a:lnTo>
                <a:pt x="662" y="595"/>
              </a:lnTo>
              <a:lnTo>
                <a:pt x="678" y="586"/>
              </a:lnTo>
              <a:lnTo>
                <a:pt x="686" y="562"/>
              </a:lnTo>
              <a:lnTo>
                <a:pt x="708" y="531"/>
              </a:lnTo>
              <a:lnTo>
                <a:pt x="724" y="521"/>
              </a:lnTo>
              <a:lnTo>
                <a:pt x="721" y="506"/>
              </a:lnTo>
              <a:lnTo>
                <a:pt x="738" y="503"/>
              </a:lnTo>
              <a:lnTo>
                <a:pt x="734" y="513"/>
              </a:lnTo>
              <a:lnTo>
                <a:pt x="738" y="516"/>
              </a:lnTo>
              <a:lnTo>
                <a:pt x="758" y="466"/>
              </a:lnTo>
              <a:lnTo>
                <a:pt x="755" y="438"/>
              </a:lnTo>
              <a:lnTo>
                <a:pt x="762" y="432"/>
              </a:lnTo>
              <a:lnTo>
                <a:pt x="765" y="443"/>
              </a:lnTo>
              <a:lnTo>
                <a:pt x="778" y="429"/>
              </a:lnTo>
              <a:lnTo>
                <a:pt x="758" y="417"/>
              </a:lnTo>
              <a:lnTo>
                <a:pt x="763" y="413"/>
              </a:lnTo>
              <a:lnTo>
                <a:pt x="771" y="418"/>
              </a:lnTo>
              <a:lnTo>
                <a:pt x="780" y="413"/>
              </a:lnTo>
              <a:lnTo>
                <a:pt x="777" y="407"/>
              </a:lnTo>
              <a:lnTo>
                <a:pt x="788" y="394"/>
              </a:lnTo>
              <a:lnTo>
                <a:pt x="789" y="392"/>
              </a:lnTo>
              <a:lnTo>
                <a:pt x="792" y="389"/>
              </a:lnTo>
              <a:lnTo>
                <a:pt x="807" y="386"/>
              </a:lnTo>
              <a:lnTo>
                <a:pt x="818" y="377"/>
              </a:lnTo>
              <a:lnTo>
                <a:pt x="818" y="366"/>
              </a:lnTo>
              <a:lnTo>
                <a:pt x="807" y="355"/>
              </a:lnTo>
              <a:lnTo>
                <a:pt x="838" y="323"/>
              </a:lnTo>
              <a:lnTo>
                <a:pt x="849" y="324"/>
              </a:lnTo>
              <a:lnTo>
                <a:pt x="847" y="268"/>
              </a:lnTo>
              <a:lnTo>
                <a:pt x="841" y="257"/>
              </a:lnTo>
              <a:lnTo>
                <a:pt x="838" y="265"/>
              </a:lnTo>
              <a:lnTo>
                <a:pt x="831" y="263"/>
              </a:lnTo>
              <a:lnTo>
                <a:pt x="838" y="250"/>
              </a:lnTo>
              <a:lnTo>
                <a:pt x="855" y="235"/>
              </a:lnTo>
              <a:lnTo>
                <a:pt x="865" y="221"/>
              </a:lnTo>
              <a:lnTo>
                <a:pt x="881" y="227"/>
              </a:lnTo>
              <a:lnTo>
                <a:pt x="887" y="175"/>
              </a:lnTo>
              <a:lnTo>
                <a:pt x="911" y="140"/>
              </a:lnTo>
              <a:lnTo>
                <a:pt x="931" y="140"/>
              </a:lnTo>
              <a:lnTo>
                <a:pt x="914" y="117"/>
              </a:lnTo>
              <a:lnTo>
                <a:pt x="911" y="117"/>
              </a:lnTo>
              <a:lnTo>
                <a:pt x="881" y="117"/>
              </a:lnTo>
              <a:lnTo>
                <a:pt x="872" y="117"/>
              </a:lnTo>
              <a:lnTo>
                <a:pt x="834" y="118"/>
              </a:lnTo>
              <a:lnTo>
                <a:pt x="818" y="118"/>
              </a:lnTo>
              <a:lnTo>
                <a:pt x="810" y="118"/>
              </a:lnTo>
              <a:lnTo>
                <a:pt x="794" y="118"/>
              </a:lnTo>
              <a:lnTo>
                <a:pt x="809" y="91"/>
              </a:lnTo>
              <a:lnTo>
                <a:pt x="815" y="89"/>
              </a:lnTo>
              <a:lnTo>
                <a:pt x="829" y="70"/>
              </a:lnTo>
              <a:lnTo>
                <a:pt x="841" y="60"/>
              </a:lnTo>
              <a:lnTo>
                <a:pt x="836" y="0"/>
              </a:lnTo>
              <a:lnTo>
                <a:pt x="823" y="0"/>
              </a:lnTo>
              <a:lnTo>
                <a:pt x="818" y="0"/>
              </a:lnTo>
              <a:lnTo>
                <a:pt x="809" y="0"/>
              </a:lnTo>
              <a:lnTo>
                <a:pt x="757" y="0"/>
              </a:lnTo>
              <a:lnTo>
                <a:pt x="731" y="0"/>
              </a:lnTo>
              <a:lnTo>
                <a:pt x="728" y="0"/>
              </a:lnTo>
              <a:lnTo>
                <a:pt x="717" y="0"/>
              </a:lnTo>
              <a:lnTo>
                <a:pt x="701" y="0"/>
              </a:lnTo>
              <a:lnTo>
                <a:pt x="678" y="0"/>
              </a:lnTo>
              <a:lnTo>
                <a:pt x="654" y="0"/>
              </a:lnTo>
              <a:lnTo>
                <a:pt x="640" y="0"/>
              </a:lnTo>
              <a:lnTo>
                <a:pt x="634" y="0"/>
              </a:lnTo>
              <a:lnTo>
                <a:pt x="602" y="0"/>
              </a:lnTo>
              <a:lnTo>
                <a:pt x="601" y="0"/>
              </a:lnTo>
              <a:lnTo>
                <a:pt x="599" y="0"/>
              </a:lnTo>
              <a:lnTo>
                <a:pt x="593" y="0"/>
              </a:lnTo>
              <a:lnTo>
                <a:pt x="584" y="0"/>
              </a:lnTo>
              <a:lnTo>
                <a:pt x="575" y="0"/>
              </a:lnTo>
              <a:lnTo>
                <a:pt x="551" y="0"/>
              </a:lnTo>
              <a:lnTo>
                <a:pt x="538" y="0"/>
              </a:lnTo>
              <a:lnTo>
                <a:pt x="490" y="0"/>
              </a:lnTo>
              <a:lnTo>
                <a:pt x="468" y="0"/>
              </a:lnTo>
              <a:lnTo>
                <a:pt x="467" y="0"/>
              </a:lnTo>
              <a:lnTo>
                <a:pt x="463" y="0"/>
              </a:lnTo>
              <a:lnTo>
                <a:pt x="420" y="0"/>
              </a:lnTo>
              <a:lnTo>
                <a:pt x="408" y="0"/>
              </a:lnTo>
              <a:lnTo>
                <a:pt x="392" y="0"/>
              </a:lnTo>
              <a:lnTo>
                <a:pt x="357" y="0"/>
              </a:lnTo>
              <a:lnTo>
                <a:pt x="350" y="0"/>
              </a:lnTo>
              <a:lnTo>
                <a:pt x="346" y="0"/>
              </a:lnTo>
              <a:lnTo>
                <a:pt x="331" y="0"/>
              </a:lnTo>
              <a:lnTo>
                <a:pt x="295" y="0"/>
              </a:lnTo>
              <a:lnTo>
                <a:pt x="275" y="0"/>
              </a:lnTo>
              <a:lnTo>
                <a:pt x="249" y="0"/>
              </a:lnTo>
              <a:lnTo>
                <a:pt x="244" y="0"/>
              </a:lnTo>
              <a:lnTo>
                <a:pt x="234" y="0"/>
              </a:lnTo>
              <a:lnTo>
                <a:pt x="221" y="0"/>
              </a:lnTo>
              <a:lnTo>
                <a:pt x="194" y="0"/>
              </a:lnTo>
              <a:lnTo>
                <a:pt x="171" y="0"/>
              </a:lnTo>
              <a:lnTo>
                <a:pt x="154" y="0"/>
              </a:lnTo>
              <a:lnTo>
                <a:pt x="142" y="0"/>
              </a:lnTo>
              <a:lnTo>
                <a:pt x="129" y="0"/>
              </a:lnTo>
              <a:lnTo>
                <a:pt x="116" y="0"/>
              </a:lnTo>
              <a:lnTo>
                <a:pt x="102" y="0"/>
              </a:lnTo>
              <a:lnTo>
                <a:pt x="46" y="0"/>
              </a:lnTo>
              <a:lnTo>
                <a:pt x="23" y="0"/>
              </a:lnTo>
              <a:lnTo>
                <a:pt x="0" y="0"/>
              </a:lnTo>
              <a:lnTo>
                <a:pt x="5" y="29"/>
              </a:lnTo>
              <a:lnTo>
                <a:pt x="7" y="45"/>
              </a:lnTo>
              <a:lnTo>
                <a:pt x="11" y="79"/>
              </a:lnTo>
              <a:lnTo>
                <a:pt x="12" y="87"/>
              </a:lnTo>
              <a:lnTo>
                <a:pt x="13" y="94"/>
              </a:lnTo>
              <a:lnTo>
                <a:pt x="21" y="147"/>
              </a:lnTo>
              <a:lnTo>
                <a:pt x="23" y="165"/>
              </a:lnTo>
              <a:lnTo>
                <a:pt x="24" y="174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762000</xdr:colOff>
      <xdr:row>6</xdr:row>
      <xdr:rowOff>85725</xdr:rowOff>
    </xdr:from>
    <xdr:to>
      <xdr:col>2</xdr:col>
      <xdr:colOff>1762125</xdr:colOff>
      <xdr:row>6</xdr:row>
      <xdr:rowOff>1152525</xdr:rowOff>
    </xdr:to>
    <xdr:grpSp>
      <xdr:nvGrpSpPr>
        <xdr:cNvPr id="79" name="S_CA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pSpPr>
          <a:grpSpLocks/>
        </xdr:cNvGrpSpPr>
      </xdr:nvGrpSpPr>
      <xdr:grpSpPr bwMode="auto">
        <a:xfrm>
          <a:off x="2800350" y="6610350"/>
          <a:ext cx="1000125" cy="1066800"/>
          <a:chOff x="783810" y="1897248"/>
          <a:chExt cx="1464190" cy="1723443"/>
        </a:xfrm>
        <a:solidFill>
          <a:srgbClr val="87CEFA"/>
        </a:solidFill>
      </xdr:grpSpPr>
      <xdr:sp macro="" textlink="">
        <xdr:nvSpPr>
          <xdr:cNvPr id="80" name="myShape_CA5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SpPr>
            <a:spLocks/>
          </xdr:cNvSpPr>
        </xdr:nvSpPr>
        <xdr:spPr bwMode="auto">
          <a:xfrm>
            <a:off x="783810" y="1897248"/>
            <a:ext cx="1464190" cy="1723443"/>
          </a:xfrm>
          <a:custGeom>
            <a:avLst/>
            <a:gdLst>
              <a:gd name="T0" fmla="*/ 2147483647 w 1919"/>
              <a:gd name="T1" fmla="*/ 2147483647 h 2238"/>
              <a:gd name="T2" fmla="*/ 2147483647 w 1919"/>
              <a:gd name="T3" fmla="*/ 2147483647 h 2238"/>
              <a:gd name="T4" fmla="*/ 2147483647 w 1919"/>
              <a:gd name="T5" fmla="*/ 2147483647 h 2238"/>
              <a:gd name="T6" fmla="*/ 2147483647 w 1919"/>
              <a:gd name="T7" fmla="*/ 2147483647 h 2238"/>
              <a:gd name="T8" fmla="*/ 2147483647 w 1919"/>
              <a:gd name="T9" fmla="*/ 2147483647 h 2238"/>
              <a:gd name="T10" fmla="*/ 2147483647 w 1919"/>
              <a:gd name="T11" fmla="*/ 2147483647 h 2238"/>
              <a:gd name="T12" fmla="*/ 2147483647 w 1919"/>
              <a:gd name="T13" fmla="*/ 2147483647 h 2238"/>
              <a:gd name="T14" fmla="*/ 2147483647 w 1919"/>
              <a:gd name="T15" fmla="*/ 2147483647 h 2238"/>
              <a:gd name="T16" fmla="*/ 2147483647 w 1919"/>
              <a:gd name="T17" fmla="*/ 2147483647 h 2238"/>
              <a:gd name="T18" fmla="*/ 2147483647 w 1919"/>
              <a:gd name="T19" fmla="*/ 2147483647 h 2238"/>
              <a:gd name="T20" fmla="*/ 2147483647 w 1919"/>
              <a:gd name="T21" fmla="*/ 2147483647 h 2238"/>
              <a:gd name="T22" fmla="*/ 2147483647 w 1919"/>
              <a:gd name="T23" fmla="*/ 2147483647 h 2238"/>
              <a:gd name="T24" fmla="*/ 2147483647 w 1919"/>
              <a:gd name="T25" fmla="*/ 2147483647 h 2238"/>
              <a:gd name="T26" fmla="*/ 2147483647 w 1919"/>
              <a:gd name="T27" fmla="*/ 2147483647 h 2238"/>
              <a:gd name="T28" fmla="*/ 2147483647 w 1919"/>
              <a:gd name="T29" fmla="*/ 2147483647 h 2238"/>
              <a:gd name="T30" fmla="*/ 2147483647 w 1919"/>
              <a:gd name="T31" fmla="*/ 2147483647 h 2238"/>
              <a:gd name="T32" fmla="*/ 2147483647 w 1919"/>
              <a:gd name="T33" fmla="*/ 2147483647 h 2238"/>
              <a:gd name="T34" fmla="*/ 2147483647 w 1919"/>
              <a:gd name="T35" fmla="*/ 2147483647 h 2238"/>
              <a:gd name="T36" fmla="*/ 2147483647 w 1919"/>
              <a:gd name="T37" fmla="*/ 2147483647 h 2238"/>
              <a:gd name="T38" fmla="*/ 2147483647 w 1919"/>
              <a:gd name="T39" fmla="*/ 2147483647 h 2238"/>
              <a:gd name="T40" fmla="*/ 2147483647 w 1919"/>
              <a:gd name="T41" fmla="*/ 2147483647 h 2238"/>
              <a:gd name="T42" fmla="*/ 2147483647 w 1919"/>
              <a:gd name="T43" fmla="*/ 2147483647 h 2238"/>
              <a:gd name="T44" fmla="*/ 2147483647 w 1919"/>
              <a:gd name="T45" fmla="*/ 2147483647 h 2238"/>
              <a:gd name="T46" fmla="*/ 2147483647 w 1919"/>
              <a:gd name="T47" fmla="*/ 2147483647 h 2238"/>
              <a:gd name="T48" fmla="*/ 2147483647 w 1919"/>
              <a:gd name="T49" fmla="*/ 2147483647 h 2238"/>
              <a:gd name="T50" fmla="*/ 2147483647 w 1919"/>
              <a:gd name="T51" fmla="*/ 2147483647 h 2238"/>
              <a:gd name="T52" fmla="*/ 2147483647 w 1919"/>
              <a:gd name="T53" fmla="*/ 2147483647 h 2238"/>
              <a:gd name="T54" fmla="*/ 2147483647 w 1919"/>
              <a:gd name="T55" fmla="*/ 2147483647 h 2238"/>
              <a:gd name="T56" fmla="*/ 2147483647 w 1919"/>
              <a:gd name="T57" fmla="*/ 2147483647 h 2238"/>
              <a:gd name="T58" fmla="*/ 2147483647 w 1919"/>
              <a:gd name="T59" fmla="*/ 2147483647 h 2238"/>
              <a:gd name="T60" fmla="*/ 2147483647 w 1919"/>
              <a:gd name="T61" fmla="*/ 2147483647 h 2238"/>
              <a:gd name="T62" fmla="*/ 2147483647 w 1919"/>
              <a:gd name="T63" fmla="*/ 2147483647 h 2238"/>
              <a:gd name="T64" fmla="*/ 0 w 1919"/>
              <a:gd name="T65" fmla="*/ 2147483647 h 2238"/>
              <a:gd name="T66" fmla="*/ 2147483647 w 1919"/>
              <a:gd name="T67" fmla="*/ 2147483647 h 2238"/>
              <a:gd name="T68" fmla="*/ 2147483647 w 1919"/>
              <a:gd name="T69" fmla="*/ 2147483647 h 2238"/>
              <a:gd name="T70" fmla="*/ 2147483647 w 1919"/>
              <a:gd name="T71" fmla="*/ 2147483647 h 2238"/>
              <a:gd name="T72" fmla="*/ 2147483647 w 1919"/>
              <a:gd name="T73" fmla="*/ 2147483647 h 2238"/>
              <a:gd name="T74" fmla="*/ 2147483647 w 1919"/>
              <a:gd name="T75" fmla="*/ 2147483647 h 2238"/>
              <a:gd name="T76" fmla="*/ 2147483647 w 1919"/>
              <a:gd name="T77" fmla="*/ 2147483647 h 2238"/>
              <a:gd name="T78" fmla="*/ 2147483647 w 1919"/>
              <a:gd name="T79" fmla="*/ 2147483647 h 2238"/>
              <a:gd name="T80" fmla="*/ 2147483647 w 1919"/>
              <a:gd name="T81" fmla="*/ 2147483647 h 2238"/>
              <a:gd name="T82" fmla="*/ 2147483647 w 1919"/>
              <a:gd name="T83" fmla="*/ 2147483647 h 2238"/>
              <a:gd name="T84" fmla="*/ 2147483647 w 1919"/>
              <a:gd name="T85" fmla="*/ 2147483647 h 2238"/>
              <a:gd name="T86" fmla="*/ 2147483647 w 1919"/>
              <a:gd name="T87" fmla="*/ 2147483647 h 2238"/>
              <a:gd name="T88" fmla="*/ 2147483647 w 1919"/>
              <a:gd name="T89" fmla="*/ 2147483647 h 2238"/>
              <a:gd name="T90" fmla="*/ 2147483647 w 1919"/>
              <a:gd name="T91" fmla="*/ 2147483647 h 2238"/>
              <a:gd name="T92" fmla="*/ 2147483647 w 1919"/>
              <a:gd name="T93" fmla="*/ 2147483647 h 2238"/>
              <a:gd name="T94" fmla="*/ 2147483647 w 1919"/>
              <a:gd name="T95" fmla="*/ 2147483647 h 2238"/>
              <a:gd name="T96" fmla="*/ 2147483647 w 1919"/>
              <a:gd name="T97" fmla="*/ 2147483647 h 2238"/>
              <a:gd name="T98" fmla="*/ 2147483647 w 1919"/>
              <a:gd name="T99" fmla="*/ 2147483647 h 2238"/>
              <a:gd name="T100" fmla="*/ 2147483647 w 1919"/>
              <a:gd name="T101" fmla="*/ 2147483647 h 2238"/>
              <a:gd name="T102" fmla="*/ 2147483647 w 1919"/>
              <a:gd name="T103" fmla="*/ 2147483647 h 2238"/>
              <a:gd name="T104" fmla="*/ 2147483647 w 1919"/>
              <a:gd name="T105" fmla="*/ 2147483647 h 2238"/>
              <a:gd name="T106" fmla="*/ 2147483647 w 1919"/>
              <a:gd name="T107" fmla="*/ 2147483647 h 2238"/>
              <a:gd name="T108" fmla="*/ 2147483647 w 1919"/>
              <a:gd name="T109" fmla="*/ 2147483647 h 2238"/>
              <a:gd name="T110" fmla="*/ 2147483647 w 1919"/>
              <a:gd name="T111" fmla="*/ 2147483647 h 2238"/>
              <a:gd name="T112" fmla="*/ 2147483647 w 1919"/>
              <a:gd name="T113" fmla="*/ 2147483647 h 2238"/>
              <a:gd name="T114" fmla="*/ 2147483647 w 1919"/>
              <a:gd name="T115" fmla="*/ 2147483647 h 2238"/>
              <a:gd name="T116" fmla="*/ 2147483647 w 1919"/>
              <a:gd name="T117" fmla="*/ 2147483647 h 2238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919"/>
              <a:gd name="T178" fmla="*/ 0 h 2238"/>
              <a:gd name="T179" fmla="*/ 1919 w 1919"/>
              <a:gd name="T180" fmla="*/ 2238 h 2238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919" h="2238">
                <a:moveTo>
                  <a:pt x="1804" y="2195"/>
                </a:moveTo>
                <a:lnTo>
                  <a:pt x="1810" y="2194"/>
                </a:lnTo>
                <a:lnTo>
                  <a:pt x="1844" y="2187"/>
                </a:lnTo>
                <a:lnTo>
                  <a:pt x="1850" y="2127"/>
                </a:lnTo>
                <a:lnTo>
                  <a:pt x="1833" y="2123"/>
                </a:lnTo>
                <a:lnTo>
                  <a:pt x="1812" y="2105"/>
                </a:lnTo>
                <a:lnTo>
                  <a:pt x="1812" y="2039"/>
                </a:lnTo>
                <a:lnTo>
                  <a:pt x="1827" y="2026"/>
                </a:lnTo>
                <a:lnTo>
                  <a:pt x="1850" y="1964"/>
                </a:lnTo>
                <a:lnTo>
                  <a:pt x="1850" y="1901"/>
                </a:lnTo>
                <a:lnTo>
                  <a:pt x="1858" y="1894"/>
                </a:lnTo>
                <a:lnTo>
                  <a:pt x="1863" y="1873"/>
                </a:lnTo>
                <a:lnTo>
                  <a:pt x="1896" y="1851"/>
                </a:lnTo>
                <a:lnTo>
                  <a:pt x="1913" y="1833"/>
                </a:lnTo>
                <a:lnTo>
                  <a:pt x="1919" y="1820"/>
                </a:lnTo>
                <a:lnTo>
                  <a:pt x="1874" y="1785"/>
                </a:lnTo>
                <a:lnTo>
                  <a:pt x="1873" y="1774"/>
                </a:lnTo>
                <a:lnTo>
                  <a:pt x="1850" y="1719"/>
                </a:lnTo>
                <a:lnTo>
                  <a:pt x="1827" y="1688"/>
                </a:lnTo>
                <a:lnTo>
                  <a:pt x="1826" y="1655"/>
                </a:lnTo>
                <a:lnTo>
                  <a:pt x="1772" y="1600"/>
                </a:lnTo>
                <a:lnTo>
                  <a:pt x="1710" y="1538"/>
                </a:lnTo>
                <a:lnTo>
                  <a:pt x="1639" y="1469"/>
                </a:lnTo>
                <a:lnTo>
                  <a:pt x="1617" y="1446"/>
                </a:lnTo>
                <a:lnTo>
                  <a:pt x="1590" y="1419"/>
                </a:lnTo>
                <a:lnTo>
                  <a:pt x="1589" y="1418"/>
                </a:lnTo>
                <a:lnTo>
                  <a:pt x="1523" y="1354"/>
                </a:lnTo>
                <a:lnTo>
                  <a:pt x="1468" y="1302"/>
                </a:lnTo>
                <a:lnTo>
                  <a:pt x="1351" y="1189"/>
                </a:lnTo>
                <a:lnTo>
                  <a:pt x="1282" y="1124"/>
                </a:lnTo>
                <a:lnTo>
                  <a:pt x="1269" y="1112"/>
                </a:lnTo>
                <a:lnTo>
                  <a:pt x="1227" y="1074"/>
                </a:lnTo>
                <a:lnTo>
                  <a:pt x="1219" y="1065"/>
                </a:lnTo>
                <a:lnTo>
                  <a:pt x="1187" y="1036"/>
                </a:lnTo>
                <a:lnTo>
                  <a:pt x="1116" y="971"/>
                </a:lnTo>
                <a:lnTo>
                  <a:pt x="1055" y="916"/>
                </a:lnTo>
                <a:lnTo>
                  <a:pt x="1023" y="888"/>
                </a:lnTo>
                <a:lnTo>
                  <a:pt x="979" y="849"/>
                </a:lnTo>
                <a:lnTo>
                  <a:pt x="962" y="833"/>
                </a:lnTo>
                <a:lnTo>
                  <a:pt x="957" y="829"/>
                </a:lnTo>
                <a:lnTo>
                  <a:pt x="948" y="821"/>
                </a:lnTo>
                <a:lnTo>
                  <a:pt x="915" y="792"/>
                </a:lnTo>
                <a:lnTo>
                  <a:pt x="900" y="778"/>
                </a:lnTo>
                <a:lnTo>
                  <a:pt x="889" y="770"/>
                </a:lnTo>
                <a:lnTo>
                  <a:pt x="852" y="737"/>
                </a:lnTo>
                <a:lnTo>
                  <a:pt x="840" y="726"/>
                </a:lnTo>
                <a:lnTo>
                  <a:pt x="832" y="721"/>
                </a:lnTo>
                <a:lnTo>
                  <a:pt x="822" y="711"/>
                </a:lnTo>
                <a:lnTo>
                  <a:pt x="822" y="695"/>
                </a:lnTo>
                <a:lnTo>
                  <a:pt x="822" y="684"/>
                </a:lnTo>
                <a:lnTo>
                  <a:pt x="821" y="681"/>
                </a:lnTo>
                <a:lnTo>
                  <a:pt x="821" y="671"/>
                </a:lnTo>
                <a:lnTo>
                  <a:pt x="821" y="652"/>
                </a:lnTo>
                <a:lnTo>
                  <a:pt x="821" y="636"/>
                </a:lnTo>
                <a:lnTo>
                  <a:pt x="821" y="622"/>
                </a:lnTo>
                <a:lnTo>
                  <a:pt x="822" y="606"/>
                </a:lnTo>
                <a:lnTo>
                  <a:pt x="822" y="592"/>
                </a:lnTo>
                <a:lnTo>
                  <a:pt x="822" y="563"/>
                </a:lnTo>
                <a:lnTo>
                  <a:pt x="822" y="540"/>
                </a:lnTo>
                <a:lnTo>
                  <a:pt x="822" y="485"/>
                </a:lnTo>
                <a:lnTo>
                  <a:pt x="823" y="357"/>
                </a:lnTo>
                <a:lnTo>
                  <a:pt x="822" y="195"/>
                </a:lnTo>
                <a:lnTo>
                  <a:pt x="822" y="155"/>
                </a:lnTo>
                <a:lnTo>
                  <a:pt x="822" y="56"/>
                </a:lnTo>
                <a:lnTo>
                  <a:pt x="822" y="4"/>
                </a:lnTo>
                <a:lnTo>
                  <a:pt x="783" y="4"/>
                </a:lnTo>
                <a:lnTo>
                  <a:pt x="775" y="4"/>
                </a:lnTo>
                <a:lnTo>
                  <a:pt x="657" y="4"/>
                </a:lnTo>
                <a:lnTo>
                  <a:pt x="622" y="4"/>
                </a:lnTo>
                <a:lnTo>
                  <a:pt x="579" y="2"/>
                </a:lnTo>
                <a:lnTo>
                  <a:pt x="551" y="2"/>
                </a:lnTo>
                <a:lnTo>
                  <a:pt x="447" y="1"/>
                </a:lnTo>
                <a:lnTo>
                  <a:pt x="415" y="0"/>
                </a:lnTo>
                <a:lnTo>
                  <a:pt x="394" y="0"/>
                </a:lnTo>
                <a:lnTo>
                  <a:pt x="252" y="1"/>
                </a:lnTo>
                <a:lnTo>
                  <a:pt x="233" y="0"/>
                </a:lnTo>
                <a:lnTo>
                  <a:pt x="217" y="1"/>
                </a:lnTo>
                <a:lnTo>
                  <a:pt x="196" y="2"/>
                </a:lnTo>
                <a:lnTo>
                  <a:pt x="180" y="1"/>
                </a:lnTo>
                <a:lnTo>
                  <a:pt x="163" y="2"/>
                </a:lnTo>
                <a:lnTo>
                  <a:pt x="144" y="2"/>
                </a:lnTo>
                <a:lnTo>
                  <a:pt x="138" y="4"/>
                </a:lnTo>
                <a:lnTo>
                  <a:pt x="107" y="4"/>
                </a:lnTo>
                <a:lnTo>
                  <a:pt x="74" y="2"/>
                </a:lnTo>
                <a:lnTo>
                  <a:pt x="50" y="2"/>
                </a:lnTo>
                <a:lnTo>
                  <a:pt x="33" y="2"/>
                </a:lnTo>
                <a:lnTo>
                  <a:pt x="25" y="56"/>
                </a:lnTo>
                <a:lnTo>
                  <a:pt x="47" y="71"/>
                </a:lnTo>
                <a:lnTo>
                  <a:pt x="61" y="129"/>
                </a:lnTo>
                <a:lnTo>
                  <a:pt x="60" y="150"/>
                </a:lnTo>
                <a:lnTo>
                  <a:pt x="46" y="205"/>
                </a:lnTo>
                <a:lnTo>
                  <a:pt x="39" y="207"/>
                </a:lnTo>
                <a:lnTo>
                  <a:pt x="45" y="228"/>
                </a:lnTo>
                <a:lnTo>
                  <a:pt x="49" y="226"/>
                </a:lnTo>
                <a:lnTo>
                  <a:pt x="52" y="238"/>
                </a:lnTo>
                <a:lnTo>
                  <a:pt x="44" y="268"/>
                </a:lnTo>
                <a:lnTo>
                  <a:pt x="1" y="357"/>
                </a:lnTo>
                <a:lnTo>
                  <a:pt x="5" y="386"/>
                </a:lnTo>
                <a:lnTo>
                  <a:pt x="0" y="411"/>
                </a:lnTo>
                <a:lnTo>
                  <a:pt x="50" y="449"/>
                </a:lnTo>
                <a:lnTo>
                  <a:pt x="69" y="474"/>
                </a:lnTo>
                <a:lnTo>
                  <a:pt x="104" y="533"/>
                </a:lnTo>
                <a:lnTo>
                  <a:pt x="113" y="563"/>
                </a:lnTo>
                <a:lnTo>
                  <a:pt x="106" y="622"/>
                </a:lnTo>
                <a:lnTo>
                  <a:pt x="137" y="740"/>
                </a:lnTo>
                <a:lnTo>
                  <a:pt x="159" y="766"/>
                </a:lnTo>
                <a:lnTo>
                  <a:pt x="214" y="827"/>
                </a:lnTo>
                <a:lnTo>
                  <a:pt x="236" y="845"/>
                </a:lnTo>
                <a:lnTo>
                  <a:pt x="250" y="877"/>
                </a:lnTo>
                <a:lnTo>
                  <a:pt x="260" y="878"/>
                </a:lnTo>
                <a:lnTo>
                  <a:pt x="266" y="888"/>
                </a:lnTo>
                <a:lnTo>
                  <a:pt x="262" y="890"/>
                </a:lnTo>
                <a:lnTo>
                  <a:pt x="268" y="916"/>
                </a:lnTo>
                <a:lnTo>
                  <a:pt x="267" y="950"/>
                </a:lnTo>
                <a:lnTo>
                  <a:pt x="274" y="940"/>
                </a:lnTo>
                <a:lnTo>
                  <a:pt x="286" y="942"/>
                </a:lnTo>
                <a:lnTo>
                  <a:pt x="307" y="962"/>
                </a:lnTo>
                <a:lnTo>
                  <a:pt x="327" y="971"/>
                </a:lnTo>
                <a:lnTo>
                  <a:pt x="349" y="990"/>
                </a:lnTo>
                <a:lnTo>
                  <a:pt x="357" y="988"/>
                </a:lnTo>
                <a:lnTo>
                  <a:pt x="356" y="997"/>
                </a:lnTo>
                <a:lnTo>
                  <a:pt x="351" y="999"/>
                </a:lnTo>
                <a:lnTo>
                  <a:pt x="354" y="1016"/>
                </a:lnTo>
                <a:lnTo>
                  <a:pt x="354" y="1065"/>
                </a:lnTo>
                <a:lnTo>
                  <a:pt x="359" y="1065"/>
                </a:lnTo>
                <a:lnTo>
                  <a:pt x="371" y="1094"/>
                </a:lnTo>
                <a:lnTo>
                  <a:pt x="370" y="1124"/>
                </a:lnTo>
                <a:lnTo>
                  <a:pt x="385" y="1153"/>
                </a:lnTo>
                <a:lnTo>
                  <a:pt x="393" y="1158"/>
                </a:lnTo>
                <a:lnTo>
                  <a:pt x="412" y="1182"/>
                </a:lnTo>
                <a:lnTo>
                  <a:pt x="439" y="1195"/>
                </a:lnTo>
                <a:lnTo>
                  <a:pt x="467" y="1193"/>
                </a:lnTo>
                <a:lnTo>
                  <a:pt x="483" y="1218"/>
                </a:lnTo>
                <a:lnTo>
                  <a:pt x="480" y="1263"/>
                </a:lnTo>
                <a:lnTo>
                  <a:pt x="471" y="1277"/>
                </a:lnTo>
                <a:lnTo>
                  <a:pt x="461" y="1269"/>
                </a:lnTo>
                <a:lnTo>
                  <a:pt x="451" y="1281"/>
                </a:lnTo>
                <a:lnTo>
                  <a:pt x="477" y="1361"/>
                </a:lnTo>
                <a:lnTo>
                  <a:pt x="494" y="1370"/>
                </a:lnTo>
                <a:lnTo>
                  <a:pt x="541" y="1420"/>
                </a:lnTo>
                <a:lnTo>
                  <a:pt x="550" y="1449"/>
                </a:lnTo>
                <a:lnTo>
                  <a:pt x="569" y="1468"/>
                </a:lnTo>
                <a:lnTo>
                  <a:pt x="578" y="1490"/>
                </a:lnTo>
                <a:lnTo>
                  <a:pt x="606" y="1508"/>
                </a:lnTo>
                <a:lnTo>
                  <a:pt x="626" y="1537"/>
                </a:lnTo>
                <a:lnTo>
                  <a:pt x="655" y="1553"/>
                </a:lnTo>
                <a:lnTo>
                  <a:pt x="660" y="1567"/>
                </a:lnTo>
                <a:lnTo>
                  <a:pt x="654" y="1597"/>
                </a:lnTo>
                <a:lnTo>
                  <a:pt x="681" y="1618"/>
                </a:lnTo>
                <a:lnTo>
                  <a:pt x="703" y="1626"/>
                </a:lnTo>
                <a:lnTo>
                  <a:pt x="701" y="1661"/>
                </a:lnTo>
                <a:lnTo>
                  <a:pt x="704" y="1685"/>
                </a:lnTo>
                <a:lnTo>
                  <a:pt x="705" y="1761"/>
                </a:lnTo>
                <a:lnTo>
                  <a:pt x="751" y="1784"/>
                </a:lnTo>
                <a:lnTo>
                  <a:pt x="822" y="1783"/>
                </a:lnTo>
                <a:lnTo>
                  <a:pt x="845" y="1795"/>
                </a:lnTo>
                <a:lnTo>
                  <a:pt x="891" y="1793"/>
                </a:lnTo>
                <a:lnTo>
                  <a:pt x="920" y="1804"/>
                </a:lnTo>
                <a:lnTo>
                  <a:pt x="959" y="1833"/>
                </a:lnTo>
                <a:lnTo>
                  <a:pt x="977" y="1862"/>
                </a:lnTo>
                <a:lnTo>
                  <a:pt x="1019" y="1882"/>
                </a:lnTo>
                <a:lnTo>
                  <a:pt x="1079" y="1883"/>
                </a:lnTo>
                <a:lnTo>
                  <a:pt x="1102" y="1890"/>
                </a:lnTo>
                <a:lnTo>
                  <a:pt x="1117" y="1917"/>
                </a:lnTo>
                <a:lnTo>
                  <a:pt x="1126" y="1953"/>
                </a:lnTo>
                <a:lnTo>
                  <a:pt x="1145" y="1962"/>
                </a:lnTo>
                <a:lnTo>
                  <a:pt x="1173" y="1953"/>
                </a:lnTo>
                <a:lnTo>
                  <a:pt x="1195" y="1974"/>
                </a:lnTo>
                <a:lnTo>
                  <a:pt x="1219" y="1989"/>
                </a:lnTo>
                <a:lnTo>
                  <a:pt x="1271" y="2037"/>
                </a:lnTo>
                <a:lnTo>
                  <a:pt x="1289" y="2051"/>
                </a:lnTo>
                <a:lnTo>
                  <a:pt x="1321" y="2099"/>
                </a:lnTo>
                <a:lnTo>
                  <a:pt x="1335" y="2187"/>
                </a:lnTo>
                <a:lnTo>
                  <a:pt x="1357" y="2217"/>
                </a:lnTo>
                <a:lnTo>
                  <a:pt x="1360" y="2238"/>
                </a:lnTo>
                <a:lnTo>
                  <a:pt x="1551" y="2218"/>
                </a:lnTo>
                <a:lnTo>
                  <a:pt x="1804" y="2195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1" name="myShape_CA4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SpPr>
            <a:spLocks/>
          </xdr:cNvSpPr>
        </xdr:nvSpPr>
        <xdr:spPr bwMode="auto">
          <a:xfrm>
            <a:off x="1421074" y="3339777"/>
            <a:ext cx="53105" cy="22777"/>
          </a:xfrm>
          <a:custGeom>
            <a:avLst/>
            <a:gdLst>
              <a:gd name="T0" fmla="*/ 0 w 70"/>
              <a:gd name="T1" fmla="*/ 0 h 27"/>
              <a:gd name="T2" fmla="*/ 2147483647 w 70"/>
              <a:gd name="T3" fmla="*/ 2147483647 h 27"/>
              <a:gd name="T4" fmla="*/ 2147483647 w 70"/>
              <a:gd name="T5" fmla="*/ 0 h 27"/>
              <a:gd name="T6" fmla="*/ 2147483647 w 70"/>
              <a:gd name="T7" fmla="*/ 2147483647 h 27"/>
              <a:gd name="T8" fmla="*/ 2147483647 w 70"/>
              <a:gd name="T9" fmla="*/ 2147483647 h 27"/>
              <a:gd name="T10" fmla="*/ 2147483647 w 70"/>
              <a:gd name="T11" fmla="*/ 2147483647 h 27"/>
              <a:gd name="T12" fmla="*/ 0 w 70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70"/>
              <a:gd name="T22" fmla="*/ 0 h 27"/>
              <a:gd name="T23" fmla="*/ 70 w 70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70" h="27">
                <a:moveTo>
                  <a:pt x="0" y="0"/>
                </a:moveTo>
                <a:lnTo>
                  <a:pt x="52" y="16"/>
                </a:lnTo>
                <a:lnTo>
                  <a:pt x="63" y="7"/>
                </a:lnTo>
                <a:lnTo>
                  <a:pt x="70" y="14"/>
                </a:lnTo>
                <a:lnTo>
                  <a:pt x="63" y="21"/>
                </a:lnTo>
                <a:lnTo>
                  <a:pt x="13" y="27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2" name="myShape_CA3">
            <a:extLst>
              <a:ext uri="{FF2B5EF4-FFF2-40B4-BE49-F238E27FC236}">
                <a16:creationId xmlns:a16="http://schemas.microsoft.com/office/drawing/2014/main" id="{00000000-0008-0000-0500-000052000000}"/>
              </a:ext>
            </a:extLst>
          </xdr:cNvPr>
          <xdr:cNvSpPr>
            <a:spLocks/>
          </xdr:cNvSpPr>
        </xdr:nvSpPr>
        <xdr:spPr bwMode="auto">
          <a:xfrm>
            <a:off x="1383142" y="3347370"/>
            <a:ext cx="30346" cy="22777"/>
          </a:xfrm>
          <a:custGeom>
            <a:avLst/>
            <a:gdLst>
              <a:gd name="T0" fmla="*/ 0 w 47"/>
              <a:gd name="T1" fmla="*/ 2147483647 h 28"/>
              <a:gd name="T2" fmla="*/ 2147483647 w 47"/>
              <a:gd name="T3" fmla="*/ 2147483647 h 28"/>
              <a:gd name="T4" fmla="*/ 2147483647 w 47"/>
              <a:gd name="T5" fmla="*/ 2147483647 h 28"/>
              <a:gd name="T6" fmla="*/ 2147483647 w 47"/>
              <a:gd name="T7" fmla="*/ 2147483647 h 28"/>
              <a:gd name="T8" fmla="*/ 2147483647 w 47"/>
              <a:gd name="T9" fmla="*/ 0 h 28"/>
              <a:gd name="T10" fmla="*/ 0 w 47"/>
              <a:gd name="T11" fmla="*/ 2147483647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47"/>
              <a:gd name="T19" fmla="*/ 0 h 28"/>
              <a:gd name="T20" fmla="*/ 47 w 47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47" h="28">
                <a:moveTo>
                  <a:pt x="0" y="13"/>
                </a:moveTo>
                <a:lnTo>
                  <a:pt x="10" y="28"/>
                </a:lnTo>
                <a:lnTo>
                  <a:pt x="47" y="21"/>
                </a:lnTo>
                <a:lnTo>
                  <a:pt x="33" y="8"/>
                </a:lnTo>
                <a:lnTo>
                  <a:pt x="33" y="0"/>
                </a:lnTo>
                <a:lnTo>
                  <a:pt x="0" y="1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3" name="myShape_CA2"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SpPr>
            <a:spLocks/>
          </xdr:cNvSpPr>
        </xdr:nvSpPr>
        <xdr:spPr bwMode="auto">
          <a:xfrm>
            <a:off x="1618322" y="3446069"/>
            <a:ext cx="30346" cy="30369"/>
          </a:xfrm>
          <a:custGeom>
            <a:avLst/>
            <a:gdLst>
              <a:gd name="T0" fmla="*/ 0 w 45"/>
              <a:gd name="T1" fmla="*/ 0 h 37"/>
              <a:gd name="T2" fmla="*/ 0 w 45"/>
              <a:gd name="T3" fmla="*/ 2147483647 h 37"/>
              <a:gd name="T4" fmla="*/ 2147483647 w 45"/>
              <a:gd name="T5" fmla="*/ 2147483647 h 37"/>
              <a:gd name="T6" fmla="*/ 2147483647 w 45"/>
              <a:gd name="T7" fmla="*/ 2147483647 h 37"/>
              <a:gd name="T8" fmla="*/ 2147483647 w 45"/>
              <a:gd name="T9" fmla="*/ 2147483647 h 37"/>
              <a:gd name="T10" fmla="*/ 2147483647 w 45"/>
              <a:gd name="T11" fmla="*/ 2147483647 h 37"/>
              <a:gd name="T12" fmla="*/ 0 w 45"/>
              <a:gd name="T13" fmla="*/ 0 h 3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37"/>
              <a:gd name="T23" fmla="*/ 45 w 45"/>
              <a:gd name="T24" fmla="*/ 37 h 3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37">
                <a:moveTo>
                  <a:pt x="0" y="0"/>
                </a:moveTo>
                <a:lnTo>
                  <a:pt x="1" y="9"/>
                </a:lnTo>
                <a:lnTo>
                  <a:pt x="13" y="12"/>
                </a:lnTo>
                <a:lnTo>
                  <a:pt x="27" y="37"/>
                </a:lnTo>
                <a:lnTo>
                  <a:pt x="45" y="30"/>
                </a:lnTo>
                <a:lnTo>
                  <a:pt x="37" y="16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84" name="myShape_CA1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>
            <a:spLocks/>
          </xdr:cNvSpPr>
        </xdr:nvSpPr>
        <xdr:spPr bwMode="auto">
          <a:xfrm>
            <a:off x="1610736" y="3529584"/>
            <a:ext cx="37932" cy="37961"/>
          </a:xfrm>
          <a:custGeom>
            <a:avLst/>
            <a:gdLst>
              <a:gd name="T0" fmla="*/ 0 w 43"/>
              <a:gd name="T1" fmla="*/ 0 h 50"/>
              <a:gd name="T2" fmla="*/ 2147483647 w 43"/>
              <a:gd name="T3" fmla="*/ 2147483647 h 50"/>
              <a:gd name="T4" fmla="*/ 2147483647 w 43"/>
              <a:gd name="T5" fmla="*/ 2147483647 h 50"/>
              <a:gd name="T6" fmla="*/ 0 w 43"/>
              <a:gd name="T7" fmla="*/ 0 h 50"/>
              <a:gd name="T8" fmla="*/ 0 60000 65536"/>
              <a:gd name="T9" fmla="*/ 0 60000 65536"/>
              <a:gd name="T10" fmla="*/ 0 60000 65536"/>
              <a:gd name="T11" fmla="*/ 0 60000 65536"/>
              <a:gd name="T12" fmla="*/ 0 w 43"/>
              <a:gd name="T13" fmla="*/ 0 h 50"/>
              <a:gd name="T14" fmla="*/ 43 w 43"/>
              <a:gd name="T15" fmla="*/ 50 h 5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3" h="50">
                <a:moveTo>
                  <a:pt x="0" y="0"/>
                </a:moveTo>
                <a:lnTo>
                  <a:pt x="25" y="50"/>
                </a:lnTo>
                <a:lnTo>
                  <a:pt x="43" y="49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400049</xdr:colOff>
      <xdr:row>7</xdr:row>
      <xdr:rowOff>57149</xdr:rowOff>
    </xdr:from>
    <xdr:to>
      <xdr:col>2</xdr:col>
      <xdr:colOff>1895474</xdr:colOff>
      <xdr:row>7</xdr:row>
      <xdr:rowOff>1190624</xdr:rowOff>
    </xdr:to>
    <xdr:sp macro="" textlink="">
      <xdr:nvSpPr>
        <xdr:cNvPr id="85" name="S_CO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/>
        </xdr:cNvSpPr>
      </xdr:nvSpPr>
      <xdr:spPr bwMode="auto">
        <a:xfrm>
          <a:off x="2181224" y="7848599"/>
          <a:ext cx="1495425" cy="1133475"/>
        </a:xfrm>
        <a:custGeom>
          <a:avLst/>
          <a:gdLst>
            <a:gd name="T0" fmla="*/ 2147483647 w 1313"/>
            <a:gd name="T1" fmla="*/ 2147483647 h 947"/>
            <a:gd name="T2" fmla="*/ 2147483647 w 1313"/>
            <a:gd name="T3" fmla="*/ 2147483647 h 947"/>
            <a:gd name="T4" fmla="*/ 2147483647 w 1313"/>
            <a:gd name="T5" fmla="*/ 2147483647 h 947"/>
            <a:gd name="T6" fmla="*/ 2147483647 w 1313"/>
            <a:gd name="T7" fmla="*/ 2147483647 h 947"/>
            <a:gd name="T8" fmla="*/ 2147483647 w 1313"/>
            <a:gd name="T9" fmla="*/ 2147483647 h 947"/>
            <a:gd name="T10" fmla="*/ 2147483647 w 1313"/>
            <a:gd name="T11" fmla="*/ 2147483647 h 947"/>
            <a:gd name="T12" fmla="*/ 2147483647 w 1313"/>
            <a:gd name="T13" fmla="*/ 2147483647 h 947"/>
            <a:gd name="T14" fmla="*/ 2147483647 w 1313"/>
            <a:gd name="T15" fmla="*/ 2147483647 h 947"/>
            <a:gd name="T16" fmla="*/ 2147483647 w 1313"/>
            <a:gd name="T17" fmla="*/ 2147483647 h 947"/>
            <a:gd name="T18" fmla="*/ 2147483647 w 1313"/>
            <a:gd name="T19" fmla="*/ 2147483647 h 947"/>
            <a:gd name="T20" fmla="*/ 2147483647 w 1313"/>
            <a:gd name="T21" fmla="*/ 2147483647 h 947"/>
            <a:gd name="T22" fmla="*/ 2147483647 w 1313"/>
            <a:gd name="T23" fmla="*/ 2147483647 h 947"/>
            <a:gd name="T24" fmla="*/ 2147483647 w 1313"/>
            <a:gd name="T25" fmla="*/ 2147483647 h 947"/>
            <a:gd name="T26" fmla="*/ 2147483647 w 1313"/>
            <a:gd name="T27" fmla="*/ 2147483647 h 947"/>
            <a:gd name="T28" fmla="*/ 2147483647 w 1313"/>
            <a:gd name="T29" fmla="*/ 2147483647 h 947"/>
            <a:gd name="T30" fmla="*/ 2147483647 w 1313"/>
            <a:gd name="T31" fmla="*/ 2147483647 h 947"/>
            <a:gd name="T32" fmla="*/ 2147483647 w 1313"/>
            <a:gd name="T33" fmla="*/ 2147483647 h 947"/>
            <a:gd name="T34" fmla="*/ 2147483647 w 1313"/>
            <a:gd name="T35" fmla="*/ 2147483647 h 947"/>
            <a:gd name="T36" fmla="*/ 2147483647 w 1313"/>
            <a:gd name="T37" fmla="*/ 2147483647 h 947"/>
            <a:gd name="T38" fmla="*/ 2147483647 w 1313"/>
            <a:gd name="T39" fmla="*/ 2147483647 h 947"/>
            <a:gd name="T40" fmla="*/ 2147483647 w 1313"/>
            <a:gd name="T41" fmla="*/ 2147483647 h 947"/>
            <a:gd name="T42" fmla="*/ 2147483647 w 1313"/>
            <a:gd name="T43" fmla="*/ 2147483647 h 947"/>
            <a:gd name="T44" fmla="*/ 2147483647 w 1313"/>
            <a:gd name="T45" fmla="*/ 2147483647 h 947"/>
            <a:gd name="T46" fmla="*/ 2147483647 w 1313"/>
            <a:gd name="T47" fmla="*/ 2147483647 h 947"/>
            <a:gd name="T48" fmla="*/ 2147483647 w 1313"/>
            <a:gd name="T49" fmla="*/ 2147483647 h 947"/>
            <a:gd name="T50" fmla="*/ 2147483647 w 1313"/>
            <a:gd name="T51" fmla="*/ 2147483647 h 947"/>
            <a:gd name="T52" fmla="*/ 2147483647 w 1313"/>
            <a:gd name="T53" fmla="*/ 2147483647 h 947"/>
            <a:gd name="T54" fmla="*/ 2147483647 w 1313"/>
            <a:gd name="T55" fmla="*/ 2147483647 h 947"/>
            <a:gd name="T56" fmla="*/ 2147483647 w 1313"/>
            <a:gd name="T57" fmla="*/ 2147483647 h 947"/>
            <a:gd name="T58" fmla="*/ 0 w 1313"/>
            <a:gd name="T59" fmla="*/ 2147483647 h 947"/>
            <a:gd name="T60" fmla="*/ 0 w 1313"/>
            <a:gd name="T61" fmla="*/ 2147483647 h 947"/>
            <a:gd name="T62" fmla="*/ 2147483647 w 1313"/>
            <a:gd name="T63" fmla="*/ 2147483647 h 947"/>
            <a:gd name="T64" fmla="*/ 2147483647 w 1313"/>
            <a:gd name="T65" fmla="*/ 2147483647 h 947"/>
            <a:gd name="T66" fmla="*/ 2147483647 w 1313"/>
            <a:gd name="T67" fmla="*/ 2147483647 h 947"/>
            <a:gd name="T68" fmla="*/ 2147483647 w 1313"/>
            <a:gd name="T69" fmla="*/ 2147483647 h 947"/>
            <a:gd name="T70" fmla="*/ 2147483647 w 1313"/>
            <a:gd name="T71" fmla="*/ 2147483647 h 947"/>
            <a:gd name="T72" fmla="*/ 2147483647 w 1313"/>
            <a:gd name="T73" fmla="*/ 2147483647 h 947"/>
            <a:gd name="T74" fmla="*/ 2147483647 w 1313"/>
            <a:gd name="T75" fmla="*/ 2147483647 h 947"/>
            <a:gd name="T76" fmla="*/ 2147483647 w 1313"/>
            <a:gd name="T77" fmla="*/ 0 h 947"/>
            <a:gd name="T78" fmla="*/ 2147483647 w 1313"/>
            <a:gd name="T79" fmla="*/ 0 h 947"/>
            <a:gd name="T80" fmla="*/ 2147483647 w 1313"/>
            <a:gd name="T81" fmla="*/ 0 h 947"/>
            <a:gd name="T82" fmla="*/ 2147483647 w 1313"/>
            <a:gd name="T83" fmla="*/ 0 h 947"/>
            <a:gd name="T84" fmla="*/ 2147483647 w 1313"/>
            <a:gd name="T85" fmla="*/ 0 h 947"/>
            <a:gd name="T86" fmla="*/ 2147483647 w 1313"/>
            <a:gd name="T87" fmla="*/ 0 h 947"/>
            <a:gd name="T88" fmla="*/ 2147483647 w 1313"/>
            <a:gd name="T89" fmla="*/ 2147483647 h 947"/>
            <a:gd name="T90" fmla="*/ 2147483647 w 1313"/>
            <a:gd name="T91" fmla="*/ 2147483647 h 947"/>
            <a:gd name="T92" fmla="*/ 2147483647 w 1313"/>
            <a:gd name="T93" fmla="*/ 2147483647 h 947"/>
            <a:gd name="T94" fmla="*/ 2147483647 w 1313"/>
            <a:gd name="T95" fmla="*/ 2147483647 h 947"/>
            <a:gd name="T96" fmla="*/ 2147483647 w 1313"/>
            <a:gd name="T97" fmla="*/ 2147483647 h 947"/>
            <a:gd name="T98" fmla="*/ 2147483647 w 1313"/>
            <a:gd name="T99" fmla="*/ 0 h 947"/>
            <a:gd name="T100" fmla="*/ 2147483647 w 1313"/>
            <a:gd name="T101" fmla="*/ 0 h 947"/>
            <a:gd name="T102" fmla="*/ 2147483647 w 1313"/>
            <a:gd name="T103" fmla="*/ 0 h 947"/>
            <a:gd name="T104" fmla="*/ 2147483647 w 1313"/>
            <a:gd name="T105" fmla="*/ 0 h 947"/>
            <a:gd name="T106" fmla="*/ 2147483647 w 1313"/>
            <a:gd name="T107" fmla="*/ 0 h 947"/>
            <a:gd name="T108" fmla="*/ 2147483647 w 1313"/>
            <a:gd name="T109" fmla="*/ 2147483647 h 947"/>
            <a:gd name="T110" fmla="*/ 2147483647 w 1313"/>
            <a:gd name="T111" fmla="*/ 2147483647 h 947"/>
            <a:gd name="T112" fmla="*/ 2147483647 w 1313"/>
            <a:gd name="T113" fmla="*/ 2147483647 h 947"/>
            <a:gd name="T114" fmla="*/ 2147483647 w 1313"/>
            <a:gd name="T115" fmla="*/ 2147483647 h 947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1313"/>
            <a:gd name="T175" fmla="*/ 0 h 947"/>
            <a:gd name="T176" fmla="*/ 1313 w 1313"/>
            <a:gd name="T177" fmla="*/ 947 h 947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1313" h="947">
              <a:moveTo>
                <a:pt x="1311" y="337"/>
              </a:moveTo>
              <a:lnTo>
                <a:pt x="1311" y="338"/>
              </a:lnTo>
              <a:lnTo>
                <a:pt x="1312" y="354"/>
              </a:lnTo>
              <a:lnTo>
                <a:pt x="1312" y="384"/>
              </a:lnTo>
              <a:lnTo>
                <a:pt x="1312" y="441"/>
              </a:lnTo>
              <a:lnTo>
                <a:pt x="1312" y="443"/>
              </a:lnTo>
              <a:lnTo>
                <a:pt x="1312" y="455"/>
              </a:lnTo>
              <a:lnTo>
                <a:pt x="1312" y="461"/>
              </a:lnTo>
              <a:lnTo>
                <a:pt x="1312" y="473"/>
              </a:lnTo>
              <a:lnTo>
                <a:pt x="1312" y="520"/>
              </a:lnTo>
              <a:lnTo>
                <a:pt x="1312" y="545"/>
              </a:lnTo>
              <a:lnTo>
                <a:pt x="1312" y="562"/>
              </a:lnTo>
              <a:lnTo>
                <a:pt x="1312" y="564"/>
              </a:lnTo>
              <a:lnTo>
                <a:pt x="1312" y="605"/>
              </a:lnTo>
              <a:lnTo>
                <a:pt x="1312" y="621"/>
              </a:lnTo>
              <a:lnTo>
                <a:pt x="1312" y="645"/>
              </a:lnTo>
              <a:lnTo>
                <a:pt x="1312" y="647"/>
              </a:lnTo>
              <a:lnTo>
                <a:pt x="1312" y="679"/>
              </a:lnTo>
              <a:lnTo>
                <a:pt x="1312" y="709"/>
              </a:lnTo>
              <a:lnTo>
                <a:pt x="1313" y="770"/>
              </a:lnTo>
              <a:lnTo>
                <a:pt x="1313" y="793"/>
              </a:lnTo>
              <a:lnTo>
                <a:pt x="1313" y="797"/>
              </a:lnTo>
              <a:lnTo>
                <a:pt x="1313" y="827"/>
              </a:lnTo>
              <a:lnTo>
                <a:pt x="1313" y="854"/>
              </a:lnTo>
              <a:lnTo>
                <a:pt x="1313" y="886"/>
              </a:lnTo>
              <a:lnTo>
                <a:pt x="1313" y="916"/>
              </a:lnTo>
              <a:lnTo>
                <a:pt x="1313" y="947"/>
              </a:lnTo>
              <a:lnTo>
                <a:pt x="1204" y="946"/>
              </a:lnTo>
              <a:lnTo>
                <a:pt x="1178" y="945"/>
              </a:lnTo>
              <a:lnTo>
                <a:pt x="1133" y="945"/>
              </a:lnTo>
              <a:lnTo>
                <a:pt x="1117" y="945"/>
              </a:lnTo>
              <a:lnTo>
                <a:pt x="1074" y="945"/>
              </a:lnTo>
              <a:lnTo>
                <a:pt x="1064" y="945"/>
              </a:lnTo>
              <a:lnTo>
                <a:pt x="945" y="946"/>
              </a:lnTo>
              <a:lnTo>
                <a:pt x="877" y="947"/>
              </a:lnTo>
              <a:lnTo>
                <a:pt x="772" y="947"/>
              </a:lnTo>
              <a:lnTo>
                <a:pt x="731" y="946"/>
              </a:lnTo>
              <a:lnTo>
                <a:pt x="718" y="946"/>
              </a:lnTo>
              <a:lnTo>
                <a:pt x="625" y="946"/>
              </a:lnTo>
              <a:lnTo>
                <a:pt x="620" y="946"/>
              </a:lnTo>
              <a:lnTo>
                <a:pt x="596" y="946"/>
              </a:lnTo>
              <a:lnTo>
                <a:pt x="571" y="946"/>
              </a:lnTo>
              <a:lnTo>
                <a:pt x="484" y="947"/>
              </a:lnTo>
              <a:lnTo>
                <a:pt x="307" y="945"/>
              </a:lnTo>
              <a:lnTo>
                <a:pt x="302" y="945"/>
              </a:lnTo>
              <a:lnTo>
                <a:pt x="295" y="945"/>
              </a:lnTo>
              <a:lnTo>
                <a:pt x="293" y="945"/>
              </a:lnTo>
              <a:lnTo>
                <a:pt x="175" y="945"/>
              </a:lnTo>
              <a:lnTo>
                <a:pt x="127" y="945"/>
              </a:lnTo>
              <a:lnTo>
                <a:pt x="73" y="945"/>
              </a:lnTo>
              <a:lnTo>
                <a:pt x="58" y="946"/>
              </a:lnTo>
              <a:lnTo>
                <a:pt x="3" y="946"/>
              </a:lnTo>
              <a:lnTo>
                <a:pt x="3" y="831"/>
              </a:lnTo>
              <a:lnTo>
                <a:pt x="3" y="827"/>
              </a:lnTo>
              <a:lnTo>
                <a:pt x="3" y="768"/>
              </a:lnTo>
              <a:lnTo>
                <a:pt x="3" y="737"/>
              </a:lnTo>
              <a:lnTo>
                <a:pt x="3" y="709"/>
              </a:lnTo>
              <a:lnTo>
                <a:pt x="3" y="672"/>
              </a:lnTo>
              <a:lnTo>
                <a:pt x="3" y="670"/>
              </a:lnTo>
              <a:lnTo>
                <a:pt x="0" y="644"/>
              </a:lnTo>
              <a:lnTo>
                <a:pt x="0" y="591"/>
              </a:lnTo>
              <a:lnTo>
                <a:pt x="0" y="532"/>
              </a:lnTo>
              <a:lnTo>
                <a:pt x="2" y="473"/>
              </a:lnTo>
              <a:lnTo>
                <a:pt x="2" y="386"/>
              </a:lnTo>
              <a:lnTo>
                <a:pt x="2" y="384"/>
              </a:lnTo>
              <a:lnTo>
                <a:pt x="2" y="355"/>
              </a:lnTo>
              <a:lnTo>
                <a:pt x="2" y="354"/>
              </a:lnTo>
              <a:lnTo>
                <a:pt x="2" y="325"/>
              </a:lnTo>
              <a:lnTo>
                <a:pt x="2" y="317"/>
              </a:lnTo>
              <a:lnTo>
                <a:pt x="2" y="266"/>
              </a:lnTo>
              <a:lnTo>
                <a:pt x="2" y="236"/>
              </a:lnTo>
              <a:lnTo>
                <a:pt x="2" y="184"/>
              </a:lnTo>
              <a:lnTo>
                <a:pt x="2" y="133"/>
              </a:lnTo>
              <a:lnTo>
                <a:pt x="2" y="89"/>
              </a:lnTo>
              <a:lnTo>
                <a:pt x="2" y="82"/>
              </a:lnTo>
              <a:lnTo>
                <a:pt x="2" y="60"/>
              </a:lnTo>
              <a:lnTo>
                <a:pt x="2" y="30"/>
              </a:lnTo>
              <a:lnTo>
                <a:pt x="2" y="0"/>
              </a:lnTo>
              <a:lnTo>
                <a:pt x="49" y="0"/>
              </a:lnTo>
              <a:lnTo>
                <a:pt x="165" y="0"/>
              </a:lnTo>
              <a:lnTo>
                <a:pt x="214" y="0"/>
              </a:lnTo>
              <a:lnTo>
                <a:pt x="268" y="0"/>
              </a:lnTo>
              <a:lnTo>
                <a:pt x="316" y="0"/>
              </a:lnTo>
              <a:lnTo>
                <a:pt x="326" y="0"/>
              </a:lnTo>
              <a:lnTo>
                <a:pt x="406" y="0"/>
              </a:lnTo>
              <a:lnTo>
                <a:pt x="412" y="0"/>
              </a:lnTo>
              <a:lnTo>
                <a:pt x="479" y="0"/>
              </a:lnTo>
              <a:lnTo>
                <a:pt x="502" y="0"/>
              </a:lnTo>
              <a:lnTo>
                <a:pt x="513" y="1"/>
              </a:lnTo>
              <a:lnTo>
                <a:pt x="519" y="1"/>
              </a:lnTo>
              <a:lnTo>
                <a:pt x="534" y="1"/>
              </a:lnTo>
              <a:lnTo>
                <a:pt x="537" y="1"/>
              </a:lnTo>
              <a:lnTo>
                <a:pt x="560" y="1"/>
              </a:lnTo>
              <a:lnTo>
                <a:pt x="676" y="1"/>
              </a:lnTo>
              <a:lnTo>
                <a:pt x="707" y="1"/>
              </a:lnTo>
              <a:lnTo>
                <a:pt x="713" y="1"/>
              </a:lnTo>
              <a:lnTo>
                <a:pt x="736" y="1"/>
              </a:lnTo>
              <a:lnTo>
                <a:pt x="771" y="1"/>
              </a:lnTo>
              <a:lnTo>
                <a:pt x="783" y="1"/>
              </a:lnTo>
              <a:lnTo>
                <a:pt x="827" y="0"/>
              </a:lnTo>
              <a:lnTo>
                <a:pt x="936" y="0"/>
              </a:lnTo>
              <a:lnTo>
                <a:pt x="1017" y="0"/>
              </a:lnTo>
              <a:lnTo>
                <a:pt x="1027" y="0"/>
              </a:lnTo>
              <a:lnTo>
                <a:pt x="1026" y="0"/>
              </a:lnTo>
              <a:lnTo>
                <a:pt x="1063" y="0"/>
              </a:lnTo>
              <a:lnTo>
                <a:pt x="1199" y="0"/>
              </a:lnTo>
              <a:lnTo>
                <a:pt x="1204" y="0"/>
              </a:lnTo>
              <a:lnTo>
                <a:pt x="1205" y="0"/>
              </a:lnTo>
              <a:lnTo>
                <a:pt x="1311" y="0"/>
              </a:lnTo>
              <a:lnTo>
                <a:pt x="1311" y="60"/>
              </a:lnTo>
              <a:lnTo>
                <a:pt x="1311" y="72"/>
              </a:lnTo>
              <a:lnTo>
                <a:pt x="1311" y="89"/>
              </a:lnTo>
              <a:lnTo>
                <a:pt x="1311" y="119"/>
              </a:lnTo>
              <a:lnTo>
                <a:pt x="1311" y="133"/>
              </a:lnTo>
              <a:lnTo>
                <a:pt x="1311" y="154"/>
              </a:lnTo>
              <a:lnTo>
                <a:pt x="1311" y="235"/>
              </a:lnTo>
              <a:lnTo>
                <a:pt x="1311" y="33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8</xdr:row>
      <xdr:rowOff>95250</xdr:rowOff>
    </xdr:from>
    <xdr:to>
      <xdr:col>2</xdr:col>
      <xdr:colOff>1704975</xdr:colOff>
      <xdr:row>8</xdr:row>
      <xdr:rowOff>1190625</xdr:rowOff>
    </xdr:to>
    <xdr:sp macro="" textlink="">
      <xdr:nvSpPr>
        <xdr:cNvPr id="86" name="S_CT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/>
        </xdr:cNvSpPr>
      </xdr:nvSpPr>
      <xdr:spPr bwMode="auto">
        <a:xfrm>
          <a:off x="2247900" y="9153525"/>
          <a:ext cx="1238250" cy="1095375"/>
        </a:xfrm>
        <a:custGeom>
          <a:avLst/>
          <a:gdLst>
            <a:gd name="T0" fmla="*/ 2147483647 w 363"/>
            <a:gd name="T1" fmla="*/ 2147483647 h 252"/>
            <a:gd name="T2" fmla="*/ 2147483647 w 363"/>
            <a:gd name="T3" fmla="*/ 2147483647 h 252"/>
            <a:gd name="T4" fmla="*/ 2147483647 w 363"/>
            <a:gd name="T5" fmla="*/ 2147483647 h 252"/>
            <a:gd name="T6" fmla="*/ 2147483647 w 363"/>
            <a:gd name="T7" fmla="*/ 2147483647 h 252"/>
            <a:gd name="T8" fmla="*/ 2147483647 w 363"/>
            <a:gd name="T9" fmla="*/ 2147483647 h 252"/>
            <a:gd name="T10" fmla="*/ 2147483647 w 363"/>
            <a:gd name="T11" fmla="*/ 2147483647 h 252"/>
            <a:gd name="T12" fmla="*/ 2147483647 w 363"/>
            <a:gd name="T13" fmla="*/ 2147483647 h 252"/>
            <a:gd name="T14" fmla="*/ 2147483647 w 363"/>
            <a:gd name="T15" fmla="*/ 2147483647 h 252"/>
            <a:gd name="T16" fmla="*/ 2147483647 w 363"/>
            <a:gd name="T17" fmla="*/ 2147483647 h 252"/>
            <a:gd name="T18" fmla="*/ 2147483647 w 363"/>
            <a:gd name="T19" fmla="*/ 2147483647 h 252"/>
            <a:gd name="T20" fmla="*/ 2147483647 w 363"/>
            <a:gd name="T21" fmla="*/ 2147483647 h 252"/>
            <a:gd name="T22" fmla="*/ 2147483647 w 363"/>
            <a:gd name="T23" fmla="*/ 2147483647 h 252"/>
            <a:gd name="T24" fmla="*/ 2147483647 w 363"/>
            <a:gd name="T25" fmla="*/ 2147483647 h 252"/>
            <a:gd name="T26" fmla="*/ 2147483647 w 363"/>
            <a:gd name="T27" fmla="*/ 2147483647 h 252"/>
            <a:gd name="T28" fmla="*/ 2147483647 w 363"/>
            <a:gd name="T29" fmla="*/ 2147483647 h 252"/>
            <a:gd name="T30" fmla="*/ 2147483647 w 363"/>
            <a:gd name="T31" fmla="*/ 2147483647 h 252"/>
            <a:gd name="T32" fmla="*/ 2147483647 w 363"/>
            <a:gd name="T33" fmla="*/ 2147483647 h 252"/>
            <a:gd name="T34" fmla="*/ 2147483647 w 363"/>
            <a:gd name="T35" fmla="*/ 2147483647 h 252"/>
            <a:gd name="T36" fmla="*/ 2147483647 w 363"/>
            <a:gd name="T37" fmla="*/ 2147483647 h 252"/>
            <a:gd name="T38" fmla="*/ 2147483647 w 363"/>
            <a:gd name="T39" fmla="*/ 2147483647 h 252"/>
            <a:gd name="T40" fmla="*/ 2147483647 w 363"/>
            <a:gd name="T41" fmla="*/ 2147483647 h 252"/>
            <a:gd name="T42" fmla="*/ 2147483647 w 363"/>
            <a:gd name="T43" fmla="*/ 2147483647 h 252"/>
            <a:gd name="T44" fmla="*/ 2147483647 w 363"/>
            <a:gd name="T45" fmla="*/ 2147483647 h 252"/>
            <a:gd name="T46" fmla="*/ 2147483647 w 363"/>
            <a:gd name="T47" fmla="*/ 2147483647 h 252"/>
            <a:gd name="T48" fmla="*/ 2147483647 w 363"/>
            <a:gd name="T49" fmla="*/ 2147483647 h 252"/>
            <a:gd name="T50" fmla="*/ 2147483647 w 363"/>
            <a:gd name="T51" fmla="*/ 2147483647 h 252"/>
            <a:gd name="T52" fmla="*/ 2147483647 w 363"/>
            <a:gd name="T53" fmla="*/ 2147483647 h 252"/>
            <a:gd name="T54" fmla="*/ 2147483647 w 363"/>
            <a:gd name="T55" fmla="*/ 2147483647 h 252"/>
            <a:gd name="T56" fmla="*/ 2147483647 w 363"/>
            <a:gd name="T57" fmla="*/ 2147483647 h 252"/>
            <a:gd name="T58" fmla="*/ 2147483647 w 363"/>
            <a:gd name="T59" fmla="*/ 2147483647 h 252"/>
            <a:gd name="T60" fmla="*/ 2147483647 w 363"/>
            <a:gd name="T61" fmla="*/ 2147483647 h 252"/>
            <a:gd name="T62" fmla="*/ 2147483647 w 363"/>
            <a:gd name="T63" fmla="*/ 2147483647 h 252"/>
            <a:gd name="T64" fmla="*/ 2147483647 w 363"/>
            <a:gd name="T65" fmla="*/ 2147483647 h 252"/>
            <a:gd name="T66" fmla="*/ 2147483647 w 363"/>
            <a:gd name="T67" fmla="*/ 2147483647 h 252"/>
            <a:gd name="T68" fmla="*/ 2147483647 w 363"/>
            <a:gd name="T69" fmla="*/ 2147483647 h 252"/>
            <a:gd name="T70" fmla="*/ 2147483647 w 363"/>
            <a:gd name="T71" fmla="*/ 0 h 252"/>
            <a:gd name="T72" fmla="*/ 2147483647 w 363"/>
            <a:gd name="T73" fmla="*/ 2147483647 h 252"/>
            <a:gd name="T74" fmla="*/ 2147483647 w 363"/>
            <a:gd name="T75" fmla="*/ 2147483647 h 252"/>
            <a:gd name="T76" fmla="*/ 2147483647 w 363"/>
            <a:gd name="T77" fmla="*/ 2147483647 h 252"/>
            <a:gd name="T78" fmla="*/ 2147483647 w 363"/>
            <a:gd name="T79" fmla="*/ 2147483647 h 252"/>
            <a:gd name="T80" fmla="*/ 2147483647 w 363"/>
            <a:gd name="T81" fmla="*/ 2147483647 h 252"/>
            <a:gd name="T82" fmla="*/ 2147483647 w 363"/>
            <a:gd name="T83" fmla="*/ 2147483647 h 252"/>
            <a:gd name="T84" fmla="*/ 2147483647 w 363"/>
            <a:gd name="T85" fmla="*/ 2147483647 h 252"/>
            <a:gd name="T86" fmla="*/ 2147483647 w 363"/>
            <a:gd name="T87" fmla="*/ 2147483647 h 252"/>
            <a:gd name="T88" fmla="*/ 2147483647 w 363"/>
            <a:gd name="T89" fmla="*/ 2147483647 h 252"/>
            <a:gd name="T90" fmla="*/ 2147483647 w 363"/>
            <a:gd name="T91" fmla="*/ 2147483647 h 252"/>
            <a:gd name="T92" fmla="*/ 2147483647 w 363"/>
            <a:gd name="T93" fmla="*/ 2147483647 h 252"/>
            <a:gd name="T94" fmla="*/ 0 w 363"/>
            <a:gd name="T95" fmla="*/ 2147483647 h 252"/>
            <a:gd name="T96" fmla="*/ 2147483647 w 363"/>
            <a:gd name="T97" fmla="*/ 2147483647 h 252"/>
            <a:gd name="T98" fmla="*/ 2147483647 w 363"/>
            <a:gd name="T99" fmla="*/ 2147483647 h 252"/>
            <a:gd name="T100" fmla="*/ 2147483647 w 363"/>
            <a:gd name="T101" fmla="*/ 2147483647 h 252"/>
            <a:gd name="T102" fmla="*/ 2147483647 w 363"/>
            <a:gd name="T103" fmla="*/ 2147483647 h 252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363"/>
            <a:gd name="T157" fmla="*/ 0 h 252"/>
            <a:gd name="T158" fmla="*/ 363 w 363"/>
            <a:gd name="T159" fmla="*/ 252 h 252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363" h="252">
              <a:moveTo>
                <a:pt x="116" y="209"/>
              </a:moveTo>
              <a:lnTo>
                <a:pt x="142" y="189"/>
              </a:lnTo>
              <a:lnTo>
                <a:pt x="183" y="190"/>
              </a:lnTo>
              <a:lnTo>
                <a:pt x="206" y="185"/>
              </a:lnTo>
              <a:lnTo>
                <a:pt x="223" y="189"/>
              </a:lnTo>
              <a:lnTo>
                <a:pt x="228" y="188"/>
              </a:lnTo>
              <a:lnTo>
                <a:pt x="260" y="184"/>
              </a:lnTo>
              <a:lnTo>
                <a:pt x="323" y="175"/>
              </a:lnTo>
              <a:lnTo>
                <a:pt x="338" y="171"/>
              </a:lnTo>
              <a:lnTo>
                <a:pt x="342" y="171"/>
              </a:lnTo>
              <a:lnTo>
                <a:pt x="347" y="172"/>
              </a:lnTo>
              <a:lnTo>
                <a:pt x="360" y="149"/>
              </a:lnTo>
              <a:lnTo>
                <a:pt x="361" y="108"/>
              </a:lnTo>
              <a:lnTo>
                <a:pt x="363" y="100"/>
              </a:lnTo>
              <a:lnTo>
                <a:pt x="363" y="97"/>
              </a:lnTo>
              <a:lnTo>
                <a:pt x="363" y="94"/>
              </a:lnTo>
              <a:lnTo>
                <a:pt x="363" y="91"/>
              </a:lnTo>
              <a:lnTo>
                <a:pt x="361" y="77"/>
              </a:lnTo>
              <a:lnTo>
                <a:pt x="361" y="71"/>
              </a:lnTo>
              <a:lnTo>
                <a:pt x="360" y="28"/>
              </a:lnTo>
              <a:lnTo>
                <a:pt x="360" y="10"/>
              </a:lnTo>
              <a:lnTo>
                <a:pt x="359" y="6"/>
              </a:lnTo>
              <a:lnTo>
                <a:pt x="309" y="6"/>
              </a:lnTo>
              <a:lnTo>
                <a:pt x="304" y="5"/>
              </a:lnTo>
              <a:lnTo>
                <a:pt x="302" y="5"/>
              </a:lnTo>
              <a:lnTo>
                <a:pt x="299" y="5"/>
              </a:lnTo>
              <a:lnTo>
                <a:pt x="297" y="5"/>
              </a:lnTo>
              <a:lnTo>
                <a:pt x="263" y="5"/>
              </a:lnTo>
              <a:lnTo>
                <a:pt x="253" y="4"/>
              </a:lnTo>
              <a:lnTo>
                <a:pt x="228" y="4"/>
              </a:lnTo>
              <a:lnTo>
                <a:pt x="170" y="12"/>
              </a:lnTo>
              <a:lnTo>
                <a:pt x="170" y="4"/>
              </a:lnTo>
              <a:lnTo>
                <a:pt x="134" y="3"/>
              </a:lnTo>
              <a:lnTo>
                <a:pt x="126" y="3"/>
              </a:lnTo>
              <a:lnTo>
                <a:pt x="65" y="1"/>
              </a:lnTo>
              <a:lnTo>
                <a:pt x="54" y="0"/>
              </a:lnTo>
              <a:lnTo>
                <a:pt x="45" y="1"/>
              </a:lnTo>
              <a:lnTo>
                <a:pt x="44" y="12"/>
              </a:lnTo>
              <a:lnTo>
                <a:pt x="40" y="71"/>
              </a:lnTo>
              <a:lnTo>
                <a:pt x="38" y="91"/>
              </a:lnTo>
              <a:lnTo>
                <a:pt x="38" y="100"/>
              </a:lnTo>
              <a:lnTo>
                <a:pt x="37" y="106"/>
              </a:lnTo>
              <a:lnTo>
                <a:pt x="36" y="124"/>
              </a:lnTo>
              <a:lnTo>
                <a:pt x="35" y="146"/>
              </a:lnTo>
              <a:lnTo>
                <a:pt x="35" y="152"/>
              </a:lnTo>
              <a:lnTo>
                <a:pt x="34" y="161"/>
              </a:lnTo>
              <a:lnTo>
                <a:pt x="46" y="198"/>
              </a:lnTo>
              <a:lnTo>
                <a:pt x="0" y="224"/>
              </a:lnTo>
              <a:lnTo>
                <a:pt x="14" y="252"/>
              </a:lnTo>
              <a:lnTo>
                <a:pt x="63" y="234"/>
              </a:lnTo>
              <a:lnTo>
                <a:pt x="89" y="218"/>
              </a:lnTo>
              <a:lnTo>
                <a:pt x="116" y="20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800099</xdr:colOff>
      <xdr:row>9</xdr:row>
      <xdr:rowOff>114300</xdr:rowOff>
    </xdr:from>
    <xdr:to>
      <xdr:col>2</xdr:col>
      <xdr:colOff>1609724</xdr:colOff>
      <xdr:row>9</xdr:row>
      <xdr:rowOff>1181100</xdr:rowOff>
    </xdr:to>
    <xdr:sp macro="" textlink="">
      <xdr:nvSpPr>
        <xdr:cNvPr id="87" name="S_DE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/>
        </xdr:cNvSpPr>
      </xdr:nvSpPr>
      <xdr:spPr bwMode="auto">
        <a:xfrm>
          <a:off x="2581274" y="10439400"/>
          <a:ext cx="809625" cy="1066800"/>
        </a:xfrm>
        <a:custGeom>
          <a:avLst/>
          <a:gdLst>
            <a:gd name="T0" fmla="*/ 2147483647 w 139"/>
            <a:gd name="T1" fmla="*/ 2147483647 h 327"/>
            <a:gd name="T2" fmla="*/ 2147483647 w 139"/>
            <a:gd name="T3" fmla="*/ 2147483647 h 327"/>
            <a:gd name="T4" fmla="*/ 2147483647 w 139"/>
            <a:gd name="T5" fmla="*/ 2147483647 h 327"/>
            <a:gd name="T6" fmla="*/ 2147483647 w 139"/>
            <a:gd name="T7" fmla="*/ 2147483647 h 327"/>
            <a:gd name="T8" fmla="*/ 2147483647 w 139"/>
            <a:gd name="T9" fmla="*/ 2147483647 h 327"/>
            <a:gd name="T10" fmla="*/ 2147483647 w 139"/>
            <a:gd name="T11" fmla="*/ 2147483647 h 327"/>
            <a:gd name="T12" fmla="*/ 2147483647 w 139"/>
            <a:gd name="T13" fmla="*/ 2147483647 h 327"/>
            <a:gd name="T14" fmla="*/ 2147483647 w 139"/>
            <a:gd name="T15" fmla="*/ 2147483647 h 327"/>
            <a:gd name="T16" fmla="*/ 2147483647 w 139"/>
            <a:gd name="T17" fmla="*/ 2147483647 h 327"/>
            <a:gd name="T18" fmla="*/ 2147483647 w 139"/>
            <a:gd name="T19" fmla="*/ 0 h 327"/>
            <a:gd name="T20" fmla="*/ 2147483647 w 139"/>
            <a:gd name="T21" fmla="*/ 0 h 327"/>
            <a:gd name="T22" fmla="*/ 0 w 139"/>
            <a:gd name="T23" fmla="*/ 2147483647 h 327"/>
            <a:gd name="T24" fmla="*/ 0 w 139"/>
            <a:gd name="T25" fmla="*/ 2147483647 h 327"/>
            <a:gd name="T26" fmla="*/ 0 w 139"/>
            <a:gd name="T27" fmla="*/ 2147483647 h 327"/>
            <a:gd name="T28" fmla="*/ 0 w 139"/>
            <a:gd name="T29" fmla="*/ 2147483647 h 327"/>
            <a:gd name="T30" fmla="*/ 0 w 139"/>
            <a:gd name="T31" fmla="*/ 2147483647 h 327"/>
            <a:gd name="T32" fmla="*/ 0 w 139"/>
            <a:gd name="T33" fmla="*/ 2147483647 h 327"/>
            <a:gd name="T34" fmla="*/ 0 w 139"/>
            <a:gd name="T35" fmla="*/ 2147483647 h 327"/>
            <a:gd name="T36" fmla="*/ 0 w 139"/>
            <a:gd name="T37" fmla="*/ 2147483647 h 327"/>
            <a:gd name="T38" fmla="*/ 0 w 139"/>
            <a:gd name="T39" fmla="*/ 2147483647 h 327"/>
            <a:gd name="T40" fmla="*/ 0 w 139"/>
            <a:gd name="T41" fmla="*/ 2147483647 h 327"/>
            <a:gd name="T42" fmla="*/ 0 w 139"/>
            <a:gd name="T43" fmla="*/ 2147483647 h 327"/>
            <a:gd name="T44" fmla="*/ 0 w 139"/>
            <a:gd name="T45" fmla="*/ 2147483647 h 327"/>
            <a:gd name="T46" fmla="*/ 0 w 139"/>
            <a:gd name="T47" fmla="*/ 2147483647 h 327"/>
            <a:gd name="T48" fmla="*/ 0 w 139"/>
            <a:gd name="T49" fmla="*/ 2147483647 h 327"/>
            <a:gd name="T50" fmla="*/ 2147483647 w 139"/>
            <a:gd name="T51" fmla="*/ 2147483647 h 327"/>
            <a:gd name="T52" fmla="*/ 2147483647 w 139"/>
            <a:gd name="T53" fmla="*/ 2147483647 h 327"/>
            <a:gd name="T54" fmla="*/ 2147483647 w 139"/>
            <a:gd name="T55" fmla="*/ 2147483647 h 327"/>
            <a:gd name="T56" fmla="*/ 2147483647 w 139"/>
            <a:gd name="T57" fmla="*/ 2147483647 h 327"/>
            <a:gd name="T58" fmla="*/ 2147483647 w 139"/>
            <a:gd name="T59" fmla="*/ 2147483647 h 327"/>
            <a:gd name="T60" fmla="*/ 2147483647 w 139"/>
            <a:gd name="T61" fmla="*/ 2147483647 h 327"/>
            <a:gd name="T62" fmla="*/ 2147483647 w 139"/>
            <a:gd name="T63" fmla="*/ 2147483647 h 327"/>
            <a:gd name="T64" fmla="*/ 2147483647 w 139"/>
            <a:gd name="T65" fmla="*/ 2147483647 h 327"/>
            <a:gd name="T66" fmla="*/ 2147483647 w 139"/>
            <a:gd name="T67" fmla="*/ 2147483647 h 327"/>
            <a:gd name="T68" fmla="*/ 2147483647 w 139"/>
            <a:gd name="T69" fmla="*/ 2147483647 h 327"/>
            <a:gd name="T70" fmla="*/ 2147483647 w 139"/>
            <a:gd name="T71" fmla="*/ 2147483647 h 327"/>
            <a:gd name="T72" fmla="*/ 2147483647 w 139"/>
            <a:gd name="T73" fmla="*/ 2147483647 h 327"/>
            <a:gd name="T74" fmla="*/ 2147483647 w 139"/>
            <a:gd name="T75" fmla="*/ 2147483647 h 327"/>
            <a:gd name="T76" fmla="*/ 2147483647 w 139"/>
            <a:gd name="T77" fmla="*/ 2147483647 h 327"/>
            <a:gd name="T78" fmla="*/ 2147483647 w 139"/>
            <a:gd name="T79" fmla="*/ 2147483647 h 327"/>
            <a:gd name="T80" fmla="*/ 2147483647 w 139"/>
            <a:gd name="T81" fmla="*/ 2147483647 h 327"/>
            <a:gd name="T82" fmla="*/ 2147483647 w 139"/>
            <a:gd name="T83" fmla="*/ 2147483647 h 327"/>
            <a:gd name="T84" fmla="*/ 2147483647 w 139"/>
            <a:gd name="T85" fmla="*/ 2147483647 h 327"/>
            <a:gd name="T86" fmla="*/ 2147483647 w 139"/>
            <a:gd name="T87" fmla="*/ 2147483647 h 327"/>
            <a:gd name="T88" fmla="*/ 2147483647 w 139"/>
            <a:gd name="T89" fmla="*/ 2147483647 h 327"/>
            <a:gd name="T90" fmla="*/ 2147483647 w 139"/>
            <a:gd name="T91" fmla="*/ 2147483647 h 327"/>
            <a:gd name="T92" fmla="*/ 2147483647 w 139"/>
            <a:gd name="T93" fmla="*/ 2147483647 h 327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139"/>
            <a:gd name="T142" fmla="*/ 0 h 327"/>
            <a:gd name="T143" fmla="*/ 139 w 139"/>
            <a:gd name="T144" fmla="*/ 327 h 327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139" h="327">
              <a:moveTo>
                <a:pt x="52" y="111"/>
              </a:moveTo>
              <a:lnTo>
                <a:pt x="41" y="79"/>
              </a:lnTo>
              <a:lnTo>
                <a:pt x="42" y="59"/>
              </a:lnTo>
              <a:lnTo>
                <a:pt x="45" y="57"/>
              </a:lnTo>
              <a:lnTo>
                <a:pt x="43" y="49"/>
              </a:lnTo>
              <a:lnTo>
                <a:pt x="54" y="32"/>
              </a:lnTo>
              <a:lnTo>
                <a:pt x="65" y="14"/>
              </a:lnTo>
              <a:lnTo>
                <a:pt x="70" y="9"/>
              </a:lnTo>
              <a:lnTo>
                <a:pt x="54" y="1"/>
              </a:lnTo>
              <a:lnTo>
                <a:pt x="39" y="0"/>
              </a:lnTo>
              <a:lnTo>
                <a:pt x="36" y="0"/>
              </a:lnTo>
              <a:lnTo>
                <a:pt x="6" y="20"/>
              </a:lnTo>
              <a:lnTo>
                <a:pt x="3" y="27"/>
              </a:lnTo>
              <a:lnTo>
                <a:pt x="0" y="27"/>
              </a:lnTo>
              <a:lnTo>
                <a:pt x="0" y="42"/>
              </a:lnTo>
              <a:lnTo>
                <a:pt x="0" y="45"/>
              </a:lnTo>
              <a:lnTo>
                <a:pt x="4" y="109"/>
              </a:lnTo>
              <a:lnTo>
                <a:pt x="5" y="117"/>
              </a:lnTo>
              <a:lnTo>
                <a:pt x="6" y="127"/>
              </a:lnTo>
              <a:lnTo>
                <a:pt x="6" y="134"/>
              </a:lnTo>
              <a:lnTo>
                <a:pt x="6" y="137"/>
              </a:lnTo>
              <a:lnTo>
                <a:pt x="6" y="139"/>
              </a:lnTo>
              <a:lnTo>
                <a:pt x="6" y="140"/>
              </a:lnTo>
              <a:lnTo>
                <a:pt x="7" y="158"/>
              </a:lnTo>
              <a:lnTo>
                <a:pt x="7" y="160"/>
              </a:lnTo>
              <a:lnTo>
                <a:pt x="8" y="164"/>
              </a:lnTo>
              <a:lnTo>
                <a:pt x="10" y="198"/>
              </a:lnTo>
              <a:lnTo>
                <a:pt x="12" y="236"/>
              </a:lnTo>
              <a:lnTo>
                <a:pt x="12" y="238"/>
              </a:lnTo>
              <a:lnTo>
                <a:pt x="13" y="254"/>
              </a:lnTo>
              <a:lnTo>
                <a:pt x="14" y="277"/>
              </a:lnTo>
              <a:lnTo>
                <a:pt x="15" y="284"/>
              </a:lnTo>
              <a:lnTo>
                <a:pt x="15" y="287"/>
              </a:lnTo>
              <a:lnTo>
                <a:pt x="15" y="294"/>
              </a:lnTo>
              <a:lnTo>
                <a:pt x="17" y="302"/>
              </a:lnTo>
              <a:lnTo>
                <a:pt x="18" y="325"/>
              </a:lnTo>
              <a:lnTo>
                <a:pt x="54" y="326"/>
              </a:lnTo>
              <a:lnTo>
                <a:pt x="84" y="327"/>
              </a:lnTo>
              <a:lnTo>
                <a:pt x="105" y="327"/>
              </a:lnTo>
              <a:lnTo>
                <a:pt x="125" y="327"/>
              </a:lnTo>
              <a:lnTo>
                <a:pt x="139" y="327"/>
              </a:lnTo>
              <a:lnTo>
                <a:pt x="130" y="244"/>
              </a:lnTo>
              <a:lnTo>
                <a:pt x="125" y="249"/>
              </a:lnTo>
              <a:lnTo>
                <a:pt x="89" y="211"/>
              </a:lnTo>
              <a:lnTo>
                <a:pt x="78" y="187"/>
              </a:lnTo>
              <a:lnTo>
                <a:pt x="72" y="139"/>
              </a:lnTo>
              <a:lnTo>
                <a:pt x="52" y="11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238126</xdr:colOff>
      <xdr:row>11</xdr:row>
      <xdr:rowOff>66676</xdr:rowOff>
    </xdr:from>
    <xdr:to>
      <xdr:col>2</xdr:col>
      <xdr:colOff>2238375</xdr:colOff>
      <xdr:row>11</xdr:row>
      <xdr:rowOff>1200150</xdr:rowOff>
    </xdr:to>
    <xdr:grpSp>
      <xdr:nvGrpSpPr>
        <xdr:cNvPr id="88" name="S_FL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pSpPr>
          <a:grpSpLocks/>
        </xdr:cNvGrpSpPr>
      </xdr:nvGrpSpPr>
      <xdr:grpSpPr bwMode="auto">
        <a:xfrm>
          <a:off x="2276476" y="12925426"/>
          <a:ext cx="2000249" cy="1133474"/>
          <a:chOff x="6034432" y="3751120"/>
          <a:chExt cx="1084020" cy="1124599"/>
        </a:xfrm>
        <a:solidFill>
          <a:srgbClr val="87CEFA"/>
        </a:solidFill>
      </xdr:grpSpPr>
      <xdr:sp macro="" textlink="">
        <xdr:nvSpPr>
          <xdr:cNvPr id="89" name="myShape_FL7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>
            <a:spLocks/>
          </xdr:cNvSpPr>
        </xdr:nvSpPr>
        <xdr:spPr bwMode="auto">
          <a:xfrm>
            <a:off x="6034432" y="3751120"/>
            <a:ext cx="1084020" cy="1066555"/>
          </a:xfrm>
          <a:custGeom>
            <a:avLst/>
            <a:gdLst>
              <a:gd name="T0" fmla="*/ 2147483647 w 1420"/>
              <a:gd name="T1" fmla="*/ 2147483647 h 1443"/>
              <a:gd name="T2" fmla="*/ 2147483647 w 1420"/>
              <a:gd name="T3" fmla="*/ 2147483647 h 1443"/>
              <a:gd name="T4" fmla="*/ 2147483647 w 1420"/>
              <a:gd name="T5" fmla="*/ 2147483647 h 1443"/>
              <a:gd name="T6" fmla="*/ 2147483647 w 1420"/>
              <a:gd name="T7" fmla="*/ 2147483647 h 1443"/>
              <a:gd name="T8" fmla="*/ 2147483647 w 1420"/>
              <a:gd name="T9" fmla="*/ 2147483647 h 1443"/>
              <a:gd name="T10" fmla="*/ 2147483647 w 1420"/>
              <a:gd name="T11" fmla="*/ 2147483647 h 1443"/>
              <a:gd name="T12" fmla="*/ 2147483647 w 1420"/>
              <a:gd name="T13" fmla="*/ 2147483647 h 1443"/>
              <a:gd name="T14" fmla="*/ 2147483647 w 1420"/>
              <a:gd name="T15" fmla="*/ 2147483647 h 1443"/>
              <a:gd name="T16" fmla="*/ 2147483647 w 1420"/>
              <a:gd name="T17" fmla="*/ 2147483647 h 1443"/>
              <a:gd name="T18" fmla="*/ 2147483647 w 1420"/>
              <a:gd name="T19" fmla="*/ 2147483647 h 1443"/>
              <a:gd name="T20" fmla="*/ 2147483647 w 1420"/>
              <a:gd name="T21" fmla="*/ 2147483647 h 1443"/>
              <a:gd name="T22" fmla="*/ 2147483647 w 1420"/>
              <a:gd name="T23" fmla="*/ 2147483647 h 1443"/>
              <a:gd name="T24" fmla="*/ 2147483647 w 1420"/>
              <a:gd name="T25" fmla="*/ 2147483647 h 1443"/>
              <a:gd name="T26" fmla="*/ 2147483647 w 1420"/>
              <a:gd name="T27" fmla="*/ 2147483647 h 1443"/>
              <a:gd name="T28" fmla="*/ 2147483647 w 1420"/>
              <a:gd name="T29" fmla="*/ 2147483647 h 1443"/>
              <a:gd name="T30" fmla="*/ 2147483647 w 1420"/>
              <a:gd name="T31" fmla="*/ 2147483647 h 1443"/>
              <a:gd name="T32" fmla="*/ 2147483647 w 1420"/>
              <a:gd name="T33" fmla="*/ 2147483647 h 1443"/>
              <a:gd name="T34" fmla="*/ 2147483647 w 1420"/>
              <a:gd name="T35" fmla="*/ 2147483647 h 1443"/>
              <a:gd name="T36" fmla="*/ 2147483647 w 1420"/>
              <a:gd name="T37" fmla="*/ 2147483647 h 1443"/>
              <a:gd name="T38" fmla="*/ 2147483647 w 1420"/>
              <a:gd name="T39" fmla="*/ 2147483647 h 1443"/>
              <a:gd name="T40" fmla="*/ 2147483647 w 1420"/>
              <a:gd name="T41" fmla="*/ 2147483647 h 1443"/>
              <a:gd name="T42" fmla="*/ 2147483647 w 1420"/>
              <a:gd name="T43" fmla="*/ 2147483647 h 1443"/>
              <a:gd name="T44" fmla="*/ 2147483647 w 1420"/>
              <a:gd name="T45" fmla="*/ 2147483647 h 1443"/>
              <a:gd name="T46" fmla="*/ 2147483647 w 1420"/>
              <a:gd name="T47" fmla="*/ 2147483647 h 1443"/>
              <a:gd name="T48" fmla="*/ 2147483647 w 1420"/>
              <a:gd name="T49" fmla="*/ 2147483647 h 1443"/>
              <a:gd name="T50" fmla="*/ 2147483647 w 1420"/>
              <a:gd name="T51" fmla="*/ 2147483647 h 1443"/>
              <a:gd name="T52" fmla="*/ 2147483647 w 1420"/>
              <a:gd name="T53" fmla="*/ 2147483647 h 1443"/>
              <a:gd name="T54" fmla="*/ 2147483647 w 1420"/>
              <a:gd name="T55" fmla="*/ 2147483647 h 1443"/>
              <a:gd name="T56" fmla="*/ 2147483647 w 1420"/>
              <a:gd name="T57" fmla="*/ 2147483647 h 1443"/>
              <a:gd name="T58" fmla="*/ 2147483647 w 1420"/>
              <a:gd name="T59" fmla="*/ 2147483647 h 1443"/>
              <a:gd name="T60" fmla="*/ 2147483647 w 1420"/>
              <a:gd name="T61" fmla="*/ 2147483647 h 1443"/>
              <a:gd name="T62" fmla="*/ 2147483647 w 1420"/>
              <a:gd name="T63" fmla="*/ 2147483647 h 1443"/>
              <a:gd name="T64" fmla="*/ 2147483647 w 1420"/>
              <a:gd name="T65" fmla="*/ 2147483647 h 1443"/>
              <a:gd name="T66" fmla="*/ 2147483647 w 1420"/>
              <a:gd name="T67" fmla="*/ 2147483647 h 1443"/>
              <a:gd name="T68" fmla="*/ 2147483647 w 1420"/>
              <a:gd name="T69" fmla="*/ 2147483647 h 1443"/>
              <a:gd name="T70" fmla="*/ 2147483647 w 1420"/>
              <a:gd name="T71" fmla="*/ 2147483647 h 1443"/>
              <a:gd name="T72" fmla="*/ 2147483647 w 1420"/>
              <a:gd name="T73" fmla="*/ 2147483647 h 1443"/>
              <a:gd name="T74" fmla="*/ 2147483647 w 1420"/>
              <a:gd name="T75" fmla="*/ 2147483647 h 1443"/>
              <a:gd name="T76" fmla="*/ 2147483647 w 1420"/>
              <a:gd name="T77" fmla="*/ 2147483647 h 1443"/>
              <a:gd name="T78" fmla="*/ 2147483647 w 1420"/>
              <a:gd name="T79" fmla="*/ 2147483647 h 1443"/>
              <a:gd name="T80" fmla="*/ 2147483647 w 1420"/>
              <a:gd name="T81" fmla="*/ 2147483647 h 1443"/>
              <a:gd name="T82" fmla="*/ 2147483647 w 1420"/>
              <a:gd name="T83" fmla="*/ 2147483647 h 1443"/>
              <a:gd name="T84" fmla="*/ 2147483647 w 1420"/>
              <a:gd name="T85" fmla="*/ 2147483647 h 1443"/>
              <a:gd name="T86" fmla="*/ 2147483647 w 1420"/>
              <a:gd name="T87" fmla="*/ 2147483647 h 1443"/>
              <a:gd name="T88" fmla="*/ 2147483647 w 1420"/>
              <a:gd name="T89" fmla="*/ 2147483647 h 1443"/>
              <a:gd name="T90" fmla="*/ 2147483647 w 1420"/>
              <a:gd name="T91" fmla="*/ 0 h 1443"/>
              <a:gd name="T92" fmla="*/ 2147483647 w 1420"/>
              <a:gd name="T93" fmla="*/ 0 h 1443"/>
              <a:gd name="T94" fmla="*/ 2147483647 w 1420"/>
              <a:gd name="T95" fmla="*/ 0 h 1443"/>
              <a:gd name="T96" fmla="*/ 2147483647 w 1420"/>
              <a:gd name="T97" fmla="*/ 0 h 1443"/>
              <a:gd name="T98" fmla="*/ 2147483647 w 1420"/>
              <a:gd name="T99" fmla="*/ 0 h 1443"/>
              <a:gd name="T100" fmla="*/ 2147483647 w 1420"/>
              <a:gd name="T101" fmla="*/ 0 h 1443"/>
              <a:gd name="T102" fmla="*/ 2147483647 w 1420"/>
              <a:gd name="T103" fmla="*/ 0 h 1443"/>
              <a:gd name="T104" fmla="*/ 2147483647 w 1420"/>
              <a:gd name="T105" fmla="*/ 2147483647 h 1443"/>
              <a:gd name="T106" fmla="*/ 2147483647 w 1420"/>
              <a:gd name="T107" fmla="*/ 2147483647 h 1443"/>
              <a:gd name="T108" fmla="*/ 2147483647 w 1420"/>
              <a:gd name="T109" fmla="*/ 2147483647 h 1443"/>
              <a:gd name="T110" fmla="*/ 2147483647 w 1420"/>
              <a:gd name="T111" fmla="*/ 2147483647 h 144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420"/>
              <a:gd name="T169" fmla="*/ 0 h 1443"/>
              <a:gd name="T170" fmla="*/ 1420 w 1420"/>
              <a:gd name="T171" fmla="*/ 1443 h 144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420" h="1443">
                <a:moveTo>
                  <a:pt x="304" y="173"/>
                </a:moveTo>
                <a:lnTo>
                  <a:pt x="374" y="218"/>
                </a:lnTo>
                <a:lnTo>
                  <a:pt x="397" y="245"/>
                </a:lnTo>
                <a:lnTo>
                  <a:pt x="419" y="255"/>
                </a:lnTo>
                <a:lnTo>
                  <a:pt x="421" y="306"/>
                </a:lnTo>
                <a:lnTo>
                  <a:pt x="418" y="266"/>
                </a:lnTo>
                <a:lnTo>
                  <a:pt x="421" y="311"/>
                </a:lnTo>
                <a:lnTo>
                  <a:pt x="449" y="312"/>
                </a:lnTo>
                <a:lnTo>
                  <a:pt x="468" y="324"/>
                </a:lnTo>
                <a:lnTo>
                  <a:pt x="468" y="304"/>
                </a:lnTo>
                <a:lnTo>
                  <a:pt x="490" y="305"/>
                </a:lnTo>
                <a:lnTo>
                  <a:pt x="513" y="292"/>
                </a:lnTo>
                <a:lnTo>
                  <a:pt x="506" y="300"/>
                </a:lnTo>
                <a:lnTo>
                  <a:pt x="583" y="257"/>
                </a:lnTo>
                <a:lnTo>
                  <a:pt x="608" y="262"/>
                </a:lnTo>
                <a:lnTo>
                  <a:pt x="611" y="244"/>
                </a:lnTo>
                <a:lnTo>
                  <a:pt x="610" y="237"/>
                </a:lnTo>
                <a:lnTo>
                  <a:pt x="632" y="217"/>
                </a:lnTo>
                <a:lnTo>
                  <a:pt x="664" y="214"/>
                </a:lnTo>
                <a:lnTo>
                  <a:pt x="678" y="217"/>
                </a:lnTo>
                <a:lnTo>
                  <a:pt x="680" y="218"/>
                </a:lnTo>
                <a:lnTo>
                  <a:pt x="746" y="266"/>
                </a:lnTo>
                <a:lnTo>
                  <a:pt x="756" y="294"/>
                </a:lnTo>
                <a:lnTo>
                  <a:pt x="786" y="317"/>
                </a:lnTo>
                <a:lnTo>
                  <a:pt x="795" y="357"/>
                </a:lnTo>
                <a:lnTo>
                  <a:pt x="817" y="371"/>
                </a:lnTo>
                <a:lnTo>
                  <a:pt x="834" y="405"/>
                </a:lnTo>
                <a:lnTo>
                  <a:pt x="850" y="414"/>
                </a:lnTo>
                <a:lnTo>
                  <a:pt x="848" y="444"/>
                </a:lnTo>
                <a:lnTo>
                  <a:pt x="861" y="444"/>
                </a:lnTo>
                <a:lnTo>
                  <a:pt x="865" y="437"/>
                </a:lnTo>
                <a:lnTo>
                  <a:pt x="888" y="435"/>
                </a:lnTo>
                <a:lnTo>
                  <a:pt x="901" y="444"/>
                </a:lnTo>
                <a:lnTo>
                  <a:pt x="909" y="476"/>
                </a:lnTo>
                <a:lnTo>
                  <a:pt x="924" y="498"/>
                </a:lnTo>
                <a:lnTo>
                  <a:pt x="910" y="520"/>
                </a:lnTo>
                <a:lnTo>
                  <a:pt x="922" y="532"/>
                </a:lnTo>
                <a:lnTo>
                  <a:pt x="917" y="540"/>
                </a:lnTo>
                <a:lnTo>
                  <a:pt x="926" y="546"/>
                </a:lnTo>
                <a:lnTo>
                  <a:pt x="927" y="548"/>
                </a:lnTo>
                <a:lnTo>
                  <a:pt x="925" y="607"/>
                </a:lnTo>
                <a:lnTo>
                  <a:pt x="909" y="652"/>
                </a:lnTo>
                <a:lnTo>
                  <a:pt x="901" y="669"/>
                </a:lnTo>
                <a:lnTo>
                  <a:pt x="906" y="679"/>
                </a:lnTo>
                <a:lnTo>
                  <a:pt x="896" y="687"/>
                </a:lnTo>
                <a:lnTo>
                  <a:pt x="893" y="738"/>
                </a:lnTo>
                <a:lnTo>
                  <a:pt x="909" y="768"/>
                </a:lnTo>
                <a:lnTo>
                  <a:pt x="912" y="794"/>
                </a:lnTo>
                <a:lnTo>
                  <a:pt x="918" y="799"/>
                </a:lnTo>
                <a:lnTo>
                  <a:pt x="934" y="770"/>
                </a:lnTo>
                <a:lnTo>
                  <a:pt x="940" y="738"/>
                </a:lnTo>
                <a:lnTo>
                  <a:pt x="936" y="731"/>
                </a:lnTo>
                <a:lnTo>
                  <a:pt x="917" y="722"/>
                </a:lnTo>
                <a:lnTo>
                  <a:pt x="930" y="717"/>
                </a:lnTo>
                <a:lnTo>
                  <a:pt x="958" y="751"/>
                </a:lnTo>
                <a:lnTo>
                  <a:pt x="961" y="738"/>
                </a:lnTo>
                <a:lnTo>
                  <a:pt x="976" y="738"/>
                </a:lnTo>
                <a:lnTo>
                  <a:pt x="948" y="793"/>
                </a:lnTo>
                <a:lnTo>
                  <a:pt x="936" y="807"/>
                </a:lnTo>
                <a:lnTo>
                  <a:pt x="936" y="813"/>
                </a:lnTo>
                <a:lnTo>
                  <a:pt x="912" y="819"/>
                </a:lnTo>
                <a:lnTo>
                  <a:pt x="932" y="854"/>
                </a:lnTo>
                <a:lnTo>
                  <a:pt x="952" y="886"/>
                </a:lnTo>
                <a:lnTo>
                  <a:pt x="982" y="959"/>
                </a:lnTo>
                <a:lnTo>
                  <a:pt x="991" y="975"/>
                </a:lnTo>
                <a:lnTo>
                  <a:pt x="1001" y="995"/>
                </a:lnTo>
                <a:lnTo>
                  <a:pt x="1017" y="1064"/>
                </a:lnTo>
                <a:lnTo>
                  <a:pt x="1029" y="1079"/>
                </a:lnTo>
                <a:lnTo>
                  <a:pt x="1049" y="1074"/>
                </a:lnTo>
                <a:lnTo>
                  <a:pt x="1052" y="1067"/>
                </a:lnTo>
                <a:lnTo>
                  <a:pt x="1081" y="1103"/>
                </a:lnTo>
                <a:lnTo>
                  <a:pt x="1089" y="1153"/>
                </a:lnTo>
                <a:lnTo>
                  <a:pt x="1112" y="1219"/>
                </a:lnTo>
                <a:lnTo>
                  <a:pt x="1113" y="1211"/>
                </a:lnTo>
                <a:lnTo>
                  <a:pt x="1122" y="1208"/>
                </a:lnTo>
                <a:lnTo>
                  <a:pt x="1152" y="1229"/>
                </a:lnTo>
                <a:lnTo>
                  <a:pt x="1165" y="1234"/>
                </a:lnTo>
                <a:lnTo>
                  <a:pt x="1192" y="1271"/>
                </a:lnTo>
                <a:lnTo>
                  <a:pt x="1216" y="1338"/>
                </a:lnTo>
                <a:lnTo>
                  <a:pt x="1211" y="1341"/>
                </a:lnTo>
                <a:lnTo>
                  <a:pt x="1207" y="1365"/>
                </a:lnTo>
                <a:lnTo>
                  <a:pt x="1222" y="1390"/>
                </a:lnTo>
                <a:lnTo>
                  <a:pt x="1238" y="1389"/>
                </a:lnTo>
                <a:lnTo>
                  <a:pt x="1265" y="1376"/>
                </a:lnTo>
                <a:lnTo>
                  <a:pt x="1277" y="1379"/>
                </a:lnTo>
                <a:lnTo>
                  <a:pt x="1276" y="1385"/>
                </a:lnTo>
                <a:lnTo>
                  <a:pt x="1294" y="1385"/>
                </a:lnTo>
                <a:lnTo>
                  <a:pt x="1284" y="1409"/>
                </a:lnTo>
                <a:lnTo>
                  <a:pt x="1291" y="1418"/>
                </a:lnTo>
                <a:lnTo>
                  <a:pt x="1305" y="1413"/>
                </a:lnTo>
                <a:lnTo>
                  <a:pt x="1304" y="1384"/>
                </a:lnTo>
                <a:lnTo>
                  <a:pt x="1309" y="1372"/>
                </a:lnTo>
                <a:lnTo>
                  <a:pt x="1311" y="1376"/>
                </a:lnTo>
                <a:lnTo>
                  <a:pt x="1335" y="1369"/>
                </a:lnTo>
                <a:lnTo>
                  <a:pt x="1333" y="1408"/>
                </a:lnTo>
                <a:lnTo>
                  <a:pt x="1321" y="1416"/>
                </a:lnTo>
                <a:lnTo>
                  <a:pt x="1323" y="1421"/>
                </a:lnTo>
                <a:lnTo>
                  <a:pt x="1303" y="1443"/>
                </a:lnTo>
                <a:lnTo>
                  <a:pt x="1320" y="1429"/>
                </a:lnTo>
                <a:lnTo>
                  <a:pt x="1356" y="1386"/>
                </a:lnTo>
                <a:lnTo>
                  <a:pt x="1380" y="1338"/>
                </a:lnTo>
                <a:lnTo>
                  <a:pt x="1393" y="1300"/>
                </a:lnTo>
                <a:lnTo>
                  <a:pt x="1394" y="1296"/>
                </a:lnTo>
                <a:lnTo>
                  <a:pt x="1376" y="1334"/>
                </a:lnTo>
                <a:lnTo>
                  <a:pt x="1356" y="1345"/>
                </a:lnTo>
                <a:lnTo>
                  <a:pt x="1368" y="1330"/>
                </a:lnTo>
                <a:lnTo>
                  <a:pt x="1363" y="1300"/>
                </a:lnTo>
                <a:lnTo>
                  <a:pt x="1380" y="1255"/>
                </a:lnTo>
                <a:lnTo>
                  <a:pt x="1394" y="1250"/>
                </a:lnTo>
                <a:lnTo>
                  <a:pt x="1397" y="1261"/>
                </a:lnTo>
                <a:lnTo>
                  <a:pt x="1404" y="1188"/>
                </a:lnTo>
                <a:lnTo>
                  <a:pt x="1404" y="1181"/>
                </a:lnTo>
                <a:lnTo>
                  <a:pt x="1412" y="1106"/>
                </a:lnTo>
                <a:lnTo>
                  <a:pt x="1420" y="995"/>
                </a:lnTo>
                <a:lnTo>
                  <a:pt x="1411" y="952"/>
                </a:lnTo>
                <a:lnTo>
                  <a:pt x="1389" y="884"/>
                </a:lnTo>
                <a:lnTo>
                  <a:pt x="1366" y="814"/>
                </a:lnTo>
                <a:lnTo>
                  <a:pt x="1342" y="743"/>
                </a:lnTo>
                <a:lnTo>
                  <a:pt x="1319" y="679"/>
                </a:lnTo>
                <a:lnTo>
                  <a:pt x="1313" y="627"/>
                </a:lnTo>
                <a:lnTo>
                  <a:pt x="1324" y="591"/>
                </a:lnTo>
                <a:lnTo>
                  <a:pt x="1289" y="522"/>
                </a:lnTo>
                <a:lnTo>
                  <a:pt x="1243" y="432"/>
                </a:lnTo>
                <a:lnTo>
                  <a:pt x="1221" y="377"/>
                </a:lnTo>
                <a:lnTo>
                  <a:pt x="1220" y="372"/>
                </a:lnTo>
                <a:lnTo>
                  <a:pt x="1199" y="315"/>
                </a:lnTo>
                <a:lnTo>
                  <a:pt x="1197" y="315"/>
                </a:lnTo>
                <a:lnTo>
                  <a:pt x="1193" y="296"/>
                </a:lnTo>
                <a:lnTo>
                  <a:pt x="1186" y="259"/>
                </a:lnTo>
                <a:lnTo>
                  <a:pt x="1168" y="178"/>
                </a:lnTo>
                <a:lnTo>
                  <a:pt x="1160" y="120"/>
                </a:lnTo>
                <a:lnTo>
                  <a:pt x="1156" y="119"/>
                </a:lnTo>
                <a:lnTo>
                  <a:pt x="1157" y="117"/>
                </a:lnTo>
                <a:lnTo>
                  <a:pt x="1156" y="71"/>
                </a:lnTo>
                <a:lnTo>
                  <a:pt x="1155" y="69"/>
                </a:lnTo>
                <a:lnTo>
                  <a:pt x="1155" y="68"/>
                </a:lnTo>
                <a:lnTo>
                  <a:pt x="1102" y="60"/>
                </a:lnTo>
                <a:lnTo>
                  <a:pt x="1076" y="48"/>
                </a:lnTo>
                <a:lnTo>
                  <a:pt x="1069" y="42"/>
                </a:lnTo>
                <a:lnTo>
                  <a:pt x="1045" y="60"/>
                </a:lnTo>
                <a:lnTo>
                  <a:pt x="1049" y="119"/>
                </a:lnTo>
                <a:lnTo>
                  <a:pt x="1043" y="151"/>
                </a:lnTo>
                <a:lnTo>
                  <a:pt x="1018" y="149"/>
                </a:lnTo>
                <a:lnTo>
                  <a:pt x="1013" y="119"/>
                </a:lnTo>
                <a:lnTo>
                  <a:pt x="1012" y="103"/>
                </a:lnTo>
                <a:lnTo>
                  <a:pt x="1005" y="102"/>
                </a:lnTo>
                <a:lnTo>
                  <a:pt x="982" y="100"/>
                </a:lnTo>
                <a:lnTo>
                  <a:pt x="974" y="99"/>
                </a:lnTo>
                <a:lnTo>
                  <a:pt x="967" y="98"/>
                </a:lnTo>
                <a:lnTo>
                  <a:pt x="958" y="98"/>
                </a:lnTo>
                <a:lnTo>
                  <a:pt x="943" y="97"/>
                </a:lnTo>
                <a:lnTo>
                  <a:pt x="927" y="96"/>
                </a:lnTo>
                <a:lnTo>
                  <a:pt x="923" y="95"/>
                </a:lnTo>
                <a:lnTo>
                  <a:pt x="912" y="95"/>
                </a:lnTo>
                <a:lnTo>
                  <a:pt x="888" y="93"/>
                </a:lnTo>
                <a:lnTo>
                  <a:pt x="839" y="90"/>
                </a:lnTo>
                <a:lnTo>
                  <a:pt x="829" y="89"/>
                </a:lnTo>
                <a:lnTo>
                  <a:pt x="818" y="88"/>
                </a:lnTo>
                <a:lnTo>
                  <a:pt x="807" y="87"/>
                </a:lnTo>
                <a:lnTo>
                  <a:pt x="801" y="87"/>
                </a:lnTo>
                <a:lnTo>
                  <a:pt x="799" y="87"/>
                </a:lnTo>
                <a:lnTo>
                  <a:pt x="792" y="86"/>
                </a:lnTo>
                <a:lnTo>
                  <a:pt x="772" y="84"/>
                </a:lnTo>
                <a:lnTo>
                  <a:pt x="750" y="83"/>
                </a:lnTo>
                <a:lnTo>
                  <a:pt x="744" y="82"/>
                </a:lnTo>
                <a:lnTo>
                  <a:pt x="738" y="82"/>
                </a:lnTo>
                <a:lnTo>
                  <a:pt x="726" y="81"/>
                </a:lnTo>
                <a:lnTo>
                  <a:pt x="701" y="80"/>
                </a:lnTo>
                <a:lnTo>
                  <a:pt x="688" y="79"/>
                </a:lnTo>
                <a:lnTo>
                  <a:pt x="677" y="78"/>
                </a:lnTo>
                <a:lnTo>
                  <a:pt x="674" y="78"/>
                </a:lnTo>
                <a:lnTo>
                  <a:pt x="668" y="78"/>
                </a:lnTo>
                <a:lnTo>
                  <a:pt x="663" y="77"/>
                </a:lnTo>
                <a:lnTo>
                  <a:pt x="641" y="76"/>
                </a:lnTo>
                <a:lnTo>
                  <a:pt x="631" y="75"/>
                </a:lnTo>
                <a:lnTo>
                  <a:pt x="625" y="75"/>
                </a:lnTo>
                <a:lnTo>
                  <a:pt x="619" y="75"/>
                </a:lnTo>
                <a:lnTo>
                  <a:pt x="608" y="74"/>
                </a:lnTo>
                <a:lnTo>
                  <a:pt x="607" y="74"/>
                </a:lnTo>
                <a:lnTo>
                  <a:pt x="589" y="74"/>
                </a:lnTo>
                <a:lnTo>
                  <a:pt x="558" y="71"/>
                </a:lnTo>
                <a:lnTo>
                  <a:pt x="516" y="68"/>
                </a:lnTo>
                <a:lnTo>
                  <a:pt x="514" y="65"/>
                </a:lnTo>
                <a:lnTo>
                  <a:pt x="490" y="7"/>
                </a:lnTo>
                <a:lnTo>
                  <a:pt x="490" y="1"/>
                </a:lnTo>
                <a:lnTo>
                  <a:pt x="461" y="0"/>
                </a:lnTo>
                <a:lnTo>
                  <a:pt x="444" y="1"/>
                </a:lnTo>
                <a:lnTo>
                  <a:pt x="399" y="1"/>
                </a:lnTo>
                <a:lnTo>
                  <a:pt x="397" y="1"/>
                </a:lnTo>
                <a:lnTo>
                  <a:pt x="347" y="2"/>
                </a:lnTo>
                <a:lnTo>
                  <a:pt x="314" y="2"/>
                </a:lnTo>
                <a:lnTo>
                  <a:pt x="298" y="2"/>
                </a:lnTo>
                <a:lnTo>
                  <a:pt x="281" y="2"/>
                </a:lnTo>
                <a:lnTo>
                  <a:pt x="273" y="2"/>
                </a:lnTo>
                <a:lnTo>
                  <a:pt x="269" y="2"/>
                </a:lnTo>
                <a:lnTo>
                  <a:pt x="257" y="2"/>
                </a:lnTo>
                <a:lnTo>
                  <a:pt x="233" y="2"/>
                </a:lnTo>
                <a:lnTo>
                  <a:pt x="231" y="2"/>
                </a:lnTo>
                <a:lnTo>
                  <a:pt x="203" y="2"/>
                </a:lnTo>
                <a:lnTo>
                  <a:pt x="198" y="2"/>
                </a:lnTo>
                <a:lnTo>
                  <a:pt x="175" y="2"/>
                </a:lnTo>
                <a:lnTo>
                  <a:pt x="171" y="2"/>
                </a:lnTo>
                <a:lnTo>
                  <a:pt x="169" y="1"/>
                </a:lnTo>
                <a:lnTo>
                  <a:pt x="156" y="1"/>
                </a:lnTo>
                <a:lnTo>
                  <a:pt x="117" y="1"/>
                </a:lnTo>
                <a:lnTo>
                  <a:pt x="91" y="1"/>
                </a:lnTo>
                <a:lnTo>
                  <a:pt x="87" y="1"/>
                </a:lnTo>
                <a:lnTo>
                  <a:pt x="73" y="2"/>
                </a:lnTo>
                <a:lnTo>
                  <a:pt x="69" y="1"/>
                </a:lnTo>
                <a:lnTo>
                  <a:pt x="4" y="1"/>
                </a:lnTo>
                <a:lnTo>
                  <a:pt x="0" y="37"/>
                </a:lnTo>
                <a:lnTo>
                  <a:pt x="43" y="89"/>
                </a:lnTo>
                <a:lnTo>
                  <a:pt x="35" y="119"/>
                </a:lnTo>
                <a:lnTo>
                  <a:pt x="46" y="130"/>
                </a:lnTo>
                <a:lnTo>
                  <a:pt x="14" y="172"/>
                </a:lnTo>
                <a:lnTo>
                  <a:pt x="46" y="165"/>
                </a:lnTo>
                <a:lnTo>
                  <a:pt x="46" y="164"/>
                </a:lnTo>
                <a:lnTo>
                  <a:pt x="145" y="147"/>
                </a:lnTo>
                <a:lnTo>
                  <a:pt x="154" y="145"/>
                </a:lnTo>
                <a:lnTo>
                  <a:pt x="209" y="147"/>
                </a:lnTo>
                <a:lnTo>
                  <a:pt x="229" y="148"/>
                </a:lnTo>
                <a:lnTo>
                  <a:pt x="231" y="148"/>
                </a:lnTo>
                <a:lnTo>
                  <a:pt x="233" y="148"/>
                </a:lnTo>
                <a:lnTo>
                  <a:pt x="304" y="17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0" name="myShape_FL6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>
            <a:spLocks/>
          </xdr:cNvSpPr>
        </xdr:nvSpPr>
        <xdr:spPr bwMode="auto">
          <a:xfrm>
            <a:off x="6868294" y="4832186"/>
            <a:ext cx="68225" cy="43533"/>
          </a:xfrm>
          <a:custGeom>
            <a:avLst/>
            <a:gdLst>
              <a:gd name="T0" fmla="*/ 0 w 96"/>
              <a:gd name="T1" fmla="*/ 2147483647 h 60"/>
              <a:gd name="T2" fmla="*/ 2147483647 w 96"/>
              <a:gd name="T3" fmla="*/ 2147483647 h 60"/>
              <a:gd name="T4" fmla="*/ 2147483647 w 96"/>
              <a:gd name="T5" fmla="*/ 2147483647 h 60"/>
              <a:gd name="T6" fmla="*/ 2147483647 w 96"/>
              <a:gd name="T7" fmla="*/ 2147483647 h 60"/>
              <a:gd name="T8" fmla="*/ 2147483647 w 96"/>
              <a:gd name="T9" fmla="*/ 2147483647 h 60"/>
              <a:gd name="T10" fmla="*/ 2147483647 w 96"/>
              <a:gd name="T11" fmla="*/ 2147483647 h 60"/>
              <a:gd name="T12" fmla="*/ 2147483647 w 96"/>
              <a:gd name="T13" fmla="*/ 0 h 60"/>
              <a:gd name="T14" fmla="*/ 2147483647 w 96"/>
              <a:gd name="T15" fmla="*/ 2147483647 h 60"/>
              <a:gd name="T16" fmla="*/ 2147483647 w 96"/>
              <a:gd name="T17" fmla="*/ 2147483647 h 60"/>
              <a:gd name="T18" fmla="*/ 2147483647 w 96"/>
              <a:gd name="T19" fmla="*/ 2147483647 h 60"/>
              <a:gd name="T20" fmla="*/ 2147483647 w 96"/>
              <a:gd name="T21" fmla="*/ 2147483647 h 60"/>
              <a:gd name="T22" fmla="*/ 2147483647 w 96"/>
              <a:gd name="T23" fmla="*/ 2147483647 h 60"/>
              <a:gd name="T24" fmla="*/ 0 w 96"/>
              <a:gd name="T25" fmla="*/ 2147483647 h 6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96"/>
              <a:gd name="T40" fmla="*/ 0 h 60"/>
              <a:gd name="T41" fmla="*/ 96 w 96"/>
              <a:gd name="T42" fmla="*/ 60 h 60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96" h="60">
                <a:moveTo>
                  <a:pt x="0" y="60"/>
                </a:moveTo>
                <a:lnTo>
                  <a:pt x="54" y="42"/>
                </a:lnTo>
                <a:lnTo>
                  <a:pt x="57" y="31"/>
                </a:lnTo>
                <a:lnTo>
                  <a:pt x="78" y="41"/>
                </a:lnTo>
                <a:lnTo>
                  <a:pt x="96" y="33"/>
                </a:lnTo>
                <a:lnTo>
                  <a:pt x="81" y="13"/>
                </a:lnTo>
                <a:lnTo>
                  <a:pt x="59" y="0"/>
                </a:lnTo>
                <a:lnTo>
                  <a:pt x="58" y="16"/>
                </a:lnTo>
                <a:lnTo>
                  <a:pt x="53" y="23"/>
                </a:lnTo>
                <a:lnTo>
                  <a:pt x="40" y="15"/>
                </a:lnTo>
                <a:lnTo>
                  <a:pt x="11" y="32"/>
                </a:lnTo>
                <a:lnTo>
                  <a:pt x="11" y="51"/>
                </a:lnTo>
                <a:lnTo>
                  <a:pt x="0" y="6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1" name="myShape_FL5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>
            <a:spLocks/>
          </xdr:cNvSpPr>
        </xdr:nvSpPr>
        <xdr:spPr bwMode="auto">
          <a:xfrm>
            <a:off x="6959260" y="4839442"/>
            <a:ext cx="37903" cy="14511"/>
          </a:xfrm>
          <a:custGeom>
            <a:avLst/>
            <a:gdLst>
              <a:gd name="T0" fmla="*/ 0 w 45"/>
              <a:gd name="T1" fmla="*/ 2147483647 h 25"/>
              <a:gd name="T2" fmla="*/ 0 w 45"/>
              <a:gd name="T3" fmla="*/ 2147483647 h 25"/>
              <a:gd name="T4" fmla="*/ 2147483647 w 45"/>
              <a:gd name="T5" fmla="*/ 0 h 25"/>
              <a:gd name="T6" fmla="*/ 2147483647 w 45"/>
              <a:gd name="T7" fmla="*/ 2147483647 h 25"/>
              <a:gd name="T8" fmla="*/ 0 w 45"/>
              <a:gd name="T9" fmla="*/ 2147483647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5"/>
              <a:gd name="T16" fmla="*/ 0 h 25"/>
              <a:gd name="T17" fmla="*/ 45 w 45"/>
              <a:gd name="T18" fmla="*/ 25 h 2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5" h="25">
                <a:moveTo>
                  <a:pt x="0" y="20"/>
                </a:moveTo>
                <a:lnTo>
                  <a:pt x="3" y="25"/>
                </a:lnTo>
                <a:lnTo>
                  <a:pt x="45" y="0"/>
                </a:lnTo>
                <a:lnTo>
                  <a:pt x="26" y="10"/>
                </a:lnTo>
                <a:lnTo>
                  <a:pt x="0" y="2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2" name="myShape_FL4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>
            <a:spLocks/>
          </xdr:cNvSpPr>
        </xdr:nvSpPr>
        <xdr:spPr bwMode="auto">
          <a:xfrm>
            <a:off x="7004744" y="4824931"/>
            <a:ext cx="7581" cy="7255"/>
          </a:xfrm>
          <a:custGeom>
            <a:avLst/>
            <a:gdLst>
              <a:gd name="T0" fmla="*/ 0 w 12"/>
              <a:gd name="T1" fmla="*/ 2147483647 h 10"/>
              <a:gd name="T2" fmla="*/ 2147483647 w 12"/>
              <a:gd name="T3" fmla="*/ 0 h 10"/>
              <a:gd name="T4" fmla="*/ 2147483647 w 12"/>
              <a:gd name="T5" fmla="*/ 2147483647 h 10"/>
              <a:gd name="T6" fmla="*/ 0 w 12"/>
              <a:gd name="T7" fmla="*/ 2147483647 h 10"/>
              <a:gd name="T8" fmla="*/ 0 60000 65536"/>
              <a:gd name="T9" fmla="*/ 0 60000 65536"/>
              <a:gd name="T10" fmla="*/ 0 60000 65536"/>
              <a:gd name="T11" fmla="*/ 0 60000 65536"/>
              <a:gd name="T12" fmla="*/ 0 w 12"/>
              <a:gd name="T13" fmla="*/ 0 h 10"/>
              <a:gd name="T14" fmla="*/ 12 w 12"/>
              <a:gd name="T15" fmla="*/ 10 h 1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2" h="10">
                <a:moveTo>
                  <a:pt x="0" y="10"/>
                </a:moveTo>
                <a:lnTo>
                  <a:pt x="12" y="0"/>
                </a:lnTo>
                <a:lnTo>
                  <a:pt x="10" y="8"/>
                </a:lnTo>
                <a:lnTo>
                  <a:pt x="0" y="1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3" name="myShape_FL3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>
            <a:spLocks/>
          </xdr:cNvSpPr>
        </xdr:nvSpPr>
        <xdr:spPr bwMode="auto">
          <a:xfrm>
            <a:off x="6928938" y="4839442"/>
            <a:ext cx="7581" cy="7255"/>
          </a:xfrm>
          <a:custGeom>
            <a:avLst/>
            <a:gdLst>
              <a:gd name="T0" fmla="*/ 0 w 8"/>
              <a:gd name="T1" fmla="*/ 0 h 6"/>
              <a:gd name="T2" fmla="*/ 0 w 8"/>
              <a:gd name="T3" fmla="*/ 2147483647 h 6"/>
              <a:gd name="T4" fmla="*/ 0 w 8"/>
              <a:gd name="T5" fmla="*/ 2147483647 h 6"/>
              <a:gd name="T6" fmla="*/ 0 w 8"/>
              <a:gd name="T7" fmla="*/ 0 h 6"/>
              <a:gd name="T8" fmla="*/ 0 60000 65536"/>
              <a:gd name="T9" fmla="*/ 0 60000 65536"/>
              <a:gd name="T10" fmla="*/ 0 60000 65536"/>
              <a:gd name="T11" fmla="*/ 0 60000 65536"/>
              <a:gd name="T12" fmla="*/ 0 w 8"/>
              <a:gd name="T13" fmla="*/ 0 h 6"/>
              <a:gd name="T14" fmla="*/ 8 w 8"/>
              <a:gd name="T15" fmla="*/ 6 h 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8" h="6">
                <a:moveTo>
                  <a:pt x="0" y="0"/>
                </a:moveTo>
                <a:lnTo>
                  <a:pt x="2" y="6"/>
                </a:lnTo>
                <a:lnTo>
                  <a:pt x="8" y="1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4" name="myShape_FL2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>
            <a:spLocks/>
          </xdr:cNvSpPr>
        </xdr:nvSpPr>
        <xdr:spPr bwMode="auto">
          <a:xfrm>
            <a:off x="7019905" y="4817675"/>
            <a:ext cx="7581" cy="7255"/>
          </a:xfrm>
          <a:custGeom>
            <a:avLst/>
            <a:gdLst>
              <a:gd name="T0" fmla="*/ 0 w 10"/>
              <a:gd name="T1" fmla="*/ 2147483647 h 9"/>
              <a:gd name="T2" fmla="*/ 2147483647 w 10"/>
              <a:gd name="T3" fmla="*/ 2147483647 h 9"/>
              <a:gd name="T4" fmla="*/ 2147483647 w 10"/>
              <a:gd name="T5" fmla="*/ 0 h 9"/>
              <a:gd name="T6" fmla="*/ 0 w 10"/>
              <a:gd name="T7" fmla="*/ 2147483647 h 9"/>
              <a:gd name="T8" fmla="*/ 0 60000 65536"/>
              <a:gd name="T9" fmla="*/ 0 60000 65536"/>
              <a:gd name="T10" fmla="*/ 0 60000 65536"/>
              <a:gd name="T11" fmla="*/ 0 60000 65536"/>
              <a:gd name="T12" fmla="*/ 0 w 10"/>
              <a:gd name="T13" fmla="*/ 0 h 9"/>
              <a:gd name="T14" fmla="*/ 10 w 10"/>
              <a:gd name="T15" fmla="*/ 9 h 9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0" h="9">
                <a:moveTo>
                  <a:pt x="0" y="9"/>
                </a:moveTo>
                <a:lnTo>
                  <a:pt x="10" y="1"/>
                </a:lnTo>
                <a:lnTo>
                  <a:pt x="10" y="0"/>
                </a:lnTo>
                <a:lnTo>
                  <a:pt x="0" y="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95" name="myShape_FL1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SpPr>
            <a:spLocks/>
          </xdr:cNvSpPr>
        </xdr:nvSpPr>
        <xdr:spPr bwMode="auto">
          <a:xfrm>
            <a:off x="7012324" y="4824931"/>
            <a:ext cx="7581" cy="7255"/>
          </a:xfrm>
          <a:custGeom>
            <a:avLst/>
            <a:gdLst>
              <a:gd name="T0" fmla="*/ 0 w 1"/>
              <a:gd name="T1" fmla="*/ 2147483647 h 1"/>
              <a:gd name="T2" fmla="*/ 2147483647 w 1"/>
              <a:gd name="T3" fmla="*/ 0 h 1"/>
              <a:gd name="T4" fmla="*/ 0 w 1"/>
              <a:gd name="T5" fmla="*/ 2147483647 h 1"/>
              <a:gd name="T6" fmla="*/ 0 60000 65536"/>
              <a:gd name="T7" fmla="*/ 0 60000 65536"/>
              <a:gd name="T8" fmla="*/ 0 60000 65536"/>
              <a:gd name="T9" fmla="*/ 0 w 1"/>
              <a:gd name="T10" fmla="*/ 0 h 1"/>
              <a:gd name="T11" fmla="*/ 1 w 1"/>
              <a:gd name="T12" fmla="*/ 1 h 1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" h="1">
                <a:moveTo>
                  <a:pt x="0" y="1"/>
                </a:moveTo>
                <a:lnTo>
                  <a:pt x="1" y="0"/>
                </a:lnTo>
                <a:lnTo>
                  <a:pt x="0" y="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781050</xdr:colOff>
      <xdr:row>12</xdr:row>
      <xdr:rowOff>133350</xdr:rowOff>
    </xdr:from>
    <xdr:to>
      <xdr:col>2</xdr:col>
      <xdr:colOff>1641101</xdr:colOff>
      <xdr:row>12</xdr:row>
      <xdr:rowOff>1145802</xdr:rowOff>
    </xdr:to>
    <xdr:sp macro="" textlink="">
      <xdr:nvSpPr>
        <xdr:cNvPr id="96" name="S_GA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/>
        </xdr:cNvSpPr>
      </xdr:nvSpPr>
      <xdr:spPr bwMode="auto">
        <a:xfrm>
          <a:off x="2562225" y="14258925"/>
          <a:ext cx="860051" cy="1012452"/>
        </a:xfrm>
        <a:custGeom>
          <a:avLst/>
          <a:gdLst>
            <a:gd name="T0" fmla="*/ 2147483647 w 890"/>
            <a:gd name="T1" fmla="*/ 0 h 1095"/>
            <a:gd name="T2" fmla="*/ 2147483647 w 890"/>
            <a:gd name="T3" fmla="*/ 0 h 1095"/>
            <a:gd name="T4" fmla="*/ 2147483647 w 890"/>
            <a:gd name="T5" fmla="*/ 0 h 1095"/>
            <a:gd name="T6" fmla="*/ 2147483647 w 890"/>
            <a:gd name="T7" fmla="*/ 0 h 1095"/>
            <a:gd name="T8" fmla="*/ 2147483647 w 890"/>
            <a:gd name="T9" fmla="*/ 0 h 1095"/>
            <a:gd name="T10" fmla="*/ 2147483647 w 890"/>
            <a:gd name="T11" fmla="*/ 2147483647 h 1095"/>
            <a:gd name="T12" fmla="*/ 2147483647 w 890"/>
            <a:gd name="T13" fmla="*/ 2147483647 h 1095"/>
            <a:gd name="T14" fmla="*/ 2147483647 w 890"/>
            <a:gd name="T15" fmla="*/ 2147483647 h 1095"/>
            <a:gd name="T16" fmla="*/ 2147483647 w 890"/>
            <a:gd name="T17" fmla="*/ 2147483647 h 1095"/>
            <a:gd name="T18" fmla="*/ 2147483647 w 890"/>
            <a:gd name="T19" fmla="*/ 2147483647 h 1095"/>
            <a:gd name="T20" fmla="*/ 2147483647 w 890"/>
            <a:gd name="T21" fmla="*/ 2147483647 h 1095"/>
            <a:gd name="T22" fmla="*/ 2147483647 w 890"/>
            <a:gd name="T23" fmla="*/ 2147483647 h 1095"/>
            <a:gd name="T24" fmla="*/ 2147483647 w 890"/>
            <a:gd name="T25" fmla="*/ 2147483647 h 1095"/>
            <a:gd name="T26" fmla="*/ 2147483647 w 890"/>
            <a:gd name="T27" fmla="*/ 2147483647 h 1095"/>
            <a:gd name="T28" fmla="*/ 2147483647 w 890"/>
            <a:gd name="T29" fmla="*/ 2147483647 h 1095"/>
            <a:gd name="T30" fmla="*/ 2147483647 w 890"/>
            <a:gd name="T31" fmla="*/ 2147483647 h 1095"/>
            <a:gd name="T32" fmla="*/ 2147483647 w 890"/>
            <a:gd name="T33" fmla="*/ 2147483647 h 1095"/>
            <a:gd name="T34" fmla="*/ 2147483647 w 890"/>
            <a:gd name="T35" fmla="*/ 2147483647 h 1095"/>
            <a:gd name="T36" fmla="*/ 2147483647 w 890"/>
            <a:gd name="T37" fmla="*/ 2147483647 h 1095"/>
            <a:gd name="T38" fmla="*/ 2147483647 w 890"/>
            <a:gd name="T39" fmla="*/ 2147483647 h 1095"/>
            <a:gd name="T40" fmla="*/ 2147483647 w 890"/>
            <a:gd name="T41" fmla="*/ 2147483647 h 1095"/>
            <a:gd name="T42" fmla="*/ 2147483647 w 890"/>
            <a:gd name="T43" fmla="*/ 2147483647 h 1095"/>
            <a:gd name="T44" fmla="*/ 2147483647 w 890"/>
            <a:gd name="T45" fmla="*/ 2147483647 h 1095"/>
            <a:gd name="T46" fmla="*/ 2147483647 w 890"/>
            <a:gd name="T47" fmla="*/ 2147483647 h 1095"/>
            <a:gd name="T48" fmla="*/ 2147483647 w 890"/>
            <a:gd name="T49" fmla="*/ 2147483647 h 1095"/>
            <a:gd name="T50" fmla="*/ 2147483647 w 890"/>
            <a:gd name="T51" fmla="*/ 2147483647 h 1095"/>
            <a:gd name="T52" fmla="*/ 2147483647 w 890"/>
            <a:gd name="T53" fmla="*/ 2147483647 h 1095"/>
            <a:gd name="T54" fmla="*/ 2147483647 w 890"/>
            <a:gd name="T55" fmla="*/ 2147483647 h 1095"/>
            <a:gd name="T56" fmla="*/ 2147483647 w 890"/>
            <a:gd name="T57" fmla="*/ 2147483647 h 1095"/>
            <a:gd name="T58" fmla="*/ 2147483647 w 890"/>
            <a:gd name="T59" fmla="*/ 2147483647 h 1095"/>
            <a:gd name="T60" fmla="*/ 2147483647 w 890"/>
            <a:gd name="T61" fmla="*/ 2147483647 h 1095"/>
            <a:gd name="T62" fmla="*/ 2147483647 w 890"/>
            <a:gd name="T63" fmla="*/ 2147483647 h 1095"/>
            <a:gd name="T64" fmla="*/ 2147483647 w 890"/>
            <a:gd name="T65" fmla="*/ 2147483647 h 1095"/>
            <a:gd name="T66" fmla="*/ 2147483647 w 890"/>
            <a:gd name="T67" fmla="*/ 2147483647 h 1095"/>
            <a:gd name="T68" fmla="*/ 2147483647 w 890"/>
            <a:gd name="T69" fmla="*/ 2147483647 h 1095"/>
            <a:gd name="T70" fmla="*/ 2147483647 w 890"/>
            <a:gd name="T71" fmla="*/ 2147483647 h 1095"/>
            <a:gd name="T72" fmla="*/ 2147483647 w 890"/>
            <a:gd name="T73" fmla="*/ 2147483647 h 1095"/>
            <a:gd name="T74" fmla="*/ 2147483647 w 890"/>
            <a:gd name="T75" fmla="*/ 2147483647 h 1095"/>
            <a:gd name="T76" fmla="*/ 2147483647 w 890"/>
            <a:gd name="T77" fmla="*/ 2147483647 h 1095"/>
            <a:gd name="T78" fmla="*/ 2147483647 w 890"/>
            <a:gd name="T79" fmla="*/ 2147483647 h 1095"/>
            <a:gd name="T80" fmla="*/ 2147483647 w 890"/>
            <a:gd name="T81" fmla="*/ 2147483647 h 1095"/>
            <a:gd name="T82" fmla="*/ 2147483647 w 890"/>
            <a:gd name="T83" fmla="*/ 2147483647 h 1095"/>
            <a:gd name="T84" fmla="*/ 2147483647 w 890"/>
            <a:gd name="T85" fmla="*/ 2147483647 h 1095"/>
            <a:gd name="T86" fmla="*/ 2147483647 w 890"/>
            <a:gd name="T87" fmla="*/ 2147483647 h 1095"/>
            <a:gd name="T88" fmla="*/ 2147483647 w 890"/>
            <a:gd name="T89" fmla="*/ 2147483647 h 1095"/>
            <a:gd name="T90" fmla="*/ 2147483647 w 890"/>
            <a:gd name="T91" fmla="*/ 2147483647 h 1095"/>
            <a:gd name="T92" fmla="*/ 2147483647 w 890"/>
            <a:gd name="T93" fmla="*/ 2147483647 h 1095"/>
            <a:gd name="T94" fmla="*/ 2147483647 w 890"/>
            <a:gd name="T95" fmla="*/ 2147483647 h 1095"/>
            <a:gd name="T96" fmla="*/ 2147483647 w 890"/>
            <a:gd name="T97" fmla="*/ 2147483647 h 1095"/>
            <a:gd name="T98" fmla="*/ 2147483647 w 890"/>
            <a:gd name="T99" fmla="*/ 2147483647 h 1095"/>
            <a:gd name="T100" fmla="*/ 2147483647 w 890"/>
            <a:gd name="T101" fmla="*/ 2147483647 h 1095"/>
            <a:gd name="T102" fmla="*/ 2147483647 w 890"/>
            <a:gd name="T103" fmla="*/ 2147483647 h 1095"/>
            <a:gd name="T104" fmla="*/ 2147483647 w 890"/>
            <a:gd name="T105" fmla="*/ 2147483647 h 1095"/>
            <a:gd name="T106" fmla="*/ 2147483647 w 890"/>
            <a:gd name="T107" fmla="*/ 2147483647 h 1095"/>
            <a:gd name="T108" fmla="*/ 2147483647 w 890"/>
            <a:gd name="T109" fmla="*/ 2147483647 h 1095"/>
            <a:gd name="T110" fmla="*/ 2147483647 w 890"/>
            <a:gd name="T111" fmla="*/ 0 h 1095"/>
            <a:gd name="T112" fmla="*/ 2147483647 w 890"/>
            <a:gd name="T113" fmla="*/ 0 h 1095"/>
            <a:gd name="T114" fmla="*/ 2147483647 w 890"/>
            <a:gd name="T115" fmla="*/ 0 h 1095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890"/>
            <a:gd name="T175" fmla="*/ 0 h 1095"/>
            <a:gd name="T176" fmla="*/ 890 w 890"/>
            <a:gd name="T177" fmla="*/ 1095 h 1095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890" h="1095">
              <a:moveTo>
                <a:pt x="149" y="2"/>
              </a:moveTo>
              <a:lnTo>
                <a:pt x="155" y="2"/>
              </a:lnTo>
              <a:lnTo>
                <a:pt x="159" y="2"/>
              </a:lnTo>
              <a:lnTo>
                <a:pt x="167" y="2"/>
              </a:lnTo>
              <a:lnTo>
                <a:pt x="184" y="2"/>
              </a:lnTo>
              <a:lnTo>
                <a:pt x="210" y="2"/>
              </a:lnTo>
              <a:lnTo>
                <a:pt x="230" y="2"/>
              </a:lnTo>
              <a:lnTo>
                <a:pt x="240" y="2"/>
              </a:lnTo>
              <a:lnTo>
                <a:pt x="254" y="2"/>
              </a:lnTo>
              <a:lnTo>
                <a:pt x="276" y="3"/>
              </a:lnTo>
              <a:lnTo>
                <a:pt x="299" y="3"/>
              </a:lnTo>
              <a:lnTo>
                <a:pt x="309" y="3"/>
              </a:lnTo>
              <a:lnTo>
                <a:pt x="311" y="3"/>
              </a:lnTo>
              <a:lnTo>
                <a:pt x="371" y="3"/>
              </a:lnTo>
              <a:lnTo>
                <a:pt x="371" y="1"/>
              </a:lnTo>
              <a:lnTo>
                <a:pt x="384" y="1"/>
              </a:lnTo>
              <a:lnTo>
                <a:pt x="394" y="1"/>
              </a:lnTo>
              <a:lnTo>
                <a:pt x="397" y="1"/>
              </a:lnTo>
              <a:lnTo>
                <a:pt x="427" y="1"/>
              </a:lnTo>
              <a:lnTo>
                <a:pt x="455" y="0"/>
              </a:lnTo>
              <a:lnTo>
                <a:pt x="467" y="0"/>
              </a:lnTo>
              <a:lnTo>
                <a:pt x="463" y="15"/>
              </a:lnTo>
              <a:lnTo>
                <a:pt x="440" y="34"/>
              </a:lnTo>
              <a:lnTo>
                <a:pt x="421" y="66"/>
              </a:lnTo>
              <a:lnTo>
                <a:pt x="421" y="67"/>
              </a:lnTo>
              <a:lnTo>
                <a:pt x="424" y="74"/>
              </a:lnTo>
              <a:lnTo>
                <a:pt x="442" y="89"/>
              </a:lnTo>
              <a:lnTo>
                <a:pt x="463" y="104"/>
              </a:lnTo>
              <a:lnTo>
                <a:pt x="468" y="109"/>
              </a:lnTo>
              <a:lnTo>
                <a:pt x="477" y="118"/>
              </a:lnTo>
              <a:lnTo>
                <a:pt x="477" y="119"/>
              </a:lnTo>
              <a:lnTo>
                <a:pt x="480" y="122"/>
              </a:lnTo>
              <a:lnTo>
                <a:pt x="488" y="124"/>
              </a:lnTo>
              <a:lnTo>
                <a:pt x="488" y="123"/>
              </a:lnTo>
              <a:lnTo>
                <a:pt x="510" y="126"/>
              </a:lnTo>
              <a:lnTo>
                <a:pt x="518" y="148"/>
              </a:lnTo>
              <a:lnTo>
                <a:pt x="530" y="168"/>
              </a:lnTo>
              <a:lnTo>
                <a:pt x="534" y="172"/>
              </a:lnTo>
              <a:lnTo>
                <a:pt x="535" y="177"/>
              </a:lnTo>
              <a:lnTo>
                <a:pt x="535" y="186"/>
              </a:lnTo>
              <a:lnTo>
                <a:pt x="548" y="206"/>
              </a:lnTo>
              <a:lnTo>
                <a:pt x="558" y="221"/>
              </a:lnTo>
              <a:lnTo>
                <a:pt x="563" y="232"/>
              </a:lnTo>
              <a:lnTo>
                <a:pt x="563" y="234"/>
              </a:lnTo>
              <a:lnTo>
                <a:pt x="564" y="235"/>
              </a:lnTo>
              <a:lnTo>
                <a:pt x="568" y="246"/>
              </a:lnTo>
              <a:lnTo>
                <a:pt x="604" y="272"/>
              </a:lnTo>
              <a:lnTo>
                <a:pt x="627" y="294"/>
              </a:lnTo>
              <a:lnTo>
                <a:pt x="634" y="310"/>
              </a:lnTo>
              <a:lnTo>
                <a:pt x="639" y="324"/>
              </a:lnTo>
              <a:lnTo>
                <a:pt x="651" y="333"/>
              </a:lnTo>
              <a:lnTo>
                <a:pt x="653" y="331"/>
              </a:lnTo>
              <a:lnTo>
                <a:pt x="668" y="342"/>
              </a:lnTo>
              <a:lnTo>
                <a:pt x="668" y="343"/>
              </a:lnTo>
              <a:lnTo>
                <a:pt x="669" y="343"/>
              </a:lnTo>
              <a:lnTo>
                <a:pt x="670" y="345"/>
              </a:lnTo>
              <a:lnTo>
                <a:pt x="688" y="383"/>
              </a:lnTo>
              <a:lnTo>
                <a:pt x="698" y="398"/>
              </a:lnTo>
              <a:lnTo>
                <a:pt x="702" y="414"/>
              </a:lnTo>
              <a:lnTo>
                <a:pt x="719" y="425"/>
              </a:lnTo>
              <a:lnTo>
                <a:pt x="721" y="438"/>
              </a:lnTo>
              <a:lnTo>
                <a:pt x="727" y="443"/>
              </a:lnTo>
              <a:lnTo>
                <a:pt x="746" y="449"/>
              </a:lnTo>
              <a:lnTo>
                <a:pt x="760" y="461"/>
              </a:lnTo>
              <a:lnTo>
                <a:pt x="769" y="470"/>
              </a:lnTo>
              <a:lnTo>
                <a:pt x="767" y="488"/>
              </a:lnTo>
              <a:lnTo>
                <a:pt x="785" y="533"/>
              </a:lnTo>
              <a:lnTo>
                <a:pt x="783" y="561"/>
              </a:lnTo>
              <a:lnTo>
                <a:pt x="789" y="568"/>
              </a:lnTo>
              <a:lnTo>
                <a:pt x="791" y="569"/>
              </a:lnTo>
              <a:lnTo>
                <a:pt x="791" y="568"/>
              </a:lnTo>
              <a:lnTo>
                <a:pt x="808" y="577"/>
              </a:lnTo>
              <a:lnTo>
                <a:pt x="838" y="636"/>
              </a:lnTo>
              <a:lnTo>
                <a:pt x="834" y="650"/>
              </a:lnTo>
              <a:lnTo>
                <a:pt x="834" y="655"/>
              </a:lnTo>
              <a:lnTo>
                <a:pt x="839" y="680"/>
              </a:lnTo>
              <a:lnTo>
                <a:pt x="861" y="685"/>
              </a:lnTo>
              <a:lnTo>
                <a:pt x="881" y="697"/>
              </a:lnTo>
              <a:lnTo>
                <a:pt x="889" y="699"/>
              </a:lnTo>
              <a:lnTo>
                <a:pt x="890" y="710"/>
              </a:lnTo>
              <a:lnTo>
                <a:pt x="861" y="742"/>
              </a:lnTo>
              <a:lnTo>
                <a:pt x="850" y="738"/>
              </a:lnTo>
              <a:lnTo>
                <a:pt x="854" y="752"/>
              </a:lnTo>
              <a:lnTo>
                <a:pt x="837" y="774"/>
              </a:lnTo>
              <a:lnTo>
                <a:pt x="833" y="772"/>
              </a:lnTo>
              <a:lnTo>
                <a:pt x="830" y="772"/>
              </a:lnTo>
              <a:lnTo>
                <a:pt x="826" y="775"/>
              </a:lnTo>
              <a:lnTo>
                <a:pt x="836" y="779"/>
              </a:lnTo>
              <a:lnTo>
                <a:pt x="837" y="797"/>
              </a:lnTo>
              <a:lnTo>
                <a:pt x="828" y="813"/>
              </a:lnTo>
              <a:lnTo>
                <a:pt x="825" y="810"/>
              </a:lnTo>
              <a:lnTo>
                <a:pt x="812" y="814"/>
              </a:lnTo>
              <a:lnTo>
                <a:pt x="814" y="820"/>
              </a:lnTo>
              <a:lnTo>
                <a:pt x="828" y="822"/>
              </a:lnTo>
              <a:lnTo>
                <a:pt x="811" y="854"/>
              </a:lnTo>
              <a:lnTo>
                <a:pt x="806" y="856"/>
              </a:lnTo>
              <a:lnTo>
                <a:pt x="809" y="875"/>
              </a:lnTo>
              <a:lnTo>
                <a:pt x="812" y="882"/>
              </a:lnTo>
              <a:lnTo>
                <a:pt x="791" y="911"/>
              </a:lnTo>
              <a:lnTo>
                <a:pt x="778" y="915"/>
              </a:lnTo>
              <a:lnTo>
                <a:pt x="784" y="916"/>
              </a:lnTo>
              <a:lnTo>
                <a:pt x="779" y="942"/>
              </a:lnTo>
              <a:lnTo>
                <a:pt x="775" y="945"/>
              </a:lnTo>
              <a:lnTo>
                <a:pt x="784" y="950"/>
              </a:lnTo>
              <a:lnTo>
                <a:pt x="777" y="1012"/>
              </a:lnTo>
              <a:lnTo>
                <a:pt x="724" y="1004"/>
              </a:lnTo>
              <a:lnTo>
                <a:pt x="698" y="992"/>
              </a:lnTo>
              <a:lnTo>
                <a:pt x="691" y="986"/>
              </a:lnTo>
              <a:lnTo>
                <a:pt x="667" y="1004"/>
              </a:lnTo>
              <a:lnTo>
                <a:pt x="671" y="1063"/>
              </a:lnTo>
              <a:lnTo>
                <a:pt x="665" y="1095"/>
              </a:lnTo>
              <a:lnTo>
                <a:pt x="640" y="1093"/>
              </a:lnTo>
              <a:lnTo>
                <a:pt x="635" y="1063"/>
              </a:lnTo>
              <a:lnTo>
                <a:pt x="634" y="1047"/>
              </a:lnTo>
              <a:lnTo>
                <a:pt x="627" y="1046"/>
              </a:lnTo>
              <a:lnTo>
                <a:pt x="604" y="1044"/>
              </a:lnTo>
              <a:lnTo>
                <a:pt x="596" y="1043"/>
              </a:lnTo>
              <a:lnTo>
                <a:pt x="589" y="1042"/>
              </a:lnTo>
              <a:lnTo>
                <a:pt x="580" y="1042"/>
              </a:lnTo>
              <a:lnTo>
                <a:pt x="565" y="1041"/>
              </a:lnTo>
              <a:lnTo>
                <a:pt x="549" y="1040"/>
              </a:lnTo>
              <a:lnTo>
                <a:pt x="545" y="1039"/>
              </a:lnTo>
              <a:lnTo>
                <a:pt x="534" y="1039"/>
              </a:lnTo>
              <a:lnTo>
                <a:pt x="510" y="1037"/>
              </a:lnTo>
              <a:lnTo>
                <a:pt x="461" y="1034"/>
              </a:lnTo>
              <a:lnTo>
                <a:pt x="451" y="1033"/>
              </a:lnTo>
              <a:lnTo>
                <a:pt x="440" y="1032"/>
              </a:lnTo>
              <a:lnTo>
                <a:pt x="429" y="1031"/>
              </a:lnTo>
              <a:lnTo>
                <a:pt x="423" y="1031"/>
              </a:lnTo>
              <a:lnTo>
                <a:pt x="421" y="1031"/>
              </a:lnTo>
              <a:lnTo>
                <a:pt x="414" y="1030"/>
              </a:lnTo>
              <a:lnTo>
                <a:pt x="394" y="1028"/>
              </a:lnTo>
              <a:lnTo>
                <a:pt x="372" y="1027"/>
              </a:lnTo>
              <a:lnTo>
                <a:pt x="366" y="1026"/>
              </a:lnTo>
              <a:lnTo>
                <a:pt x="360" y="1026"/>
              </a:lnTo>
              <a:lnTo>
                <a:pt x="348" y="1025"/>
              </a:lnTo>
              <a:lnTo>
                <a:pt x="323" y="1024"/>
              </a:lnTo>
              <a:lnTo>
                <a:pt x="310" y="1023"/>
              </a:lnTo>
              <a:lnTo>
                <a:pt x="299" y="1022"/>
              </a:lnTo>
              <a:lnTo>
                <a:pt x="296" y="1022"/>
              </a:lnTo>
              <a:lnTo>
                <a:pt x="290" y="1022"/>
              </a:lnTo>
              <a:lnTo>
                <a:pt x="285" y="1021"/>
              </a:lnTo>
              <a:lnTo>
                <a:pt x="263" y="1020"/>
              </a:lnTo>
              <a:lnTo>
                <a:pt x="253" y="1019"/>
              </a:lnTo>
              <a:lnTo>
                <a:pt x="247" y="1019"/>
              </a:lnTo>
              <a:lnTo>
                <a:pt x="241" y="1019"/>
              </a:lnTo>
              <a:lnTo>
                <a:pt x="230" y="1018"/>
              </a:lnTo>
              <a:lnTo>
                <a:pt x="229" y="1018"/>
              </a:lnTo>
              <a:lnTo>
                <a:pt x="211" y="1018"/>
              </a:lnTo>
              <a:lnTo>
                <a:pt x="180" y="1015"/>
              </a:lnTo>
              <a:lnTo>
                <a:pt x="138" y="1012"/>
              </a:lnTo>
              <a:lnTo>
                <a:pt x="136" y="1009"/>
              </a:lnTo>
              <a:lnTo>
                <a:pt x="112" y="951"/>
              </a:lnTo>
              <a:lnTo>
                <a:pt x="112" y="945"/>
              </a:lnTo>
              <a:lnTo>
                <a:pt x="112" y="943"/>
              </a:lnTo>
              <a:lnTo>
                <a:pt x="113" y="942"/>
              </a:lnTo>
              <a:lnTo>
                <a:pt x="107" y="927"/>
              </a:lnTo>
              <a:lnTo>
                <a:pt x="103" y="915"/>
              </a:lnTo>
              <a:lnTo>
                <a:pt x="93" y="885"/>
              </a:lnTo>
              <a:lnTo>
                <a:pt x="96" y="872"/>
              </a:lnTo>
              <a:lnTo>
                <a:pt x="96" y="856"/>
              </a:lnTo>
              <a:lnTo>
                <a:pt x="103" y="826"/>
              </a:lnTo>
              <a:lnTo>
                <a:pt x="105" y="823"/>
              </a:lnTo>
              <a:lnTo>
                <a:pt x="101" y="797"/>
              </a:lnTo>
              <a:lnTo>
                <a:pt x="90" y="781"/>
              </a:lnTo>
              <a:lnTo>
                <a:pt x="89" y="764"/>
              </a:lnTo>
              <a:lnTo>
                <a:pt x="90" y="763"/>
              </a:lnTo>
              <a:lnTo>
                <a:pt x="89" y="763"/>
              </a:lnTo>
              <a:lnTo>
                <a:pt x="87" y="760"/>
              </a:lnTo>
              <a:lnTo>
                <a:pt x="89" y="738"/>
              </a:lnTo>
              <a:lnTo>
                <a:pt x="90" y="734"/>
              </a:lnTo>
              <a:lnTo>
                <a:pt x="101" y="711"/>
              </a:lnTo>
              <a:lnTo>
                <a:pt x="101" y="708"/>
              </a:lnTo>
              <a:lnTo>
                <a:pt x="103" y="693"/>
              </a:lnTo>
              <a:lnTo>
                <a:pt x="102" y="678"/>
              </a:lnTo>
              <a:lnTo>
                <a:pt x="112" y="666"/>
              </a:lnTo>
              <a:lnTo>
                <a:pt x="127" y="654"/>
              </a:lnTo>
              <a:lnTo>
                <a:pt x="131" y="650"/>
              </a:lnTo>
              <a:lnTo>
                <a:pt x="112" y="632"/>
              </a:lnTo>
              <a:lnTo>
                <a:pt x="118" y="620"/>
              </a:lnTo>
              <a:lnTo>
                <a:pt x="113" y="591"/>
              </a:lnTo>
              <a:lnTo>
                <a:pt x="112" y="589"/>
              </a:lnTo>
              <a:lnTo>
                <a:pt x="112" y="587"/>
              </a:lnTo>
              <a:lnTo>
                <a:pt x="97" y="565"/>
              </a:lnTo>
              <a:lnTo>
                <a:pt x="94" y="559"/>
              </a:lnTo>
              <a:lnTo>
                <a:pt x="90" y="533"/>
              </a:lnTo>
              <a:lnTo>
                <a:pt x="88" y="532"/>
              </a:lnTo>
              <a:lnTo>
                <a:pt x="87" y="531"/>
              </a:lnTo>
              <a:lnTo>
                <a:pt x="90" y="524"/>
              </a:lnTo>
              <a:lnTo>
                <a:pt x="78" y="503"/>
              </a:lnTo>
              <a:lnTo>
                <a:pt x="75" y="483"/>
              </a:lnTo>
              <a:lnTo>
                <a:pt x="74" y="474"/>
              </a:lnTo>
              <a:lnTo>
                <a:pt x="70" y="446"/>
              </a:lnTo>
              <a:lnTo>
                <a:pt x="68" y="443"/>
              </a:lnTo>
              <a:lnTo>
                <a:pt x="68" y="442"/>
              </a:lnTo>
              <a:lnTo>
                <a:pt x="65" y="422"/>
              </a:lnTo>
              <a:lnTo>
                <a:pt x="60" y="383"/>
              </a:lnTo>
              <a:lnTo>
                <a:pt x="58" y="371"/>
              </a:lnTo>
              <a:lnTo>
                <a:pt x="56" y="358"/>
              </a:lnTo>
              <a:lnTo>
                <a:pt x="56" y="354"/>
              </a:lnTo>
              <a:lnTo>
                <a:pt x="50" y="324"/>
              </a:lnTo>
              <a:lnTo>
                <a:pt x="49" y="318"/>
              </a:lnTo>
              <a:lnTo>
                <a:pt x="43" y="273"/>
              </a:lnTo>
              <a:lnTo>
                <a:pt x="42" y="270"/>
              </a:lnTo>
              <a:lnTo>
                <a:pt x="41" y="259"/>
              </a:lnTo>
              <a:lnTo>
                <a:pt x="38" y="244"/>
              </a:lnTo>
              <a:lnTo>
                <a:pt x="37" y="235"/>
              </a:lnTo>
              <a:lnTo>
                <a:pt x="36" y="229"/>
              </a:lnTo>
              <a:lnTo>
                <a:pt x="34" y="217"/>
              </a:lnTo>
              <a:lnTo>
                <a:pt x="31" y="197"/>
              </a:lnTo>
              <a:lnTo>
                <a:pt x="29" y="182"/>
              </a:lnTo>
              <a:lnTo>
                <a:pt x="27" y="168"/>
              </a:lnTo>
              <a:lnTo>
                <a:pt x="21" y="140"/>
              </a:lnTo>
              <a:lnTo>
                <a:pt x="19" y="126"/>
              </a:lnTo>
              <a:lnTo>
                <a:pt x="17" y="112"/>
              </a:lnTo>
              <a:lnTo>
                <a:pt x="14" y="97"/>
              </a:lnTo>
              <a:lnTo>
                <a:pt x="13" y="89"/>
              </a:lnTo>
              <a:lnTo>
                <a:pt x="7" y="59"/>
              </a:lnTo>
              <a:lnTo>
                <a:pt x="5" y="42"/>
              </a:lnTo>
              <a:lnTo>
                <a:pt x="4" y="33"/>
              </a:lnTo>
              <a:lnTo>
                <a:pt x="3" y="29"/>
              </a:lnTo>
              <a:lnTo>
                <a:pt x="0" y="3"/>
              </a:lnTo>
              <a:lnTo>
                <a:pt x="19" y="3"/>
              </a:lnTo>
              <a:lnTo>
                <a:pt x="25" y="4"/>
              </a:lnTo>
              <a:lnTo>
                <a:pt x="43" y="3"/>
              </a:lnTo>
              <a:lnTo>
                <a:pt x="45" y="3"/>
              </a:lnTo>
              <a:lnTo>
                <a:pt x="55" y="3"/>
              </a:lnTo>
              <a:lnTo>
                <a:pt x="63" y="3"/>
              </a:lnTo>
              <a:lnTo>
                <a:pt x="66" y="3"/>
              </a:lnTo>
              <a:lnTo>
                <a:pt x="67" y="3"/>
              </a:lnTo>
              <a:lnTo>
                <a:pt x="117" y="2"/>
              </a:lnTo>
              <a:lnTo>
                <a:pt x="118" y="2"/>
              </a:lnTo>
              <a:lnTo>
                <a:pt x="128" y="2"/>
              </a:lnTo>
              <a:lnTo>
                <a:pt x="142" y="3"/>
              </a:lnTo>
              <a:lnTo>
                <a:pt x="149" y="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895350</xdr:colOff>
      <xdr:row>14</xdr:row>
      <xdr:rowOff>57150</xdr:rowOff>
    </xdr:from>
    <xdr:to>
      <xdr:col>2</xdr:col>
      <xdr:colOff>1495425</xdr:colOff>
      <xdr:row>14</xdr:row>
      <xdr:rowOff>1123950</xdr:rowOff>
    </xdr:to>
    <xdr:sp macro="" textlink="">
      <xdr:nvSpPr>
        <xdr:cNvPr id="97" name="S_ID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/>
        </xdr:cNvSpPr>
      </xdr:nvSpPr>
      <xdr:spPr bwMode="auto">
        <a:xfrm>
          <a:off x="2676525" y="16716375"/>
          <a:ext cx="600075" cy="1066800"/>
        </a:xfrm>
        <a:custGeom>
          <a:avLst/>
          <a:gdLst>
            <a:gd name="T0" fmla="*/ 2147483647 w 1159"/>
            <a:gd name="T1" fmla="*/ 2147483647 h 1657"/>
            <a:gd name="T2" fmla="*/ 2147483647 w 1159"/>
            <a:gd name="T3" fmla="*/ 2147483647 h 1657"/>
            <a:gd name="T4" fmla="*/ 2147483647 w 1159"/>
            <a:gd name="T5" fmla="*/ 2147483647 h 1657"/>
            <a:gd name="T6" fmla="*/ 2147483647 w 1159"/>
            <a:gd name="T7" fmla="*/ 2147483647 h 1657"/>
            <a:gd name="T8" fmla="*/ 2147483647 w 1159"/>
            <a:gd name="T9" fmla="*/ 2147483647 h 1657"/>
            <a:gd name="T10" fmla="*/ 2147483647 w 1159"/>
            <a:gd name="T11" fmla="*/ 2147483647 h 1657"/>
            <a:gd name="T12" fmla="*/ 2147483647 w 1159"/>
            <a:gd name="T13" fmla="*/ 2147483647 h 1657"/>
            <a:gd name="T14" fmla="*/ 2147483647 w 1159"/>
            <a:gd name="T15" fmla="*/ 2147483647 h 1657"/>
            <a:gd name="T16" fmla="*/ 2147483647 w 1159"/>
            <a:gd name="T17" fmla="*/ 2147483647 h 1657"/>
            <a:gd name="T18" fmla="*/ 2147483647 w 1159"/>
            <a:gd name="T19" fmla="*/ 2147483647 h 1657"/>
            <a:gd name="T20" fmla="*/ 2147483647 w 1159"/>
            <a:gd name="T21" fmla="*/ 2147483647 h 1657"/>
            <a:gd name="T22" fmla="*/ 2147483647 w 1159"/>
            <a:gd name="T23" fmla="*/ 2147483647 h 1657"/>
            <a:gd name="T24" fmla="*/ 2147483647 w 1159"/>
            <a:gd name="T25" fmla="*/ 2147483647 h 1657"/>
            <a:gd name="T26" fmla="*/ 2147483647 w 1159"/>
            <a:gd name="T27" fmla="*/ 2147483647 h 1657"/>
            <a:gd name="T28" fmla="*/ 2147483647 w 1159"/>
            <a:gd name="T29" fmla="*/ 2147483647 h 1657"/>
            <a:gd name="T30" fmla="*/ 2147483647 w 1159"/>
            <a:gd name="T31" fmla="*/ 2147483647 h 1657"/>
            <a:gd name="T32" fmla="*/ 2147483647 w 1159"/>
            <a:gd name="T33" fmla="*/ 2147483647 h 1657"/>
            <a:gd name="T34" fmla="*/ 2147483647 w 1159"/>
            <a:gd name="T35" fmla="*/ 2147483647 h 1657"/>
            <a:gd name="T36" fmla="*/ 2147483647 w 1159"/>
            <a:gd name="T37" fmla="*/ 2147483647 h 1657"/>
            <a:gd name="T38" fmla="*/ 2147483647 w 1159"/>
            <a:gd name="T39" fmla="*/ 2147483647 h 1657"/>
            <a:gd name="T40" fmla="*/ 2147483647 w 1159"/>
            <a:gd name="T41" fmla="*/ 2147483647 h 1657"/>
            <a:gd name="T42" fmla="*/ 2147483647 w 1159"/>
            <a:gd name="T43" fmla="*/ 2147483647 h 1657"/>
            <a:gd name="T44" fmla="*/ 2147483647 w 1159"/>
            <a:gd name="T45" fmla="*/ 2147483647 h 1657"/>
            <a:gd name="T46" fmla="*/ 2147483647 w 1159"/>
            <a:gd name="T47" fmla="*/ 2147483647 h 1657"/>
            <a:gd name="T48" fmla="*/ 2147483647 w 1159"/>
            <a:gd name="T49" fmla="*/ 2147483647 h 1657"/>
            <a:gd name="T50" fmla="*/ 2147483647 w 1159"/>
            <a:gd name="T51" fmla="*/ 2147483647 h 1657"/>
            <a:gd name="T52" fmla="*/ 2147483647 w 1159"/>
            <a:gd name="T53" fmla="*/ 2147483647 h 1657"/>
            <a:gd name="T54" fmla="*/ 2147483647 w 1159"/>
            <a:gd name="T55" fmla="*/ 2147483647 h 1657"/>
            <a:gd name="T56" fmla="*/ 2147483647 w 1159"/>
            <a:gd name="T57" fmla="*/ 2147483647 h 1657"/>
            <a:gd name="T58" fmla="*/ 2147483647 w 1159"/>
            <a:gd name="T59" fmla="*/ 2147483647 h 1657"/>
            <a:gd name="T60" fmla="*/ 2147483647 w 1159"/>
            <a:gd name="T61" fmla="*/ 2147483647 h 1657"/>
            <a:gd name="T62" fmla="*/ 2147483647 w 1159"/>
            <a:gd name="T63" fmla="*/ 2147483647 h 1657"/>
            <a:gd name="T64" fmla="*/ 2147483647 w 1159"/>
            <a:gd name="T65" fmla="*/ 2147483647 h 1657"/>
            <a:gd name="T66" fmla="*/ 2147483647 w 1159"/>
            <a:gd name="T67" fmla="*/ 2147483647 h 1657"/>
            <a:gd name="T68" fmla="*/ 2147483647 w 1159"/>
            <a:gd name="T69" fmla="*/ 2147483647 h 1657"/>
            <a:gd name="T70" fmla="*/ 2147483647 w 1159"/>
            <a:gd name="T71" fmla="*/ 0 h 1657"/>
            <a:gd name="T72" fmla="*/ 2147483647 w 1159"/>
            <a:gd name="T73" fmla="*/ 2147483647 h 1657"/>
            <a:gd name="T74" fmla="*/ 2147483647 w 1159"/>
            <a:gd name="T75" fmla="*/ 2147483647 h 1657"/>
            <a:gd name="T76" fmla="*/ 2147483647 w 1159"/>
            <a:gd name="T77" fmla="*/ 2147483647 h 1657"/>
            <a:gd name="T78" fmla="*/ 2147483647 w 1159"/>
            <a:gd name="T79" fmla="*/ 2147483647 h 1657"/>
            <a:gd name="T80" fmla="*/ 2147483647 w 1159"/>
            <a:gd name="T81" fmla="*/ 2147483647 h 1657"/>
            <a:gd name="T82" fmla="*/ 2147483647 w 1159"/>
            <a:gd name="T83" fmla="*/ 2147483647 h 1657"/>
            <a:gd name="T84" fmla="*/ 2147483647 w 1159"/>
            <a:gd name="T85" fmla="*/ 2147483647 h 1657"/>
            <a:gd name="T86" fmla="*/ 2147483647 w 1159"/>
            <a:gd name="T87" fmla="*/ 2147483647 h 1657"/>
            <a:gd name="T88" fmla="*/ 2147483647 w 1159"/>
            <a:gd name="T89" fmla="*/ 2147483647 h 1657"/>
            <a:gd name="T90" fmla="*/ 2147483647 w 1159"/>
            <a:gd name="T91" fmla="*/ 2147483647 h 1657"/>
            <a:gd name="T92" fmla="*/ 2147483647 w 1159"/>
            <a:gd name="T93" fmla="*/ 2147483647 h 1657"/>
            <a:gd name="T94" fmla="*/ 0 w 1159"/>
            <a:gd name="T95" fmla="*/ 2147483647 h 1657"/>
            <a:gd name="T96" fmla="*/ 2147483647 w 1159"/>
            <a:gd name="T97" fmla="*/ 2147483647 h 1657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59"/>
            <a:gd name="T148" fmla="*/ 0 h 1657"/>
            <a:gd name="T149" fmla="*/ 1159 w 1159"/>
            <a:gd name="T150" fmla="*/ 1657 h 1657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59" h="1657">
              <a:moveTo>
                <a:pt x="63" y="1145"/>
              </a:moveTo>
              <a:lnTo>
                <a:pt x="60" y="1153"/>
              </a:lnTo>
              <a:lnTo>
                <a:pt x="57" y="1154"/>
              </a:lnTo>
              <a:lnTo>
                <a:pt x="47" y="1210"/>
              </a:lnTo>
              <a:lnTo>
                <a:pt x="43" y="1214"/>
              </a:lnTo>
              <a:lnTo>
                <a:pt x="39" y="1227"/>
              </a:lnTo>
              <a:lnTo>
                <a:pt x="39" y="1257"/>
              </a:lnTo>
              <a:lnTo>
                <a:pt x="39" y="1281"/>
              </a:lnTo>
              <a:lnTo>
                <a:pt x="39" y="1379"/>
              </a:lnTo>
              <a:lnTo>
                <a:pt x="39" y="1653"/>
              </a:lnTo>
              <a:lnTo>
                <a:pt x="50" y="1654"/>
              </a:lnTo>
              <a:lnTo>
                <a:pt x="222" y="1654"/>
              </a:lnTo>
              <a:lnTo>
                <a:pt x="412" y="1654"/>
              </a:lnTo>
              <a:lnTo>
                <a:pt x="465" y="1654"/>
              </a:lnTo>
              <a:lnTo>
                <a:pt x="493" y="1656"/>
              </a:lnTo>
              <a:lnTo>
                <a:pt x="553" y="1656"/>
              </a:lnTo>
              <a:lnTo>
                <a:pt x="558" y="1656"/>
              </a:lnTo>
              <a:lnTo>
                <a:pt x="561" y="1656"/>
              </a:lnTo>
              <a:lnTo>
                <a:pt x="598" y="1656"/>
              </a:lnTo>
              <a:lnTo>
                <a:pt x="651" y="1657"/>
              </a:lnTo>
              <a:lnTo>
                <a:pt x="746" y="1654"/>
              </a:lnTo>
              <a:lnTo>
                <a:pt x="792" y="1654"/>
              </a:lnTo>
              <a:lnTo>
                <a:pt x="944" y="1653"/>
              </a:lnTo>
              <a:lnTo>
                <a:pt x="947" y="1654"/>
              </a:lnTo>
              <a:lnTo>
                <a:pt x="949" y="1654"/>
              </a:lnTo>
              <a:lnTo>
                <a:pt x="955" y="1654"/>
              </a:lnTo>
              <a:lnTo>
                <a:pt x="959" y="1654"/>
              </a:lnTo>
              <a:lnTo>
                <a:pt x="979" y="1654"/>
              </a:lnTo>
              <a:lnTo>
                <a:pt x="1026" y="1654"/>
              </a:lnTo>
              <a:lnTo>
                <a:pt x="1071" y="1654"/>
              </a:lnTo>
              <a:lnTo>
                <a:pt x="1081" y="1654"/>
              </a:lnTo>
              <a:lnTo>
                <a:pt x="1087" y="1653"/>
              </a:lnTo>
              <a:lnTo>
                <a:pt x="1158" y="1653"/>
              </a:lnTo>
              <a:lnTo>
                <a:pt x="1158" y="1624"/>
              </a:lnTo>
              <a:lnTo>
                <a:pt x="1158" y="1542"/>
              </a:lnTo>
              <a:lnTo>
                <a:pt x="1158" y="1534"/>
              </a:lnTo>
              <a:lnTo>
                <a:pt x="1159" y="1477"/>
              </a:lnTo>
              <a:lnTo>
                <a:pt x="1158" y="1418"/>
              </a:lnTo>
              <a:lnTo>
                <a:pt x="1158" y="1414"/>
              </a:lnTo>
              <a:lnTo>
                <a:pt x="1158" y="1403"/>
              </a:lnTo>
              <a:lnTo>
                <a:pt x="1158" y="1359"/>
              </a:lnTo>
              <a:lnTo>
                <a:pt x="1158" y="1343"/>
              </a:lnTo>
              <a:lnTo>
                <a:pt x="1158" y="1311"/>
              </a:lnTo>
              <a:lnTo>
                <a:pt x="1158" y="1300"/>
              </a:lnTo>
              <a:lnTo>
                <a:pt x="1158" y="1299"/>
              </a:lnTo>
              <a:lnTo>
                <a:pt x="1158" y="1240"/>
              </a:lnTo>
              <a:lnTo>
                <a:pt x="1158" y="1211"/>
              </a:lnTo>
              <a:lnTo>
                <a:pt x="1158" y="1186"/>
              </a:lnTo>
              <a:lnTo>
                <a:pt x="1158" y="1150"/>
              </a:lnTo>
              <a:lnTo>
                <a:pt x="1158" y="1123"/>
              </a:lnTo>
              <a:lnTo>
                <a:pt x="1157" y="1069"/>
              </a:lnTo>
              <a:lnTo>
                <a:pt x="1149" y="1067"/>
              </a:lnTo>
              <a:lnTo>
                <a:pt x="1148" y="1067"/>
              </a:lnTo>
              <a:lnTo>
                <a:pt x="1142" y="1064"/>
              </a:lnTo>
              <a:lnTo>
                <a:pt x="1119" y="1028"/>
              </a:lnTo>
              <a:lnTo>
                <a:pt x="1096" y="1004"/>
              </a:lnTo>
              <a:lnTo>
                <a:pt x="1092" y="1005"/>
              </a:lnTo>
              <a:lnTo>
                <a:pt x="1077" y="1014"/>
              </a:lnTo>
              <a:lnTo>
                <a:pt x="1070" y="1029"/>
              </a:lnTo>
              <a:lnTo>
                <a:pt x="1073" y="1054"/>
              </a:lnTo>
              <a:lnTo>
                <a:pt x="1051" y="1052"/>
              </a:lnTo>
              <a:lnTo>
                <a:pt x="955" y="1056"/>
              </a:lnTo>
              <a:lnTo>
                <a:pt x="933" y="1048"/>
              </a:lnTo>
              <a:lnTo>
                <a:pt x="913" y="1064"/>
              </a:lnTo>
              <a:lnTo>
                <a:pt x="886" y="1072"/>
              </a:lnTo>
              <a:lnTo>
                <a:pt x="842" y="1064"/>
              </a:lnTo>
              <a:lnTo>
                <a:pt x="823" y="1081"/>
              </a:lnTo>
              <a:lnTo>
                <a:pt x="827" y="1093"/>
              </a:lnTo>
              <a:lnTo>
                <a:pt x="822" y="1097"/>
              </a:lnTo>
              <a:lnTo>
                <a:pt x="792" y="1075"/>
              </a:lnTo>
              <a:lnTo>
                <a:pt x="767" y="1003"/>
              </a:lnTo>
              <a:lnTo>
                <a:pt x="707" y="975"/>
              </a:lnTo>
              <a:lnTo>
                <a:pt x="709" y="945"/>
              </a:lnTo>
              <a:lnTo>
                <a:pt x="617" y="781"/>
              </a:lnTo>
              <a:lnTo>
                <a:pt x="558" y="823"/>
              </a:lnTo>
              <a:lnTo>
                <a:pt x="534" y="827"/>
              </a:lnTo>
              <a:lnTo>
                <a:pt x="499" y="813"/>
              </a:lnTo>
              <a:lnTo>
                <a:pt x="529" y="591"/>
              </a:lnTo>
              <a:lnTo>
                <a:pt x="535" y="591"/>
              </a:lnTo>
              <a:lnTo>
                <a:pt x="544" y="562"/>
              </a:lnTo>
              <a:lnTo>
                <a:pt x="543" y="553"/>
              </a:lnTo>
              <a:lnTo>
                <a:pt x="535" y="551"/>
              </a:lnTo>
              <a:lnTo>
                <a:pt x="511" y="557"/>
              </a:lnTo>
              <a:lnTo>
                <a:pt x="494" y="560"/>
              </a:lnTo>
              <a:lnTo>
                <a:pt x="488" y="553"/>
              </a:lnTo>
              <a:lnTo>
                <a:pt x="488" y="540"/>
              </a:lnTo>
              <a:lnTo>
                <a:pt x="479" y="535"/>
              </a:lnTo>
              <a:lnTo>
                <a:pt x="462" y="545"/>
              </a:lnTo>
              <a:lnTo>
                <a:pt x="458" y="540"/>
              </a:lnTo>
              <a:lnTo>
                <a:pt x="462" y="532"/>
              </a:lnTo>
              <a:lnTo>
                <a:pt x="426" y="489"/>
              </a:lnTo>
              <a:lnTo>
                <a:pt x="406" y="473"/>
              </a:lnTo>
              <a:lnTo>
                <a:pt x="357" y="415"/>
              </a:lnTo>
              <a:lnTo>
                <a:pt x="328" y="407"/>
              </a:lnTo>
              <a:lnTo>
                <a:pt x="278" y="369"/>
              </a:lnTo>
              <a:lnTo>
                <a:pt x="300" y="359"/>
              </a:lnTo>
              <a:lnTo>
                <a:pt x="278" y="344"/>
              </a:lnTo>
              <a:lnTo>
                <a:pt x="278" y="304"/>
              </a:lnTo>
              <a:lnTo>
                <a:pt x="222" y="242"/>
              </a:lnTo>
              <a:lnTo>
                <a:pt x="222" y="236"/>
              </a:lnTo>
              <a:lnTo>
                <a:pt x="222" y="186"/>
              </a:lnTo>
              <a:lnTo>
                <a:pt x="222" y="127"/>
              </a:lnTo>
              <a:lnTo>
                <a:pt x="222" y="119"/>
              </a:lnTo>
              <a:lnTo>
                <a:pt x="222" y="118"/>
              </a:lnTo>
              <a:lnTo>
                <a:pt x="222" y="30"/>
              </a:lnTo>
              <a:lnTo>
                <a:pt x="222" y="6"/>
              </a:lnTo>
              <a:lnTo>
                <a:pt x="222" y="0"/>
              </a:lnTo>
              <a:lnTo>
                <a:pt x="38" y="1"/>
              </a:lnTo>
              <a:lnTo>
                <a:pt x="38" y="10"/>
              </a:lnTo>
              <a:lnTo>
                <a:pt x="38" y="20"/>
              </a:lnTo>
              <a:lnTo>
                <a:pt x="38" y="36"/>
              </a:lnTo>
              <a:lnTo>
                <a:pt x="37" y="170"/>
              </a:lnTo>
              <a:lnTo>
                <a:pt x="36" y="207"/>
              </a:lnTo>
              <a:lnTo>
                <a:pt x="36" y="226"/>
              </a:lnTo>
              <a:lnTo>
                <a:pt x="36" y="233"/>
              </a:lnTo>
              <a:lnTo>
                <a:pt x="36" y="236"/>
              </a:lnTo>
              <a:lnTo>
                <a:pt x="36" y="242"/>
              </a:lnTo>
              <a:lnTo>
                <a:pt x="36" y="295"/>
              </a:lnTo>
              <a:lnTo>
                <a:pt x="36" y="325"/>
              </a:lnTo>
              <a:lnTo>
                <a:pt x="36" y="386"/>
              </a:lnTo>
              <a:lnTo>
                <a:pt x="37" y="412"/>
              </a:lnTo>
              <a:lnTo>
                <a:pt x="37" y="414"/>
              </a:lnTo>
              <a:lnTo>
                <a:pt x="37" y="443"/>
              </a:lnTo>
              <a:lnTo>
                <a:pt x="36" y="532"/>
              </a:lnTo>
              <a:lnTo>
                <a:pt x="37" y="544"/>
              </a:lnTo>
              <a:lnTo>
                <a:pt x="37" y="581"/>
              </a:lnTo>
              <a:lnTo>
                <a:pt x="37" y="591"/>
              </a:lnTo>
              <a:lnTo>
                <a:pt x="36" y="609"/>
              </a:lnTo>
              <a:lnTo>
                <a:pt x="34" y="621"/>
              </a:lnTo>
              <a:lnTo>
                <a:pt x="51" y="649"/>
              </a:lnTo>
              <a:lnTo>
                <a:pt x="60" y="711"/>
              </a:lnTo>
              <a:lnTo>
                <a:pt x="67" y="720"/>
              </a:lnTo>
              <a:lnTo>
                <a:pt x="79" y="738"/>
              </a:lnTo>
              <a:lnTo>
                <a:pt x="82" y="743"/>
              </a:lnTo>
              <a:lnTo>
                <a:pt x="129" y="768"/>
              </a:lnTo>
              <a:lnTo>
                <a:pt x="143" y="797"/>
              </a:lnTo>
              <a:lnTo>
                <a:pt x="102" y="882"/>
              </a:lnTo>
              <a:lnTo>
                <a:pt x="101" y="884"/>
              </a:lnTo>
              <a:lnTo>
                <a:pt x="91" y="916"/>
              </a:lnTo>
              <a:lnTo>
                <a:pt x="84" y="927"/>
              </a:lnTo>
              <a:lnTo>
                <a:pt x="72" y="946"/>
              </a:lnTo>
              <a:lnTo>
                <a:pt x="63" y="983"/>
              </a:lnTo>
              <a:lnTo>
                <a:pt x="38" y="1005"/>
              </a:lnTo>
              <a:lnTo>
                <a:pt x="0" y="1093"/>
              </a:lnTo>
              <a:lnTo>
                <a:pt x="3" y="1111"/>
              </a:lnTo>
              <a:lnTo>
                <a:pt x="30" y="1123"/>
              </a:lnTo>
              <a:lnTo>
                <a:pt x="43" y="1124"/>
              </a:lnTo>
              <a:lnTo>
                <a:pt x="63" y="11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857250</xdr:colOff>
      <xdr:row>15</xdr:row>
      <xdr:rowOff>47625</xdr:rowOff>
    </xdr:from>
    <xdr:to>
      <xdr:col>2</xdr:col>
      <xdr:colOff>1457325</xdr:colOff>
      <xdr:row>15</xdr:row>
      <xdr:rowOff>1200150</xdr:rowOff>
    </xdr:to>
    <xdr:sp macro="" textlink="">
      <xdr:nvSpPr>
        <xdr:cNvPr id="98" name="S_IL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/>
        </xdr:cNvSpPr>
      </xdr:nvSpPr>
      <xdr:spPr bwMode="auto">
        <a:xfrm>
          <a:off x="2638425" y="17973675"/>
          <a:ext cx="600075" cy="1152525"/>
        </a:xfrm>
        <a:custGeom>
          <a:avLst/>
          <a:gdLst>
            <a:gd name="T0" fmla="*/ 2147483647 w 750"/>
            <a:gd name="T1" fmla="*/ 2147483647 h 1301"/>
            <a:gd name="T2" fmla="*/ 2147483647 w 750"/>
            <a:gd name="T3" fmla="*/ 2147483647 h 1301"/>
            <a:gd name="T4" fmla="*/ 2147483647 w 750"/>
            <a:gd name="T5" fmla="*/ 2147483647 h 1301"/>
            <a:gd name="T6" fmla="*/ 2147483647 w 750"/>
            <a:gd name="T7" fmla="*/ 2147483647 h 1301"/>
            <a:gd name="T8" fmla="*/ 2147483647 w 750"/>
            <a:gd name="T9" fmla="*/ 2147483647 h 1301"/>
            <a:gd name="T10" fmla="*/ 2147483647 w 750"/>
            <a:gd name="T11" fmla="*/ 2147483647 h 1301"/>
            <a:gd name="T12" fmla="*/ 2147483647 w 750"/>
            <a:gd name="T13" fmla="*/ 2147483647 h 1301"/>
            <a:gd name="T14" fmla="*/ 2147483647 w 750"/>
            <a:gd name="T15" fmla="*/ 2147483647 h 1301"/>
            <a:gd name="T16" fmla="*/ 2147483647 w 750"/>
            <a:gd name="T17" fmla="*/ 2147483647 h 1301"/>
            <a:gd name="T18" fmla="*/ 2147483647 w 750"/>
            <a:gd name="T19" fmla="*/ 0 h 1301"/>
            <a:gd name="T20" fmla="*/ 2147483647 w 750"/>
            <a:gd name="T21" fmla="*/ 0 h 1301"/>
            <a:gd name="T22" fmla="*/ 2147483647 w 750"/>
            <a:gd name="T23" fmla="*/ 0 h 1301"/>
            <a:gd name="T24" fmla="*/ 2147483647 w 750"/>
            <a:gd name="T25" fmla="*/ 0 h 1301"/>
            <a:gd name="T26" fmla="*/ 2147483647 w 750"/>
            <a:gd name="T27" fmla="*/ 0 h 1301"/>
            <a:gd name="T28" fmla="*/ 2147483647 w 750"/>
            <a:gd name="T29" fmla="*/ 0 h 1301"/>
            <a:gd name="T30" fmla="*/ 2147483647 w 750"/>
            <a:gd name="T31" fmla="*/ 0 h 1301"/>
            <a:gd name="T32" fmla="*/ 2147483647 w 750"/>
            <a:gd name="T33" fmla="*/ 0 h 1301"/>
            <a:gd name="T34" fmla="*/ 2147483647 w 750"/>
            <a:gd name="T35" fmla="*/ 0 h 1301"/>
            <a:gd name="T36" fmla="*/ 2147483647 w 750"/>
            <a:gd name="T37" fmla="*/ 2147483647 h 1301"/>
            <a:gd name="T38" fmla="*/ 2147483647 w 750"/>
            <a:gd name="T39" fmla="*/ 2147483647 h 1301"/>
            <a:gd name="T40" fmla="*/ 2147483647 w 750"/>
            <a:gd name="T41" fmla="*/ 2147483647 h 1301"/>
            <a:gd name="T42" fmla="*/ 2147483647 w 750"/>
            <a:gd name="T43" fmla="*/ 2147483647 h 1301"/>
            <a:gd name="T44" fmla="*/ 2147483647 w 750"/>
            <a:gd name="T45" fmla="*/ 2147483647 h 1301"/>
            <a:gd name="T46" fmla="*/ 2147483647 w 750"/>
            <a:gd name="T47" fmla="*/ 2147483647 h 1301"/>
            <a:gd name="T48" fmla="*/ 2147483647 w 750"/>
            <a:gd name="T49" fmla="*/ 2147483647 h 1301"/>
            <a:gd name="T50" fmla="*/ 2147483647 w 750"/>
            <a:gd name="T51" fmla="*/ 2147483647 h 1301"/>
            <a:gd name="T52" fmla="*/ 2147483647 w 750"/>
            <a:gd name="T53" fmla="*/ 2147483647 h 1301"/>
            <a:gd name="T54" fmla="*/ 2147483647 w 750"/>
            <a:gd name="T55" fmla="*/ 2147483647 h 1301"/>
            <a:gd name="T56" fmla="*/ 2147483647 w 750"/>
            <a:gd name="T57" fmla="*/ 2147483647 h 1301"/>
            <a:gd name="T58" fmla="*/ 2147483647 w 750"/>
            <a:gd name="T59" fmla="*/ 2147483647 h 1301"/>
            <a:gd name="T60" fmla="*/ 2147483647 w 750"/>
            <a:gd name="T61" fmla="*/ 2147483647 h 1301"/>
            <a:gd name="T62" fmla="*/ 2147483647 w 750"/>
            <a:gd name="T63" fmla="*/ 2147483647 h 1301"/>
            <a:gd name="T64" fmla="*/ 2147483647 w 750"/>
            <a:gd name="T65" fmla="*/ 2147483647 h 1301"/>
            <a:gd name="T66" fmla="*/ 2147483647 w 750"/>
            <a:gd name="T67" fmla="*/ 2147483647 h 1301"/>
            <a:gd name="T68" fmla="*/ 2147483647 w 750"/>
            <a:gd name="T69" fmla="*/ 2147483647 h 1301"/>
            <a:gd name="T70" fmla="*/ 2147483647 w 750"/>
            <a:gd name="T71" fmla="*/ 2147483647 h 1301"/>
            <a:gd name="T72" fmla="*/ 2147483647 w 750"/>
            <a:gd name="T73" fmla="*/ 2147483647 h 1301"/>
            <a:gd name="T74" fmla="*/ 2147483647 w 750"/>
            <a:gd name="T75" fmla="*/ 2147483647 h 1301"/>
            <a:gd name="T76" fmla="*/ 2147483647 w 750"/>
            <a:gd name="T77" fmla="*/ 2147483647 h 1301"/>
            <a:gd name="T78" fmla="*/ 2147483647 w 750"/>
            <a:gd name="T79" fmla="*/ 2147483647 h 1301"/>
            <a:gd name="T80" fmla="*/ 2147483647 w 750"/>
            <a:gd name="T81" fmla="*/ 2147483647 h 1301"/>
            <a:gd name="T82" fmla="*/ 2147483647 w 750"/>
            <a:gd name="T83" fmla="*/ 2147483647 h 1301"/>
            <a:gd name="T84" fmla="*/ 2147483647 w 750"/>
            <a:gd name="T85" fmla="*/ 2147483647 h 1301"/>
            <a:gd name="T86" fmla="*/ 2147483647 w 750"/>
            <a:gd name="T87" fmla="*/ 2147483647 h 1301"/>
            <a:gd name="T88" fmla="*/ 2147483647 w 750"/>
            <a:gd name="T89" fmla="*/ 2147483647 h 1301"/>
            <a:gd name="T90" fmla="*/ 2147483647 w 750"/>
            <a:gd name="T91" fmla="*/ 2147483647 h 1301"/>
            <a:gd name="T92" fmla="*/ 2147483647 w 750"/>
            <a:gd name="T93" fmla="*/ 2147483647 h 1301"/>
            <a:gd name="T94" fmla="*/ 2147483647 w 750"/>
            <a:gd name="T95" fmla="*/ 2147483647 h 1301"/>
            <a:gd name="T96" fmla="*/ 2147483647 w 750"/>
            <a:gd name="T97" fmla="*/ 2147483647 h 1301"/>
            <a:gd name="T98" fmla="*/ 2147483647 w 750"/>
            <a:gd name="T99" fmla="*/ 2147483647 h 1301"/>
            <a:gd name="T100" fmla="*/ 2147483647 w 750"/>
            <a:gd name="T101" fmla="*/ 2147483647 h 1301"/>
            <a:gd name="T102" fmla="*/ 2147483647 w 750"/>
            <a:gd name="T103" fmla="*/ 2147483647 h 1301"/>
            <a:gd name="T104" fmla="*/ 2147483647 w 750"/>
            <a:gd name="T105" fmla="*/ 2147483647 h 1301"/>
            <a:gd name="T106" fmla="*/ 2147483647 w 750"/>
            <a:gd name="T107" fmla="*/ 2147483647 h 1301"/>
            <a:gd name="T108" fmla="*/ 2147483647 w 750"/>
            <a:gd name="T109" fmla="*/ 2147483647 h 1301"/>
            <a:gd name="T110" fmla="*/ 2147483647 w 750"/>
            <a:gd name="T111" fmla="*/ 2147483647 h 1301"/>
            <a:gd name="T112" fmla="*/ 2147483647 w 750"/>
            <a:gd name="T113" fmla="*/ 2147483647 h 1301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750"/>
            <a:gd name="T172" fmla="*/ 0 h 1301"/>
            <a:gd name="T173" fmla="*/ 750 w 750"/>
            <a:gd name="T174" fmla="*/ 1301 h 1301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750" h="1301">
              <a:moveTo>
                <a:pt x="0" y="545"/>
              </a:moveTo>
              <a:lnTo>
                <a:pt x="2" y="535"/>
              </a:lnTo>
              <a:lnTo>
                <a:pt x="3" y="534"/>
              </a:lnTo>
              <a:lnTo>
                <a:pt x="12" y="507"/>
              </a:lnTo>
              <a:lnTo>
                <a:pt x="15" y="505"/>
              </a:lnTo>
              <a:lnTo>
                <a:pt x="18" y="504"/>
              </a:lnTo>
              <a:lnTo>
                <a:pt x="25" y="499"/>
              </a:lnTo>
              <a:lnTo>
                <a:pt x="25" y="455"/>
              </a:lnTo>
              <a:lnTo>
                <a:pt x="60" y="442"/>
              </a:lnTo>
              <a:lnTo>
                <a:pt x="69" y="436"/>
              </a:lnTo>
              <a:lnTo>
                <a:pt x="72" y="435"/>
              </a:lnTo>
              <a:lnTo>
                <a:pt x="74" y="428"/>
              </a:lnTo>
              <a:lnTo>
                <a:pt x="75" y="416"/>
              </a:lnTo>
              <a:lnTo>
                <a:pt x="105" y="356"/>
              </a:lnTo>
              <a:lnTo>
                <a:pt x="105" y="339"/>
              </a:lnTo>
              <a:lnTo>
                <a:pt x="96" y="317"/>
              </a:lnTo>
              <a:lnTo>
                <a:pt x="74" y="297"/>
              </a:lnTo>
              <a:lnTo>
                <a:pt x="82" y="278"/>
              </a:lnTo>
              <a:lnTo>
                <a:pt x="84" y="268"/>
              </a:lnTo>
              <a:lnTo>
                <a:pt x="96" y="255"/>
              </a:lnTo>
              <a:lnTo>
                <a:pt x="135" y="249"/>
              </a:lnTo>
              <a:lnTo>
                <a:pt x="189" y="234"/>
              </a:lnTo>
              <a:lnTo>
                <a:pt x="212" y="220"/>
              </a:lnTo>
              <a:lnTo>
                <a:pt x="223" y="184"/>
              </a:lnTo>
              <a:lnTo>
                <a:pt x="226" y="179"/>
              </a:lnTo>
              <a:lnTo>
                <a:pt x="236" y="172"/>
              </a:lnTo>
              <a:lnTo>
                <a:pt x="237" y="172"/>
              </a:lnTo>
              <a:lnTo>
                <a:pt x="251" y="149"/>
              </a:lnTo>
              <a:lnTo>
                <a:pt x="254" y="136"/>
              </a:lnTo>
              <a:lnTo>
                <a:pt x="256" y="120"/>
              </a:lnTo>
              <a:lnTo>
                <a:pt x="256" y="118"/>
              </a:lnTo>
              <a:lnTo>
                <a:pt x="254" y="112"/>
              </a:lnTo>
              <a:lnTo>
                <a:pt x="251" y="90"/>
              </a:lnTo>
              <a:lnTo>
                <a:pt x="231" y="79"/>
              </a:lnTo>
              <a:lnTo>
                <a:pt x="222" y="74"/>
              </a:lnTo>
              <a:lnTo>
                <a:pt x="210" y="68"/>
              </a:lnTo>
              <a:lnTo>
                <a:pt x="205" y="62"/>
              </a:lnTo>
              <a:lnTo>
                <a:pt x="194" y="29"/>
              </a:lnTo>
              <a:lnTo>
                <a:pt x="165" y="11"/>
              </a:lnTo>
              <a:lnTo>
                <a:pt x="161" y="2"/>
              </a:lnTo>
              <a:lnTo>
                <a:pt x="163" y="1"/>
              </a:lnTo>
              <a:lnTo>
                <a:pt x="173" y="1"/>
              </a:lnTo>
              <a:lnTo>
                <a:pt x="193" y="1"/>
              </a:lnTo>
              <a:lnTo>
                <a:pt x="203" y="1"/>
              </a:lnTo>
              <a:lnTo>
                <a:pt x="257" y="0"/>
              </a:lnTo>
              <a:lnTo>
                <a:pt x="273" y="1"/>
              </a:lnTo>
              <a:lnTo>
                <a:pt x="296" y="1"/>
              </a:lnTo>
              <a:lnTo>
                <a:pt x="305" y="1"/>
              </a:lnTo>
              <a:lnTo>
                <a:pt x="313" y="1"/>
              </a:lnTo>
              <a:lnTo>
                <a:pt x="353" y="1"/>
              </a:lnTo>
              <a:lnTo>
                <a:pt x="376" y="2"/>
              </a:lnTo>
              <a:lnTo>
                <a:pt x="394" y="2"/>
              </a:lnTo>
              <a:lnTo>
                <a:pt x="395" y="2"/>
              </a:lnTo>
              <a:lnTo>
                <a:pt x="400" y="2"/>
              </a:lnTo>
              <a:lnTo>
                <a:pt x="401" y="2"/>
              </a:lnTo>
              <a:lnTo>
                <a:pt x="423" y="3"/>
              </a:lnTo>
              <a:lnTo>
                <a:pt x="462" y="3"/>
              </a:lnTo>
              <a:lnTo>
                <a:pt x="481" y="3"/>
              </a:lnTo>
              <a:lnTo>
                <a:pt x="493" y="4"/>
              </a:lnTo>
              <a:lnTo>
                <a:pt x="507" y="4"/>
              </a:lnTo>
              <a:lnTo>
                <a:pt x="511" y="4"/>
              </a:lnTo>
              <a:lnTo>
                <a:pt x="514" y="4"/>
              </a:lnTo>
              <a:lnTo>
                <a:pt x="516" y="4"/>
              </a:lnTo>
              <a:lnTo>
                <a:pt x="524" y="4"/>
              </a:lnTo>
              <a:lnTo>
                <a:pt x="530" y="4"/>
              </a:lnTo>
              <a:lnTo>
                <a:pt x="540" y="3"/>
              </a:lnTo>
              <a:lnTo>
                <a:pt x="600" y="3"/>
              </a:lnTo>
              <a:lnTo>
                <a:pt x="607" y="3"/>
              </a:lnTo>
              <a:lnTo>
                <a:pt x="609" y="3"/>
              </a:lnTo>
              <a:lnTo>
                <a:pt x="619" y="3"/>
              </a:lnTo>
              <a:lnTo>
                <a:pt x="633" y="3"/>
              </a:lnTo>
              <a:lnTo>
                <a:pt x="657" y="3"/>
              </a:lnTo>
              <a:lnTo>
                <a:pt x="694" y="4"/>
              </a:lnTo>
              <a:lnTo>
                <a:pt x="692" y="32"/>
              </a:lnTo>
              <a:lnTo>
                <a:pt x="691" y="61"/>
              </a:lnTo>
              <a:lnTo>
                <a:pt x="701" y="84"/>
              </a:lnTo>
              <a:lnTo>
                <a:pt x="722" y="120"/>
              </a:lnTo>
              <a:lnTo>
                <a:pt x="730" y="149"/>
              </a:lnTo>
              <a:lnTo>
                <a:pt x="745" y="188"/>
              </a:lnTo>
              <a:lnTo>
                <a:pt x="745" y="224"/>
              </a:lnTo>
              <a:lnTo>
                <a:pt x="745" y="231"/>
              </a:lnTo>
              <a:lnTo>
                <a:pt x="745" y="246"/>
              </a:lnTo>
              <a:lnTo>
                <a:pt x="745" y="268"/>
              </a:lnTo>
              <a:lnTo>
                <a:pt x="745" y="278"/>
              </a:lnTo>
              <a:lnTo>
                <a:pt x="745" y="286"/>
              </a:lnTo>
              <a:lnTo>
                <a:pt x="745" y="291"/>
              </a:lnTo>
              <a:lnTo>
                <a:pt x="745" y="297"/>
              </a:lnTo>
              <a:lnTo>
                <a:pt x="745" y="317"/>
              </a:lnTo>
              <a:lnTo>
                <a:pt x="745" y="327"/>
              </a:lnTo>
              <a:lnTo>
                <a:pt x="745" y="336"/>
              </a:lnTo>
              <a:lnTo>
                <a:pt x="745" y="354"/>
              </a:lnTo>
              <a:lnTo>
                <a:pt x="745" y="356"/>
              </a:lnTo>
              <a:lnTo>
                <a:pt x="745" y="369"/>
              </a:lnTo>
              <a:lnTo>
                <a:pt x="745" y="418"/>
              </a:lnTo>
              <a:lnTo>
                <a:pt x="745" y="445"/>
              </a:lnTo>
              <a:lnTo>
                <a:pt x="745" y="459"/>
              </a:lnTo>
              <a:lnTo>
                <a:pt x="745" y="477"/>
              </a:lnTo>
              <a:lnTo>
                <a:pt x="745" y="480"/>
              </a:lnTo>
              <a:lnTo>
                <a:pt x="745" y="497"/>
              </a:lnTo>
              <a:lnTo>
                <a:pt x="744" y="517"/>
              </a:lnTo>
              <a:lnTo>
                <a:pt x="744" y="557"/>
              </a:lnTo>
              <a:lnTo>
                <a:pt x="744" y="562"/>
              </a:lnTo>
              <a:lnTo>
                <a:pt x="744" y="577"/>
              </a:lnTo>
              <a:lnTo>
                <a:pt x="744" y="620"/>
              </a:lnTo>
              <a:lnTo>
                <a:pt x="744" y="637"/>
              </a:lnTo>
              <a:lnTo>
                <a:pt x="744" y="665"/>
              </a:lnTo>
              <a:lnTo>
                <a:pt x="744" y="686"/>
              </a:lnTo>
              <a:lnTo>
                <a:pt x="744" y="710"/>
              </a:lnTo>
              <a:lnTo>
                <a:pt x="744" y="717"/>
              </a:lnTo>
              <a:lnTo>
                <a:pt x="744" y="747"/>
              </a:lnTo>
              <a:lnTo>
                <a:pt x="730" y="768"/>
              </a:lnTo>
              <a:lnTo>
                <a:pt x="732" y="770"/>
              </a:lnTo>
              <a:lnTo>
                <a:pt x="736" y="768"/>
              </a:lnTo>
              <a:lnTo>
                <a:pt x="726" y="791"/>
              </a:lnTo>
              <a:lnTo>
                <a:pt x="727" y="804"/>
              </a:lnTo>
              <a:lnTo>
                <a:pt x="736" y="829"/>
              </a:lnTo>
              <a:lnTo>
                <a:pt x="746" y="851"/>
              </a:lnTo>
              <a:lnTo>
                <a:pt x="742" y="855"/>
              </a:lnTo>
              <a:lnTo>
                <a:pt x="741" y="858"/>
              </a:lnTo>
              <a:lnTo>
                <a:pt x="744" y="863"/>
              </a:lnTo>
              <a:lnTo>
                <a:pt x="750" y="891"/>
              </a:lnTo>
              <a:lnTo>
                <a:pt x="727" y="926"/>
              </a:lnTo>
              <a:lnTo>
                <a:pt x="722" y="931"/>
              </a:lnTo>
              <a:lnTo>
                <a:pt x="718" y="947"/>
              </a:lnTo>
              <a:lnTo>
                <a:pt x="704" y="954"/>
              </a:lnTo>
              <a:lnTo>
                <a:pt x="705" y="967"/>
              </a:lnTo>
              <a:lnTo>
                <a:pt x="697" y="978"/>
              </a:lnTo>
              <a:lnTo>
                <a:pt x="665" y="1006"/>
              </a:lnTo>
              <a:lnTo>
                <a:pt x="659" y="1004"/>
              </a:lnTo>
              <a:lnTo>
                <a:pt x="660" y="1006"/>
              </a:lnTo>
              <a:lnTo>
                <a:pt x="660" y="1011"/>
              </a:lnTo>
              <a:lnTo>
                <a:pt x="662" y="1035"/>
              </a:lnTo>
              <a:lnTo>
                <a:pt x="657" y="1053"/>
              </a:lnTo>
              <a:lnTo>
                <a:pt x="639" y="1091"/>
              </a:lnTo>
              <a:lnTo>
                <a:pt x="643" y="1094"/>
              </a:lnTo>
              <a:lnTo>
                <a:pt x="651" y="1113"/>
              </a:lnTo>
              <a:lnTo>
                <a:pt x="633" y="1134"/>
              </a:lnTo>
              <a:lnTo>
                <a:pt x="628" y="1153"/>
              </a:lnTo>
              <a:lnTo>
                <a:pt x="632" y="1166"/>
              </a:lnTo>
              <a:lnTo>
                <a:pt x="633" y="1166"/>
              </a:lnTo>
              <a:lnTo>
                <a:pt x="645" y="1182"/>
              </a:lnTo>
              <a:lnTo>
                <a:pt x="633" y="1190"/>
              </a:lnTo>
              <a:lnTo>
                <a:pt x="609" y="1193"/>
              </a:lnTo>
              <a:lnTo>
                <a:pt x="590" y="1206"/>
              </a:lnTo>
              <a:lnTo>
                <a:pt x="588" y="1207"/>
              </a:lnTo>
              <a:lnTo>
                <a:pt x="587" y="1206"/>
              </a:lnTo>
              <a:lnTo>
                <a:pt x="579" y="1201"/>
              </a:lnTo>
              <a:lnTo>
                <a:pt x="563" y="1241"/>
              </a:lnTo>
              <a:lnTo>
                <a:pt x="575" y="1272"/>
              </a:lnTo>
              <a:lnTo>
                <a:pt x="564" y="1285"/>
              </a:lnTo>
              <a:lnTo>
                <a:pt x="563" y="1286"/>
              </a:lnTo>
              <a:lnTo>
                <a:pt x="551" y="1284"/>
              </a:lnTo>
              <a:lnTo>
                <a:pt x="540" y="1273"/>
              </a:lnTo>
              <a:lnTo>
                <a:pt x="516" y="1265"/>
              </a:lnTo>
              <a:lnTo>
                <a:pt x="483" y="1247"/>
              </a:lnTo>
              <a:lnTo>
                <a:pt x="482" y="1248"/>
              </a:lnTo>
              <a:lnTo>
                <a:pt x="469" y="1248"/>
              </a:lnTo>
              <a:lnTo>
                <a:pt x="444" y="1277"/>
              </a:lnTo>
              <a:lnTo>
                <a:pt x="437" y="1285"/>
              </a:lnTo>
              <a:lnTo>
                <a:pt x="436" y="1290"/>
              </a:lnTo>
              <a:lnTo>
                <a:pt x="439" y="1301"/>
              </a:lnTo>
              <a:lnTo>
                <a:pt x="422" y="1284"/>
              </a:lnTo>
              <a:lnTo>
                <a:pt x="420" y="1301"/>
              </a:lnTo>
              <a:lnTo>
                <a:pt x="411" y="1299"/>
              </a:lnTo>
              <a:lnTo>
                <a:pt x="400" y="1292"/>
              </a:lnTo>
              <a:lnTo>
                <a:pt x="384" y="1242"/>
              </a:lnTo>
              <a:lnTo>
                <a:pt x="378" y="1242"/>
              </a:lnTo>
              <a:lnTo>
                <a:pt x="376" y="1242"/>
              </a:lnTo>
              <a:lnTo>
                <a:pt x="374" y="1227"/>
              </a:lnTo>
              <a:lnTo>
                <a:pt x="378" y="1222"/>
              </a:lnTo>
              <a:lnTo>
                <a:pt x="385" y="1221"/>
              </a:lnTo>
              <a:lnTo>
                <a:pt x="390" y="1212"/>
              </a:lnTo>
              <a:lnTo>
                <a:pt x="372" y="1167"/>
              </a:lnTo>
              <a:lnTo>
                <a:pt x="372" y="1166"/>
              </a:lnTo>
              <a:lnTo>
                <a:pt x="376" y="1155"/>
              </a:lnTo>
              <a:lnTo>
                <a:pt x="345" y="1124"/>
              </a:lnTo>
              <a:lnTo>
                <a:pt x="344" y="1111"/>
              </a:lnTo>
              <a:lnTo>
                <a:pt x="320" y="1094"/>
              </a:lnTo>
              <a:lnTo>
                <a:pt x="305" y="1092"/>
              </a:lnTo>
              <a:lnTo>
                <a:pt x="294" y="1094"/>
              </a:lnTo>
              <a:lnTo>
                <a:pt x="283" y="1073"/>
              </a:lnTo>
              <a:lnTo>
                <a:pt x="259" y="1050"/>
              </a:lnTo>
              <a:lnTo>
                <a:pt x="243" y="1044"/>
              </a:lnTo>
              <a:lnTo>
                <a:pt x="236" y="1038"/>
              </a:lnTo>
              <a:lnTo>
                <a:pt x="236" y="1035"/>
              </a:lnTo>
              <a:lnTo>
                <a:pt x="235" y="1034"/>
              </a:lnTo>
              <a:lnTo>
                <a:pt x="216" y="1012"/>
              </a:lnTo>
              <a:lnTo>
                <a:pt x="213" y="1006"/>
              </a:lnTo>
              <a:lnTo>
                <a:pt x="219" y="974"/>
              </a:lnTo>
              <a:lnTo>
                <a:pt x="232" y="947"/>
              </a:lnTo>
              <a:lnTo>
                <a:pt x="233" y="942"/>
              </a:lnTo>
              <a:lnTo>
                <a:pt x="235" y="939"/>
              </a:lnTo>
              <a:lnTo>
                <a:pt x="236" y="937"/>
              </a:lnTo>
              <a:lnTo>
                <a:pt x="249" y="918"/>
              </a:lnTo>
              <a:lnTo>
                <a:pt x="249" y="909"/>
              </a:lnTo>
              <a:lnTo>
                <a:pt x="249" y="888"/>
              </a:lnTo>
              <a:lnTo>
                <a:pt x="251" y="882"/>
              </a:lnTo>
              <a:lnTo>
                <a:pt x="259" y="877"/>
              </a:lnTo>
              <a:lnTo>
                <a:pt x="259" y="876"/>
              </a:lnTo>
              <a:lnTo>
                <a:pt x="261" y="875"/>
              </a:lnTo>
              <a:lnTo>
                <a:pt x="259" y="863"/>
              </a:lnTo>
              <a:lnTo>
                <a:pt x="236" y="848"/>
              </a:lnTo>
              <a:lnTo>
                <a:pt x="231" y="847"/>
              </a:lnTo>
              <a:lnTo>
                <a:pt x="220" y="844"/>
              </a:lnTo>
              <a:lnTo>
                <a:pt x="212" y="840"/>
              </a:lnTo>
              <a:lnTo>
                <a:pt x="198" y="836"/>
              </a:lnTo>
              <a:lnTo>
                <a:pt x="180" y="858"/>
              </a:lnTo>
              <a:lnTo>
                <a:pt x="174" y="860"/>
              </a:lnTo>
              <a:lnTo>
                <a:pt x="159" y="844"/>
              </a:lnTo>
              <a:lnTo>
                <a:pt x="155" y="829"/>
              </a:lnTo>
              <a:lnTo>
                <a:pt x="154" y="799"/>
              </a:lnTo>
              <a:lnTo>
                <a:pt x="147" y="775"/>
              </a:lnTo>
              <a:lnTo>
                <a:pt x="142" y="766"/>
              </a:lnTo>
              <a:lnTo>
                <a:pt x="125" y="748"/>
              </a:lnTo>
              <a:lnTo>
                <a:pt x="107" y="735"/>
              </a:lnTo>
              <a:lnTo>
                <a:pt x="96" y="728"/>
              </a:lnTo>
              <a:lnTo>
                <a:pt x="75" y="702"/>
              </a:lnTo>
              <a:lnTo>
                <a:pt x="67" y="699"/>
              </a:lnTo>
              <a:lnTo>
                <a:pt x="63" y="688"/>
              </a:lnTo>
              <a:lnTo>
                <a:pt x="46" y="676"/>
              </a:lnTo>
              <a:lnTo>
                <a:pt x="44" y="672"/>
              </a:lnTo>
              <a:lnTo>
                <a:pt x="38" y="667"/>
              </a:lnTo>
              <a:lnTo>
                <a:pt x="37" y="666"/>
              </a:lnTo>
              <a:lnTo>
                <a:pt x="26" y="651"/>
              </a:lnTo>
              <a:lnTo>
                <a:pt x="27" y="649"/>
              </a:lnTo>
              <a:lnTo>
                <a:pt x="25" y="637"/>
              </a:lnTo>
              <a:lnTo>
                <a:pt x="12" y="622"/>
              </a:lnTo>
              <a:lnTo>
                <a:pt x="14" y="605"/>
              </a:lnTo>
              <a:lnTo>
                <a:pt x="7" y="592"/>
              </a:lnTo>
              <a:lnTo>
                <a:pt x="0" y="562"/>
              </a:lnTo>
              <a:lnTo>
                <a:pt x="0" y="5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742950</xdr:colOff>
      <xdr:row>16</xdr:row>
      <xdr:rowOff>85724</xdr:rowOff>
    </xdr:from>
    <xdr:to>
      <xdr:col>2</xdr:col>
      <xdr:colOff>1571625</xdr:colOff>
      <xdr:row>16</xdr:row>
      <xdr:rowOff>1162049</xdr:rowOff>
    </xdr:to>
    <xdr:sp macro="" textlink="">
      <xdr:nvSpPr>
        <xdr:cNvPr id="99" name="S_IN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/>
        </xdr:cNvSpPr>
      </xdr:nvSpPr>
      <xdr:spPr bwMode="auto">
        <a:xfrm>
          <a:off x="2524125" y="19278599"/>
          <a:ext cx="828675" cy="1076325"/>
        </a:xfrm>
        <a:custGeom>
          <a:avLst/>
          <a:gdLst>
            <a:gd name="T0" fmla="*/ 2147483647 w 619"/>
            <a:gd name="T1" fmla="*/ 2147483647 h 940"/>
            <a:gd name="T2" fmla="*/ 2147483647 w 619"/>
            <a:gd name="T3" fmla="*/ 2147483647 h 940"/>
            <a:gd name="T4" fmla="*/ 2147483647 w 619"/>
            <a:gd name="T5" fmla="*/ 2147483647 h 940"/>
            <a:gd name="T6" fmla="*/ 2147483647 w 619"/>
            <a:gd name="T7" fmla="*/ 2147483647 h 940"/>
            <a:gd name="T8" fmla="*/ 2147483647 w 619"/>
            <a:gd name="T9" fmla="*/ 2147483647 h 940"/>
            <a:gd name="T10" fmla="*/ 2147483647 w 619"/>
            <a:gd name="T11" fmla="*/ 2147483647 h 940"/>
            <a:gd name="T12" fmla="*/ 2147483647 w 619"/>
            <a:gd name="T13" fmla="*/ 2147483647 h 940"/>
            <a:gd name="T14" fmla="*/ 2147483647 w 619"/>
            <a:gd name="T15" fmla="*/ 2147483647 h 940"/>
            <a:gd name="T16" fmla="*/ 2147483647 w 619"/>
            <a:gd name="T17" fmla="*/ 2147483647 h 940"/>
            <a:gd name="T18" fmla="*/ 2147483647 w 619"/>
            <a:gd name="T19" fmla="*/ 2147483647 h 940"/>
            <a:gd name="T20" fmla="*/ 2147483647 w 619"/>
            <a:gd name="T21" fmla="*/ 2147483647 h 940"/>
            <a:gd name="T22" fmla="*/ 2147483647 w 619"/>
            <a:gd name="T23" fmla="*/ 2147483647 h 940"/>
            <a:gd name="T24" fmla="*/ 2147483647 w 619"/>
            <a:gd name="T25" fmla="*/ 2147483647 h 940"/>
            <a:gd name="T26" fmla="*/ 2147483647 w 619"/>
            <a:gd name="T27" fmla="*/ 2147483647 h 940"/>
            <a:gd name="T28" fmla="*/ 2147483647 w 619"/>
            <a:gd name="T29" fmla="*/ 2147483647 h 940"/>
            <a:gd name="T30" fmla="*/ 2147483647 w 619"/>
            <a:gd name="T31" fmla="*/ 2147483647 h 940"/>
            <a:gd name="T32" fmla="*/ 2147483647 w 619"/>
            <a:gd name="T33" fmla="*/ 2147483647 h 940"/>
            <a:gd name="T34" fmla="*/ 2147483647 w 619"/>
            <a:gd name="T35" fmla="*/ 2147483647 h 940"/>
            <a:gd name="T36" fmla="*/ 2147483647 w 619"/>
            <a:gd name="T37" fmla="*/ 2147483647 h 940"/>
            <a:gd name="T38" fmla="*/ 2147483647 w 619"/>
            <a:gd name="T39" fmla="*/ 2147483647 h 940"/>
            <a:gd name="T40" fmla="*/ 2147483647 w 619"/>
            <a:gd name="T41" fmla="*/ 2147483647 h 940"/>
            <a:gd name="T42" fmla="*/ 2147483647 w 619"/>
            <a:gd name="T43" fmla="*/ 2147483647 h 940"/>
            <a:gd name="T44" fmla="*/ 0 w 619"/>
            <a:gd name="T45" fmla="*/ 2147483647 h 940"/>
            <a:gd name="T46" fmla="*/ 2147483647 w 619"/>
            <a:gd name="T47" fmla="*/ 2147483647 h 940"/>
            <a:gd name="T48" fmla="*/ 2147483647 w 619"/>
            <a:gd name="T49" fmla="*/ 2147483647 h 940"/>
            <a:gd name="T50" fmla="*/ 2147483647 w 619"/>
            <a:gd name="T51" fmla="*/ 2147483647 h 940"/>
            <a:gd name="T52" fmla="*/ 2147483647 w 619"/>
            <a:gd name="T53" fmla="*/ 2147483647 h 940"/>
            <a:gd name="T54" fmla="*/ 2147483647 w 619"/>
            <a:gd name="T55" fmla="*/ 2147483647 h 940"/>
            <a:gd name="T56" fmla="*/ 2147483647 w 619"/>
            <a:gd name="T57" fmla="*/ 2147483647 h 940"/>
            <a:gd name="T58" fmla="*/ 2147483647 w 619"/>
            <a:gd name="T59" fmla="*/ 2147483647 h 940"/>
            <a:gd name="T60" fmla="*/ 2147483647 w 619"/>
            <a:gd name="T61" fmla="*/ 2147483647 h 940"/>
            <a:gd name="T62" fmla="*/ 2147483647 w 619"/>
            <a:gd name="T63" fmla="*/ 2147483647 h 940"/>
            <a:gd name="T64" fmla="*/ 2147483647 w 619"/>
            <a:gd name="T65" fmla="*/ 2147483647 h 940"/>
            <a:gd name="T66" fmla="*/ 2147483647 w 619"/>
            <a:gd name="T67" fmla="*/ 2147483647 h 940"/>
            <a:gd name="T68" fmla="*/ 2147483647 w 619"/>
            <a:gd name="T69" fmla="*/ 2147483647 h 940"/>
            <a:gd name="T70" fmla="*/ 2147483647 w 619"/>
            <a:gd name="T71" fmla="*/ 2147483647 h 940"/>
            <a:gd name="T72" fmla="*/ 2147483647 w 619"/>
            <a:gd name="T73" fmla="*/ 2147483647 h 940"/>
            <a:gd name="T74" fmla="*/ 2147483647 w 619"/>
            <a:gd name="T75" fmla="*/ 2147483647 h 940"/>
            <a:gd name="T76" fmla="*/ 2147483647 w 619"/>
            <a:gd name="T77" fmla="*/ 2147483647 h 940"/>
            <a:gd name="T78" fmla="*/ 2147483647 w 619"/>
            <a:gd name="T79" fmla="*/ 2147483647 h 940"/>
            <a:gd name="T80" fmla="*/ 2147483647 w 619"/>
            <a:gd name="T81" fmla="*/ 2147483647 h 940"/>
            <a:gd name="T82" fmla="*/ 2147483647 w 619"/>
            <a:gd name="T83" fmla="*/ 2147483647 h 940"/>
            <a:gd name="T84" fmla="*/ 2147483647 w 619"/>
            <a:gd name="T85" fmla="*/ 2147483647 h 940"/>
            <a:gd name="T86" fmla="*/ 2147483647 w 619"/>
            <a:gd name="T87" fmla="*/ 2147483647 h 940"/>
            <a:gd name="T88" fmla="*/ 2147483647 w 619"/>
            <a:gd name="T89" fmla="*/ 2147483647 h 940"/>
            <a:gd name="T90" fmla="*/ 2147483647 w 619"/>
            <a:gd name="T91" fmla="*/ 2147483647 h 940"/>
            <a:gd name="T92" fmla="*/ 2147483647 w 619"/>
            <a:gd name="T93" fmla="*/ 2147483647 h 940"/>
            <a:gd name="T94" fmla="*/ 2147483647 w 619"/>
            <a:gd name="T95" fmla="*/ 2147483647 h 940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619"/>
            <a:gd name="T145" fmla="*/ 0 h 940"/>
            <a:gd name="T146" fmla="*/ 619 w 619"/>
            <a:gd name="T147" fmla="*/ 940 h 940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619" h="940">
              <a:moveTo>
                <a:pt x="616" y="282"/>
              </a:moveTo>
              <a:lnTo>
                <a:pt x="616" y="299"/>
              </a:lnTo>
              <a:lnTo>
                <a:pt x="616" y="319"/>
              </a:lnTo>
              <a:lnTo>
                <a:pt x="616" y="333"/>
              </a:lnTo>
              <a:lnTo>
                <a:pt x="616" y="344"/>
              </a:lnTo>
              <a:lnTo>
                <a:pt x="616" y="358"/>
              </a:lnTo>
              <a:lnTo>
                <a:pt x="615" y="386"/>
              </a:lnTo>
              <a:lnTo>
                <a:pt x="615" y="415"/>
              </a:lnTo>
              <a:lnTo>
                <a:pt x="615" y="416"/>
              </a:lnTo>
              <a:lnTo>
                <a:pt x="614" y="436"/>
              </a:lnTo>
              <a:lnTo>
                <a:pt x="614" y="446"/>
              </a:lnTo>
              <a:lnTo>
                <a:pt x="614" y="458"/>
              </a:lnTo>
              <a:lnTo>
                <a:pt x="614" y="482"/>
              </a:lnTo>
              <a:lnTo>
                <a:pt x="614" y="508"/>
              </a:lnTo>
              <a:lnTo>
                <a:pt x="614" y="513"/>
              </a:lnTo>
              <a:lnTo>
                <a:pt x="614" y="519"/>
              </a:lnTo>
              <a:lnTo>
                <a:pt x="614" y="529"/>
              </a:lnTo>
              <a:lnTo>
                <a:pt x="614" y="534"/>
              </a:lnTo>
              <a:lnTo>
                <a:pt x="614" y="544"/>
              </a:lnTo>
              <a:lnTo>
                <a:pt x="613" y="580"/>
              </a:lnTo>
              <a:lnTo>
                <a:pt x="613" y="611"/>
              </a:lnTo>
              <a:lnTo>
                <a:pt x="613" y="623"/>
              </a:lnTo>
              <a:lnTo>
                <a:pt x="613" y="628"/>
              </a:lnTo>
              <a:lnTo>
                <a:pt x="602" y="636"/>
              </a:lnTo>
              <a:lnTo>
                <a:pt x="602" y="645"/>
              </a:lnTo>
              <a:lnTo>
                <a:pt x="607" y="652"/>
              </a:lnTo>
              <a:lnTo>
                <a:pt x="602" y="671"/>
              </a:lnTo>
              <a:lnTo>
                <a:pt x="603" y="676"/>
              </a:lnTo>
              <a:lnTo>
                <a:pt x="619" y="682"/>
              </a:lnTo>
              <a:lnTo>
                <a:pt x="617" y="686"/>
              </a:lnTo>
              <a:lnTo>
                <a:pt x="602" y="702"/>
              </a:lnTo>
              <a:lnTo>
                <a:pt x="578" y="706"/>
              </a:lnTo>
              <a:lnTo>
                <a:pt x="574" y="709"/>
              </a:lnTo>
              <a:lnTo>
                <a:pt x="568" y="713"/>
              </a:lnTo>
              <a:lnTo>
                <a:pt x="556" y="721"/>
              </a:lnTo>
              <a:lnTo>
                <a:pt x="541" y="726"/>
              </a:lnTo>
              <a:lnTo>
                <a:pt x="532" y="716"/>
              </a:lnTo>
              <a:lnTo>
                <a:pt x="530" y="715"/>
              </a:lnTo>
              <a:lnTo>
                <a:pt x="516" y="715"/>
              </a:lnTo>
              <a:lnTo>
                <a:pt x="509" y="716"/>
              </a:lnTo>
              <a:lnTo>
                <a:pt x="497" y="742"/>
              </a:lnTo>
              <a:lnTo>
                <a:pt x="499" y="750"/>
              </a:lnTo>
              <a:lnTo>
                <a:pt x="499" y="751"/>
              </a:lnTo>
              <a:lnTo>
                <a:pt x="498" y="765"/>
              </a:lnTo>
              <a:lnTo>
                <a:pt x="486" y="778"/>
              </a:lnTo>
              <a:lnTo>
                <a:pt x="462" y="792"/>
              </a:lnTo>
              <a:lnTo>
                <a:pt x="460" y="800"/>
              </a:lnTo>
              <a:lnTo>
                <a:pt x="438" y="825"/>
              </a:lnTo>
              <a:lnTo>
                <a:pt x="436" y="823"/>
              </a:lnTo>
              <a:lnTo>
                <a:pt x="431" y="821"/>
              </a:lnTo>
              <a:lnTo>
                <a:pt x="422" y="830"/>
              </a:lnTo>
              <a:lnTo>
                <a:pt x="410" y="847"/>
              </a:lnTo>
              <a:lnTo>
                <a:pt x="409" y="858"/>
              </a:lnTo>
              <a:lnTo>
                <a:pt x="409" y="859"/>
              </a:lnTo>
              <a:lnTo>
                <a:pt x="402" y="887"/>
              </a:lnTo>
              <a:lnTo>
                <a:pt x="401" y="888"/>
              </a:lnTo>
              <a:lnTo>
                <a:pt x="392" y="889"/>
              </a:lnTo>
              <a:lnTo>
                <a:pt x="345" y="878"/>
              </a:lnTo>
              <a:lnTo>
                <a:pt x="341" y="859"/>
              </a:lnTo>
              <a:lnTo>
                <a:pt x="330" y="846"/>
              </a:lnTo>
              <a:lnTo>
                <a:pt x="321" y="843"/>
              </a:lnTo>
              <a:lnTo>
                <a:pt x="321" y="858"/>
              </a:lnTo>
              <a:lnTo>
                <a:pt x="305" y="861"/>
              </a:lnTo>
              <a:lnTo>
                <a:pt x="304" y="863"/>
              </a:lnTo>
              <a:lnTo>
                <a:pt x="305" y="866"/>
              </a:lnTo>
              <a:lnTo>
                <a:pt x="300" y="878"/>
              </a:lnTo>
              <a:lnTo>
                <a:pt x="296" y="879"/>
              </a:lnTo>
              <a:lnTo>
                <a:pt x="280" y="918"/>
              </a:lnTo>
              <a:lnTo>
                <a:pt x="269" y="926"/>
              </a:lnTo>
              <a:lnTo>
                <a:pt x="269" y="918"/>
              </a:lnTo>
              <a:lnTo>
                <a:pt x="252" y="910"/>
              </a:lnTo>
              <a:lnTo>
                <a:pt x="239" y="889"/>
              </a:lnTo>
              <a:lnTo>
                <a:pt x="228" y="895"/>
              </a:lnTo>
              <a:lnTo>
                <a:pt x="209" y="906"/>
              </a:lnTo>
              <a:lnTo>
                <a:pt x="205" y="907"/>
              </a:lnTo>
              <a:lnTo>
                <a:pt x="181" y="940"/>
              </a:lnTo>
              <a:lnTo>
                <a:pt x="155" y="918"/>
              </a:lnTo>
              <a:lnTo>
                <a:pt x="148" y="913"/>
              </a:lnTo>
              <a:lnTo>
                <a:pt x="132" y="903"/>
              </a:lnTo>
              <a:lnTo>
                <a:pt x="130" y="903"/>
              </a:lnTo>
              <a:lnTo>
                <a:pt x="120" y="903"/>
              </a:lnTo>
              <a:lnTo>
                <a:pt x="88" y="907"/>
              </a:lnTo>
              <a:lnTo>
                <a:pt x="88" y="929"/>
              </a:lnTo>
              <a:lnTo>
                <a:pt x="74" y="913"/>
              </a:lnTo>
              <a:lnTo>
                <a:pt x="64" y="914"/>
              </a:lnTo>
              <a:lnTo>
                <a:pt x="41" y="908"/>
              </a:lnTo>
              <a:lnTo>
                <a:pt x="31" y="912"/>
              </a:lnTo>
              <a:lnTo>
                <a:pt x="29" y="919"/>
              </a:lnTo>
              <a:lnTo>
                <a:pt x="18" y="937"/>
              </a:lnTo>
              <a:lnTo>
                <a:pt x="12" y="937"/>
              </a:lnTo>
              <a:lnTo>
                <a:pt x="4" y="918"/>
              </a:lnTo>
              <a:lnTo>
                <a:pt x="0" y="915"/>
              </a:lnTo>
              <a:lnTo>
                <a:pt x="18" y="877"/>
              </a:lnTo>
              <a:lnTo>
                <a:pt x="23" y="859"/>
              </a:lnTo>
              <a:lnTo>
                <a:pt x="21" y="835"/>
              </a:lnTo>
              <a:lnTo>
                <a:pt x="21" y="830"/>
              </a:lnTo>
              <a:lnTo>
                <a:pt x="20" y="828"/>
              </a:lnTo>
              <a:lnTo>
                <a:pt x="26" y="830"/>
              </a:lnTo>
              <a:lnTo>
                <a:pt x="58" y="802"/>
              </a:lnTo>
              <a:lnTo>
                <a:pt x="66" y="791"/>
              </a:lnTo>
              <a:lnTo>
                <a:pt x="65" y="778"/>
              </a:lnTo>
              <a:lnTo>
                <a:pt x="79" y="771"/>
              </a:lnTo>
              <a:lnTo>
                <a:pt x="83" y="755"/>
              </a:lnTo>
              <a:lnTo>
                <a:pt x="88" y="750"/>
              </a:lnTo>
              <a:lnTo>
                <a:pt x="111" y="715"/>
              </a:lnTo>
              <a:lnTo>
                <a:pt x="105" y="687"/>
              </a:lnTo>
              <a:lnTo>
                <a:pt x="102" y="682"/>
              </a:lnTo>
              <a:lnTo>
                <a:pt x="103" y="679"/>
              </a:lnTo>
              <a:lnTo>
                <a:pt x="107" y="675"/>
              </a:lnTo>
              <a:lnTo>
                <a:pt x="97" y="653"/>
              </a:lnTo>
              <a:lnTo>
                <a:pt x="88" y="628"/>
              </a:lnTo>
              <a:lnTo>
                <a:pt x="87" y="615"/>
              </a:lnTo>
              <a:lnTo>
                <a:pt x="97" y="592"/>
              </a:lnTo>
              <a:lnTo>
                <a:pt x="93" y="594"/>
              </a:lnTo>
              <a:lnTo>
                <a:pt x="91" y="592"/>
              </a:lnTo>
              <a:lnTo>
                <a:pt x="105" y="571"/>
              </a:lnTo>
              <a:lnTo>
                <a:pt x="105" y="541"/>
              </a:lnTo>
              <a:lnTo>
                <a:pt x="105" y="534"/>
              </a:lnTo>
              <a:lnTo>
                <a:pt x="105" y="510"/>
              </a:lnTo>
              <a:lnTo>
                <a:pt x="105" y="489"/>
              </a:lnTo>
              <a:lnTo>
                <a:pt x="105" y="461"/>
              </a:lnTo>
              <a:lnTo>
                <a:pt x="105" y="444"/>
              </a:lnTo>
              <a:lnTo>
                <a:pt x="105" y="401"/>
              </a:lnTo>
              <a:lnTo>
                <a:pt x="105" y="386"/>
              </a:lnTo>
              <a:lnTo>
                <a:pt x="105" y="381"/>
              </a:lnTo>
              <a:lnTo>
                <a:pt x="105" y="341"/>
              </a:lnTo>
              <a:lnTo>
                <a:pt x="106" y="321"/>
              </a:lnTo>
              <a:lnTo>
                <a:pt x="106" y="304"/>
              </a:lnTo>
              <a:lnTo>
                <a:pt x="106" y="301"/>
              </a:lnTo>
              <a:lnTo>
                <a:pt x="106" y="283"/>
              </a:lnTo>
              <a:lnTo>
                <a:pt x="106" y="269"/>
              </a:lnTo>
              <a:lnTo>
                <a:pt x="106" y="242"/>
              </a:lnTo>
              <a:lnTo>
                <a:pt x="106" y="193"/>
              </a:lnTo>
              <a:lnTo>
                <a:pt x="106" y="180"/>
              </a:lnTo>
              <a:lnTo>
                <a:pt x="106" y="178"/>
              </a:lnTo>
              <a:lnTo>
                <a:pt x="106" y="160"/>
              </a:lnTo>
              <a:lnTo>
                <a:pt x="106" y="151"/>
              </a:lnTo>
              <a:lnTo>
                <a:pt x="106" y="141"/>
              </a:lnTo>
              <a:lnTo>
                <a:pt x="106" y="121"/>
              </a:lnTo>
              <a:lnTo>
                <a:pt x="106" y="115"/>
              </a:lnTo>
              <a:lnTo>
                <a:pt x="106" y="110"/>
              </a:lnTo>
              <a:lnTo>
                <a:pt x="106" y="102"/>
              </a:lnTo>
              <a:lnTo>
                <a:pt x="106" y="92"/>
              </a:lnTo>
              <a:lnTo>
                <a:pt x="106" y="70"/>
              </a:lnTo>
              <a:lnTo>
                <a:pt x="106" y="55"/>
              </a:lnTo>
              <a:lnTo>
                <a:pt x="106" y="48"/>
              </a:lnTo>
              <a:lnTo>
                <a:pt x="106" y="12"/>
              </a:lnTo>
              <a:lnTo>
                <a:pt x="108" y="14"/>
              </a:lnTo>
              <a:lnTo>
                <a:pt x="134" y="31"/>
              </a:lnTo>
              <a:lnTo>
                <a:pt x="163" y="33"/>
              </a:lnTo>
              <a:lnTo>
                <a:pt x="171" y="31"/>
              </a:lnTo>
              <a:lnTo>
                <a:pt x="175" y="30"/>
              </a:lnTo>
              <a:lnTo>
                <a:pt x="218" y="13"/>
              </a:lnTo>
              <a:lnTo>
                <a:pt x="226" y="8"/>
              </a:lnTo>
              <a:lnTo>
                <a:pt x="226" y="7"/>
              </a:lnTo>
              <a:lnTo>
                <a:pt x="237" y="1"/>
              </a:lnTo>
              <a:lnTo>
                <a:pt x="252" y="1"/>
              </a:lnTo>
              <a:lnTo>
                <a:pt x="274" y="1"/>
              </a:lnTo>
              <a:lnTo>
                <a:pt x="294" y="1"/>
              </a:lnTo>
              <a:lnTo>
                <a:pt x="321" y="1"/>
              </a:lnTo>
              <a:lnTo>
                <a:pt x="345" y="1"/>
              </a:lnTo>
              <a:lnTo>
                <a:pt x="349" y="1"/>
              </a:lnTo>
              <a:lnTo>
                <a:pt x="380" y="0"/>
              </a:lnTo>
              <a:lnTo>
                <a:pt x="392" y="1"/>
              </a:lnTo>
              <a:lnTo>
                <a:pt x="437" y="1"/>
              </a:lnTo>
              <a:lnTo>
                <a:pt x="438" y="1"/>
              </a:lnTo>
              <a:lnTo>
                <a:pt x="455" y="1"/>
              </a:lnTo>
              <a:lnTo>
                <a:pt x="485" y="1"/>
              </a:lnTo>
              <a:lnTo>
                <a:pt x="509" y="1"/>
              </a:lnTo>
              <a:lnTo>
                <a:pt x="524" y="1"/>
              </a:lnTo>
              <a:lnTo>
                <a:pt x="532" y="1"/>
              </a:lnTo>
              <a:lnTo>
                <a:pt x="537" y="1"/>
              </a:lnTo>
              <a:lnTo>
                <a:pt x="542" y="1"/>
              </a:lnTo>
              <a:lnTo>
                <a:pt x="556" y="1"/>
              </a:lnTo>
              <a:lnTo>
                <a:pt x="578" y="1"/>
              </a:lnTo>
              <a:lnTo>
                <a:pt x="611" y="1"/>
              </a:lnTo>
              <a:lnTo>
                <a:pt x="615" y="1"/>
              </a:lnTo>
              <a:lnTo>
                <a:pt x="615" y="16"/>
              </a:lnTo>
              <a:lnTo>
                <a:pt x="616" y="55"/>
              </a:lnTo>
              <a:lnTo>
                <a:pt x="616" y="79"/>
              </a:lnTo>
              <a:lnTo>
                <a:pt x="616" y="92"/>
              </a:lnTo>
              <a:lnTo>
                <a:pt x="616" y="95"/>
              </a:lnTo>
              <a:lnTo>
                <a:pt x="616" y="117"/>
              </a:lnTo>
              <a:lnTo>
                <a:pt x="616" y="121"/>
              </a:lnTo>
              <a:lnTo>
                <a:pt x="616" y="151"/>
              </a:lnTo>
              <a:lnTo>
                <a:pt x="616" y="180"/>
              </a:lnTo>
              <a:lnTo>
                <a:pt x="616" y="183"/>
              </a:lnTo>
              <a:lnTo>
                <a:pt x="616" y="198"/>
              </a:lnTo>
              <a:lnTo>
                <a:pt x="616" y="210"/>
              </a:lnTo>
              <a:lnTo>
                <a:pt x="616" y="240"/>
              </a:lnTo>
              <a:lnTo>
                <a:pt x="616" y="244"/>
              </a:lnTo>
              <a:lnTo>
                <a:pt x="616" y="269"/>
              </a:lnTo>
              <a:lnTo>
                <a:pt x="616" y="28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17</xdr:row>
      <xdr:rowOff>104775</xdr:rowOff>
    </xdr:from>
    <xdr:to>
      <xdr:col>2</xdr:col>
      <xdr:colOff>1885950</xdr:colOff>
      <xdr:row>17</xdr:row>
      <xdr:rowOff>1133475</xdr:rowOff>
    </xdr:to>
    <xdr:sp macro="" textlink="">
      <xdr:nvSpPr>
        <xdr:cNvPr id="100" name="S_IA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/>
        </xdr:cNvSpPr>
      </xdr:nvSpPr>
      <xdr:spPr bwMode="auto">
        <a:xfrm>
          <a:off x="2162175" y="20564475"/>
          <a:ext cx="1504950" cy="1028700"/>
        </a:xfrm>
        <a:custGeom>
          <a:avLst/>
          <a:gdLst>
            <a:gd name="T0" fmla="*/ 2147483647 w 1212"/>
            <a:gd name="T1" fmla="*/ 0 h 739"/>
            <a:gd name="T2" fmla="*/ 2147483647 w 1212"/>
            <a:gd name="T3" fmla="*/ 0 h 739"/>
            <a:gd name="T4" fmla="*/ 2147483647 w 1212"/>
            <a:gd name="T5" fmla="*/ 0 h 739"/>
            <a:gd name="T6" fmla="*/ 2147483647 w 1212"/>
            <a:gd name="T7" fmla="*/ 0 h 739"/>
            <a:gd name="T8" fmla="*/ 2147483647 w 1212"/>
            <a:gd name="T9" fmla="*/ 0 h 739"/>
            <a:gd name="T10" fmla="*/ 2147483647 w 1212"/>
            <a:gd name="T11" fmla="*/ 0 h 739"/>
            <a:gd name="T12" fmla="*/ 2147483647 w 1212"/>
            <a:gd name="T13" fmla="*/ 0 h 739"/>
            <a:gd name="T14" fmla="*/ 2147483647 w 1212"/>
            <a:gd name="T15" fmla="*/ 0 h 739"/>
            <a:gd name="T16" fmla="*/ 2147483647 w 1212"/>
            <a:gd name="T17" fmla="*/ 0 h 739"/>
            <a:gd name="T18" fmla="*/ 2147483647 w 1212"/>
            <a:gd name="T19" fmla="*/ 0 h 739"/>
            <a:gd name="T20" fmla="*/ 2147483647 w 1212"/>
            <a:gd name="T21" fmla="*/ 2147483647 h 739"/>
            <a:gd name="T22" fmla="*/ 2147483647 w 1212"/>
            <a:gd name="T23" fmla="*/ 2147483647 h 739"/>
            <a:gd name="T24" fmla="*/ 2147483647 w 1212"/>
            <a:gd name="T25" fmla="*/ 2147483647 h 739"/>
            <a:gd name="T26" fmla="*/ 2147483647 w 1212"/>
            <a:gd name="T27" fmla="*/ 2147483647 h 739"/>
            <a:gd name="T28" fmla="*/ 2147483647 w 1212"/>
            <a:gd name="T29" fmla="*/ 2147483647 h 739"/>
            <a:gd name="T30" fmla="*/ 2147483647 w 1212"/>
            <a:gd name="T31" fmla="*/ 2147483647 h 739"/>
            <a:gd name="T32" fmla="*/ 2147483647 w 1212"/>
            <a:gd name="T33" fmla="*/ 2147483647 h 739"/>
            <a:gd name="T34" fmla="*/ 2147483647 w 1212"/>
            <a:gd name="T35" fmla="*/ 2147483647 h 739"/>
            <a:gd name="T36" fmla="*/ 2147483647 w 1212"/>
            <a:gd name="T37" fmla="*/ 2147483647 h 739"/>
            <a:gd name="T38" fmla="*/ 2147483647 w 1212"/>
            <a:gd name="T39" fmla="*/ 2147483647 h 739"/>
            <a:gd name="T40" fmla="*/ 2147483647 w 1212"/>
            <a:gd name="T41" fmla="*/ 2147483647 h 739"/>
            <a:gd name="T42" fmla="*/ 2147483647 w 1212"/>
            <a:gd name="T43" fmla="*/ 2147483647 h 739"/>
            <a:gd name="T44" fmla="*/ 2147483647 w 1212"/>
            <a:gd name="T45" fmla="*/ 2147483647 h 739"/>
            <a:gd name="T46" fmla="*/ 2147483647 w 1212"/>
            <a:gd name="T47" fmla="*/ 2147483647 h 739"/>
            <a:gd name="T48" fmla="*/ 2147483647 w 1212"/>
            <a:gd name="T49" fmla="*/ 2147483647 h 739"/>
            <a:gd name="T50" fmla="*/ 2147483647 w 1212"/>
            <a:gd name="T51" fmla="*/ 2147483647 h 739"/>
            <a:gd name="T52" fmla="*/ 2147483647 w 1212"/>
            <a:gd name="T53" fmla="*/ 2147483647 h 739"/>
            <a:gd name="T54" fmla="*/ 2147483647 w 1212"/>
            <a:gd name="T55" fmla="*/ 2147483647 h 739"/>
            <a:gd name="T56" fmla="*/ 2147483647 w 1212"/>
            <a:gd name="T57" fmla="*/ 2147483647 h 739"/>
            <a:gd name="T58" fmla="*/ 2147483647 w 1212"/>
            <a:gd name="T59" fmla="*/ 2147483647 h 739"/>
            <a:gd name="T60" fmla="*/ 2147483647 w 1212"/>
            <a:gd name="T61" fmla="*/ 2147483647 h 739"/>
            <a:gd name="T62" fmla="*/ 2147483647 w 1212"/>
            <a:gd name="T63" fmla="*/ 2147483647 h 739"/>
            <a:gd name="T64" fmla="*/ 2147483647 w 1212"/>
            <a:gd name="T65" fmla="*/ 2147483647 h 739"/>
            <a:gd name="T66" fmla="*/ 2147483647 w 1212"/>
            <a:gd name="T67" fmla="*/ 2147483647 h 739"/>
            <a:gd name="T68" fmla="*/ 2147483647 w 1212"/>
            <a:gd name="T69" fmla="*/ 2147483647 h 739"/>
            <a:gd name="T70" fmla="*/ 2147483647 w 1212"/>
            <a:gd name="T71" fmla="*/ 2147483647 h 739"/>
            <a:gd name="T72" fmla="*/ 2147483647 w 1212"/>
            <a:gd name="T73" fmla="*/ 2147483647 h 739"/>
            <a:gd name="T74" fmla="*/ 2147483647 w 1212"/>
            <a:gd name="T75" fmla="*/ 2147483647 h 739"/>
            <a:gd name="T76" fmla="*/ 2147483647 w 1212"/>
            <a:gd name="T77" fmla="*/ 2147483647 h 739"/>
            <a:gd name="T78" fmla="*/ 2147483647 w 1212"/>
            <a:gd name="T79" fmla="*/ 2147483647 h 739"/>
            <a:gd name="T80" fmla="*/ 2147483647 w 1212"/>
            <a:gd name="T81" fmla="*/ 2147483647 h 739"/>
            <a:gd name="T82" fmla="*/ 2147483647 w 1212"/>
            <a:gd name="T83" fmla="*/ 2147483647 h 739"/>
            <a:gd name="T84" fmla="*/ 2147483647 w 1212"/>
            <a:gd name="T85" fmla="*/ 2147483647 h 739"/>
            <a:gd name="T86" fmla="*/ 2147483647 w 1212"/>
            <a:gd name="T87" fmla="*/ 2147483647 h 739"/>
            <a:gd name="T88" fmla="*/ 2147483647 w 1212"/>
            <a:gd name="T89" fmla="*/ 2147483647 h 739"/>
            <a:gd name="T90" fmla="*/ 2147483647 w 1212"/>
            <a:gd name="T91" fmla="*/ 2147483647 h 739"/>
            <a:gd name="T92" fmla="*/ 2147483647 w 1212"/>
            <a:gd name="T93" fmla="*/ 2147483647 h 739"/>
            <a:gd name="T94" fmla="*/ 2147483647 w 1212"/>
            <a:gd name="T95" fmla="*/ 2147483647 h 739"/>
            <a:gd name="T96" fmla="*/ 2147483647 w 1212"/>
            <a:gd name="T97" fmla="*/ 2147483647 h 739"/>
            <a:gd name="T98" fmla="*/ 2147483647 w 1212"/>
            <a:gd name="T99" fmla="*/ 2147483647 h 739"/>
            <a:gd name="T100" fmla="*/ 2147483647 w 1212"/>
            <a:gd name="T101" fmla="*/ 2147483647 h 739"/>
            <a:gd name="T102" fmla="*/ 2147483647 w 1212"/>
            <a:gd name="T103" fmla="*/ 2147483647 h 739"/>
            <a:gd name="T104" fmla="*/ 2147483647 w 1212"/>
            <a:gd name="T105" fmla="*/ 2147483647 h 739"/>
            <a:gd name="T106" fmla="*/ 2147483647 w 1212"/>
            <a:gd name="T107" fmla="*/ 2147483647 h 739"/>
            <a:gd name="T108" fmla="*/ 2147483647 w 1212"/>
            <a:gd name="T109" fmla="*/ 2147483647 h 739"/>
            <a:gd name="T110" fmla="*/ 2147483647 w 1212"/>
            <a:gd name="T111" fmla="*/ 2147483647 h 739"/>
            <a:gd name="T112" fmla="*/ 2147483647 w 1212"/>
            <a:gd name="T113" fmla="*/ 0 h 739"/>
            <a:gd name="T114" fmla="*/ 2147483647 w 1212"/>
            <a:gd name="T115" fmla="*/ 0 h 739"/>
            <a:gd name="T116" fmla="*/ 2147483647 w 1212"/>
            <a:gd name="T117" fmla="*/ 0 h 739"/>
            <a:gd name="T118" fmla="*/ 2147483647 w 1212"/>
            <a:gd name="T119" fmla="*/ 0 h 739"/>
            <a:gd name="T120" fmla="*/ 2147483647 w 1212"/>
            <a:gd name="T121" fmla="*/ 0 h 739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212"/>
            <a:gd name="T184" fmla="*/ 0 h 739"/>
            <a:gd name="T185" fmla="*/ 1212 w 1212"/>
            <a:gd name="T186" fmla="*/ 739 h 739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212" h="739">
              <a:moveTo>
                <a:pt x="584" y="1"/>
              </a:moveTo>
              <a:lnTo>
                <a:pt x="556" y="1"/>
              </a:lnTo>
              <a:lnTo>
                <a:pt x="518" y="1"/>
              </a:lnTo>
              <a:lnTo>
                <a:pt x="513" y="1"/>
              </a:lnTo>
              <a:lnTo>
                <a:pt x="496" y="1"/>
              </a:lnTo>
              <a:lnTo>
                <a:pt x="494" y="1"/>
              </a:lnTo>
              <a:lnTo>
                <a:pt x="490" y="1"/>
              </a:lnTo>
              <a:lnTo>
                <a:pt x="444" y="0"/>
              </a:lnTo>
              <a:lnTo>
                <a:pt x="420" y="0"/>
              </a:lnTo>
              <a:lnTo>
                <a:pt x="407" y="0"/>
              </a:lnTo>
              <a:lnTo>
                <a:pt x="368" y="0"/>
              </a:lnTo>
              <a:lnTo>
                <a:pt x="350" y="0"/>
              </a:lnTo>
              <a:lnTo>
                <a:pt x="330" y="0"/>
              </a:lnTo>
              <a:lnTo>
                <a:pt x="326" y="0"/>
              </a:lnTo>
              <a:lnTo>
                <a:pt x="320" y="0"/>
              </a:lnTo>
              <a:lnTo>
                <a:pt x="280" y="0"/>
              </a:lnTo>
              <a:lnTo>
                <a:pt x="257" y="0"/>
              </a:lnTo>
              <a:lnTo>
                <a:pt x="231" y="0"/>
              </a:lnTo>
              <a:lnTo>
                <a:pt x="218" y="1"/>
              </a:lnTo>
              <a:lnTo>
                <a:pt x="169" y="1"/>
              </a:lnTo>
              <a:lnTo>
                <a:pt x="163" y="0"/>
              </a:lnTo>
              <a:lnTo>
                <a:pt x="142" y="0"/>
              </a:lnTo>
              <a:lnTo>
                <a:pt x="128" y="0"/>
              </a:lnTo>
              <a:lnTo>
                <a:pt x="116" y="0"/>
              </a:lnTo>
              <a:lnTo>
                <a:pt x="107" y="0"/>
              </a:lnTo>
              <a:lnTo>
                <a:pt x="69" y="0"/>
              </a:lnTo>
              <a:lnTo>
                <a:pt x="46" y="0"/>
              </a:lnTo>
              <a:lnTo>
                <a:pt x="32" y="0"/>
              </a:lnTo>
              <a:lnTo>
                <a:pt x="22" y="0"/>
              </a:lnTo>
              <a:lnTo>
                <a:pt x="4" y="0"/>
              </a:lnTo>
              <a:lnTo>
                <a:pt x="4" y="1"/>
              </a:lnTo>
              <a:lnTo>
                <a:pt x="19" y="30"/>
              </a:lnTo>
              <a:lnTo>
                <a:pt x="13" y="58"/>
              </a:lnTo>
              <a:lnTo>
                <a:pt x="22" y="66"/>
              </a:lnTo>
              <a:lnTo>
                <a:pt x="34" y="89"/>
              </a:lnTo>
              <a:lnTo>
                <a:pt x="31" y="99"/>
              </a:lnTo>
              <a:lnTo>
                <a:pt x="22" y="107"/>
              </a:lnTo>
              <a:lnTo>
                <a:pt x="22" y="129"/>
              </a:lnTo>
              <a:lnTo>
                <a:pt x="16" y="140"/>
              </a:lnTo>
              <a:lnTo>
                <a:pt x="0" y="188"/>
              </a:lnTo>
              <a:lnTo>
                <a:pt x="22" y="214"/>
              </a:lnTo>
              <a:lnTo>
                <a:pt x="23" y="223"/>
              </a:lnTo>
              <a:lnTo>
                <a:pt x="27" y="237"/>
              </a:lnTo>
              <a:lnTo>
                <a:pt x="33" y="240"/>
              </a:lnTo>
              <a:lnTo>
                <a:pt x="49" y="290"/>
              </a:lnTo>
              <a:lnTo>
                <a:pt x="55" y="296"/>
              </a:lnTo>
              <a:lnTo>
                <a:pt x="54" y="298"/>
              </a:lnTo>
              <a:lnTo>
                <a:pt x="50" y="304"/>
              </a:lnTo>
              <a:lnTo>
                <a:pt x="63" y="325"/>
              </a:lnTo>
              <a:lnTo>
                <a:pt x="65" y="344"/>
              </a:lnTo>
              <a:lnTo>
                <a:pt x="71" y="355"/>
              </a:lnTo>
              <a:lnTo>
                <a:pt x="82" y="355"/>
              </a:lnTo>
              <a:lnTo>
                <a:pt x="91" y="386"/>
              </a:lnTo>
              <a:lnTo>
                <a:pt x="93" y="389"/>
              </a:lnTo>
              <a:lnTo>
                <a:pt x="99" y="414"/>
              </a:lnTo>
              <a:lnTo>
                <a:pt x="94" y="430"/>
              </a:lnTo>
              <a:lnTo>
                <a:pt x="95" y="444"/>
              </a:lnTo>
              <a:lnTo>
                <a:pt x="116" y="464"/>
              </a:lnTo>
              <a:lnTo>
                <a:pt x="117" y="471"/>
              </a:lnTo>
              <a:lnTo>
                <a:pt x="115" y="473"/>
              </a:lnTo>
              <a:lnTo>
                <a:pt x="116" y="480"/>
              </a:lnTo>
              <a:lnTo>
                <a:pt x="128" y="499"/>
              </a:lnTo>
              <a:lnTo>
                <a:pt x="140" y="523"/>
              </a:lnTo>
              <a:lnTo>
                <a:pt x="131" y="532"/>
              </a:lnTo>
              <a:lnTo>
                <a:pt x="130" y="546"/>
              </a:lnTo>
              <a:lnTo>
                <a:pt x="140" y="547"/>
              </a:lnTo>
              <a:lnTo>
                <a:pt x="141" y="551"/>
              </a:lnTo>
              <a:lnTo>
                <a:pt x="139" y="553"/>
              </a:lnTo>
              <a:lnTo>
                <a:pt x="141" y="562"/>
              </a:lnTo>
              <a:lnTo>
                <a:pt x="138" y="577"/>
              </a:lnTo>
              <a:lnTo>
                <a:pt x="139" y="579"/>
              </a:lnTo>
              <a:lnTo>
                <a:pt x="140" y="579"/>
              </a:lnTo>
              <a:lnTo>
                <a:pt x="141" y="591"/>
              </a:lnTo>
              <a:lnTo>
                <a:pt x="152" y="614"/>
              </a:lnTo>
              <a:lnTo>
                <a:pt x="152" y="616"/>
              </a:lnTo>
              <a:lnTo>
                <a:pt x="148" y="621"/>
              </a:lnTo>
              <a:lnTo>
                <a:pt x="147" y="642"/>
              </a:lnTo>
              <a:lnTo>
                <a:pt x="139" y="651"/>
              </a:lnTo>
              <a:lnTo>
                <a:pt x="163" y="684"/>
              </a:lnTo>
              <a:lnTo>
                <a:pt x="160" y="689"/>
              </a:lnTo>
              <a:lnTo>
                <a:pt x="163" y="689"/>
              </a:lnTo>
              <a:lnTo>
                <a:pt x="209" y="690"/>
              </a:lnTo>
              <a:lnTo>
                <a:pt x="233" y="690"/>
              </a:lnTo>
              <a:lnTo>
                <a:pt x="257" y="690"/>
              </a:lnTo>
              <a:lnTo>
                <a:pt x="265" y="691"/>
              </a:lnTo>
              <a:lnTo>
                <a:pt x="304" y="691"/>
              </a:lnTo>
              <a:lnTo>
                <a:pt x="319" y="691"/>
              </a:lnTo>
              <a:lnTo>
                <a:pt x="350" y="693"/>
              </a:lnTo>
              <a:lnTo>
                <a:pt x="372" y="693"/>
              </a:lnTo>
              <a:lnTo>
                <a:pt x="397" y="693"/>
              </a:lnTo>
              <a:lnTo>
                <a:pt x="402" y="693"/>
              </a:lnTo>
              <a:lnTo>
                <a:pt x="444" y="693"/>
              </a:lnTo>
              <a:lnTo>
                <a:pt x="447" y="693"/>
              </a:lnTo>
              <a:lnTo>
                <a:pt x="488" y="693"/>
              </a:lnTo>
              <a:lnTo>
                <a:pt x="490" y="691"/>
              </a:lnTo>
              <a:lnTo>
                <a:pt x="533" y="691"/>
              </a:lnTo>
              <a:lnTo>
                <a:pt x="534" y="690"/>
              </a:lnTo>
              <a:lnTo>
                <a:pt x="537" y="691"/>
              </a:lnTo>
              <a:lnTo>
                <a:pt x="573" y="690"/>
              </a:lnTo>
              <a:lnTo>
                <a:pt x="584" y="690"/>
              </a:lnTo>
              <a:lnTo>
                <a:pt x="595" y="690"/>
              </a:lnTo>
              <a:lnTo>
                <a:pt x="608" y="690"/>
              </a:lnTo>
              <a:lnTo>
                <a:pt x="631" y="690"/>
              </a:lnTo>
              <a:lnTo>
                <a:pt x="659" y="689"/>
              </a:lnTo>
              <a:lnTo>
                <a:pt x="677" y="689"/>
              </a:lnTo>
              <a:lnTo>
                <a:pt x="724" y="688"/>
              </a:lnTo>
              <a:lnTo>
                <a:pt x="731" y="688"/>
              </a:lnTo>
              <a:lnTo>
                <a:pt x="746" y="687"/>
              </a:lnTo>
              <a:lnTo>
                <a:pt x="771" y="687"/>
              </a:lnTo>
              <a:lnTo>
                <a:pt x="799" y="686"/>
              </a:lnTo>
              <a:lnTo>
                <a:pt x="817" y="686"/>
              </a:lnTo>
              <a:lnTo>
                <a:pt x="821" y="686"/>
              </a:lnTo>
              <a:lnTo>
                <a:pt x="831" y="686"/>
              </a:lnTo>
              <a:lnTo>
                <a:pt x="853" y="685"/>
              </a:lnTo>
              <a:lnTo>
                <a:pt x="860" y="685"/>
              </a:lnTo>
              <a:lnTo>
                <a:pt x="875" y="684"/>
              </a:lnTo>
              <a:lnTo>
                <a:pt x="915" y="683"/>
              </a:lnTo>
              <a:lnTo>
                <a:pt x="917" y="685"/>
              </a:lnTo>
              <a:lnTo>
                <a:pt x="918" y="686"/>
              </a:lnTo>
              <a:lnTo>
                <a:pt x="935" y="699"/>
              </a:lnTo>
              <a:lnTo>
                <a:pt x="958" y="732"/>
              </a:lnTo>
              <a:lnTo>
                <a:pt x="974" y="739"/>
              </a:lnTo>
              <a:lnTo>
                <a:pt x="981" y="734"/>
              </a:lnTo>
              <a:lnTo>
                <a:pt x="981" y="690"/>
              </a:lnTo>
              <a:lnTo>
                <a:pt x="1016" y="677"/>
              </a:lnTo>
              <a:lnTo>
                <a:pt x="1025" y="671"/>
              </a:lnTo>
              <a:lnTo>
                <a:pt x="1028" y="670"/>
              </a:lnTo>
              <a:lnTo>
                <a:pt x="1030" y="663"/>
              </a:lnTo>
              <a:lnTo>
                <a:pt x="1031" y="651"/>
              </a:lnTo>
              <a:lnTo>
                <a:pt x="1061" y="591"/>
              </a:lnTo>
              <a:lnTo>
                <a:pt x="1061" y="574"/>
              </a:lnTo>
              <a:lnTo>
                <a:pt x="1052" y="552"/>
              </a:lnTo>
              <a:lnTo>
                <a:pt x="1030" y="532"/>
              </a:lnTo>
              <a:lnTo>
                <a:pt x="1038" y="513"/>
              </a:lnTo>
              <a:lnTo>
                <a:pt x="1040" y="503"/>
              </a:lnTo>
              <a:lnTo>
                <a:pt x="1052" y="490"/>
              </a:lnTo>
              <a:lnTo>
                <a:pt x="1091" y="484"/>
              </a:lnTo>
              <a:lnTo>
                <a:pt x="1145" y="469"/>
              </a:lnTo>
              <a:lnTo>
                <a:pt x="1168" y="455"/>
              </a:lnTo>
              <a:lnTo>
                <a:pt x="1179" y="419"/>
              </a:lnTo>
              <a:lnTo>
                <a:pt x="1182" y="414"/>
              </a:lnTo>
              <a:lnTo>
                <a:pt x="1192" y="407"/>
              </a:lnTo>
              <a:lnTo>
                <a:pt x="1193" y="407"/>
              </a:lnTo>
              <a:lnTo>
                <a:pt x="1207" y="384"/>
              </a:lnTo>
              <a:lnTo>
                <a:pt x="1210" y="371"/>
              </a:lnTo>
              <a:lnTo>
                <a:pt x="1212" y="355"/>
              </a:lnTo>
              <a:lnTo>
                <a:pt x="1212" y="353"/>
              </a:lnTo>
              <a:lnTo>
                <a:pt x="1210" y="347"/>
              </a:lnTo>
              <a:lnTo>
                <a:pt x="1207" y="325"/>
              </a:lnTo>
              <a:lnTo>
                <a:pt x="1187" y="314"/>
              </a:lnTo>
              <a:lnTo>
                <a:pt x="1178" y="309"/>
              </a:lnTo>
              <a:lnTo>
                <a:pt x="1166" y="303"/>
              </a:lnTo>
              <a:lnTo>
                <a:pt x="1161" y="297"/>
              </a:lnTo>
              <a:lnTo>
                <a:pt x="1150" y="264"/>
              </a:lnTo>
              <a:lnTo>
                <a:pt x="1121" y="246"/>
              </a:lnTo>
              <a:lnTo>
                <a:pt x="1117" y="237"/>
              </a:lnTo>
              <a:lnTo>
                <a:pt x="1119" y="236"/>
              </a:lnTo>
              <a:lnTo>
                <a:pt x="1107" y="208"/>
              </a:lnTo>
              <a:lnTo>
                <a:pt x="1098" y="202"/>
              </a:lnTo>
              <a:lnTo>
                <a:pt x="1071" y="196"/>
              </a:lnTo>
              <a:lnTo>
                <a:pt x="1040" y="178"/>
              </a:lnTo>
              <a:lnTo>
                <a:pt x="1036" y="148"/>
              </a:lnTo>
              <a:lnTo>
                <a:pt x="1022" y="122"/>
              </a:lnTo>
              <a:lnTo>
                <a:pt x="1022" y="119"/>
              </a:lnTo>
              <a:lnTo>
                <a:pt x="1019" y="101"/>
              </a:lnTo>
              <a:lnTo>
                <a:pt x="1019" y="100"/>
              </a:lnTo>
              <a:lnTo>
                <a:pt x="1041" y="60"/>
              </a:lnTo>
              <a:lnTo>
                <a:pt x="1014" y="23"/>
              </a:lnTo>
              <a:lnTo>
                <a:pt x="1013" y="19"/>
              </a:lnTo>
              <a:lnTo>
                <a:pt x="1011" y="1"/>
              </a:lnTo>
              <a:lnTo>
                <a:pt x="1011" y="0"/>
              </a:lnTo>
              <a:lnTo>
                <a:pt x="1005" y="0"/>
              </a:lnTo>
              <a:lnTo>
                <a:pt x="991" y="0"/>
              </a:lnTo>
              <a:lnTo>
                <a:pt x="937" y="0"/>
              </a:lnTo>
              <a:lnTo>
                <a:pt x="935" y="0"/>
              </a:lnTo>
              <a:lnTo>
                <a:pt x="915" y="0"/>
              </a:lnTo>
              <a:lnTo>
                <a:pt x="849" y="0"/>
              </a:lnTo>
              <a:lnTo>
                <a:pt x="781" y="0"/>
              </a:lnTo>
              <a:lnTo>
                <a:pt x="761" y="0"/>
              </a:lnTo>
              <a:lnTo>
                <a:pt x="677" y="1"/>
              </a:lnTo>
              <a:lnTo>
                <a:pt x="673" y="1"/>
              </a:lnTo>
              <a:lnTo>
                <a:pt x="669" y="1"/>
              </a:lnTo>
              <a:lnTo>
                <a:pt x="608" y="1"/>
              </a:lnTo>
              <a:lnTo>
                <a:pt x="603" y="1"/>
              </a:lnTo>
              <a:lnTo>
                <a:pt x="584" y="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457200</xdr:colOff>
      <xdr:row>18</xdr:row>
      <xdr:rowOff>133350</xdr:rowOff>
    </xdr:from>
    <xdr:to>
      <xdr:col>2</xdr:col>
      <xdr:colOff>2076450</xdr:colOff>
      <xdr:row>18</xdr:row>
      <xdr:rowOff>1028700</xdr:rowOff>
    </xdr:to>
    <xdr:sp macro="" textlink="">
      <xdr:nvSpPr>
        <xdr:cNvPr id="101" name="S_KS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/>
        </xdr:cNvSpPr>
      </xdr:nvSpPr>
      <xdr:spPr bwMode="auto">
        <a:xfrm>
          <a:off x="2238375" y="21859875"/>
          <a:ext cx="1619250" cy="895350"/>
        </a:xfrm>
        <a:custGeom>
          <a:avLst/>
          <a:gdLst>
            <a:gd name="T0" fmla="*/ 2147483647 w 1393"/>
            <a:gd name="T1" fmla="*/ 2147483647 h 712"/>
            <a:gd name="T2" fmla="*/ 2147483647 w 1393"/>
            <a:gd name="T3" fmla="*/ 2147483647 h 712"/>
            <a:gd name="T4" fmla="*/ 2147483647 w 1393"/>
            <a:gd name="T5" fmla="*/ 2147483647 h 712"/>
            <a:gd name="T6" fmla="*/ 2147483647 w 1393"/>
            <a:gd name="T7" fmla="*/ 2147483647 h 712"/>
            <a:gd name="T8" fmla="*/ 2147483647 w 1393"/>
            <a:gd name="T9" fmla="*/ 2147483647 h 712"/>
            <a:gd name="T10" fmla="*/ 2147483647 w 1393"/>
            <a:gd name="T11" fmla="*/ 2147483647 h 712"/>
            <a:gd name="T12" fmla="*/ 2147483647 w 1393"/>
            <a:gd name="T13" fmla="*/ 2147483647 h 712"/>
            <a:gd name="T14" fmla="*/ 2147483647 w 1393"/>
            <a:gd name="T15" fmla="*/ 2147483647 h 712"/>
            <a:gd name="T16" fmla="*/ 2147483647 w 1393"/>
            <a:gd name="T17" fmla="*/ 2147483647 h 712"/>
            <a:gd name="T18" fmla="*/ 2147483647 w 1393"/>
            <a:gd name="T19" fmla="*/ 2147483647 h 712"/>
            <a:gd name="T20" fmla="*/ 2147483647 w 1393"/>
            <a:gd name="T21" fmla="*/ 2147483647 h 712"/>
            <a:gd name="T22" fmla="*/ 2147483647 w 1393"/>
            <a:gd name="T23" fmla="*/ 2147483647 h 712"/>
            <a:gd name="T24" fmla="*/ 2147483647 w 1393"/>
            <a:gd name="T25" fmla="*/ 2147483647 h 712"/>
            <a:gd name="T26" fmla="*/ 2147483647 w 1393"/>
            <a:gd name="T27" fmla="*/ 2147483647 h 712"/>
            <a:gd name="T28" fmla="*/ 2147483647 w 1393"/>
            <a:gd name="T29" fmla="*/ 2147483647 h 712"/>
            <a:gd name="T30" fmla="*/ 2147483647 w 1393"/>
            <a:gd name="T31" fmla="*/ 2147483647 h 712"/>
            <a:gd name="T32" fmla="*/ 2147483647 w 1393"/>
            <a:gd name="T33" fmla="*/ 2147483647 h 712"/>
            <a:gd name="T34" fmla="*/ 2147483647 w 1393"/>
            <a:gd name="T35" fmla="*/ 2147483647 h 712"/>
            <a:gd name="T36" fmla="*/ 2147483647 w 1393"/>
            <a:gd name="T37" fmla="*/ 2147483647 h 712"/>
            <a:gd name="T38" fmla="*/ 2147483647 w 1393"/>
            <a:gd name="T39" fmla="*/ 2147483647 h 712"/>
            <a:gd name="T40" fmla="*/ 2147483647 w 1393"/>
            <a:gd name="T41" fmla="*/ 2147483647 h 712"/>
            <a:gd name="T42" fmla="*/ 2147483647 w 1393"/>
            <a:gd name="T43" fmla="*/ 2147483647 h 712"/>
            <a:gd name="T44" fmla="*/ 0 w 1393"/>
            <a:gd name="T45" fmla="*/ 2147483647 h 712"/>
            <a:gd name="T46" fmla="*/ 0 w 1393"/>
            <a:gd name="T47" fmla="*/ 2147483647 h 712"/>
            <a:gd name="T48" fmla="*/ 0 w 1393"/>
            <a:gd name="T49" fmla="*/ 2147483647 h 712"/>
            <a:gd name="T50" fmla="*/ 0 w 1393"/>
            <a:gd name="T51" fmla="*/ 2147483647 h 712"/>
            <a:gd name="T52" fmla="*/ 0 w 1393"/>
            <a:gd name="T53" fmla="*/ 2147483647 h 712"/>
            <a:gd name="T54" fmla="*/ 0 w 1393"/>
            <a:gd name="T55" fmla="*/ 2147483647 h 712"/>
            <a:gd name="T56" fmla="*/ 0 w 1393"/>
            <a:gd name="T57" fmla="*/ 2147483647 h 712"/>
            <a:gd name="T58" fmla="*/ 2147483647 w 1393"/>
            <a:gd name="T59" fmla="*/ 2147483647 h 712"/>
            <a:gd name="T60" fmla="*/ 2147483647 w 1393"/>
            <a:gd name="T61" fmla="*/ 2147483647 h 712"/>
            <a:gd name="T62" fmla="*/ 2147483647 w 1393"/>
            <a:gd name="T63" fmla="*/ 2147483647 h 712"/>
            <a:gd name="T64" fmla="*/ 2147483647 w 1393"/>
            <a:gd name="T65" fmla="*/ 2147483647 h 712"/>
            <a:gd name="T66" fmla="*/ 2147483647 w 1393"/>
            <a:gd name="T67" fmla="*/ 2147483647 h 712"/>
            <a:gd name="T68" fmla="*/ 2147483647 w 1393"/>
            <a:gd name="T69" fmla="*/ 2147483647 h 712"/>
            <a:gd name="T70" fmla="*/ 2147483647 w 1393"/>
            <a:gd name="T71" fmla="*/ 2147483647 h 712"/>
            <a:gd name="T72" fmla="*/ 2147483647 w 1393"/>
            <a:gd name="T73" fmla="*/ 2147483647 h 712"/>
            <a:gd name="T74" fmla="*/ 2147483647 w 1393"/>
            <a:gd name="T75" fmla="*/ 2147483647 h 712"/>
            <a:gd name="T76" fmla="*/ 2147483647 w 1393"/>
            <a:gd name="T77" fmla="*/ 2147483647 h 712"/>
            <a:gd name="T78" fmla="*/ 2147483647 w 1393"/>
            <a:gd name="T79" fmla="*/ 2147483647 h 712"/>
            <a:gd name="T80" fmla="*/ 2147483647 w 1393"/>
            <a:gd name="T81" fmla="*/ 2147483647 h 712"/>
            <a:gd name="T82" fmla="*/ 2147483647 w 1393"/>
            <a:gd name="T83" fmla="*/ 2147483647 h 712"/>
            <a:gd name="T84" fmla="*/ 2147483647 w 1393"/>
            <a:gd name="T85" fmla="*/ 2147483647 h 712"/>
            <a:gd name="T86" fmla="*/ 2147483647 w 1393"/>
            <a:gd name="T87" fmla="*/ 2147483647 h 712"/>
            <a:gd name="T88" fmla="*/ 2147483647 w 1393"/>
            <a:gd name="T89" fmla="*/ 2147483647 h 712"/>
            <a:gd name="T90" fmla="*/ 2147483647 w 1393"/>
            <a:gd name="T91" fmla="*/ 2147483647 h 712"/>
            <a:gd name="T92" fmla="*/ 2147483647 w 1393"/>
            <a:gd name="T93" fmla="*/ 2147483647 h 712"/>
            <a:gd name="T94" fmla="*/ 2147483647 w 1393"/>
            <a:gd name="T95" fmla="*/ 2147483647 h 712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393"/>
            <a:gd name="T145" fmla="*/ 0 h 712"/>
            <a:gd name="T146" fmla="*/ 1393 w 1393"/>
            <a:gd name="T147" fmla="*/ 712 h 712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393" h="712">
              <a:moveTo>
                <a:pt x="1392" y="227"/>
              </a:moveTo>
              <a:lnTo>
                <a:pt x="1392" y="243"/>
              </a:lnTo>
              <a:lnTo>
                <a:pt x="1392" y="260"/>
              </a:lnTo>
              <a:lnTo>
                <a:pt x="1392" y="273"/>
              </a:lnTo>
              <a:lnTo>
                <a:pt x="1392" y="297"/>
              </a:lnTo>
              <a:lnTo>
                <a:pt x="1392" y="300"/>
              </a:lnTo>
              <a:lnTo>
                <a:pt x="1392" y="327"/>
              </a:lnTo>
              <a:lnTo>
                <a:pt x="1391" y="356"/>
              </a:lnTo>
              <a:lnTo>
                <a:pt x="1391" y="361"/>
              </a:lnTo>
              <a:lnTo>
                <a:pt x="1391" y="382"/>
              </a:lnTo>
              <a:lnTo>
                <a:pt x="1391" y="415"/>
              </a:lnTo>
              <a:lnTo>
                <a:pt x="1391" y="438"/>
              </a:lnTo>
              <a:lnTo>
                <a:pt x="1391" y="459"/>
              </a:lnTo>
              <a:lnTo>
                <a:pt x="1391" y="465"/>
              </a:lnTo>
              <a:lnTo>
                <a:pt x="1391" y="489"/>
              </a:lnTo>
              <a:lnTo>
                <a:pt x="1391" y="525"/>
              </a:lnTo>
              <a:lnTo>
                <a:pt x="1390" y="552"/>
              </a:lnTo>
              <a:lnTo>
                <a:pt x="1390" y="556"/>
              </a:lnTo>
              <a:lnTo>
                <a:pt x="1391" y="592"/>
              </a:lnTo>
              <a:lnTo>
                <a:pt x="1390" y="621"/>
              </a:lnTo>
              <a:lnTo>
                <a:pt x="1390" y="624"/>
              </a:lnTo>
              <a:lnTo>
                <a:pt x="1390" y="631"/>
              </a:lnTo>
              <a:lnTo>
                <a:pt x="1390" y="671"/>
              </a:lnTo>
              <a:lnTo>
                <a:pt x="1390" y="690"/>
              </a:lnTo>
              <a:lnTo>
                <a:pt x="1390" y="697"/>
              </a:lnTo>
              <a:lnTo>
                <a:pt x="1390" y="702"/>
              </a:lnTo>
              <a:lnTo>
                <a:pt x="1390" y="710"/>
              </a:lnTo>
              <a:lnTo>
                <a:pt x="1390" y="711"/>
              </a:lnTo>
              <a:lnTo>
                <a:pt x="1389" y="711"/>
              </a:lnTo>
              <a:lnTo>
                <a:pt x="1366" y="711"/>
              </a:lnTo>
              <a:lnTo>
                <a:pt x="1317" y="710"/>
              </a:lnTo>
              <a:lnTo>
                <a:pt x="1306" y="710"/>
              </a:lnTo>
              <a:lnTo>
                <a:pt x="1273" y="710"/>
              </a:lnTo>
              <a:lnTo>
                <a:pt x="1260" y="710"/>
              </a:lnTo>
              <a:lnTo>
                <a:pt x="1243" y="710"/>
              </a:lnTo>
              <a:lnTo>
                <a:pt x="1225" y="710"/>
              </a:lnTo>
              <a:lnTo>
                <a:pt x="1221" y="710"/>
              </a:lnTo>
              <a:lnTo>
                <a:pt x="1202" y="710"/>
              </a:lnTo>
              <a:lnTo>
                <a:pt x="1193" y="710"/>
              </a:lnTo>
              <a:lnTo>
                <a:pt x="1172" y="710"/>
              </a:lnTo>
              <a:lnTo>
                <a:pt x="1156" y="710"/>
              </a:lnTo>
              <a:lnTo>
                <a:pt x="1139" y="710"/>
              </a:lnTo>
              <a:lnTo>
                <a:pt x="1132" y="710"/>
              </a:lnTo>
              <a:lnTo>
                <a:pt x="1109" y="710"/>
              </a:lnTo>
              <a:lnTo>
                <a:pt x="1050" y="710"/>
              </a:lnTo>
              <a:lnTo>
                <a:pt x="1034" y="710"/>
              </a:lnTo>
              <a:lnTo>
                <a:pt x="1016" y="710"/>
              </a:lnTo>
              <a:lnTo>
                <a:pt x="992" y="710"/>
              </a:lnTo>
              <a:lnTo>
                <a:pt x="969" y="710"/>
              </a:lnTo>
              <a:lnTo>
                <a:pt x="945" y="710"/>
              </a:lnTo>
              <a:lnTo>
                <a:pt x="917" y="710"/>
              </a:lnTo>
              <a:lnTo>
                <a:pt x="886" y="711"/>
              </a:lnTo>
              <a:lnTo>
                <a:pt x="874" y="710"/>
              </a:lnTo>
              <a:lnTo>
                <a:pt x="858" y="711"/>
              </a:lnTo>
              <a:lnTo>
                <a:pt x="852" y="710"/>
              </a:lnTo>
              <a:lnTo>
                <a:pt x="817" y="710"/>
              </a:lnTo>
              <a:lnTo>
                <a:pt x="795" y="711"/>
              </a:lnTo>
              <a:lnTo>
                <a:pt x="758" y="711"/>
              </a:lnTo>
              <a:lnTo>
                <a:pt x="749" y="711"/>
              </a:lnTo>
              <a:lnTo>
                <a:pt x="737" y="711"/>
              </a:lnTo>
              <a:lnTo>
                <a:pt x="734" y="711"/>
              </a:lnTo>
              <a:lnTo>
                <a:pt x="703" y="711"/>
              </a:lnTo>
              <a:lnTo>
                <a:pt x="694" y="711"/>
              </a:lnTo>
              <a:lnTo>
                <a:pt x="688" y="711"/>
              </a:lnTo>
              <a:lnTo>
                <a:pt x="665" y="711"/>
              </a:lnTo>
              <a:lnTo>
                <a:pt x="656" y="710"/>
              </a:lnTo>
              <a:lnTo>
                <a:pt x="618" y="710"/>
              </a:lnTo>
              <a:lnTo>
                <a:pt x="606" y="710"/>
              </a:lnTo>
              <a:lnTo>
                <a:pt x="572" y="710"/>
              </a:lnTo>
              <a:lnTo>
                <a:pt x="507" y="710"/>
              </a:lnTo>
              <a:lnTo>
                <a:pt x="501" y="710"/>
              </a:lnTo>
              <a:lnTo>
                <a:pt x="486" y="710"/>
              </a:lnTo>
              <a:lnTo>
                <a:pt x="477" y="710"/>
              </a:lnTo>
              <a:lnTo>
                <a:pt x="470" y="710"/>
              </a:lnTo>
              <a:lnTo>
                <a:pt x="397" y="710"/>
              </a:lnTo>
              <a:lnTo>
                <a:pt x="384" y="710"/>
              </a:lnTo>
              <a:lnTo>
                <a:pt x="383" y="710"/>
              </a:lnTo>
              <a:lnTo>
                <a:pt x="376" y="710"/>
              </a:lnTo>
              <a:lnTo>
                <a:pt x="367" y="710"/>
              </a:lnTo>
              <a:lnTo>
                <a:pt x="361" y="710"/>
              </a:lnTo>
              <a:lnTo>
                <a:pt x="278" y="710"/>
              </a:lnTo>
              <a:lnTo>
                <a:pt x="265" y="710"/>
              </a:lnTo>
              <a:lnTo>
                <a:pt x="207" y="711"/>
              </a:lnTo>
              <a:lnTo>
                <a:pt x="197" y="711"/>
              </a:lnTo>
              <a:lnTo>
                <a:pt x="184" y="711"/>
              </a:lnTo>
              <a:lnTo>
                <a:pt x="173" y="711"/>
              </a:lnTo>
              <a:lnTo>
                <a:pt x="126" y="711"/>
              </a:lnTo>
              <a:lnTo>
                <a:pt x="93" y="711"/>
              </a:lnTo>
              <a:lnTo>
                <a:pt x="57" y="712"/>
              </a:lnTo>
              <a:lnTo>
                <a:pt x="46" y="712"/>
              </a:lnTo>
              <a:lnTo>
                <a:pt x="4" y="712"/>
              </a:lnTo>
              <a:lnTo>
                <a:pt x="2" y="712"/>
              </a:lnTo>
              <a:lnTo>
                <a:pt x="2" y="681"/>
              </a:lnTo>
              <a:lnTo>
                <a:pt x="2" y="651"/>
              </a:lnTo>
              <a:lnTo>
                <a:pt x="2" y="619"/>
              </a:lnTo>
              <a:lnTo>
                <a:pt x="2" y="592"/>
              </a:lnTo>
              <a:lnTo>
                <a:pt x="2" y="562"/>
              </a:lnTo>
              <a:lnTo>
                <a:pt x="2" y="558"/>
              </a:lnTo>
              <a:lnTo>
                <a:pt x="2" y="535"/>
              </a:lnTo>
              <a:lnTo>
                <a:pt x="1" y="474"/>
              </a:lnTo>
              <a:lnTo>
                <a:pt x="1" y="444"/>
              </a:lnTo>
              <a:lnTo>
                <a:pt x="1" y="412"/>
              </a:lnTo>
              <a:lnTo>
                <a:pt x="1" y="410"/>
              </a:lnTo>
              <a:lnTo>
                <a:pt x="1" y="386"/>
              </a:lnTo>
              <a:lnTo>
                <a:pt x="1" y="370"/>
              </a:lnTo>
              <a:lnTo>
                <a:pt x="1" y="329"/>
              </a:lnTo>
              <a:lnTo>
                <a:pt x="1" y="327"/>
              </a:lnTo>
              <a:lnTo>
                <a:pt x="1" y="310"/>
              </a:lnTo>
              <a:lnTo>
                <a:pt x="1" y="285"/>
              </a:lnTo>
              <a:lnTo>
                <a:pt x="1" y="238"/>
              </a:lnTo>
              <a:lnTo>
                <a:pt x="1" y="226"/>
              </a:lnTo>
              <a:lnTo>
                <a:pt x="1" y="220"/>
              </a:lnTo>
              <a:lnTo>
                <a:pt x="1" y="208"/>
              </a:lnTo>
              <a:lnTo>
                <a:pt x="1" y="206"/>
              </a:lnTo>
              <a:lnTo>
                <a:pt x="1" y="149"/>
              </a:lnTo>
              <a:lnTo>
                <a:pt x="1" y="119"/>
              </a:lnTo>
              <a:lnTo>
                <a:pt x="0" y="103"/>
              </a:lnTo>
              <a:lnTo>
                <a:pt x="0" y="102"/>
              </a:lnTo>
              <a:lnTo>
                <a:pt x="0" y="0"/>
              </a:lnTo>
              <a:lnTo>
                <a:pt x="120" y="1"/>
              </a:lnTo>
              <a:lnTo>
                <a:pt x="126" y="0"/>
              </a:lnTo>
              <a:lnTo>
                <a:pt x="136" y="0"/>
              </a:lnTo>
              <a:lnTo>
                <a:pt x="173" y="0"/>
              </a:lnTo>
              <a:lnTo>
                <a:pt x="220" y="1"/>
              </a:lnTo>
              <a:lnTo>
                <a:pt x="242" y="1"/>
              </a:lnTo>
              <a:lnTo>
                <a:pt x="244" y="1"/>
              </a:lnTo>
              <a:lnTo>
                <a:pt x="246" y="1"/>
              </a:lnTo>
              <a:lnTo>
                <a:pt x="279" y="1"/>
              </a:lnTo>
              <a:lnTo>
                <a:pt x="314" y="1"/>
              </a:lnTo>
              <a:lnTo>
                <a:pt x="348" y="1"/>
              </a:lnTo>
              <a:lnTo>
                <a:pt x="351" y="1"/>
              </a:lnTo>
              <a:lnTo>
                <a:pt x="361" y="1"/>
              </a:lnTo>
              <a:lnTo>
                <a:pt x="418" y="1"/>
              </a:lnTo>
              <a:lnTo>
                <a:pt x="454" y="1"/>
              </a:lnTo>
              <a:lnTo>
                <a:pt x="501" y="1"/>
              </a:lnTo>
              <a:lnTo>
                <a:pt x="513" y="1"/>
              </a:lnTo>
              <a:lnTo>
                <a:pt x="537" y="1"/>
              </a:lnTo>
              <a:lnTo>
                <a:pt x="548" y="1"/>
              </a:lnTo>
              <a:lnTo>
                <a:pt x="559" y="1"/>
              </a:lnTo>
              <a:lnTo>
                <a:pt x="594" y="1"/>
              </a:lnTo>
              <a:lnTo>
                <a:pt x="618" y="1"/>
              </a:lnTo>
              <a:lnTo>
                <a:pt x="622" y="1"/>
              </a:lnTo>
              <a:lnTo>
                <a:pt x="641" y="1"/>
              </a:lnTo>
              <a:lnTo>
                <a:pt x="664" y="1"/>
              </a:lnTo>
              <a:lnTo>
                <a:pt x="665" y="1"/>
              </a:lnTo>
              <a:lnTo>
                <a:pt x="688" y="1"/>
              </a:lnTo>
              <a:lnTo>
                <a:pt x="707" y="1"/>
              </a:lnTo>
              <a:lnTo>
                <a:pt x="734" y="1"/>
              </a:lnTo>
              <a:lnTo>
                <a:pt x="758" y="1"/>
              </a:lnTo>
              <a:lnTo>
                <a:pt x="771" y="1"/>
              </a:lnTo>
              <a:lnTo>
                <a:pt x="781" y="1"/>
              </a:lnTo>
              <a:lnTo>
                <a:pt x="792" y="1"/>
              </a:lnTo>
              <a:lnTo>
                <a:pt x="828" y="1"/>
              </a:lnTo>
              <a:lnTo>
                <a:pt x="874" y="1"/>
              </a:lnTo>
              <a:lnTo>
                <a:pt x="877" y="1"/>
              </a:lnTo>
              <a:lnTo>
                <a:pt x="898" y="1"/>
              </a:lnTo>
              <a:lnTo>
                <a:pt x="921" y="1"/>
              </a:lnTo>
              <a:lnTo>
                <a:pt x="961" y="1"/>
              </a:lnTo>
              <a:lnTo>
                <a:pt x="969" y="1"/>
              </a:lnTo>
              <a:lnTo>
                <a:pt x="981" y="1"/>
              </a:lnTo>
              <a:lnTo>
                <a:pt x="992" y="1"/>
              </a:lnTo>
              <a:lnTo>
                <a:pt x="1038" y="1"/>
              </a:lnTo>
              <a:lnTo>
                <a:pt x="1046" y="1"/>
              </a:lnTo>
              <a:lnTo>
                <a:pt x="1062" y="1"/>
              </a:lnTo>
              <a:lnTo>
                <a:pt x="1085" y="1"/>
              </a:lnTo>
              <a:lnTo>
                <a:pt x="1087" y="1"/>
              </a:lnTo>
              <a:lnTo>
                <a:pt x="1109" y="1"/>
              </a:lnTo>
              <a:lnTo>
                <a:pt x="1130" y="1"/>
              </a:lnTo>
              <a:lnTo>
                <a:pt x="1132" y="1"/>
              </a:lnTo>
              <a:lnTo>
                <a:pt x="1156" y="1"/>
              </a:lnTo>
              <a:lnTo>
                <a:pt x="1172" y="1"/>
              </a:lnTo>
              <a:lnTo>
                <a:pt x="1255" y="1"/>
              </a:lnTo>
              <a:lnTo>
                <a:pt x="1262" y="1"/>
              </a:lnTo>
              <a:lnTo>
                <a:pt x="1296" y="31"/>
              </a:lnTo>
              <a:lnTo>
                <a:pt x="1314" y="31"/>
              </a:lnTo>
              <a:lnTo>
                <a:pt x="1321" y="26"/>
              </a:lnTo>
              <a:lnTo>
                <a:pt x="1332" y="31"/>
              </a:lnTo>
              <a:lnTo>
                <a:pt x="1342" y="44"/>
              </a:lnTo>
              <a:lnTo>
                <a:pt x="1342" y="66"/>
              </a:lnTo>
              <a:lnTo>
                <a:pt x="1320" y="77"/>
              </a:lnTo>
              <a:lnTo>
                <a:pt x="1309" y="90"/>
              </a:lnTo>
              <a:lnTo>
                <a:pt x="1300" y="112"/>
              </a:lnTo>
              <a:lnTo>
                <a:pt x="1310" y="119"/>
              </a:lnTo>
              <a:lnTo>
                <a:pt x="1316" y="131"/>
              </a:lnTo>
              <a:lnTo>
                <a:pt x="1325" y="138"/>
              </a:lnTo>
              <a:lnTo>
                <a:pt x="1342" y="149"/>
              </a:lnTo>
              <a:lnTo>
                <a:pt x="1342" y="172"/>
              </a:lnTo>
              <a:lnTo>
                <a:pt x="1361" y="190"/>
              </a:lnTo>
              <a:lnTo>
                <a:pt x="1366" y="197"/>
              </a:lnTo>
              <a:lnTo>
                <a:pt x="1389" y="200"/>
              </a:lnTo>
              <a:lnTo>
                <a:pt x="1393" y="200"/>
              </a:lnTo>
              <a:lnTo>
                <a:pt x="1393" y="208"/>
              </a:lnTo>
              <a:lnTo>
                <a:pt x="1392" y="209"/>
              </a:lnTo>
              <a:lnTo>
                <a:pt x="1392" y="211"/>
              </a:lnTo>
              <a:lnTo>
                <a:pt x="1392" y="22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19</xdr:row>
      <xdr:rowOff>85724</xdr:rowOff>
    </xdr:from>
    <xdr:to>
      <xdr:col>2</xdr:col>
      <xdr:colOff>2114550</xdr:colOff>
      <xdr:row>19</xdr:row>
      <xdr:rowOff>1152525</xdr:rowOff>
    </xdr:to>
    <xdr:sp macro="" textlink="">
      <xdr:nvSpPr>
        <xdr:cNvPr id="102" name="S_KY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/>
        </xdr:cNvSpPr>
      </xdr:nvSpPr>
      <xdr:spPr bwMode="auto">
        <a:xfrm>
          <a:off x="2105025" y="23079074"/>
          <a:ext cx="1790700" cy="1066801"/>
        </a:xfrm>
        <a:custGeom>
          <a:avLst/>
          <a:gdLst>
            <a:gd name="T0" fmla="*/ 2147483647 w 1394"/>
            <a:gd name="T1" fmla="*/ 2147483647 h 626"/>
            <a:gd name="T2" fmla="*/ 2147483647 w 1394"/>
            <a:gd name="T3" fmla="*/ 2147483647 h 626"/>
            <a:gd name="T4" fmla="*/ 2147483647 w 1394"/>
            <a:gd name="T5" fmla="*/ 2147483647 h 626"/>
            <a:gd name="T6" fmla="*/ 2147483647 w 1394"/>
            <a:gd name="T7" fmla="*/ 2147483647 h 626"/>
            <a:gd name="T8" fmla="*/ 2147483647 w 1394"/>
            <a:gd name="T9" fmla="*/ 2147483647 h 626"/>
            <a:gd name="T10" fmla="*/ 2147483647 w 1394"/>
            <a:gd name="T11" fmla="*/ 2147483647 h 626"/>
            <a:gd name="T12" fmla="*/ 2147483647 w 1394"/>
            <a:gd name="T13" fmla="*/ 2147483647 h 626"/>
            <a:gd name="T14" fmla="*/ 2147483647 w 1394"/>
            <a:gd name="T15" fmla="*/ 2147483647 h 626"/>
            <a:gd name="T16" fmla="*/ 2147483647 w 1394"/>
            <a:gd name="T17" fmla="*/ 2147483647 h 626"/>
            <a:gd name="T18" fmla="*/ 2147483647 w 1394"/>
            <a:gd name="T19" fmla="*/ 2147483647 h 626"/>
            <a:gd name="T20" fmla="*/ 2147483647 w 1394"/>
            <a:gd name="T21" fmla="*/ 2147483647 h 626"/>
            <a:gd name="T22" fmla="*/ 2147483647 w 1394"/>
            <a:gd name="T23" fmla="*/ 2147483647 h 626"/>
            <a:gd name="T24" fmla="*/ 2147483647 w 1394"/>
            <a:gd name="T25" fmla="*/ 2147483647 h 626"/>
            <a:gd name="T26" fmla="*/ 2147483647 w 1394"/>
            <a:gd name="T27" fmla="*/ 2147483647 h 626"/>
            <a:gd name="T28" fmla="*/ 2147483647 w 1394"/>
            <a:gd name="T29" fmla="*/ 2147483647 h 626"/>
            <a:gd name="T30" fmla="*/ 2147483647 w 1394"/>
            <a:gd name="T31" fmla="*/ 2147483647 h 626"/>
            <a:gd name="T32" fmla="*/ 2147483647 w 1394"/>
            <a:gd name="T33" fmla="*/ 2147483647 h 626"/>
            <a:gd name="T34" fmla="*/ 2147483647 w 1394"/>
            <a:gd name="T35" fmla="*/ 2147483647 h 626"/>
            <a:gd name="T36" fmla="*/ 2147483647 w 1394"/>
            <a:gd name="T37" fmla="*/ 2147483647 h 626"/>
            <a:gd name="T38" fmla="*/ 2147483647 w 1394"/>
            <a:gd name="T39" fmla="*/ 2147483647 h 626"/>
            <a:gd name="T40" fmla="*/ 2147483647 w 1394"/>
            <a:gd name="T41" fmla="*/ 2147483647 h 626"/>
            <a:gd name="T42" fmla="*/ 2147483647 w 1394"/>
            <a:gd name="T43" fmla="*/ 2147483647 h 626"/>
            <a:gd name="T44" fmla="*/ 2147483647 w 1394"/>
            <a:gd name="T45" fmla="*/ 2147483647 h 626"/>
            <a:gd name="T46" fmla="*/ 2147483647 w 1394"/>
            <a:gd name="T47" fmla="*/ 2147483647 h 626"/>
            <a:gd name="T48" fmla="*/ 2147483647 w 1394"/>
            <a:gd name="T49" fmla="*/ 2147483647 h 626"/>
            <a:gd name="T50" fmla="*/ 2147483647 w 1394"/>
            <a:gd name="T51" fmla="*/ 2147483647 h 626"/>
            <a:gd name="T52" fmla="*/ 2147483647 w 1394"/>
            <a:gd name="T53" fmla="*/ 2147483647 h 626"/>
            <a:gd name="T54" fmla="*/ 2147483647 w 1394"/>
            <a:gd name="T55" fmla="*/ 2147483647 h 626"/>
            <a:gd name="T56" fmla="*/ 2147483647 w 1394"/>
            <a:gd name="T57" fmla="*/ 2147483647 h 626"/>
            <a:gd name="T58" fmla="*/ 2147483647 w 1394"/>
            <a:gd name="T59" fmla="*/ 2147483647 h 626"/>
            <a:gd name="T60" fmla="*/ 2147483647 w 1394"/>
            <a:gd name="T61" fmla="*/ 2147483647 h 626"/>
            <a:gd name="T62" fmla="*/ 2147483647 w 1394"/>
            <a:gd name="T63" fmla="*/ 2147483647 h 626"/>
            <a:gd name="T64" fmla="*/ 2147483647 w 1394"/>
            <a:gd name="T65" fmla="*/ 2147483647 h 626"/>
            <a:gd name="T66" fmla="*/ 2147483647 w 1394"/>
            <a:gd name="T67" fmla="*/ 2147483647 h 626"/>
            <a:gd name="T68" fmla="*/ 2147483647 w 1394"/>
            <a:gd name="T69" fmla="*/ 2147483647 h 626"/>
            <a:gd name="T70" fmla="*/ 2147483647 w 1394"/>
            <a:gd name="T71" fmla="*/ 2147483647 h 626"/>
            <a:gd name="T72" fmla="*/ 2147483647 w 1394"/>
            <a:gd name="T73" fmla="*/ 2147483647 h 626"/>
            <a:gd name="T74" fmla="*/ 2147483647 w 1394"/>
            <a:gd name="T75" fmla="*/ 2147483647 h 626"/>
            <a:gd name="T76" fmla="*/ 2147483647 w 1394"/>
            <a:gd name="T77" fmla="*/ 2147483647 h 626"/>
            <a:gd name="T78" fmla="*/ 2147483647 w 1394"/>
            <a:gd name="T79" fmla="*/ 2147483647 h 626"/>
            <a:gd name="T80" fmla="*/ 2147483647 w 1394"/>
            <a:gd name="T81" fmla="*/ 2147483647 h 626"/>
            <a:gd name="T82" fmla="*/ 2147483647 w 1394"/>
            <a:gd name="T83" fmla="*/ 2147483647 h 626"/>
            <a:gd name="T84" fmla="*/ 2147483647 w 1394"/>
            <a:gd name="T85" fmla="*/ 2147483647 h 626"/>
            <a:gd name="T86" fmla="*/ 2147483647 w 1394"/>
            <a:gd name="T87" fmla="*/ 2147483647 h 626"/>
            <a:gd name="T88" fmla="*/ 2147483647 w 1394"/>
            <a:gd name="T89" fmla="*/ 2147483647 h 626"/>
            <a:gd name="T90" fmla="*/ 2147483647 w 1394"/>
            <a:gd name="T91" fmla="*/ 2147483647 h 626"/>
            <a:gd name="T92" fmla="*/ 2147483647 w 1394"/>
            <a:gd name="T93" fmla="*/ 2147483647 h 626"/>
            <a:gd name="T94" fmla="*/ 2147483647 w 1394"/>
            <a:gd name="T95" fmla="*/ 2147483647 h 626"/>
            <a:gd name="T96" fmla="*/ 2147483647 w 1394"/>
            <a:gd name="T97" fmla="*/ 2147483647 h 626"/>
            <a:gd name="T98" fmla="*/ 2147483647 w 1394"/>
            <a:gd name="T99" fmla="*/ 2147483647 h 626"/>
            <a:gd name="T100" fmla="*/ 2147483647 w 1394"/>
            <a:gd name="T101" fmla="*/ 2147483647 h 626"/>
            <a:gd name="T102" fmla="*/ 2147483647 w 1394"/>
            <a:gd name="T103" fmla="*/ 2147483647 h 626"/>
            <a:gd name="T104" fmla="*/ 2147483647 w 1394"/>
            <a:gd name="T105" fmla="*/ 2147483647 h 626"/>
            <a:gd name="T106" fmla="*/ 2147483647 w 1394"/>
            <a:gd name="T107" fmla="*/ 2147483647 h 626"/>
            <a:gd name="T108" fmla="*/ 2147483647 w 1394"/>
            <a:gd name="T109" fmla="*/ 2147483647 h 626"/>
            <a:gd name="T110" fmla="*/ 2147483647 w 1394"/>
            <a:gd name="T111" fmla="*/ 2147483647 h 626"/>
            <a:gd name="T112" fmla="*/ 2147483647 w 1394"/>
            <a:gd name="T113" fmla="*/ 2147483647 h 626"/>
            <a:gd name="T114" fmla="*/ 2147483647 w 1394"/>
            <a:gd name="T115" fmla="*/ 2147483647 h 626"/>
            <a:gd name="T116" fmla="*/ 2147483647 w 1394"/>
            <a:gd name="T117" fmla="*/ 2147483647 h 626"/>
            <a:gd name="T118" fmla="*/ 2147483647 w 1394"/>
            <a:gd name="T119" fmla="*/ 2147483647 h 626"/>
            <a:gd name="T120" fmla="*/ 2147483647 w 1394"/>
            <a:gd name="T121" fmla="*/ 2147483647 h 626"/>
            <a:gd name="T122" fmla="*/ 2147483647 w 1394"/>
            <a:gd name="T123" fmla="*/ 2147483647 h 62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1394"/>
            <a:gd name="T187" fmla="*/ 0 h 626"/>
            <a:gd name="T188" fmla="*/ 1394 w 1394"/>
            <a:gd name="T189" fmla="*/ 626 h 62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1394" h="626">
              <a:moveTo>
                <a:pt x="972" y="603"/>
              </a:moveTo>
              <a:lnTo>
                <a:pt x="969" y="603"/>
              </a:lnTo>
              <a:lnTo>
                <a:pt x="965" y="603"/>
              </a:lnTo>
              <a:lnTo>
                <a:pt x="931" y="602"/>
              </a:lnTo>
              <a:lnTo>
                <a:pt x="912" y="602"/>
              </a:lnTo>
              <a:lnTo>
                <a:pt x="868" y="601"/>
              </a:lnTo>
              <a:lnTo>
                <a:pt x="867" y="601"/>
              </a:lnTo>
              <a:lnTo>
                <a:pt x="850" y="600"/>
              </a:lnTo>
              <a:lnTo>
                <a:pt x="837" y="599"/>
              </a:lnTo>
              <a:lnTo>
                <a:pt x="832" y="598"/>
              </a:lnTo>
              <a:lnTo>
                <a:pt x="826" y="598"/>
              </a:lnTo>
              <a:lnTo>
                <a:pt x="804" y="596"/>
              </a:lnTo>
              <a:lnTo>
                <a:pt x="775" y="596"/>
              </a:lnTo>
              <a:lnTo>
                <a:pt x="772" y="596"/>
              </a:lnTo>
              <a:lnTo>
                <a:pt x="771" y="596"/>
              </a:lnTo>
              <a:lnTo>
                <a:pt x="764" y="597"/>
              </a:lnTo>
              <a:lnTo>
                <a:pt x="745" y="597"/>
              </a:lnTo>
              <a:lnTo>
                <a:pt x="733" y="598"/>
              </a:lnTo>
              <a:lnTo>
                <a:pt x="710" y="598"/>
              </a:lnTo>
              <a:lnTo>
                <a:pt x="680" y="597"/>
              </a:lnTo>
              <a:lnTo>
                <a:pt x="672" y="597"/>
              </a:lnTo>
              <a:lnTo>
                <a:pt x="658" y="596"/>
              </a:lnTo>
              <a:lnTo>
                <a:pt x="644" y="595"/>
              </a:lnTo>
              <a:lnTo>
                <a:pt x="640" y="595"/>
              </a:lnTo>
              <a:lnTo>
                <a:pt x="617" y="594"/>
              </a:lnTo>
              <a:lnTo>
                <a:pt x="602" y="593"/>
              </a:lnTo>
              <a:lnTo>
                <a:pt x="584" y="591"/>
              </a:lnTo>
              <a:lnTo>
                <a:pt x="577" y="590"/>
              </a:lnTo>
              <a:lnTo>
                <a:pt x="563" y="589"/>
              </a:lnTo>
              <a:lnTo>
                <a:pt x="546" y="589"/>
              </a:lnTo>
              <a:lnTo>
                <a:pt x="537" y="591"/>
              </a:lnTo>
              <a:lnTo>
                <a:pt x="534" y="594"/>
              </a:lnTo>
              <a:lnTo>
                <a:pt x="530" y="589"/>
              </a:lnTo>
              <a:lnTo>
                <a:pt x="510" y="590"/>
              </a:lnTo>
              <a:lnTo>
                <a:pt x="497" y="590"/>
              </a:lnTo>
              <a:lnTo>
                <a:pt x="484" y="590"/>
              </a:lnTo>
              <a:lnTo>
                <a:pt x="476" y="590"/>
              </a:lnTo>
              <a:lnTo>
                <a:pt x="441" y="591"/>
              </a:lnTo>
              <a:lnTo>
                <a:pt x="431" y="591"/>
              </a:lnTo>
              <a:lnTo>
                <a:pt x="429" y="591"/>
              </a:lnTo>
              <a:lnTo>
                <a:pt x="406" y="591"/>
              </a:lnTo>
              <a:lnTo>
                <a:pt x="390" y="591"/>
              </a:lnTo>
              <a:lnTo>
                <a:pt x="366" y="593"/>
              </a:lnTo>
              <a:lnTo>
                <a:pt x="348" y="593"/>
              </a:lnTo>
              <a:lnTo>
                <a:pt x="333" y="593"/>
              </a:lnTo>
              <a:lnTo>
                <a:pt x="323" y="593"/>
              </a:lnTo>
              <a:lnTo>
                <a:pt x="293" y="594"/>
              </a:lnTo>
              <a:lnTo>
                <a:pt x="293" y="587"/>
              </a:lnTo>
              <a:lnTo>
                <a:pt x="253" y="583"/>
              </a:lnTo>
              <a:lnTo>
                <a:pt x="254" y="589"/>
              </a:lnTo>
              <a:lnTo>
                <a:pt x="256" y="596"/>
              </a:lnTo>
              <a:lnTo>
                <a:pt x="256" y="626"/>
              </a:lnTo>
              <a:lnTo>
                <a:pt x="213" y="626"/>
              </a:lnTo>
              <a:lnTo>
                <a:pt x="196" y="626"/>
              </a:lnTo>
              <a:lnTo>
                <a:pt x="175" y="625"/>
              </a:lnTo>
              <a:lnTo>
                <a:pt x="172" y="625"/>
              </a:lnTo>
              <a:lnTo>
                <a:pt x="169" y="625"/>
              </a:lnTo>
              <a:lnTo>
                <a:pt x="164" y="625"/>
              </a:lnTo>
              <a:lnTo>
                <a:pt x="123" y="625"/>
              </a:lnTo>
              <a:lnTo>
                <a:pt x="112" y="625"/>
              </a:lnTo>
              <a:lnTo>
                <a:pt x="111" y="625"/>
              </a:lnTo>
              <a:lnTo>
                <a:pt x="109" y="625"/>
              </a:lnTo>
              <a:lnTo>
                <a:pt x="84" y="625"/>
              </a:lnTo>
              <a:lnTo>
                <a:pt x="23" y="624"/>
              </a:lnTo>
              <a:lnTo>
                <a:pt x="14" y="625"/>
              </a:lnTo>
              <a:lnTo>
                <a:pt x="0" y="626"/>
              </a:lnTo>
              <a:lnTo>
                <a:pt x="9" y="598"/>
              </a:lnTo>
              <a:lnTo>
                <a:pt x="10" y="596"/>
              </a:lnTo>
              <a:lnTo>
                <a:pt x="17" y="594"/>
              </a:lnTo>
              <a:lnTo>
                <a:pt x="32" y="610"/>
              </a:lnTo>
              <a:lnTo>
                <a:pt x="46" y="589"/>
              </a:lnTo>
              <a:lnTo>
                <a:pt x="43" y="567"/>
              </a:lnTo>
              <a:lnTo>
                <a:pt x="56" y="566"/>
              </a:lnTo>
              <a:lnTo>
                <a:pt x="56" y="558"/>
              </a:lnTo>
              <a:lnTo>
                <a:pt x="55" y="537"/>
              </a:lnTo>
              <a:lnTo>
                <a:pt x="57" y="534"/>
              </a:lnTo>
              <a:lnTo>
                <a:pt x="60" y="521"/>
              </a:lnTo>
              <a:lnTo>
                <a:pt x="60" y="519"/>
              </a:lnTo>
              <a:lnTo>
                <a:pt x="56" y="511"/>
              </a:lnTo>
              <a:lnTo>
                <a:pt x="48" y="507"/>
              </a:lnTo>
              <a:lnTo>
                <a:pt x="45" y="496"/>
              </a:lnTo>
              <a:lnTo>
                <a:pt x="46" y="491"/>
              </a:lnTo>
              <a:lnTo>
                <a:pt x="53" y="483"/>
              </a:lnTo>
              <a:lnTo>
                <a:pt x="78" y="454"/>
              </a:lnTo>
              <a:lnTo>
                <a:pt x="91" y="454"/>
              </a:lnTo>
              <a:lnTo>
                <a:pt x="92" y="453"/>
              </a:lnTo>
              <a:lnTo>
                <a:pt x="125" y="471"/>
              </a:lnTo>
              <a:lnTo>
                <a:pt x="149" y="479"/>
              </a:lnTo>
              <a:lnTo>
                <a:pt x="160" y="490"/>
              </a:lnTo>
              <a:lnTo>
                <a:pt x="172" y="492"/>
              </a:lnTo>
              <a:lnTo>
                <a:pt x="173" y="491"/>
              </a:lnTo>
              <a:lnTo>
                <a:pt x="184" y="478"/>
              </a:lnTo>
              <a:lnTo>
                <a:pt x="172" y="447"/>
              </a:lnTo>
              <a:lnTo>
                <a:pt x="188" y="407"/>
              </a:lnTo>
              <a:lnTo>
                <a:pt x="196" y="412"/>
              </a:lnTo>
              <a:lnTo>
                <a:pt x="197" y="413"/>
              </a:lnTo>
              <a:lnTo>
                <a:pt x="199" y="412"/>
              </a:lnTo>
              <a:lnTo>
                <a:pt x="218" y="399"/>
              </a:lnTo>
              <a:lnTo>
                <a:pt x="242" y="396"/>
              </a:lnTo>
              <a:lnTo>
                <a:pt x="254" y="388"/>
              </a:lnTo>
              <a:lnTo>
                <a:pt x="242" y="372"/>
              </a:lnTo>
              <a:lnTo>
                <a:pt x="241" y="372"/>
              </a:lnTo>
              <a:lnTo>
                <a:pt x="237" y="359"/>
              </a:lnTo>
              <a:lnTo>
                <a:pt x="242" y="340"/>
              </a:lnTo>
              <a:lnTo>
                <a:pt x="260" y="319"/>
              </a:lnTo>
              <a:lnTo>
                <a:pt x="266" y="319"/>
              </a:lnTo>
              <a:lnTo>
                <a:pt x="277" y="301"/>
              </a:lnTo>
              <a:lnTo>
                <a:pt x="279" y="294"/>
              </a:lnTo>
              <a:lnTo>
                <a:pt x="289" y="290"/>
              </a:lnTo>
              <a:lnTo>
                <a:pt x="312" y="296"/>
              </a:lnTo>
              <a:lnTo>
                <a:pt x="322" y="295"/>
              </a:lnTo>
              <a:lnTo>
                <a:pt x="336" y="311"/>
              </a:lnTo>
              <a:lnTo>
                <a:pt x="336" y="289"/>
              </a:lnTo>
              <a:lnTo>
                <a:pt x="368" y="285"/>
              </a:lnTo>
              <a:lnTo>
                <a:pt x="378" y="285"/>
              </a:lnTo>
              <a:lnTo>
                <a:pt x="380" y="285"/>
              </a:lnTo>
              <a:lnTo>
                <a:pt x="396" y="295"/>
              </a:lnTo>
              <a:lnTo>
                <a:pt x="403" y="300"/>
              </a:lnTo>
              <a:lnTo>
                <a:pt x="429" y="322"/>
              </a:lnTo>
              <a:lnTo>
                <a:pt x="453" y="289"/>
              </a:lnTo>
              <a:lnTo>
                <a:pt x="457" y="288"/>
              </a:lnTo>
              <a:lnTo>
                <a:pt x="476" y="277"/>
              </a:lnTo>
              <a:lnTo>
                <a:pt x="487" y="271"/>
              </a:lnTo>
              <a:lnTo>
                <a:pt x="500" y="292"/>
              </a:lnTo>
              <a:lnTo>
                <a:pt x="517" y="300"/>
              </a:lnTo>
              <a:lnTo>
                <a:pt x="517" y="308"/>
              </a:lnTo>
              <a:lnTo>
                <a:pt x="528" y="300"/>
              </a:lnTo>
              <a:lnTo>
                <a:pt x="544" y="261"/>
              </a:lnTo>
              <a:lnTo>
                <a:pt x="548" y="260"/>
              </a:lnTo>
              <a:lnTo>
                <a:pt x="553" y="248"/>
              </a:lnTo>
              <a:lnTo>
                <a:pt x="552" y="245"/>
              </a:lnTo>
              <a:lnTo>
                <a:pt x="553" y="243"/>
              </a:lnTo>
              <a:lnTo>
                <a:pt x="569" y="240"/>
              </a:lnTo>
              <a:lnTo>
                <a:pt x="569" y="225"/>
              </a:lnTo>
              <a:lnTo>
                <a:pt x="578" y="228"/>
              </a:lnTo>
              <a:lnTo>
                <a:pt x="589" y="241"/>
              </a:lnTo>
              <a:lnTo>
                <a:pt x="593" y="260"/>
              </a:lnTo>
              <a:lnTo>
                <a:pt x="640" y="271"/>
              </a:lnTo>
              <a:lnTo>
                <a:pt x="649" y="270"/>
              </a:lnTo>
              <a:lnTo>
                <a:pt x="650" y="269"/>
              </a:lnTo>
              <a:lnTo>
                <a:pt x="657" y="241"/>
              </a:lnTo>
              <a:lnTo>
                <a:pt x="657" y="240"/>
              </a:lnTo>
              <a:lnTo>
                <a:pt x="658" y="229"/>
              </a:lnTo>
              <a:lnTo>
                <a:pt x="670" y="212"/>
              </a:lnTo>
              <a:lnTo>
                <a:pt x="679" y="203"/>
              </a:lnTo>
              <a:lnTo>
                <a:pt x="684" y="205"/>
              </a:lnTo>
              <a:lnTo>
                <a:pt x="686" y="207"/>
              </a:lnTo>
              <a:lnTo>
                <a:pt x="708" y="182"/>
              </a:lnTo>
              <a:lnTo>
                <a:pt x="710" y="174"/>
              </a:lnTo>
              <a:lnTo>
                <a:pt x="734" y="160"/>
              </a:lnTo>
              <a:lnTo>
                <a:pt x="746" y="147"/>
              </a:lnTo>
              <a:lnTo>
                <a:pt x="747" y="133"/>
              </a:lnTo>
              <a:lnTo>
                <a:pt x="747" y="132"/>
              </a:lnTo>
              <a:lnTo>
                <a:pt x="745" y="124"/>
              </a:lnTo>
              <a:lnTo>
                <a:pt x="757" y="98"/>
              </a:lnTo>
              <a:lnTo>
                <a:pt x="764" y="97"/>
              </a:lnTo>
              <a:lnTo>
                <a:pt x="778" y="97"/>
              </a:lnTo>
              <a:lnTo>
                <a:pt x="780" y="98"/>
              </a:lnTo>
              <a:lnTo>
                <a:pt x="789" y="108"/>
              </a:lnTo>
              <a:lnTo>
                <a:pt x="804" y="103"/>
              </a:lnTo>
              <a:lnTo>
                <a:pt x="816" y="95"/>
              </a:lnTo>
              <a:lnTo>
                <a:pt x="822" y="91"/>
              </a:lnTo>
              <a:lnTo>
                <a:pt x="826" y="88"/>
              </a:lnTo>
              <a:lnTo>
                <a:pt x="850" y="84"/>
              </a:lnTo>
              <a:lnTo>
                <a:pt x="865" y="68"/>
              </a:lnTo>
              <a:lnTo>
                <a:pt x="867" y="64"/>
              </a:lnTo>
              <a:lnTo>
                <a:pt x="851" y="58"/>
              </a:lnTo>
              <a:lnTo>
                <a:pt x="850" y="53"/>
              </a:lnTo>
              <a:lnTo>
                <a:pt x="855" y="34"/>
              </a:lnTo>
              <a:lnTo>
                <a:pt x="850" y="27"/>
              </a:lnTo>
              <a:lnTo>
                <a:pt x="850" y="18"/>
              </a:lnTo>
              <a:lnTo>
                <a:pt x="861" y="10"/>
              </a:lnTo>
              <a:lnTo>
                <a:pt x="868" y="5"/>
              </a:lnTo>
              <a:lnTo>
                <a:pt x="873" y="0"/>
              </a:lnTo>
              <a:lnTo>
                <a:pt x="897" y="17"/>
              </a:lnTo>
              <a:lnTo>
                <a:pt x="898" y="18"/>
              </a:lnTo>
              <a:lnTo>
                <a:pt x="919" y="12"/>
              </a:lnTo>
              <a:lnTo>
                <a:pt x="923" y="9"/>
              </a:lnTo>
              <a:lnTo>
                <a:pt x="944" y="24"/>
              </a:lnTo>
              <a:lnTo>
                <a:pt x="954" y="30"/>
              </a:lnTo>
              <a:lnTo>
                <a:pt x="962" y="48"/>
              </a:lnTo>
              <a:lnTo>
                <a:pt x="965" y="53"/>
              </a:lnTo>
              <a:lnTo>
                <a:pt x="971" y="64"/>
              </a:lnTo>
              <a:lnTo>
                <a:pt x="971" y="76"/>
              </a:lnTo>
              <a:lnTo>
                <a:pt x="991" y="85"/>
              </a:lnTo>
              <a:lnTo>
                <a:pt x="1004" y="88"/>
              </a:lnTo>
              <a:lnTo>
                <a:pt x="1014" y="86"/>
              </a:lnTo>
              <a:lnTo>
                <a:pt x="1015" y="86"/>
              </a:lnTo>
              <a:lnTo>
                <a:pt x="1032" y="90"/>
              </a:lnTo>
              <a:lnTo>
                <a:pt x="1041" y="94"/>
              </a:lnTo>
              <a:lnTo>
                <a:pt x="1061" y="117"/>
              </a:lnTo>
              <a:lnTo>
                <a:pt x="1069" y="119"/>
              </a:lnTo>
              <a:lnTo>
                <a:pt x="1070" y="121"/>
              </a:lnTo>
              <a:lnTo>
                <a:pt x="1072" y="122"/>
              </a:lnTo>
              <a:lnTo>
                <a:pt x="1080" y="121"/>
              </a:lnTo>
              <a:lnTo>
                <a:pt x="1084" y="111"/>
              </a:lnTo>
              <a:lnTo>
                <a:pt x="1102" y="104"/>
              </a:lnTo>
              <a:lnTo>
                <a:pt x="1131" y="115"/>
              </a:lnTo>
              <a:lnTo>
                <a:pt x="1146" y="130"/>
              </a:lnTo>
              <a:lnTo>
                <a:pt x="1151" y="125"/>
              </a:lnTo>
              <a:lnTo>
                <a:pt x="1157" y="123"/>
              </a:lnTo>
              <a:lnTo>
                <a:pt x="1174" y="124"/>
              </a:lnTo>
              <a:lnTo>
                <a:pt x="1196" y="99"/>
              </a:lnTo>
              <a:lnTo>
                <a:pt x="1223" y="94"/>
              </a:lnTo>
              <a:lnTo>
                <a:pt x="1228" y="124"/>
              </a:lnTo>
              <a:lnTo>
                <a:pt x="1235" y="137"/>
              </a:lnTo>
              <a:lnTo>
                <a:pt x="1248" y="139"/>
              </a:lnTo>
              <a:lnTo>
                <a:pt x="1264" y="152"/>
              </a:lnTo>
              <a:lnTo>
                <a:pt x="1272" y="158"/>
              </a:lnTo>
              <a:lnTo>
                <a:pt x="1277" y="171"/>
              </a:lnTo>
              <a:lnTo>
                <a:pt x="1277" y="183"/>
              </a:lnTo>
              <a:lnTo>
                <a:pt x="1279" y="212"/>
              </a:lnTo>
              <a:lnTo>
                <a:pt x="1275" y="213"/>
              </a:lnTo>
              <a:lnTo>
                <a:pt x="1272" y="239"/>
              </a:lnTo>
              <a:lnTo>
                <a:pt x="1296" y="271"/>
              </a:lnTo>
              <a:lnTo>
                <a:pt x="1295" y="284"/>
              </a:lnTo>
              <a:lnTo>
                <a:pt x="1294" y="288"/>
              </a:lnTo>
              <a:lnTo>
                <a:pt x="1310" y="300"/>
              </a:lnTo>
              <a:lnTo>
                <a:pt x="1310" y="305"/>
              </a:lnTo>
              <a:lnTo>
                <a:pt x="1318" y="317"/>
              </a:lnTo>
              <a:lnTo>
                <a:pt x="1327" y="330"/>
              </a:lnTo>
              <a:lnTo>
                <a:pt x="1326" y="332"/>
              </a:lnTo>
              <a:lnTo>
                <a:pt x="1365" y="371"/>
              </a:lnTo>
              <a:lnTo>
                <a:pt x="1365" y="377"/>
              </a:lnTo>
              <a:lnTo>
                <a:pt x="1394" y="381"/>
              </a:lnTo>
              <a:lnTo>
                <a:pt x="1373" y="399"/>
              </a:lnTo>
              <a:lnTo>
                <a:pt x="1351" y="418"/>
              </a:lnTo>
              <a:lnTo>
                <a:pt x="1329" y="437"/>
              </a:lnTo>
              <a:lnTo>
                <a:pt x="1318" y="446"/>
              </a:lnTo>
              <a:lnTo>
                <a:pt x="1306" y="449"/>
              </a:lnTo>
              <a:lnTo>
                <a:pt x="1284" y="460"/>
              </a:lnTo>
              <a:lnTo>
                <a:pt x="1282" y="461"/>
              </a:lnTo>
              <a:lnTo>
                <a:pt x="1255" y="478"/>
              </a:lnTo>
              <a:lnTo>
                <a:pt x="1248" y="502"/>
              </a:lnTo>
              <a:lnTo>
                <a:pt x="1226" y="513"/>
              </a:lnTo>
              <a:lnTo>
                <a:pt x="1224" y="532"/>
              </a:lnTo>
              <a:lnTo>
                <a:pt x="1223" y="533"/>
              </a:lnTo>
              <a:lnTo>
                <a:pt x="1177" y="557"/>
              </a:lnTo>
              <a:lnTo>
                <a:pt x="1176" y="566"/>
              </a:lnTo>
              <a:lnTo>
                <a:pt x="1114" y="586"/>
              </a:lnTo>
              <a:lnTo>
                <a:pt x="1108" y="585"/>
              </a:lnTo>
              <a:lnTo>
                <a:pt x="1083" y="596"/>
              </a:lnTo>
              <a:lnTo>
                <a:pt x="1075" y="601"/>
              </a:lnTo>
              <a:lnTo>
                <a:pt x="1071" y="605"/>
              </a:lnTo>
              <a:lnTo>
                <a:pt x="1053" y="605"/>
              </a:lnTo>
              <a:lnTo>
                <a:pt x="1026" y="604"/>
              </a:lnTo>
              <a:lnTo>
                <a:pt x="1014" y="604"/>
              </a:lnTo>
              <a:lnTo>
                <a:pt x="1011" y="604"/>
              </a:lnTo>
              <a:lnTo>
                <a:pt x="998" y="604"/>
              </a:lnTo>
              <a:lnTo>
                <a:pt x="974" y="603"/>
              </a:lnTo>
              <a:lnTo>
                <a:pt x="972" y="60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581025</xdr:colOff>
      <xdr:row>21</xdr:row>
      <xdr:rowOff>66675</xdr:rowOff>
    </xdr:from>
    <xdr:to>
      <xdr:col>2</xdr:col>
      <xdr:colOff>2000250</xdr:colOff>
      <xdr:row>21</xdr:row>
      <xdr:rowOff>1257300</xdr:rowOff>
    </xdr:to>
    <xdr:grpSp>
      <xdr:nvGrpSpPr>
        <xdr:cNvPr id="103" name="S_ME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pSpPr>
          <a:grpSpLocks/>
        </xdr:cNvGrpSpPr>
      </xdr:nvGrpSpPr>
      <xdr:grpSpPr bwMode="auto">
        <a:xfrm>
          <a:off x="2619375" y="25593675"/>
          <a:ext cx="1419225" cy="1190625"/>
          <a:chOff x="8397901" y="910524"/>
          <a:chExt cx="587813" cy="805423"/>
        </a:xfrm>
        <a:solidFill>
          <a:srgbClr val="87CEFA"/>
        </a:solidFill>
      </xdr:grpSpPr>
      <xdr:sp macro="" textlink="">
        <xdr:nvSpPr>
          <xdr:cNvPr id="104" name="myShape_ME2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SpPr>
            <a:spLocks/>
          </xdr:cNvSpPr>
        </xdr:nvSpPr>
        <xdr:spPr bwMode="auto">
          <a:xfrm>
            <a:off x="8397901" y="910524"/>
            <a:ext cx="587813" cy="805423"/>
          </a:xfrm>
          <a:custGeom>
            <a:avLst/>
            <a:gdLst>
              <a:gd name="T0" fmla="*/ 2147483647 w 772"/>
              <a:gd name="T1" fmla="*/ 2147483647 h 1040"/>
              <a:gd name="T2" fmla="*/ 2147483647 w 772"/>
              <a:gd name="T3" fmla="*/ 2147483647 h 1040"/>
              <a:gd name="T4" fmla="*/ 0 w 772"/>
              <a:gd name="T5" fmla="*/ 2147483647 h 1040"/>
              <a:gd name="T6" fmla="*/ 2147483647 w 772"/>
              <a:gd name="T7" fmla="*/ 2147483647 h 1040"/>
              <a:gd name="T8" fmla="*/ 2147483647 w 772"/>
              <a:gd name="T9" fmla="*/ 2147483647 h 1040"/>
              <a:gd name="T10" fmla="*/ 2147483647 w 772"/>
              <a:gd name="T11" fmla="*/ 2147483647 h 1040"/>
              <a:gd name="T12" fmla="*/ 2147483647 w 772"/>
              <a:gd name="T13" fmla="*/ 2147483647 h 1040"/>
              <a:gd name="T14" fmla="*/ 2147483647 w 772"/>
              <a:gd name="T15" fmla="*/ 2147483647 h 1040"/>
              <a:gd name="T16" fmla="*/ 2147483647 w 772"/>
              <a:gd name="T17" fmla="*/ 2147483647 h 1040"/>
              <a:gd name="T18" fmla="*/ 2147483647 w 772"/>
              <a:gd name="T19" fmla="*/ 2147483647 h 1040"/>
              <a:gd name="T20" fmla="*/ 2147483647 w 772"/>
              <a:gd name="T21" fmla="*/ 2147483647 h 1040"/>
              <a:gd name="T22" fmla="*/ 2147483647 w 772"/>
              <a:gd name="T23" fmla="*/ 2147483647 h 1040"/>
              <a:gd name="T24" fmla="*/ 2147483647 w 772"/>
              <a:gd name="T25" fmla="*/ 2147483647 h 1040"/>
              <a:gd name="T26" fmla="*/ 2147483647 w 772"/>
              <a:gd name="T27" fmla="*/ 2147483647 h 1040"/>
              <a:gd name="T28" fmla="*/ 2147483647 w 772"/>
              <a:gd name="T29" fmla="*/ 2147483647 h 1040"/>
              <a:gd name="T30" fmla="*/ 2147483647 w 772"/>
              <a:gd name="T31" fmla="*/ 2147483647 h 1040"/>
              <a:gd name="T32" fmla="*/ 2147483647 w 772"/>
              <a:gd name="T33" fmla="*/ 2147483647 h 1040"/>
              <a:gd name="T34" fmla="*/ 2147483647 w 772"/>
              <a:gd name="T35" fmla="*/ 2147483647 h 1040"/>
              <a:gd name="T36" fmla="*/ 2147483647 w 772"/>
              <a:gd name="T37" fmla="*/ 2147483647 h 1040"/>
              <a:gd name="T38" fmla="*/ 2147483647 w 772"/>
              <a:gd name="T39" fmla="*/ 2147483647 h 1040"/>
              <a:gd name="T40" fmla="*/ 2147483647 w 772"/>
              <a:gd name="T41" fmla="*/ 2147483647 h 1040"/>
              <a:gd name="T42" fmla="*/ 2147483647 w 772"/>
              <a:gd name="T43" fmla="*/ 2147483647 h 1040"/>
              <a:gd name="T44" fmla="*/ 2147483647 w 772"/>
              <a:gd name="T45" fmla="*/ 2147483647 h 1040"/>
              <a:gd name="T46" fmla="*/ 2147483647 w 772"/>
              <a:gd name="T47" fmla="*/ 2147483647 h 1040"/>
              <a:gd name="T48" fmla="*/ 2147483647 w 772"/>
              <a:gd name="T49" fmla="*/ 2147483647 h 1040"/>
              <a:gd name="T50" fmla="*/ 2147483647 w 772"/>
              <a:gd name="T51" fmla="*/ 2147483647 h 1040"/>
              <a:gd name="T52" fmla="*/ 2147483647 w 772"/>
              <a:gd name="T53" fmla="*/ 2147483647 h 1040"/>
              <a:gd name="T54" fmla="*/ 2147483647 w 772"/>
              <a:gd name="T55" fmla="*/ 2147483647 h 1040"/>
              <a:gd name="T56" fmla="*/ 2147483647 w 772"/>
              <a:gd name="T57" fmla="*/ 2147483647 h 1040"/>
              <a:gd name="T58" fmla="*/ 2147483647 w 772"/>
              <a:gd name="T59" fmla="*/ 2147483647 h 1040"/>
              <a:gd name="T60" fmla="*/ 2147483647 w 772"/>
              <a:gd name="T61" fmla="*/ 2147483647 h 1040"/>
              <a:gd name="T62" fmla="*/ 2147483647 w 772"/>
              <a:gd name="T63" fmla="*/ 2147483647 h 1040"/>
              <a:gd name="T64" fmla="*/ 2147483647 w 772"/>
              <a:gd name="T65" fmla="*/ 2147483647 h 1040"/>
              <a:gd name="T66" fmla="*/ 2147483647 w 772"/>
              <a:gd name="T67" fmla="*/ 2147483647 h 1040"/>
              <a:gd name="T68" fmla="*/ 2147483647 w 772"/>
              <a:gd name="T69" fmla="*/ 2147483647 h 1040"/>
              <a:gd name="T70" fmla="*/ 2147483647 w 772"/>
              <a:gd name="T71" fmla="*/ 2147483647 h 1040"/>
              <a:gd name="T72" fmla="*/ 2147483647 w 772"/>
              <a:gd name="T73" fmla="*/ 2147483647 h 1040"/>
              <a:gd name="T74" fmla="*/ 2147483647 w 772"/>
              <a:gd name="T75" fmla="*/ 2147483647 h 1040"/>
              <a:gd name="T76" fmla="*/ 2147483647 w 772"/>
              <a:gd name="T77" fmla="*/ 2147483647 h 1040"/>
              <a:gd name="T78" fmla="*/ 2147483647 w 772"/>
              <a:gd name="T79" fmla="*/ 2147483647 h 1040"/>
              <a:gd name="T80" fmla="*/ 2147483647 w 772"/>
              <a:gd name="T81" fmla="*/ 2147483647 h 1040"/>
              <a:gd name="T82" fmla="*/ 2147483647 w 772"/>
              <a:gd name="T83" fmla="*/ 2147483647 h 1040"/>
              <a:gd name="T84" fmla="*/ 2147483647 w 772"/>
              <a:gd name="T85" fmla="*/ 2147483647 h 1040"/>
              <a:gd name="T86" fmla="*/ 2147483647 w 772"/>
              <a:gd name="T87" fmla="*/ 2147483647 h 1040"/>
              <a:gd name="T88" fmla="*/ 2147483647 w 772"/>
              <a:gd name="T89" fmla="*/ 2147483647 h 1040"/>
              <a:gd name="T90" fmla="*/ 2147483647 w 772"/>
              <a:gd name="T91" fmla="*/ 2147483647 h 1040"/>
              <a:gd name="T92" fmla="*/ 2147483647 w 772"/>
              <a:gd name="T93" fmla="*/ 2147483647 h 1040"/>
              <a:gd name="T94" fmla="*/ 2147483647 w 772"/>
              <a:gd name="T95" fmla="*/ 2147483647 h 1040"/>
              <a:gd name="T96" fmla="*/ 2147483647 w 772"/>
              <a:gd name="T97" fmla="*/ 2147483647 h 1040"/>
              <a:gd name="T98" fmla="*/ 2147483647 w 772"/>
              <a:gd name="T99" fmla="*/ 2147483647 h 1040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772"/>
              <a:gd name="T151" fmla="*/ 0 h 1040"/>
              <a:gd name="T152" fmla="*/ 772 w 772"/>
              <a:gd name="T153" fmla="*/ 1040 h 1040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772" h="1040">
                <a:moveTo>
                  <a:pt x="16" y="867"/>
                </a:moveTo>
                <a:lnTo>
                  <a:pt x="15" y="817"/>
                </a:lnTo>
                <a:lnTo>
                  <a:pt x="13" y="759"/>
                </a:lnTo>
                <a:lnTo>
                  <a:pt x="13" y="750"/>
                </a:lnTo>
                <a:lnTo>
                  <a:pt x="8" y="641"/>
                </a:lnTo>
                <a:lnTo>
                  <a:pt x="0" y="533"/>
                </a:lnTo>
                <a:lnTo>
                  <a:pt x="0" y="522"/>
                </a:lnTo>
                <a:lnTo>
                  <a:pt x="14" y="501"/>
                </a:lnTo>
                <a:lnTo>
                  <a:pt x="42" y="526"/>
                </a:lnTo>
                <a:lnTo>
                  <a:pt x="45" y="516"/>
                </a:lnTo>
                <a:lnTo>
                  <a:pt x="61" y="481"/>
                </a:lnTo>
                <a:lnTo>
                  <a:pt x="84" y="487"/>
                </a:lnTo>
                <a:lnTo>
                  <a:pt x="85" y="436"/>
                </a:lnTo>
                <a:lnTo>
                  <a:pt x="99" y="424"/>
                </a:lnTo>
                <a:lnTo>
                  <a:pt x="129" y="404"/>
                </a:lnTo>
                <a:lnTo>
                  <a:pt x="158" y="358"/>
                </a:lnTo>
                <a:lnTo>
                  <a:pt x="145" y="345"/>
                </a:lnTo>
                <a:lnTo>
                  <a:pt x="154" y="317"/>
                </a:lnTo>
                <a:lnTo>
                  <a:pt x="154" y="285"/>
                </a:lnTo>
                <a:lnTo>
                  <a:pt x="191" y="247"/>
                </a:lnTo>
                <a:lnTo>
                  <a:pt x="197" y="210"/>
                </a:lnTo>
                <a:lnTo>
                  <a:pt x="203" y="181"/>
                </a:lnTo>
                <a:lnTo>
                  <a:pt x="347" y="0"/>
                </a:lnTo>
                <a:lnTo>
                  <a:pt x="377" y="39"/>
                </a:lnTo>
                <a:lnTo>
                  <a:pt x="389" y="55"/>
                </a:lnTo>
                <a:lnTo>
                  <a:pt x="463" y="50"/>
                </a:lnTo>
                <a:lnTo>
                  <a:pt x="511" y="24"/>
                </a:lnTo>
                <a:lnTo>
                  <a:pt x="527" y="25"/>
                </a:lnTo>
                <a:lnTo>
                  <a:pt x="586" y="63"/>
                </a:lnTo>
                <a:lnTo>
                  <a:pt x="597" y="83"/>
                </a:lnTo>
                <a:lnTo>
                  <a:pt x="612" y="92"/>
                </a:lnTo>
                <a:lnTo>
                  <a:pt x="612" y="420"/>
                </a:lnTo>
                <a:lnTo>
                  <a:pt x="667" y="443"/>
                </a:lnTo>
                <a:lnTo>
                  <a:pt x="678" y="439"/>
                </a:lnTo>
                <a:lnTo>
                  <a:pt x="676" y="522"/>
                </a:lnTo>
                <a:lnTo>
                  <a:pt x="696" y="550"/>
                </a:lnTo>
                <a:lnTo>
                  <a:pt x="703" y="549"/>
                </a:lnTo>
                <a:lnTo>
                  <a:pt x="709" y="537"/>
                </a:lnTo>
                <a:lnTo>
                  <a:pt x="740" y="551"/>
                </a:lnTo>
                <a:lnTo>
                  <a:pt x="763" y="598"/>
                </a:lnTo>
                <a:lnTo>
                  <a:pt x="772" y="624"/>
                </a:lnTo>
                <a:lnTo>
                  <a:pt x="718" y="671"/>
                </a:lnTo>
                <a:lnTo>
                  <a:pt x="713" y="670"/>
                </a:lnTo>
                <a:lnTo>
                  <a:pt x="713" y="675"/>
                </a:lnTo>
                <a:lnTo>
                  <a:pt x="707" y="670"/>
                </a:lnTo>
                <a:lnTo>
                  <a:pt x="693" y="671"/>
                </a:lnTo>
                <a:lnTo>
                  <a:pt x="693" y="677"/>
                </a:lnTo>
                <a:lnTo>
                  <a:pt x="669" y="687"/>
                </a:lnTo>
                <a:lnTo>
                  <a:pt x="667" y="701"/>
                </a:lnTo>
                <a:lnTo>
                  <a:pt x="650" y="714"/>
                </a:lnTo>
                <a:lnTo>
                  <a:pt x="648" y="703"/>
                </a:lnTo>
                <a:lnTo>
                  <a:pt x="612" y="700"/>
                </a:lnTo>
                <a:lnTo>
                  <a:pt x="600" y="721"/>
                </a:lnTo>
                <a:lnTo>
                  <a:pt x="587" y="722"/>
                </a:lnTo>
                <a:lnTo>
                  <a:pt x="574" y="725"/>
                </a:lnTo>
                <a:lnTo>
                  <a:pt x="570" y="740"/>
                </a:lnTo>
                <a:lnTo>
                  <a:pt x="529" y="762"/>
                </a:lnTo>
                <a:lnTo>
                  <a:pt x="501" y="759"/>
                </a:lnTo>
                <a:lnTo>
                  <a:pt x="482" y="720"/>
                </a:lnTo>
                <a:lnTo>
                  <a:pt x="483" y="741"/>
                </a:lnTo>
                <a:lnTo>
                  <a:pt x="445" y="791"/>
                </a:lnTo>
                <a:lnTo>
                  <a:pt x="423" y="744"/>
                </a:lnTo>
                <a:lnTo>
                  <a:pt x="430" y="700"/>
                </a:lnTo>
                <a:lnTo>
                  <a:pt x="427" y="698"/>
                </a:lnTo>
                <a:lnTo>
                  <a:pt x="412" y="716"/>
                </a:lnTo>
                <a:lnTo>
                  <a:pt x="396" y="730"/>
                </a:lnTo>
                <a:lnTo>
                  <a:pt x="383" y="759"/>
                </a:lnTo>
                <a:lnTo>
                  <a:pt x="374" y="789"/>
                </a:lnTo>
                <a:lnTo>
                  <a:pt x="379" y="817"/>
                </a:lnTo>
                <a:lnTo>
                  <a:pt x="330" y="847"/>
                </a:lnTo>
                <a:lnTo>
                  <a:pt x="316" y="841"/>
                </a:lnTo>
                <a:lnTo>
                  <a:pt x="298" y="847"/>
                </a:lnTo>
                <a:lnTo>
                  <a:pt x="292" y="857"/>
                </a:lnTo>
                <a:lnTo>
                  <a:pt x="271" y="863"/>
                </a:lnTo>
                <a:lnTo>
                  <a:pt x="258" y="860"/>
                </a:lnTo>
                <a:lnTo>
                  <a:pt x="249" y="876"/>
                </a:lnTo>
                <a:lnTo>
                  <a:pt x="233" y="889"/>
                </a:lnTo>
                <a:lnTo>
                  <a:pt x="223" y="877"/>
                </a:lnTo>
                <a:lnTo>
                  <a:pt x="216" y="872"/>
                </a:lnTo>
                <a:lnTo>
                  <a:pt x="201" y="886"/>
                </a:lnTo>
                <a:lnTo>
                  <a:pt x="177" y="890"/>
                </a:lnTo>
                <a:lnTo>
                  <a:pt x="163" y="906"/>
                </a:lnTo>
                <a:lnTo>
                  <a:pt x="165" y="920"/>
                </a:lnTo>
                <a:lnTo>
                  <a:pt x="159" y="927"/>
                </a:lnTo>
                <a:lnTo>
                  <a:pt x="152" y="923"/>
                </a:lnTo>
                <a:lnTo>
                  <a:pt x="136" y="928"/>
                </a:lnTo>
                <a:lnTo>
                  <a:pt x="130" y="936"/>
                </a:lnTo>
                <a:lnTo>
                  <a:pt x="132" y="945"/>
                </a:lnTo>
                <a:lnTo>
                  <a:pt x="140" y="946"/>
                </a:lnTo>
                <a:lnTo>
                  <a:pt x="90" y="995"/>
                </a:lnTo>
                <a:lnTo>
                  <a:pt x="91" y="1014"/>
                </a:lnTo>
                <a:lnTo>
                  <a:pt x="70" y="1040"/>
                </a:lnTo>
                <a:lnTo>
                  <a:pt x="61" y="1036"/>
                </a:lnTo>
                <a:lnTo>
                  <a:pt x="61" y="1035"/>
                </a:lnTo>
                <a:lnTo>
                  <a:pt x="48" y="1025"/>
                </a:lnTo>
                <a:lnTo>
                  <a:pt x="44" y="995"/>
                </a:lnTo>
                <a:lnTo>
                  <a:pt x="22" y="973"/>
                </a:lnTo>
                <a:lnTo>
                  <a:pt x="22" y="927"/>
                </a:lnTo>
                <a:lnTo>
                  <a:pt x="22" y="925"/>
                </a:lnTo>
                <a:lnTo>
                  <a:pt x="17" y="876"/>
                </a:lnTo>
                <a:lnTo>
                  <a:pt x="16" y="867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05" name="myShape_ME1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SpPr>
            <a:spLocks/>
          </xdr:cNvSpPr>
        </xdr:nvSpPr>
        <xdr:spPr bwMode="auto">
          <a:xfrm>
            <a:off x="8764330" y="1516509"/>
            <a:ext cx="22902" cy="7671"/>
          </a:xfrm>
          <a:custGeom>
            <a:avLst/>
            <a:gdLst>
              <a:gd name="T0" fmla="*/ 0 w 30"/>
              <a:gd name="T1" fmla="*/ 2147483647 h 15"/>
              <a:gd name="T2" fmla="*/ 2147483647 w 30"/>
              <a:gd name="T3" fmla="*/ 2147483647 h 15"/>
              <a:gd name="T4" fmla="*/ 2147483647 w 30"/>
              <a:gd name="T5" fmla="*/ 0 h 15"/>
              <a:gd name="T6" fmla="*/ 0 w 30"/>
              <a:gd name="T7" fmla="*/ 2147483647 h 15"/>
              <a:gd name="T8" fmla="*/ 0 w 30"/>
              <a:gd name="T9" fmla="*/ 2147483647 h 1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30"/>
              <a:gd name="T16" fmla="*/ 0 h 15"/>
              <a:gd name="T17" fmla="*/ 30 w 30"/>
              <a:gd name="T18" fmla="*/ 15 h 1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30" h="15">
                <a:moveTo>
                  <a:pt x="0" y="14"/>
                </a:moveTo>
                <a:lnTo>
                  <a:pt x="30" y="15"/>
                </a:lnTo>
                <a:lnTo>
                  <a:pt x="19" y="0"/>
                </a:lnTo>
                <a:lnTo>
                  <a:pt x="0" y="1"/>
                </a:lnTo>
                <a:lnTo>
                  <a:pt x="0" y="14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22</xdr:row>
      <xdr:rowOff>142875</xdr:rowOff>
    </xdr:from>
    <xdr:to>
      <xdr:col>2</xdr:col>
      <xdr:colOff>2295525</xdr:colOff>
      <xdr:row>22</xdr:row>
      <xdr:rowOff>1200150</xdr:rowOff>
    </xdr:to>
    <xdr:grpSp>
      <xdr:nvGrpSpPr>
        <xdr:cNvPr id="106" name="S_MD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pSpPr>
          <a:grpSpLocks/>
        </xdr:cNvGrpSpPr>
      </xdr:nvGrpSpPr>
      <xdr:grpSpPr bwMode="auto">
        <a:xfrm>
          <a:off x="2381250" y="26936700"/>
          <a:ext cx="1952625" cy="1057275"/>
          <a:chOff x="7196318" y="2326698"/>
          <a:chExt cx="633617" cy="483257"/>
        </a:xfrm>
        <a:solidFill>
          <a:srgbClr val="87CEFA"/>
        </a:solidFill>
      </xdr:grpSpPr>
      <xdr:sp macro="" textlink="">
        <xdr:nvSpPr>
          <xdr:cNvPr id="107" name="myShape_MD2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SpPr>
            <a:spLocks/>
          </xdr:cNvSpPr>
        </xdr:nvSpPr>
        <xdr:spPr bwMode="auto">
          <a:xfrm>
            <a:off x="7694160" y="2636285"/>
            <a:ext cx="105603" cy="173670"/>
          </a:xfrm>
          <a:custGeom>
            <a:avLst/>
            <a:gdLst>
              <a:gd name="T0" fmla="*/ 2147483647 w 145"/>
              <a:gd name="T1" fmla="*/ 2147483647 h 223"/>
              <a:gd name="T2" fmla="*/ 0 w 145"/>
              <a:gd name="T3" fmla="*/ 2147483647 h 223"/>
              <a:gd name="T4" fmla="*/ 2147483647 w 145"/>
              <a:gd name="T5" fmla="*/ 2147483647 h 223"/>
              <a:gd name="T6" fmla="*/ 2147483647 w 145"/>
              <a:gd name="T7" fmla="*/ 2147483647 h 223"/>
              <a:gd name="T8" fmla="*/ 2147483647 w 145"/>
              <a:gd name="T9" fmla="*/ 2147483647 h 223"/>
              <a:gd name="T10" fmla="*/ 2147483647 w 145"/>
              <a:gd name="T11" fmla="*/ 2147483647 h 223"/>
              <a:gd name="T12" fmla="*/ 2147483647 w 145"/>
              <a:gd name="T13" fmla="*/ 2147483647 h 223"/>
              <a:gd name="T14" fmla="*/ 2147483647 w 145"/>
              <a:gd name="T15" fmla="*/ 2147483647 h 223"/>
              <a:gd name="T16" fmla="*/ 2147483647 w 145"/>
              <a:gd name="T17" fmla="*/ 2147483647 h 223"/>
              <a:gd name="T18" fmla="*/ 2147483647 w 145"/>
              <a:gd name="T19" fmla="*/ 2147483647 h 223"/>
              <a:gd name="T20" fmla="*/ 2147483647 w 145"/>
              <a:gd name="T21" fmla="*/ 2147483647 h 223"/>
              <a:gd name="T22" fmla="*/ 2147483647 w 145"/>
              <a:gd name="T23" fmla="*/ 0 h 223"/>
              <a:gd name="T24" fmla="*/ 2147483647 w 145"/>
              <a:gd name="T25" fmla="*/ 0 h 223"/>
              <a:gd name="T26" fmla="*/ 2147483647 w 145"/>
              <a:gd name="T27" fmla="*/ 0 h 223"/>
              <a:gd name="T28" fmla="*/ 2147483647 w 145"/>
              <a:gd name="T29" fmla="*/ 2147483647 h 223"/>
              <a:gd name="T30" fmla="*/ 2147483647 w 145"/>
              <a:gd name="T31" fmla="*/ 2147483647 h 223"/>
              <a:gd name="T32" fmla="*/ 2147483647 w 145"/>
              <a:gd name="T33" fmla="*/ 2147483647 h 223"/>
              <a:gd name="T34" fmla="*/ 2147483647 w 145"/>
              <a:gd name="T35" fmla="*/ 2147483647 h 223"/>
              <a:gd name="T36" fmla="*/ 2147483647 w 145"/>
              <a:gd name="T37" fmla="*/ 2147483647 h 223"/>
              <a:gd name="T38" fmla="*/ 2147483647 w 145"/>
              <a:gd name="T39" fmla="*/ 2147483647 h 223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223"/>
              <a:gd name="T62" fmla="*/ 145 w 145"/>
              <a:gd name="T63" fmla="*/ 223 h 223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223">
                <a:moveTo>
                  <a:pt x="15" y="112"/>
                </a:moveTo>
                <a:lnTo>
                  <a:pt x="0" y="183"/>
                </a:lnTo>
                <a:lnTo>
                  <a:pt x="12" y="223"/>
                </a:lnTo>
                <a:lnTo>
                  <a:pt x="13" y="213"/>
                </a:lnTo>
                <a:lnTo>
                  <a:pt x="21" y="213"/>
                </a:lnTo>
                <a:lnTo>
                  <a:pt x="19" y="216"/>
                </a:lnTo>
                <a:lnTo>
                  <a:pt x="42" y="186"/>
                </a:lnTo>
                <a:lnTo>
                  <a:pt x="66" y="132"/>
                </a:lnTo>
                <a:lnTo>
                  <a:pt x="97" y="48"/>
                </a:lnTo>
                <a:lnTo>
                  <a:pt x="109" y="35"/>
                </a:lnTo>
                <a:lnTo>
                  <a:pt x="121" y="39"/>
                </a:lnTo>
                <a:lnTo>
                  <a:pt x="145" y="0"/>
                </a:lnTo>
                <a:lnTo>
                  <a:pt x="115" y="3"/>
                </a:lnTo>
                <a:lnTo>
                  <a:pt x="101" y="4"/>
                </a:lnTo>
                <a:lnTo>
                  <a:pt x="73" y="8"/>
                </a:lnTo>
                <a:lnTo>
                  <a:pt x="67" y="18"/>
                </a:lnTo>
                <a:lnTo>
                  <a:pt x="50" y="30"/>
                </a:lnTo>
                <a:lnTo>
                  <a:pt x="62" y="35"/>
                </a:lnTo>
                <a:lnTo>
                  <a:pt x="21" y="94"/>
                </a:lnTo>
                <a:lnTo>
                  <a:pt x="15" y="112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08" name="myShape_MD1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SpPr>
            <a:spLocks/>
          </xdr:cNvSpPr>
        </xdr:nvSpPr>
        <xdr:spPr bwMode="auto">
          <a:xfrm>
            <a:off x="7196318" y="2326698"/>
            <a:ext cx="633617" cy="332239"/>
          </a:xfrm>
          <a:custGeom>
            <a:avLst/>
            <a:gdLst>
              <a:gd name="T0" fmla="*/ 2147483647 w 831"/>
              <a:gd name="T1" fmla="*/ 0 h 428"/>
              <a:gd name="T2" fmla="*/ 2147483647 w 831"/>
              <a:gd name="T3" fmla="*/ 2147483647 h 428"/>
              <a:gd name="T4" fmla="*/ 2147483647 w 831"/>
              <a:gd name="T5" fmla="*/ 2147483647 h 428"/>
              <a:gd name="T6" fmla="*/ 2147483647 w 831"/>
              <a:gd name="T7" fmla="*/ 2147483647 h 428"/>
              <a:gd name="T8" fmla="*/ 2147483647 w 831"/>
              <a:gd name="T9" fmla="*/ 2147483647 h 428"/>
              <a:gd name="T10" fmla="*/ 2147483647 w 831"/>
              <a:gd name="T11" fmla="*/ 2147483647 h 428"/>
              <a:gd name="T12" fmla="*/ 2147483647 w 831"/>
              <a:gd name="T13" fmla="*/ 2147483647 h 428"/>
              <a:gd name="T14" fmla="*/ 2147483647 w 831"/>
              <a:gd name="T15" fmla="*/ 2147483647 h 428"/>
              <a:gd name="T16" fmla="*/ 2147483647 w 831"/>
              <a:gd name="T17" fmla="*/ 0 h 428"/>
              <a:gd name="T18" fmla="*/ 2147483647 w 831"/>
              <a:gd name="T19" fmla="*/ 2147483647 h 428"/>
              <a:gd name="T20" fmla="*/ 2147483647 w 831"/>
              <a:gd name="T21" fmla="*/ 2147483647 h 428"/>
              <a:gd name="T22" fmla="*/ 2147483647 w 831"/>
              <a:gd name="T23" fmla="*/ 2147483647 h 428"/>
              <a:gd name="T24" fmla="*/ 2147483647 w 831"/>
              <a:gd name="T25" fmla="*/ 2147483647 h 428"/>
              <a:gd name="T26" fmla="*/ 2147483647 w 831"/>
              <a:gd name="T27" fmla="*/ 2147483647 h 428"/>
              <a:gd name="T28" fmla="*/ 2147483647 w 831"/>
              <a:gd name="T29" fmla="*/ 2147483647 h 428"/>
              <a:gd name="T30" fmla="*/ 2147483647 w 831"/>
              <a:gd name="T31" fmla="*/ 2147483647 h 428"/>
              <a:gd name="T32" fmla="*/ 2147483647 w 831"/>
              <a:gd name="T33" fmla="*/ 2147483647 h 428"/>
              <a:gd name="T34" fmla="*/ 2147483647 w 831"/>
              <a:gd name="T35" fmla="*/ 2147483647 h 428"/>
              <a:gd name="T36" fmla="*/ 2147483647 w 831"/>
              <a:gd name="T37" fmla="*/ 2147483647 h 428"/>
              <a:gd name="T38" fmla="*/ 2147483647 w 831"/>
              <a:gd name="T39" fmla="*/ 2147483647 h 428"/>
              <a:gd name="T40" fmla="*/ 2147483647 w 831"/>
              <a:gd name="T41" fmla="*/ 2147483647 h 428"/>
              <a:gd name="T42" fmla="*/ 2147483647 w 831"/>
              <a:gd name="T43" fmla="*/ 2147483647 h 428"/>
              <a:gd name="T44" fmla="*/ 2147483647 w 831"/>
              <a:gd name="T45" fmla="*/ 2147483647 h 428"/>
              <a:gd name="T46" fmla="*/ 2147483647 w 831"/>
              <a:gd name="T47" fmla="*/ 2147483647 h 428"/>
              <a:gd name="T48" fmla="*/ 2147483647 w 831"/>
              <a:gd name="T49" fmla="*/ 2147483647 h 428"/>
              <a:gd name="T50" fmla="*/ 2147483647 w 831"/>
              <a:gd name="T51" fmla="*/ 2147483647 h 428"/>
              <a:gd name="T52" fmla="*/ 2147483647 w 831"/>
              <a:gd name="T53" fmla="*/ 2147483647 h 428"/>
              <a:gd name="T54" fmla="*/ 2147483647 w 831"/>
              <a:gd name="T55" fmla="*/ 2147483647 h 428"/>
              <a:gd name="T56" fmla="*/ 2147483647 w 831"/>
              <a:gd name="T57" fmla="*/ 2147483647 h 428"/>
              <a:gd name="T58" fmla="*/ 2147483647 w 831"/>
              <a:gd name="T59" fmla="*/ 2147483647 h 428"/>
              <a:gd name="T60" fmla="*/ 2147483647 w 831"/>
              <a:gd name="T61" fmla="*/ 2147483647 h 428"/>
              <a:gd name="T62" fmla="*/ 2147483647 w 831"/>
              <a:gd name="T63" fmla="*/ 2147483647 h 428"/>
              <a:gd name="T64" fmla="*/ 2147483647 w 831"/>
              <a:gd name="T65" fmla="*/ 2147483647 h 428"/>
              <a:gd name="T66" fmla="*/ 2147483647 w 831"/>
              <a:gd name="T67" fmla="*/ 2147483647 h 428"/>
              <a:gd name="T68" fmla="*/ 2147483647 w 831"/>
              <a:gd name="T69" fmla="*/ 2147483647 h 428"/>
              <a:gd name="T70" fmla="*/ 2147483647 w 831"/>
              <a:gd name="T71" fmla="*/ 2147483647 h 428"/>
              <a:gd name="T72" fmla="*/ 2147483647 w 831"/>
              <a:gd name="T73" fmla="*/ 2147483647 h 428"/>
              <a:gd name="T74" fmla="*/ 2147483647 w 831"/>
              <a:gd name="T75" fmla="*/ 2147483647 h 428"/>
              <a:gd name="T76" fmla="*/ 2147483647 w 831"/>
              <a:gd name="T77" fmla="*/ 2147483647 h 428"/>
              <a:gd name="T78" fmla="*/ 2147483647 w 831"/>
              <a:gd name="T79" fmla="*/ 2147483647 h 428"/>
              <a:gd name="T80" fmla="*/ 2147483647 w 831"/>
              <a:gd name="T81" fmla="*/ 2147483647 h 428"/>
              <a:gd name="T82" fmla="*/ 2147483647 w 831"/>
              <a:gd name="T83" fmla="*/ 2147483647 h 428"/>
              <a:gd name="T84" fmla="*/ 2147483647 w 831"/>
              <a:gd name="T85" fmla="*/ 2147483647 h 428"/>
              <a:gd name="T86" fmla="*/ 2147483647 w 831"/>
              <a:gd name="T87" fmla="*/ 2147483647 h 428"/>
              <a:gd name="T88" fmla="*/ 2147483647 w 831"/>
              <a:gd name="T89" fmla="*/ 2147483647 h 428"/>
              <a:gd name="T90" fmla="*/ 2147483647 w 831"/>
              <a:gd name="T91" fmla="*/ 2147483647 h 428"/>
              <a:gd name="T92" fmla="*/ 2147483647 w 831"/>
              <a:gd name="T93" fmla="*/ 2147483647 h 428"/>
              <a:gd name="T94" fmla="*/ 2147483647 w 831"/>
              <a:gd name="T95" fmla="*/ 2147483647 h 428"/>
              <a:gd name="T96" fmla="*/ 2147483647 w 831"/>
              <a:gd name="T97" fmla="*/ 2147483647 h 428"/>
              <a:gd name="T98" fmla="*/ 2147483647 w 831"/>
              <a:gd name="T99" fmla="*/ 2147483647 h 428"/>
              <a:gd name="T100" fmla="*/ 2147483647 w 831"/>
              <a:gd name="T101" fmla="*/ 2147483647 h 428"/>
              <a:gd name="T102" fmla="*/ 2147483647 w 831"/>
              <a:gd name="T103" fmla="*/ 2147483647 h 428"/>
              <a:gd name="T104" fmla="*/ 2147483647 w 831"/>
              <a:gd name="T105" fmla="*/ 2147483647 h 428"/>
              <a:gd name="T106" fmla="*/ 2147483647 w 831"/>
              <a:gd name="T107" fmla="*/ 2147483647 h 428"/>
              <a:gd name="T108" fmla="*/ 2147483647 w 831"/>
              <a:gd name="T109" fmla="*/ 2147483647 h 428"/>
              <a:gd name="T110" fmla="*/ 2147483647 w 831"/>
              <a:gd name="T111" fmla="*/ 2147483647 h 428"/>
              <a:gd name="T112" fmla="*/ 2147483647 w 831"/>
              <a:gd name="T113" fmla="*/ 2147483647 h 428"/>
              <a:gd name="T114" fmla="*/ 2147483647 w 831"/>
              <a:gd name="T115" fmla="*/ 2147483647 h 428"/>
              <a:gd name="T116" fmla="*/ 0 w 831"/>
              <a:gd name="T117" fmla="*/ 2147483647 h 428"/>
              <a:gd name="T118" fmla="*/ 2147483647 w 831"/>
              <a:gd name="T119" fmla="*/ 2147483647 h 428"/>
              <a:gd name="T120" fmla="*/ 2147483647 w 831"/>
              <a:gd name="T121" fmla="*/ 0 h 428"/>
              <a:gd name="T122" fmla="*/ 2147483647 w 831"/>
              <a:gd name="T123" fmla="*/ 0 h 428"/>
              <a:gd name="T124" fmla="*/ 2147483647 w 831"/>
              <a:gd name="T125" fmla="*/ 0 h 42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831"/>
              <a:gd name="T190" fmla="*/ 0 h 428"/>
              <a:gd name="T191" fmla="*/ 831 w 831"/>
              <a:gd name="T192" fmla="*/ 428 h 42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831" h="428">
                <a:moveTo>
                  <a:pt x="214" y="0"/>
                </a:moveTo>
                <a:lnTo>
                  <a:pt x="231" y="0"/>
                </a:lnTo>
                <a:lnTo>
                  <a:pt x="232" y="0"/>
                </a:lnTo>
                <a:lnTo>
                  <a:pt x="260" y="0"/>
                </a:lnTo>
                <a:lnTo>
                  <a:pt x="278" y="0"/>
                </a:lnTo>
                <a:lnTo>
                  <a:pt x="371" y="1"/>
                </a:lnTo>
                <a:lnTo>
                  <a:pt x="378" y="1"/>
                </a:lnTo>
                <a:lnTo>
                  <a:pt x="380" y="1"/>
                </a:lnTo>
                <a:lnTo>
                  <a:pt x="385" y="1"/>
                </a:lnTo>
                <a:lnTo>
                  <a:pt x="406" y="1"/>
                </a:lnTo>
                <a:lnTo>
                  <a:pt x="425" y="1"/>
                </a:lnTo>
                <a:lnTo>
                  <a:pt x="455" y="1"/>
                </a:lnTo>
                <a:lnTo>
                  <a:pt x="466" y="1"/>
                </a:lnTo>
                <a:lnTo>
                  <a:pt x="481" y="1"/>
                </a:lnTo>
                <a:lnTo>
                  <a:pt x="485" y="1"/>
                </a:lnTo>
                <a:lnTo>
                  <a:pt x="505" y="1"/>
                </a:lnTo>
                <a:lnTo>
                  <a:pt x="516" y="1"/>
                </a:lnTo>
                <a:lnTo>
                  <a:pt x="539" y="1"/>
                </a:lnTo>
                <a:lnTo>
                  <a:pt x="546" y="1"/>
                </a:lnTo>
                <a:lnTo>
                  <a:pt x="555" y="1"/>
                </a:lnTo>
                <a:lnTo>
                  <a:pt x="559" y="1"/>
                </a:lnTo>
                <a:lnTo>
                  <a:pt x="608" y="1"/>
                </a:lnTo>
                <a:lnTo>
                  <a:pt x="609" y="1"/>
                </a:lnTo>
                <a:lnTo>
                  <a:pt x="627" y="1"/>
                </a:lnTo>
                <a:lnTo>
                  <a:pt x="656" y="1"/>
                </a:lnTo>
                <a:lnTo>
                  <a:pt x="675" y="0"/>
                </a:lnTo>
                <a:lnTo>
                  <a:pt x="692" y="0"/>
                </a:lnTo>
                <a:lnTo>
                  <a:pt x="692" y="15"/>
                </a:lnTo>
                <a:lnTo>
                  <a:pt x="692" y="18"/>
                </a:lnTo>
                <a:lnTo>
                  <a:pt x="696" y="82"/>
                </a:lnTo>
                <a:lnTo>
                  <a:pt x="697" y="90"/>
                </a:lnTo>
                <a:lnTo>
                  <a:pt x="698" y="100"/>
                </a:lnTo>
                <a:lnTo>
                  <a:pt x="698" y="107"/>
                </a:lnTo>
                <a:lnTo>
                  <a:pt x="698" y="110"/>
                </a:lnTo>
                <a:lnTo>
                  <a:pt x="698" y="112"/>
                </a:lnTo>
                <a:lnTo>
                  <a:pt x="698" y="113"/>
                </a:lnTo>
                <a:lnTo>
                  <a:pt x="699" y="131"/>
                </a:lnTo>
                <a:lnTo>
                  <a:pt x="699" y="133"/>
                </a:lnTo>
                <a:lnTo>
                  <a:pt x="700" y="137"/>
                </a:lnTo>
                <a:lnTo>
                  <a:pt x="702" y="171"/>
                </a:lnTo>
                <a:lnTo>
                  <a:pt x="704" y="209"/>
                </a:lnTo>
                <a:lnTo>
                  <a:pt x="704" y="211"/>
                </a:lnTo>
                <a:lnTo>
                  <a:pt x="705" y="227"/>
                </a:lnTo>
                <a:lnTo>
                  <a:pt x="706" y="250"/>
                </a:lnTo>
                <a:lnTo>
                  <a:pt x="707" y="257"/>
                </a:lnTo>
                <a:lnTo>
                  <a:pt x="707" y="260"/>
                </a:lnTo>
                <a:lnTo>
                  <a:pt x="707" y="267"/>
                </a:lnTo>
                <a:lnTo>
                  <a:pt x="709" y="275"/>
                </a:lnTo>
                <a:lnTo>
                  <a:pt x="710" y="298"/>
                </a:lnTo>
                <a:lnTo>
                  <a:pt x="746" y="299"/>
                </a:lnTo>
                <a:lnTo>
                  <a:pt x="776" y="300"/>
                </a:lnTo>
                <a:lnTo>
                  <a:pt x="797" y="300"/>
                </a:lnTo>
                <a:lnTo>
                  <a:pt x="817" y="300"/>
                </a:lnTo>
                <a:lnTo>
                  <a:pt x="831" y="300"/>
                </a:lnTo>
                <a:lnTo>
                  <a:pt x="827" y="319"/>
                </a:lnTo>
                <a:lnTo>
                  <a:pt x="794" y="401"/>
                </a:lnTo>
                <a:lnTo>
                  <a:pt x="764" y="404"/>
                </a:lnTo>
                <a:lnTo>
                  <a:pt x="750" y="405"/>
                </a:lnTo>
                <a:lnTo>
                  <a:pt x="722" y="409"/>
                </a:lnTo>
                <a:lnTo>
                  <a:pt x="716" y="419"/>
                </a:lnTo>
                <a:lnTo>
                  <a:pt x="699" y="414"/>
                </a:lnTo>
                <a:lnTo>
                  <a:pt x="671" y="428"/>
                </a:lnTo>
                <a:lnTo>
                  <a:pt x="683" y="377"/>
                </a:lnTo>
                <a:lnTo>
                  <a:pt x="662" y="377"/>
                </a:lnTo>
                <a:lnTo>
                  <a:pt x="676" y="353"/>
                </a:lnTo>
                <a:lnTo>
                  <a:pt x="668" y="344"/>
                </a:lnTo>
                <a:lnTo>
                  <a:pt x="666" y="343"/>
                </a:lnTo>
                <a:lnTo>
                  <a:pt x="662" y="350"/>
                </a:lnTo>
                <a:lnTo>
                  <a:pt x="653" y="339"/>
                </a:lnTo>
                <a:lnTo>
                  <a:pt x="653" y="322"/>
                </a:lnTo>
                <a:lnTo>
                  <a:pt x="645" y="348"/>
                </a:lnTo>
                <a:lnTo>
                  <a:pt x="620" y="348"/>
                </a:lnTo>
                <a:lnTo>
                  <a:pt x="606" y="333"/>
                </a:lnTo>
                <a:lnTo>
                  <a:pt x="589" y="289"/>
                </a:lnTo>
                <a:lnTo>
                  <a:pt x="606" y="283"/>
                </a:lnTo>
                <a:lnTo>
                  <a:pt x="598" y="260"/>
                </a:lnTo>
                <a:lnTo>
                  <a:pt x="624" y="258"/>
                </a:lnTo>
                <a:lnTo>
                  <a:pt x="606" y="233"/>
                </a:lnTo>
                <a:lnTo>
                  <a:pt x="589" y="248"/>
                </a:lnTo>
                <a:lnTo>
                  <a:pt x="589" y="228"/>
                </a:lnTo>
                <a:lnTo>
                  <a:pt x="614" y="206"/>
                </a:lnTo>
                <a:lnTo>
                  <a:pt x="606" y="185"/>
                </a:lnTo>
                <a:lnTo>
                  <a:pt x="606" y="193"/>
                </a:lnTo>
                <a:lnTo>
                  <a:pt x="590" y="200"/>
                </a:lnTo>
                <a:lnTo>
                  <a:pt x="595" y="161"/>
                </a:lnTo>
                <a:lnTo>
                  <a:pt x="606" y="175"/>
                </a:lnTo>
                <a:lnTo>
                  <a:pt x="622" y="171"/>
                </a:lnTo>
                <a:lnTo>
                  <a:pt x="624" y="148"/>
                </a:lnTo>
                <a:lnTo>
                  <a:pt x="606" y="141"/>
                </a:lnTo>
                <a:lnTo>
                  <a:pt x="606" y="123"/>
                </a:lnTo>
                <a:lnTo>
                  <a:pt x="628" y="87"/>
                </a:lnTo>
                <a:lnTo>
                  <a:pt x="653" y="82"/>
                </a:lnTo>
                <a:lnTo>
                  <a:pt x="653" y="38"/>
                </a:lnTo>
                <a:lnTo>
                  <a:pt x="652" y="38"/>
                </a:lnTo>
                <a:lnTo>
                  <a:pt x="638" y="43"/>
                </a:lnTo>
                <a:lnTo>
                  <a:pt x="629" y="71"/>
                </a:lnTo>
                <a:lnTo>
                  <a:pt x="606" y="85"/>
                </a:lnTo>
                <a:lnTo>
                  <a:pt x="599" y="100"/>
                </a:lnTo>
                <a:lnTo>
                  <a:pt x="591" y="87"/>
                </a:lnTo>
                <a:lnTo>
                  <a:pt x="582" y="99"/>
                </a:lnTo>
                <a:lnTo>
                  <a:pt x="580" y="112"/>
                </a:lnTo>
                <a:lnTo>
                  <a:pt x="553" y="121"/>
                </a:lnTo>
                <a:lnTo>
                  <a:pt x="552" y="122"/>
                </a:lnTo>
                <a:lnTo>
                  <a:pt x="572" y="141"/>
                </a:lnTo>
                <a:lnTo>
                  <a:pt x="575" y="171"/>
                </a:lnTo>
                <a:lnTo>
                  <a:pt x="548" y="227"/>
                </a:lnTo>
                <a:lnTo>
                  <a:pt x="553" y="239"/>
                </a:lnTo>
                <a:lnTo>
                  <a:pt x="559" y="289"/>
                </a:lnTo>
                <a:lnTo>
                  <a:pt x="579" y="319"/>
                </a:lnTo>
                <a:lnTo>
                  <a:pt x="574" y="334"/>
                </a:lnTo>
                <a:lnTo>
                  <a:pt x="582" y="337"/>
                </a:lnTo>
                <a:lnTo>
                  <a:pt x="578" y="348"/>
                </a:lnTo>
                <a:lnTo>
                  <a:pt x="590" y="377"/>
                </a:lnTo>
                <a:lnTo>
                  <a:pt x="592" y="399"/>
                </a:lnTo>
                <a:lnTo>
                  <a:pt x="572" y="377"/>
                </a:lnTo>
                <a:lnTo>
                  <a:pt x="564" y="383"/>
                </a:lnTo>
                <a:lnTo>
                  <a:pt x="535" y="354"/>
                </a:lnTo>
                <a:lnTo>
                  <a:pt x="503" y="351"/>
                </a:lnTo>
                <a:lnTo>
                  <a:pt x="494" y="331"/>
                </a:lnTo>
                <a:lnTo>
                  <a:pt x="489" y="342"/>
                </a:lnTo>
                <a:lnTo>
                  <a:pt x="479" y="338"/>
                </a:lnTo>
                <a:lnTo>
                  <a:pt x="466" y="309"/>
                </a:lnTo>
                <a:lnTo>
                  <a:pt x="442" y="311"/>
                </a:lnTo>
                <a:lnTo>
                  <a:pt x="433" y="319"/>
                </a:lnTo>
                <a:lnTo>
                  <a:pt x="418" y="316"/>
                </a:lnTo>
                <a:lnTo>
                  <a:pt x="418" y="282"/>
                </a:lnTo>
                <a:lnTo>
                  <a:pt x="441" y="257"/>
                </a:lnTo>
                <a:lnTo>
                  <a:pt x="441" y="248"/>
                </a:lnTo>
                <a:lnTo>
                  <a:pt x="442" y="246"/>
                </a:lnTo>
                <a:lnTo>
                  <a:pt x="450" y="240"/>
                </a:lnTo>
                <a:lnTo>
                  <a:pt x="457" y="230"/>
                </a:lnTo>
                <a:lnTo>
                  <a:pt x="458" y="224"/>
                </a:lnTo>
                <a:lnTo>
                  <a:pt x="458" y="221"/>
                </a:lnTo>
                <a:lnTo>
                  <a:pt x="458" y="220"/>
                </a:lnTo>
                <a:lnTo>
                  <a:pt x="472" y="206"/>
                </a:lnTo>
                <a:lnTo>
                  <a:pt x="483" y="196"/>
                </a:lnTo>
                <a:lnTo>
                  <a:pt x="463" y="177"/>
                </a:lnTo>
                <a:lnTo>
                  <a:pt x="458" y="172"/>
                </a:lnTo>
                <a:lnTo>
                  <a:pt x="453" y="176"/>
                </a:lnTo>
                <a:lnTo>
                  <a:pt x="447" y="182"/>
                </a:lnTo>
                <a:lnTo>
                  <a:pt x="443" y="186"/>
                </a:lnTo>
                <a:lnTo>
                  <a:pt x="438" y="179"/>
                </a:lnTo>
                <a:lnTo>
                  <a:pt x="418" y="172"/>
                </a:lnTo>
                <a:lnTo>
                  <a:pt x="418" y="165"/>
                </a:lnTo>
                <a:lnTo>
                  <a:pt x="403" y="157"/>
                </a:lnTo>
                <a:lnTo>
                  <a:pt x="395" y="156"/>
                </a:lnTo>
                <a:lnTo>
                  <a:pt x="367" y="141"/>
                </a:lnTo>
                <a:lnTo>
                  <a:pt x="380" y="118"/>
                </a:lnTo>
                <a:lnTo>
                  <a:pt x="374" y="112"/>
                </a:lnTo>
                <a:lnTo>
                  <a:pt x="345" y="98"/>
                </a:lnTo>
                <a:lnTo>
                  <a:pt x="338" y="94"/>
                </a:lnTo>
                <a:lnTo>
                  <a:pt x="331" y="95"/>
                </a:lnTo>
                <a:lnTo>
                  <a:pt x="325" y="92"/>
                </a:lnTo>
                <a:lnTo>
                  <a:pt x="325" y="72"/>
                </a:lnTo>
                <a:lnTo>
                  <a:pt x="311" y="54"/>
                </a:lnTo>
                <a:lnTo>
                  <a:pt x="302" y="25"/>
                </a:lnTo>
                <a:lnTo>
                  <a:pt x="278" y="29"/>
                </a:lnTo>
                <a:lnTo>
                  <a:pt x="274" y="24"/>
                </a:lnTo>
                <a:lnTo>
                  <a:pt x="255" y="8"/>
                </a:lnTo>
                <a:lnTo>
                  <a:pt x="229" y="23"/>
                </a:lnTo>
                <a:lnTo>
                  <a:pt x="216" y="20"/>
                </a:lnTo>
                <a:lnTo>
                  <a:pt x="208" y="22"/>
                </a:lnTo>
                <a:lnTo>
                  <a:pt x="208" y="28"/>
                </a:lnTo>
                <a:lnTo>
                  <a:pt x="191" y="49"/>
                </a:lnTo>
                <a:lnTo>
                  <a:pt x="185" y="48"/>
                </a:lnTo>
                <a:lnTo>
                  <a:pt x="162" y="44"/>
                </a:lnTo>
                <a:lnTo>
                  <a:pt x="155" y="45"/>
                </a:lnTo>
                <a:lnTo>
                  <a:pt x="128" y="22"/>
                </a:lnTo>
                <a:lnTo>
                  <a:pt x="91" y="63"/>
                </a:lnTo>
                <a:lnTo>
                  <a:pt x="78" y="57"/>
                </a:lnTo>
                <a:lnTo>
                  <a:pt x="52" y="82"/>
                </a:lnTo>
                <a:lnTo>
                  <a:pt x="44" y="86"/>
                </a:lnTo>
                <a:lnTo>
                  <a:pt x="41" y="93"/>
                </a:lnTo>
                <a:lnTo>
                  <a:pt x="20" y="107"/>
                </a:lnTo>
                <a:lnTo>
                  <a:pt x="3" y="123"/>
                </a:lnTo>
                <a:lnTo>
                  <a:pt x="0" y="122"/>
                </a:lnTo>
                <a:lnTo>
                  <a:pt x="1" y="45"/>
                </a:lnTo>
                <a:lnTo>
                  <a:pt x="2" y="1"/>
                </a:lnTo>
                <a:lnTo>
                  <a:pt x="8" y="1"/>
                </a:lnTo>
                <a:lnTo>
                  <a:pt x="14" y="1"/>
                </a:lnTo>
                <a:lnTo>
                  <a:pt x="18" y="1"/>
                </a:lnTo>
                <a:lnTo>
                  <a:pt x="75" y="0"/>
                </a:lnTo>
                <a:lnTo>
                  <a:pt x="82" y="0"/>
                </a:lnTo>
                <a:lnTo>
                  <a:pt x="107" y="0"/>
                </a:lnTo>
                <a:lnTo>
                  <a:pt x="115" y="0"/>
                </a:lnTo>
                <a:lnTo>
                  <a:pt x="120" y="0"/>
                </a:lnTo>
                <a:lnTo>
                  <a:pt x="127" y="0"/>
                </a:lnTo>
                <a:lnTo>
                  <a:pt x="178" y="0"/>
                </a:lnTo>
                <a:lnTo>
                  <a:pt x="185" y="0"/>
                </a:lnTo>
                <a:lnTo>
                  <a:pt x="208" y="0"/>
                </a:lnTo>
                <a:lnTo>
                  <a:pt x="214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523875</xdr:colOff>
      <xdr:row>20</xdr:row>
      <xdr:rowOff>123825</xdr:rowOff>
    </xdr:from>
    <xdr:to>
      <xdr:col>2</xdr:col>
      <xdr:colOff>1619250</xdr:colOff>
      <xdr:row>20</xdr:row>
      <xdr:rowOff>1190625</xdr:rowOff>
    </xdr:to>
    <xdr:sp macro="" textlink="">
      <xdr:nvSpPr>
        <xdr:cNvPr id="109" name="S_LA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/>
        </xdr:cNvSpPr>
      </xdr:nvSpPr>
      <xdr:spPr bwMode="auto">
        <a:xfrm>
          <a:off x="2305050" y="24384000"/>
          <a:ext cx="1095375" cy="1066800"/>
        </a:xfrm>
        <a:custGeom>
          <a:avLst/>
          <a:gdLst>
            <a:gd name="T0" fmla="*/ 2147483647 w 940"/>
            <a:gd name="T1" fmla="*/ 2147483647 h 959"/>
            <a:gd name="T2" fmla="*/ 2147483647 w 940"/>
            <a:gd name="T3" fmla="*/ 2147483647 h 959"/>
            <a:gd name="T4" fmla="*/ 2147483647 w 940"/>
            <a:gd name="T5" fmla="*/ 2147483647 h 959"/>
            <a:gd name="T6" fmla="*/ 2147483647 w 940"/>
            <a:gd name="T7" fmla="*/ 2147483647 h 959"/>
            <a:gd name="T8" fmla="*/ 2147483647 w 940"/>
            <a:gd name="T9" fmla="*/ 2147483647 h 959"/>
            <a:gd name="T10" fmla="*/ 2147483647 w 940"/>
            <a:gd name="T11" fmla="*/ 2147483647 h 959"/>
            <a:gd name="T12" fmla="*/ 2147483647 w 940"/>
            <a:gd name="T13" fmla="*/ 2147483647 h 959"/>
            <a:gd name="T14" fmla="*/ 2147483647 w 940"/>
            <a:gd name="T15" fmla="*/ 2147483647 h 959"/>
            <a:gd name="T16" fmla="*/ 2147483647 w 940"/>
            <a:gd name="T17" fmla="*/ 2147483647 h 959"/>
            <a:gd name="T18" fmla="*/ 2147483647 w 940"/>
            <a:gd name="T19" fmla="*/ 2147483647 h 959"/>
            <a:gd name="T20" fmla="*/ 2147483647 w 940"/>
            <a:gd name="T21" fmla="*/ 2147483647 h 959"/>
            <a:gd name="T22" fmla="*/ 2147483647 w 940"/>
            <a:gd name="T23" fmla="*/ 2147483647 h 959"/>
            <a:gd name="T24" fmla="*/ 2147483647 w 940"/>
            <a:gd name="T25" fmla="*/ 2147483647 h 959"/>
            <a:gd name="T26" fmla="*/ 2147483647 w 940"/>
            <a:gd name="T27" fmla="*/ 2147483647 h 959"/>
            <a:gd name="T28" fmla="*/ 2147483647 w 940"/>
            <a:gd name="T29" fmla="*/ 2147483647 h 959"/>
            <a:gd name="T30" fmla="*/ 2147483647 w 940"/>
            <a:gd name="T31" fmla="*/ 2147483647 h 959"/>
            <a:gd name="T32" fmla="*/ 2147483647 w 940"/>
            <a:gd name="T33" fmla="*/ 2147483647 h 959"/>
            <a:gd name="T34" fmla="*/ 2147483647 w 940"/>
            <a:gd name="T35" fmla="*/ 2147483647 h 959"/>
            <a:gd name="T36" fmla="*/ 2147483647 w 940"/>
            <a:gd name="T37" fmla="*/ 2147483647 h 959"/>
            <a:gd name="T38" fmla="*/ 2147483647 w 940"/>
            <a:gd name="T39" fmla="*/ 2147483647 h 959"/>
            <a:gd name="T40" fmla="*/ 2147483647 w 940"/>
            <a:gd name="T41" fmla="*/ 2147483647 h 959"/>
            <a:gd name="T42" fmla="*/ 2147483647 w 940"/>
            <a:gd name="T43" fmla="*/ 2147483647 h 959"/>
            <a:gd name="T44" fmla="*/ 2147483647 w 940"/>
            <a:gd name="T45" fmla="*/ 2147483647 h 959"/>
            <a:gd name="T46" fmla="*/ 2147483647 w 940"/>
            <a:gd name="T47" fmla="*/ 2147483647 h 959"/>
            <a:gd name="T48" fmla="*/ 2147483647 w 940"/>
            <a:gd name="T49" fmla="*/ 2147483647 h 959"/>
            <a:gd name="T50" fmla="*/ 2147483647 w 940"/>
            <a:gd name="T51" fmla="*/ 2147483647 h 959"/>
            <a:gd name="T52" fmla="*/ 2147483647 w 940"/>
            <a:gd name="T53" fmla="*/ 2147483647 h 959"/>
            <a:gd name="T54" fmla="*/ 2147483647 w 940"/>
            <a:gd name="T55" fmla="*/ 2147483647 h 959"/>
            <a:gd name="T56" fmla="*/ 2147483647 w 940"/>
            <a:gd name="T57" fmla="*/ 2147483647 h 959"/>
            <a:gd name="T58" fmla="*/ 2147483647 w 940"/>
            <a:gd name="T59" fmla="*/ 2147483647 h 959"/>
            <a:gd name="T60" fmla="*/ 2147483647 w 940"/>
            <a:gd name="T61" fmla="*/ 2147483647 h 959"/>
            <a:gd name="T62" fmla="*/ 2147483647 w 940"/>
            <a:gd name="T63" fmla="*/ 2147483647 h 959"/>
            <a:gd name="T64" fmla="*/ 2147483647 w 940"/>
            <a:gd name="T65" fmla="*/ 2147483647 h 959"/>
            <a:gd name="T66" fmla="*/ 2147483647 w 940"/>
            <a:gd name="T67" fmla="*/ 2147483647 h 959"/>
            <a:gd name="T68" fmla="*/ 0 w 940"/>
            <a:gd name="T69" fmla="*/ 2147483647 h 959"/>
            <a:gd name="T70" fmla="*/ 0 w 940"/>
            <a:gd name="T71" fmla="*/ 2147483647 h 959"/>
            <a:gd name="T72" fmla="*/ 0 w 940"/>
            <a:gd name="T73" fmla="*/ 2147483647 h 959"/>
            <a:gd name="T74" fmla="*/ 0 w 940"/>
            <a:gd name="T75" fmla="*/ 0 h 959"/>
            <a:gd name="T76" fmla="*/ 2147483647 w 940"/>
            <a:gd name="T77" fmla="*/ 0 h 959"/>
            <a:gd name="T78" fmla="*/ 2147483647 w 940"/>
            <a:gd name="T79" fmla="*/ 0 h 959"/>
            <a:gd name="T80" fmla="*/ 2147483647 w 940"/>
            <a:gd name="T81" fmla="*/ 0 h 959"/>
            <a:gd name="T82" fmla="*/ 2147483647 w 940"/>
            <a:gd name="T83" fmla="*/ 0 h 959"/>
            <a:gd name="T84" fmla="*/ 2147483647 w 940"/>
            <a:gd name="T85" fmla="*/ 0 h 959"/>
            <a:gd name="T86" fmla="*/ 2147483647 w 940"/>
            <a:gd name="T87" fmla="*/ 0 h 959"/>
            <a:gd name="T88" fmla="*/ 2147483647 w 940"/>
            <a:gd name="T89" fmla="*/ 0 h 959"/>
            <a:gd name="T90" fmla="*/ 2147483647 w 940"/>
            <a:gd name="T91" fmla="*/ 2147483647 h 959"/>
            <a:gd name="T92" fmla="*/ 2147483647 w 940"/>
            <a:gd name="T93" fmla="*/ 2147483647 h 959"/>
            <a:gd name="T94" fmla="*/ 2147483647 w 940"/>
            <a:gd name="T95" fmla="*/ 2147483647 h 959"/>
            <a:gd name="T96" fmla="*/ 2147483647 w 940"/>
            <a:gd name="T97" fmla="*/ 2147483647 h 959"/>
            <a:gd name="T98" fmla="*/ 2147483647 w 940"/>
            <a:gd name="T99" fmla="*/ 2147483647 h 959"/>
            <a:gd name="T100" fmla="*/ 2147483647 w 940"/>
            <a:gd name="T101" fmla="*/ 2147483647 h 959"/>
            <a:gd name="T102" fmla="*/ 2147483647 w 940"/>
            <a:gd name="T103" fmla="*/ 2147483647 h 959"/>
            <a:gd name="T104" fmla="*/ 2147483647 w 940"/>
            <a:gd name="T105" fmla="*/ 2147483647 h 959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940"/>
            <a:gd name="T160" fmla="*/ 0 h 959"/>
            <a:gd name="T161" fmla="*/ 940 w 940"/>
            <a:gd name="T162" fmla="*/ 959 h 959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940" h="959">
              <a:moveTo>
                <a:pt x="537" y="477"/>
              </a:moveTo>
              <a:lnTo>
                <a:pt x="559" y="477"/>
              </a:lnTo>
              <a:lnTo>
                <a:pt x="570" y="477"/>
              </a:lnTo>
              <a:lnTo>
                <a:pt x="602" y="477"/>
              </a:lnTo>
              <a:lnTo>
                <a:pt x="616" y="477"/>
              </a:lnTo>
              <a:lnTo>
                <a:pt x="624" y="477"/>
              </a:lnTo>
              <a:lnTo>
                <a:pt x="650" y="477"/>
              </a:lnTo>
              <a:lnTo>
                <a:pt x="654" y="477"/>
              </a:lnTo>
              <a:lnTo>
                <a:pt x="663" y="477"/>
              </a:lnTo>
              <a:lnTo>
                <a:pt x="686" y="477"/>
              </a:lnTo>
              <a:lnTo>
                <a:pt x="692" y="477"/>
              </a:lnTo>
              <a:lnTo>
                <a:pt x="708" y="477"/>
              </a:lnTo>
              <a:lnTo>
                <a:pt x="710" y="477"/>
              </a:lnTo>
              <a:lnTo>
                <a:pt x="733" y="476"/>
              </a:lnTo>
              <a:lnTo>
                <a:pt x="787" y="476"/>
              </a:lnTo>
              <a:lnTo>
                <a:pt x="803" y="476"/>
              </a:lnTo>
              <a:lnTo>
                <a:pt x="803" y="477"/>
              </a:lnTo>
              <a:lnTo>
                <a:pt x="807" y="476"/>
              </a:lnTo>
              <a:lnTo>
                <a:pt x="803" y="494"/>
              </a:lnTo>
              <a:lnTo>
                <a:pt x="789" y="536"/>
              </a:lnTo>
              <a:lnTo>
                <a:pt x="786" y="555"/>
              </a:lnTo>
              <a:lnTo>
                <a:pt x="802" y="595"/>
              </a:lnTo>
              <a:lnTo>
                <a:pt x="803" y="595"/>
              </a:lnTo>
              <a:lnTo>
                <a:pt x="815" y="604"/>
              </a:lnTo>
              <a:lnTo>
                <a:pt x="827" y="654"/>
              </a:lnTo>
              <a:lnTo>
                <a:pt x="846" y="671"/>
              </a:lnTo>
              <a:lnTo>
                <a:pt x="827" y="677"/>
              </a:lnTo>
              <a:lnTo>
                <a:pt x="803" y="704"/>
              </a:lnTo>
              <a:lnTo>
                <a:pt x="783" y="711"/>
              </a:lnTo>
              <a:lnTo>
                <a:pt x="803" y="726"/>
              </a:lnTo>
              <a:lnTo>
                <a:pt x="812" y="742"/>
              </a:lnTo>
              <a:lnTo>
                <a:pt x="827" y="745"/>
              </a:lnTo>
              <a:lnTo>
                <a:pt x="839" y="712"/>
              </a:lnTo>
              <a:lnTo>
                <a:pt x="850" y="705"/>
              </a:lnTo>
              <a:lnTo>
                <a:pt x="874" y="701"/>
              </a:lnTo>
              <a:lnTo>
                <a:pt x="910" y="675"/>
              </a:lnTo>
              <a:lnTo>
                <a:pt x="906" y="727"/>
              </a:lnTo>
              <a:lnTo>
                <a:pt x="895" y="733"/>
              </a:lnTo>
              <a:lnTo>
                <a:pt x="897" y="745"/>
              </a:lnTo>
              <a:lnTo>
                <a:pt x="866" y="772"/>
              </a:lnTo>
              <a:lnTo>
                <a:pt x="862" y="793"/>
              </a:lnTo>
              <a:lnTo>
                <a:pt x="850" y="780"/>
              </a:lnTo>
              <a:lnTo>
                <a:pt x="850" y="798"/>
              </a:lnTo>
              <a:lnTo>
                <a:pt x="827" y="788"/>
              </a:lnTo>
              <a:lnTo>
                <a:pt x="850" y="800"/>
              </a:lnTo>
              <a:lnTo>
                <a:pt x="825" y="801"/>
              </a:lnTo>
              <a:lnTo>
                <a:pt x="844" y="831"/>
              </a:lnTo>
              <a:lnTo>
                <a:pt x="832" y="829"/>
              </a:lnTo>
              <a:lnTo>
                <a:pt x="849" y="858"/>
              </a:lnTo>
              <a:lnTo>
                <a:pt x="874" y="858"/>
              </a:lnTo>
              <a:lnTo>
                <a:pt x="898" y="876"/>
              </a:lnTo>
              <a:lnTo>
                <a:pt x="911" y="873"/>
              </a:lnTo>
              <a:lnTo>
                <a:pt x="928" y="892"/>
              </a:lnTo>
              <a:lnTo>
                <a:pt x="940" y="898"/>
              </a:lnTo>
              <a:lnTo>
                <a:pt x="934" y="934"/>
              </a:lnTo>
              <a:lnTo>
                <a:pt x="919" y="935"/>
              </a:lnTo>
              <a:lnTo>
                <a:pt x="915" y="956"/>
              </a:lnTo>
              <a:lnTo>
                <a:pt x="915" y="949"/>
              </a:lnTo>
              <a:lnTo>
                <a:pt x="898" y="930"/>
              </a:lnTo>
              <a:lnTo>
                <a:pt x="874" y="959"/>
              </a:lnTo>
              <a:lnTo>
                <a:pt x="869" y="954"/>
              </a:lnTo>
              <a:lnTo>
                <a:pt x="875" y="949"/>
              </a:lnTo>
              <a:lnTo>
                <a:pt x="874" y="930"/>
              </a:lnTo>
              <a:lnTo>
                <a:pt x="868" y="929"/>
              </a:lnTo>
              <a:lnTo>
                <a:pt x="852" y="898"/>
              </a:lnTo>
              <a:lnTo>
                <a:pt x="803" y="876"/>
              </a:lnTo>
              <a:lnTo>
                <a:pt x="774" y="879"/>
              </a:lnTo>
              <a:lnTo>
                <a:pt x="740" y="910"/>
              </a:lnTo>
              <a:lnTo>
                <a:pt x="710" y="930"/>
              </a:lnTo>
              <a:lnTo>
                <a:pt x="686" y="935"/>
              </a:lnTo>
              <a:lnTo>
                <a:pt x="705" y="930"/>
              </a:lnTo>
              <a:lnTo>
                <a:pt x="713" y="920"/>
              </a:lnTo>
              <a:lnTo>
                <a:pt x="698" y="890"/>
              </a:lnTo>
              <a:lnTo>
                <a:pt x="686" y="887"/>
              </a:lnTo>
              <a:lnTo>
                <a:pt x="680" y="903"/>
              </a:lnTo>
              <a:lnTo>
                <a:pt x="663" y="898"/>
              </a:lnTo>
              <a:lnTo>
                <a:pt x="631" y="920"/>
              </a:lnTo>
              <a:lnTo>
                <a:pt x="607" y="939"/>
              </a:lnTo>
              <a:lnTo>
                <a:pt x="600" y="939"/>
              </a:lnTo>
              <a:lnTo>
                <a:pt x="583" y="914"/>
              </a:lnTo>
              <a:lnTo>
                <a:pt x="549" y="915"/>
              </a:lnTo>
              <a:lnTo>
                <a:pt x="500" y="871"/>
              </a:lnTo>
              <a:lnTo>
                <a:pt x="512" y="876"/>
              </a:lnTo>
              <a:lnTo>
                <a:pt x="526" y="861"/>
              </a:lnTo>
              <a:lnTo>
                <a:pt x="519" y="837"/>
              </a:lnTo>
              <a:lnTo>
                <a:pt x="476" y="823"/>
              </a:lnTo>
              <a:lnTo>
                <a:pt x="467" y="827"/>
              </a:lnTo>
              <a:lnTo>
                <a:pt x="467" y="801"/>
              </a:lnTo>
              <a:lnTo>
                <a:pt x="453" y="801"/>
              </a:lnTo>
              <a:lnTo>
                <a:pt x="453" y="776"/>
              </a:lnTo>
              <a:lnTo>
                <a:pt x="430" y="772"/>
              </a:lnTo>
              <a:lnTo>
                <a:pt x="406" y="780"/>
              </a:lnTo>
              <a:lnTo>
                <a:pt x="409" y="774"/>
              </a:lnTo>
              <a:lnTo>
                <a:pt x="405" y="772"/>
              </a:lnTo>
              <a:lnTo>
                <a:pt x="406" y="752"/>
              </a:lnTo>
              <a:lnTo>
                <a:pt x="388" y="752"/>
              </a:lnTo>
              <a:lnTo>
                <a:pt x="382" y="762"/>
              </a:lnTo>
              <a:lnTo>
                <a:pt x="352" y="773"/>
              </a:lnTo>
              <a:lnTo>
                <a:pt x="382" y="804"/>
              </a:lnTo>
              <a:lnTo>
                <a:pt x="412" y="801"/>
              </a:lnTo>
              <a:lnTo>
                <a:pt x="430" y="813"/>
              </a:lnTo>
              <a:lnTo>
                <a:pt x="426" y="833"/>
              </a:lnTo>
              <a:lnTo>
                <a:pt x="405" y="830"/>
              </a:lnTo>
              <a:lnTo>
                <a:pt x="375" y="812"/>
              </a:lnTo>
              <a:lnTo>
                <a:pt x="356" y="811"/>
              </a:lnTo>
              <a:lnTo>
                <a:pt x="335" y="822"/>
              </a:lnTo>
              <a:lnTo>
                <a:pt x="267" y="812"/>
              </a:lnTo>
              <a:lnTo>
                <a:pt x="203" y="782"/>
              </a:lnTo>
              <a:lnTo>
                <a:pt x="146" y="766"/>
              </a:lnTo>
              <a:lnTo>
                <a:pt x="55" y="776"/>
              </a:lnTo>
              <a:lnTo>
                <a:pt x="41" y="797"/>
              </a:lnTo>
              <a:lnTo>
                <a:pt x="31" y="774"/>
              </a:lnTo>
              <a:lnTo>
                <a:pt x="29" y="750"/>
              </a:lnTo>
              <a:lnTo>
                <a:pt x="36" y="745"/>
              </a:lnTo>
              <a:lnTo>
                <a:pt x="52" y="712"/>
              </a:lnTo>
              <a:lnTo>
                <a:pt x="57" y="706"/>
              </a:lnTo>
              <a:lnTo>
                <a:pt x="60" y="701"/>
              </a:lnTo>
              <a:lnTo>
                <a:pt x="65" y="684"/>
              </a:lnTo>
              <a:lnTo>
                <a:pt x="63" y="655"/>
              </a:lnTo>
              <a:lnTo>
                <a:pt x="55" y="637"/>
              </a:lnTo>
              <a:lnTo>
                <a:pt x="55" y="619"/>
              </a:lnTo>
              <a:lnTo>
                <a:pt x="57" y="618"/>
              </a:lnTo>
              <a:lnTo>
                <a:pt x="62" y="595"/>
              </a:lnTo>
              <a:lnTo>
                <a:pt x="82" y="536"/>
              </a:lnTo>
              <a:lnTo>
                <a:pt x="91" y="508"/>
              </a:lnTo>
              <a:lnTo>
                <a:pt x="91" y="507"/>
              </a:lnTo>
              <a:lnTo>
                <a:pt x="87" y="477"/>
              </a:lnTo>
              <a:lnTo>
                <a:pt x="92" y="433"/>
              </a:lnTo>
              <a:lnTo>
                <a:pt x="83" y="435"/>
              </a:lnTo>
              <a:lnTo>
                <a:pt x="55" y="362"/>
              </a:lnTo>
              <a:lnTo>
                <a:pt x="60" y="358"/>
              </a:lnTo>
              <a:lnTo>
                <a:pt x="39" y="338"/>
              </a:lnTo>
              <a:lnTo>
                <a:pt x="39" y="299"/>
              </a:lnTo>
              <a:lnTo>
                <a:pt x="30" y="277"/>
              </a:lnTo>
              <a:lnTo>
                <a:pt x="31" y="277"/>
              </a:lnTo>
              <a:lnTo>
                <a:pt x="8" y="250"/>
              </a:lnTo>
              <a:lnTo>
                <a:pt x="7" y="247"/>
              </a:lnTo>
              <a:lnTo>
                <a:pt x="6" y="246"/>
              </a:lnTo>
              <a:lnTo>
                <a:pt x="5" y="243"/>
              </a:lnTo>
              <a:lnTo>
                <a:pt x="0" y="240"/>
              </a:lnTo>
              <a:lnTo>
                <a:pt x="0" y="194"/>
              </a:lnTo>
              <a:lnTo>
                <a:pt x="0" y="182"/>
              </a:lnTo>
              <a:lnTo>
                <a:pt x="0" y="152"/>
              </a:lnTo>
              <a:lnTo>
                <a:pt x="0" y="147"/>
              </a:lnTo>
              <a:lnTo>
                <a:pt x="0" y="123"/>
              </a:lnTo>
              <a:lnTo>
                <a:pt x="0" y="93"/>
              </a:lnTo>
              <a:lnTo>
                <a:pt x="0" y="77"/>
              </a:lnTo>
              <a:lnTo>
                <a:pt x="0" y="67"/>
              </a:lnTo>
              <a:lnTo>
                <a:pt x="0" y="63"/>
              </a:lnTo>
              <a:lnTo>
                <a:pt x="0" y="33"/>
              </a:lnTo>
              <a:lnTo>
                <a:pt x="0" y="4"/>
              </a:lnTo>
              <a:lnTo>
                <a:pt x="0" y="0"/>
              </a:lnTo>
              <a:lnTo>
                <a:pt x="8" y="0"/>
              </a:lnTo>
              <a:lnTo>
                <a:pt x="22" y="0"/>
              </a:lnTo>
              <a:lnTo>
                <a:pt x="44" y="0"/>
              </a:lnTo>
              <a:lnTo>
                <a:pt x="68" y="0"/>
              </a:lnTo>
              <a:lnTo>
                <a:pt x="70" y="0"/>
              </a:lnTo>
              <a:lnTo>
                <a:pt x="98" y="0"/>
              </a:lnTo>
              <a:lnTo>
                <a:pt x="102" y="0"/>
              </a:lnTo>
              <a:lnTo>
                <a:pt x="103" y="0"/>
              </a:lnTo>
              <a:lnTo>
                <a:pt x="132" y="0"/>
              </a:lnTo>
              <a:lnTo>
                <a:pt x="148" y="0"/>
              </a:lnTo>
              <a:lnTo>
                <a:pt x="150" y="0"/>
              </a:lnTo>
              <a:lnTo>
                <a:pt x="156" y="0"/>
              </a:lnTo>
              <a:lnTo>
                <a:pt x="161" y="0"/>
              </a:lnTo>
              <a:lnTo>
                <a:pt x="197" y="0"/>
              </a:lnTo>
              <a:lnTo>
                <a:pt x="232" y="1"/>
              </a:lnTo>
              <a:lnTo>
                <a:pt x="246" y="1"/>
              </a:lnTo>
              <a:lnTo>
                <a:pt x="289" y="2"/>
              </a:lnTo>
              <a:lnTo>
                <a:pt x="351" y="2"/>
              </a:lnTo>
              <a:lnTo>
                <a:pt x="370" y="2"/>
              </a:lnTo>
              <a:lnTo>
                <a:pt x="459" y="3"/>
              </a:lnTo>
              <a:lnTo>
                <a:pt x="462" y="3"/>
              </a:lnTo>
              <a:lnTo>
                <a:pt x="483" y="3"/>
              </a:lnTo>
              <a:lnTo>
                <a:pt x="488" y="3"/>
              </a:lnTo>
              <a:lnTo>
                <a:pt x="493" y="3"/>
              </a:lnTo>
              <a:lnTo>
                <a:pt x="494" y="3"/>
              </a:lnTo>
              <a:lnTo>
                <a:pt x="520" y="3"/>
              </a:lnTo>
              <a:lnTo>
                <a:pt x="528" y="3"/>
              </a:lnTo>
              <a:lnTo>
                <a:pt x="532" y="3"/>
              </a:lnTo>
              <a:lnTo>
                <a:pt x="539" y="3"/>
              </a:lnTo>
              <a:lnTo>
                <a:pt x="546" y="102"/>
              </a:lnTo>
              <a:lnTo>
                <a:pt x="569" y="93"/>
              </a:lnTo>
              <a:lnTo>
                <a:pt x="561" y="105"/>
              </a:lnTo>
              <a:lnTo>
                <a:pt x="556" y="108"/>
              </a:lnTo>
              <a:lnTo>
                <a:pt x="570" y="127"/>
              </a:lnTo>
              <a:lnTo>
                <a:pt x="547" y="123"/>
              </a:lnTo>
              <a:lnTo>
                <a:pt x="570" y="134"/>
              </a:lnTo>
              <a:lnTo>
                <a:pt x="570" y="195"/>
              </a:lnTo>
              <a:lnTo>
                <a:pt x="546" y="190"/>
              </a:lnTo>
              <a:lnTo>
                <a:pt x="546" y="210"/>
              </a:lnTo>
              <a:lnTo>
                <a:pt x="559" y="210"/>
              </a:lnTo>
              <a:lnTo>
                <a:pt x="560" y="212"/>
              </a:lnTo>
              <a:lnTo>
                <a:pt x="560" y="210"/>
              </a:lnTo>
              <a:lnTo>
                <a:pt x="566" y="210"/>
              </a:lnTo>
              <a:lnTo>
                <a:pt x="563" y="212"/>
              </a:lnTo>
              <a:lnTo>
                <a:pt x="563" y="214"/>
              </a:lnTo>
              <a:lnTo>
                <a:pt x="546" y="223"/>
              </a:lnTo>
              <a:lnTo>
                <a:pt x="553" y="240"/>
              </a:lnTo>
              <a:lnTo>
                <a:pt x="525" y="270"/>
              </a:lnTo>
              <a:lnTo>
                <a:pt x="523" y="271"/>
              </a:lnTo>
              <a:lnTo>
                <a:pt x="519" y="299"/>
              </a:lnTo>
              <a:lnTo>
                <a:pt x="510" y="299"/>
              </a:lnTo>
              <a:lnTo>
                <a:pt x="503" y="299"/>
              </a:lnTo>
              <a:lnTo>
                <a:pt x="499" y="303"/>
              </a:lnTo>
              <a:lnTo>
                <a:pt x="498" y="304"/>
              </a:lnTo>
              <a:lnTo>
                <a:pt x="476" y="324"/>
              </a:lnTo>
              <a:lnTo>
                <a:pt x="476" y="390"/>
              </a:lnTo>
              <a:lnTo>
                <a:pt x="459" y="431"/>
              </a:lnTo>
              <a:lnTo>
                <a:pt x="453" y="446"/>
              </a:lnTo>
              <a:lnTo>
                <a:pt x="455" y="475"/>
              </a:lnTo>
              <a:lnTo>
                <a:pt x="450" y="477"/>
              </a:lnTo>
              <a:lnTo>
                <a:pt x="499" y="477"/>
              </a:lnTo>
              <a:lnTo>
                <a:pt x="523" y="477"/>
              </a:lnTo>
              <a:lnTo>
                <a:pt x="537" y="47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571501</xdr:colOff>
      <xdr:row>25</xdr:row>
      <xdr:rowOff>76201</xdr:rowOff>
    </xdr:from>
    <xdr:to>
      <xdr:col>2</xdr:col>
      <xdr:colOff>2238375</xdr:colOff>
      <xdr:row>25</xdr:row>
      <xdr:rowOff>1123951</xdr:rowOff>
    </xdr:to>
    <xdr:grpSp>
      <xdr:nvGrpSpPr>
        <xdr:cNvPr id="110" name="S_MN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>
          <a:grpSpLocks/>
        </xdr:cNvGrpSpPr>
      </xdr:nvGrpSpPr>
      <xdr:grpSpPr bwMode="auto">
        <a:xfrm>
          <a:off x="2609851" y="30670501"/>
          <a:ext cx="1666874" cy="1047750"/>
          <a:chOff x="4663377" y="537321"/>
          <a:chExt cx="1216850" cy="1030861"/>
        </a:xfrm>
        <a:solidFill>
          <a:srgbClr val="87CEFA"/>
        </a:solidFill>
      </xdr:grpSpPr>
      <xdr:sp macro="" textlink="">
        <xdr:nvSpPr>
          <xdr:cNvPr id="111" name="myShape_MN2">
            <a:extLst>
              <a:ext uri="{FF2B5EF4-FFF2-40B4-BE49-F238E27FC236}">
                <a16:creationId xmlns:a16="http://schemas.microsoft.com/office/drawing/2014/main" id="{00000000-0008-0000-0500-00006F000000}"/>
              </a:ext>
            </a:extLst>
          </xdr:cNvPr>
          <xdr:cNvSpPr>
            <a:spLocks/>
          </xdr:cNvSpPr>
        </xdr:nvSpPr>
        <xdr:spPr bwMode="auto">
          <a:xfrm>
            <a:off x="4663377" y="537321"/>
            <a:ext cx="1102770" cy="1030861"/>
          </a:xfrm>
          <a:custGeom>
            <a:avLst/>
            <a:gdLst>
              <a:gd name="T0" fmla="*/ 2147483647 w 1441"/>
              <a:gd name="T1" fmla="*/ 2147483647 h 1390"/>
              <a:gd name="T2" fmla="*/ 2147483647 w 1441"/>
              <a:gd name="T3" fmla="*/ 2147483647 h 1390"/>
              <a:gd name="T4" fmla="*/ 2147483647 w 1441"/>
              <a:gd name="T5" fmla="*/ 2147483647 h 1390"/>
              <a:gd name="T6" fmla="*/ 2147483647 w 1441"/>
              <a:gd name="T7" fmla="*/ 2147483647 h 1390"/>
              <a:gd name="T8" fmla="*/ 2147483647 w 1441"/>
              <a:gd name="T9" fmla="*/ 2147483647 h 1390"/>
              <a:gd name="T10" fmla="*/ 2147483647 w 1441"/>
              <a:gd name="T11" fmla="*/ 2147483647 h 1390"/>
              <a:gd name="T12" fmla="*/ 2147483647 w 1441"/>
              <a:gd name="T13" fmla="*/ 2147483647 h 1390"/>
              <a:gd name="T14" fmla="*/ 2147483647 w 1441"/>
              <a:gd name="T15" fmla="*/ 2147483647 h 1390"/>
              <a:gd name="T16" fmla="*/ 2147483647 w 1441"/>
              <a:gd name="T17" fmla="*/ 2147483647 h 1390"/>
              <a:gd name="T18" fmla="*/ 2147483647 w 1441"/>
              <a:gd name="T19" fmla="*/ 2147483647 h 1390"/>
              <a:gd name="T20" fmla="*/ 2147483647 w 1441"/>
              <a:gd name="T21" fmla="*/ 2147483647 h 1390"/>
              <a:gd name="T22" fmla="*/ 2147483647 w 1441"/>
              <a:gd name="T23" fmla="*/ 2147483647 h 1390"/>
              <a:gd name="T24" fmla="*/ 2147483647 w 1441"/>
              <a:gd name="T25" fmla="*/ 2147483647 h 1390"/>
              <a:gd name="T26" fmla="*/ 2147483647 w 1441"/>
              <a:gd name="T27" fmla="*/ 2147483647 h 1390"/>
              <a:gd name="T28" fmla="*/ 2147483647 w 1441"/>
              <a:gd name="T29" fmla="*/ 2147483647 h 1390"/>
              <a:gd name="T30" fmla="*/ 2147483647 w 1441"/>
              <a:gd name="T31" fmla="*/ 2147483647 h 1390"/>
              <a:gd name="T32" fmla="*/ 2147483647 w 1441"/>
              <a:gd name="T33" fmla="*/ 2147483647 h 1390"/>
              <a:gd name="T34" fmla="*/ 2147483647 w 1441"/>
              <a:gd name="T35" fmla="*/ 2147483647 h 1390"/>
              <a:gd name="T36" fmla="*/ 2147483647 w 1441"/>
              <a:gd name="T37" fmla="*/ 2147483647 h 1390"/>
              <a:gd name="T38" fmla="*/ 2147483647 w 1441"/>
              <a:gd name="T39" fmla="*/ 2147483647 h 1390"/>
              <a:gd name="T40" fmla="*/ 2147483647 w 1441"/>
              <a:gd name="T41" fmla="*/ 2147483647 h 1390"/>
              <a:gd name="T42" fmla="*/ 2147483647 w 1441"/>
              <a:gd name="T43" fmla="*/ 2147483647 h 1390"/>
              <a:gd name="T44" fmla="*/ 2147483647 w 1441"/>
              <a:gd name="T45" fmla="*/ 2147483647 h 1390"/>
              <a:gd name="T46" fmla="*/ 2147483647 w 1441"/>
              <a:gd name="T47" fmla="*/ 2147483647 h 1390"/>
              <a:gd name="T48" fmla="*/ 2147483647 w 1441"/>
              <a:gd name="T49" fmla="*/ 2147483647 h 1390"/>
              <a:gd name="T50" fmla="*/ 2147483647 w 1441"/>
              <a:gd name="T51" fmla="*/ 2147483647 h 1390"/>
              <a:gd name="T52" fmla="*/ 2147483647 w 1441"/>
              <a:gd name="T53" fmla="*/ 2147483647 h 1390"/>
              <a:gd name="T54" fmla="*/ 2147483647 w 1441"/>
              <a:gd name="T55" fmla="*/ 2147483647 h 1390"/>
              <a:gd name="T56" fmla="*/ 2147483647 w 1441"/>
              <a:gd name="T57" fmla="*/ 2147483647 h 1390"/>
              <a:gd name="T58" fmla="*/ 2147483647 w 1441"/>
              <a:gd name="T59" fmla="*/ 2147483647 h 1390"/>
              <a:gd name="T60" fmla="*/ 2147483647 w 1441"/>
              <a:gd name="T61" fmla="*/ 2147483647 h 1390"/>
              <a:gd name="T62" fmla="*/ 2147483647 w 1441"/>
              <a:gd name="T63" fmla="*/ 2147483647 h 1390"/>
              <a:gd name="T64" fmla="*/ 2147483647 w 1441"/>
              <a:gd name="T65" fmla="*/ 2147483647 h 1390"/>
              <a:gd name="T66" fmla="*/ 2147483647 w 1441"/>
              <a:gd name="T67" fmla="*/ 2147483647 h 1390"/>
              <a:gd name="T68" fmla="*/ 2147483647 w 1441"/>
              <a:gd name="T69" fmla="*/ 2147483647 h 1390"/>
              <a:gd name="T70" fmla="*/ 2147483647 w 1441"/>
              <a:gd name="T71" fmla="*/ 2147483647 h 1390"/>
              <a:gd name="T72" fmla="*/ 2147483647 w 1441"/>
              <a:gd name="T73" fmla="*/ 2147483647 h 1390"/>
              <a:gd name="T74" fmla="*/ 2147483647 w 1441"/>
              <a:gd name="T75" fmla="*/ 2147483647 h 1390"/>
              <a:gd name="T76" fmla="*/ 2147483647 w 1441"/>
              <a:gd name="T77" fmla="*/ 2147483647 h 1390"/>
              <a:gd name="T78" fmla="*/ 2147483647 w 1441"/>
              <a:gd name="T79" fmla="*/ 2147483647 h 1390"/>
              <a:gd name="T80" fmla="*/ 2147483647 w 1441"/>
              <a:gd name="T81" fmla="*/ 2147483647 h 1390"/>
              <a:gd name="T82" fmla="*/ 2147483647 w 1441"/>
              <a:gd name="T83" fmla="*/ 2147483647 h 1390"/>
              <a:gd name="T84" fmla="*/ 2147483647 w 1441"/>
              <a:gd name="T85" fmla="*/ 2147483647 h 1390"/>
              <a:gd name="T86" fmla="*/ 2147483647 w 1441"/>
              <a:gd name="T87" fmla="*/ 2147483647 h 1390"/>
              <a:gd name="T88" fmla="*/ 2147483647 w 1441"/>
              <a:gd name="T89" fmla="*/ 2147483647 h 1390"/>
              <a:gd name="T90" fmla="*/ 2147483647 w 1441"/>
              <a:gd name="T91" fmla="*/ 2147483647 h 1390"/>
              <a:gd name="T92" fmla="*/ 2147483647 w 1441"/>
              <a:gd name="T93" fmla="*/ 2147483647 h 1390"/>
              <a:gd name="T94" fmla="*/ 2147483647 w 1441"/>
              <a:gd name="T95" fmla="*/ 2147483647 h 1390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441"/>
              <a:gd name="T145" fmla="*/ 0 h 1390"/>
              <a:gd name="T146" fmla="*/ 1441 w 1441"/>
              <a:gd name="T147" fmla="*/ 1390 h 1390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441" h="1390">
                <a:moveTo>
                  <a:pt x="146" y="1081"/>
                </a:moveTo>
                <a:lnTo>
                  <a:pt x="146" y="1040"/>
                </a:lnTo>
                <a:lnTo>
                  <a:pt x="146" y="972"/>
                </a:lnTo>
                <a:lnTo>
                  <a:pt x="143" y="958"/>
                </a:lnTo>
                <a:lnTo>
                  <a:pt x="137" y="949"/>
                </a:lnTo>
                <a:lnTo>
                  <a:pt x="114" y="939"/>
                </a:lnTo>
                <a:lnTo>
                  <a:pt x="74" y="897"/>
                </a:lnTo>
                <a:lnTo>
                  <a:pt x="71" y="887"/>
                </a:lnTo>
                <a:lnTo>
                  <a:pt x="108" y="858"/>
                </a:lnTo>
                <a:lnTo>
                  <a:pt x="125" y="814"/>
                </a:lnTo>
                <a:lnTo>
                  <a:pt x="122" y="799"/>
                </a:lnTo>
                <a:lnTo>
                  <a:pt x="122" y="794"/>
                </a:lnTo>
                <a:lnTo>
                  <a:pt x="114" y="717"/>
                </a:lnTo>
                <a:lnTo>
                  <a:pt x="91" y="681"/>
                </a:lnTo>
                <a:lnTo>
                  <a:pt x="85" y="652"/>
                </a:lnTo>
                <a:lnTo>
                  <a:pt x="84" y="651"/>
                </a:lnTo>
                <a:lnTo>
                  <a:pt x="80" y="651"/>
                </a:lnTo>
                <a:lnTo>
                  <a:pt x="85" y="593"/>
                </a:lnTo>
                <a:lnTo>
                  <a:pt x="76" y="563"/>
                </a:lnTo>
                <a:lnTo>
                  <a:pt x="73" y="528"/>
                </a:lnTo>
                <a:lnTo>
                  <a:pt x="74" y="519"/>
                </a:lnTo>
                <a:lnTo>
                  <a:pt x="74" y="507"/>
                </a:lnTo>
                <a:lnTo>
                  <a:pt x="72" y="485"/>
                </a:lnTo>
                <a:lnTo>
                  <a:pt x="75" y="484"/>
                </a:lnTo>
                <a:lnTo>
                  <a:pt x="70" y="476"/>
                </a:lnTo>
                <a:lnTo>
                  <a:pt x="72" y="474"/>
                </a:lnTo>
                <a:lnTo>
                  <a:pt x="72" y="445"/>
                </a:lnTo>
                <a:lnTo>
                  <a:pt x="71" y="444"/>
                </a:lnTo>
                <a:lnTo>
                  <a:pt x="67" y="416"/>
                </a:lnTo>
                <a:lnTo>
                  <a:pt x="64" y="405"/>
                </a:lnTo>
                <a:lnTo>
                  <a:pt x="39" y="356"/>
                </a:lnTo>
                <a:lnTo>
                  <a:pt x="21" y="288"/>
                </a:lnTo>
                <a:lnTo>
                  <a:pt x="15" y="286"/>
                </a:lnTo>
                <a:lnTo>
                  <a:pt x="16" y="280"/>
                </a:lnTo>
                <a:lnTo>
                  <a:pt x="21" y="277"/>
                </a:lnTo>
                <a:lnTo>
                  <a:pt x="18" y="227"/>
                </a:lnTo>
                <a:lnTo>
                  <a:pt x="13" y="199"/>
                </a:lnTo>
                <a:lnTo>
                  <a:pt x="13" y="198"/>
                </a:lnTo>
                <a:lnTo>
                  <a:pt x="8" y="123"/>
                </a:lnTo>
                <a:lnTo>
                  <a:pt x="10" y="120"/>
                </a:lnTo>
                <a:lnTo>
                  <a:pt x="0" y="90"/>
                </a:lnTo>
                <a:lnTo>
                  <a:pt x="154" y="90"/>
                </a:lnTo>
                <a:lnTo>
                  <a:pt x="357" y="91"/>
                </a:lnTo>
                <a:lnTo>
                  <a:pt x="389" y="90"/>
                </a:lnTo>
                <a:lnTo>
                  <a:pt x="389" y="0"/>
                </a:lnTo>
                <a:lnTo>
                  <a:pt x="425" y="3"/>
                </a:lnTo>
                <a:lnTo>
                  <a:pt x="452" y="15"/>
                </a:lnTo>
                <a:lnTo>
                  <a:pt x="474" y="140"/>
                </a:lnTo>
                <a:lnTo>
                  <a:pt x="495" y="157"/>
                </a:lnTo>
                <a:lnTo>
                  <a:pt x="524" y="161"/>
                </a:lnTo>
                <a:lnTo>
                  <a:pt x="552" y="162"/>
                </a:lnTo>
                <a:lnTo>
                  <a:pt x="558" y="171"/>
                </a:lnTo>
                <a:lnTo>
                  <a:pt x="634" y="178"/>
                </a:lnTo>
                <a:lnTo>
                  <a:pt x="643" y="204"/>
                </a:lnTo>
                <a:lnTo>
                  <a:pt x="689" y="201"/>
                </a:lnTo>
                <a:lnTo>
                  <a:pt x="706" y="193"/>
                </a:lnTo>
                <a:lnTo>
                  <a:pt x="704" y="187"/>
                </a:lnTo>
                <a:lnTo>
                  <a:pt x="753" y="174"/>
                </a:lnTo>
                <a:lnTo>
                  <a:pt x="775" y="179"/>
                </a:lnTo>
                <a:lnTo>
                  <a:pt x="800" y="178"/>
                </a:lnTo>
                <a:lnTo>
                  <a:pt x="842" y="199"/>
                </a:lnTo>
                <a:lnTo>
                  <a:pt x="860" y="198"/>
                </a:lnTo>
                <a:lnTo>
                  <a:pt x="862" y="224"/>
                </a:lnTo>
                <a:lnTo>
                  <a:pt x="885" y="223"/>
                </a:lnTo>
                <a:lnTo>
                  <a:pt x="908" y="273"/>
                </a:lnTo>
                <a:lnTo>
                  <a:pt x="928" y="268"/>
                </a:lnTo>
                <a:lnTo>
                  <a:pt x="924" y="246"/>
                </a:lnTo>
                <a:lnTo>
                  <a:pt x="963" y="242"/>
                </a:lnTo>
                <a:lnTo>
                  <a:pt x="978" y="250"/>
                </a:lnTo>
                <a:lnTo>
                  <a:pt x="982" y="268"/>
                </a:lnTo>
                <a:lnTo>
                  <a:pt x="1016" y="278"/>
                </a:lnTo>
                <a:lnTo>
                  <a:pt x="1072" y="311"/>
                </a:lnTo>
                <a:lnTo>
                  <a:pt x="1114" y="308"/>
                </a:lnTo>
                <a:lnTo>
                  <a:pt x="1159" y="283"/>
                </a:lnTo>
                <a:lnTo>
                  <a:pt x="1195" y="269"/>
                </a:lnTo>
                <a:lnTo>
                  <a:pt x="1212" y="305"/>
                </a:lnTo>
                <a:lnTo>
                  <a:pt x="1235" y="301"/>
                </a:lnTo>
                <a:lnTo>
                  <a:pt x="1289" y="304"/>
                </a:lnTo>
                <a:lnTo>
                  <a:pt x="1325" y="301"/>
                </a:lnTo>
                <a:lnTo>
                  <a:pt x="1375" y="330"/>
                </a:lnTo>
                <a:lnTo>
                  <a:pt x="1399" y="321"/>
                </a:lnTo>
                <a:lnTo>
                  <a:pt x="1441" y="324"/>
                </a:lnTo>
                <a:lnTo>
                  <a:pt x="1353" y="368"/>
                </a:lnTo>
                <a:lnTo>
                  <a:pt x="1259" y="395"/>
                </a:lnTo>
                <a:lnTo>
                  <a:pt x="1212" y="417"/>
                </a:lnTo>
                <a:lnTo>
                  <a:pt x="1161" y="453"/>
                </a:lnTo>
                <a:lnTo>
                  <a:pt x="1119" y="495"/>
                </a:lnTo>
                <a:lnTo>
                  <a:pt x="1095" y="517"/>
                </a:lnTo>
                <a:lnTo>
                  <a:pt x="1017" y="577"/>
                </a:lnTo>
                <a:lnTo>
                  <a:pt x="978" y="601"/>
                </a:lnTo>
                <a:lnTo>
                  <a:pt x="966" y="622"/>
                </a:lnTo>
                <a:lnTo>
                  <a:pt x="977" y="631"/>
                </a:lnTo>
                <a:lnTo>
                  <a:pt x="961" y="622"/>
                </a:lnTo>
                <a:lnTo>
                  <a:pt x="931" y="644"/>
                </a:lnTo>
                <a:lnTo>
                  <a:pt x="924" y="642"/>
                </a:lnTo>
                <a:lnTo>
                  <a:pt x="924" y="652"/>
                </a:lnTo>
                <a:lnTo>
                  <a:pt x="924" y="681"/>
                </a:lnTo>
                <a:lnTo>
                  <a:pt x="924" y="701"/>
                </a:lnTo>
                <a:lnTo>
                  <a:pt x="924" y="762"/>
                </a:lnTo>
                <a:lnTo>
                  <a:pt x="924" y="781"/>
                </a:lnTo>
                <a:lnTo>
                  <a:pt x="838" y="837"/>
                </a:lnTo>
                <a:lnTo>
                  <a:pt x="821" y="863"/>
                </a:lnTo>
                <a:lnTo>
                  <a:pt x="820" y="864"/>
                </a:lnTo>
                <a:lnTo>
                  <a:pt x="813" y="883"/>
                </a:lnTo>
                <a:lnTo>
                  <a:pt x="838" y="904"/>
                </a:lnTo>
                <a:lnTo>
                  <a:pt x="846" y="917"/>
                </a:lnTo>
                <a:lnTo>
                  <a:pt x="838" y="966"/>
                </a:lnTo>
                <a:lnTo>
                  <a:pt x="836" y="976"/>
                </a:lnTo>
                <a:lnTo>
                  <a:pt x="838" y="984"/>
                </a:lnTo>
                <a:lnTo>
                  <a:pt x="837" y="986"/>
                </a:lnTo>
                <a:lnTo>
                  <a:pt x="839" y="1006"/>
                </a:lnTo>
                <a:lnTo>
                  <a:pt x="834" y="1035"/>
                </a:lnTo>
                <a:lnTo>
                  <a:pt x="835" y="1068"/>
                </a:lnTo>
                <a:lnTo>
                  <a:pt x="829" y="1095"/>
                </a:lnTo>
                <a:lnTo>
                  <a:pt x="841" y="1103"/>
                </a:lnTo>
                <a:lnTo>
                  <a:pt x="848" y="1109"/>
                </a:lnTo>
                <a:lnTo>
                  <a:pt x="885" y="1138"/>
                </a:lnTo>
                <a:lnTo>
                  <a:pt x="920" y="1144"/>
                </a:lnTo>
                <a:lnTo>
                  <a:pt x="920" y="1145"/>
                </a:lnTo>
                <a:lnTo>
                  <a:pt x="922" y="1154"/>
                </a:lnTo>
                <a:lnTo>
                  <a:pt x="932" y="1164"/>
                </a:lnTo>
                <a:lnTo>
                  <a:pt x="937" y="1168"/>
                </a:lnTo>
                <a:lnTo>
                  <a:pt x="955" y="1172"/>
                </a:lnTo>
                <a:lnTo>
                  <a:pt x="962" y="1175"/>
                </a:lnTo>
                <a:lnTo>
                  <a:pt x="978" y="1183"/>
                </a:lnTo>
                <a:lnTo>
                  <a:pt x="1000" y="1213"/>
                </a:lnTo>
                <a:lnTo>
                  <a:pt x="1005" y="1226"/>
                </a:lnTo>
                <a:lnTo>
                  <a:pt x="1032" y="1243"/>
                </a:lnTo>
                <a:lnTo>
                  <a:pt x="1049" y="1259"/>
                </a:lnTo>
                <a:lnTo>
                  <a:pt x="1061" y="1266"/>
                </a:lnTo>
                <a:lnTo>
                  <a:pt x="1072" y="1268"/>
                </a:lnTo>
                <a:lnTo>
                  <a:pt x="1083" y="1271"/>
                </a:lnTo>
                <a:lnTo>
                  <a:pt x="1085" y="1276"/>
                </a:lnTo>
                <a:lnTo>
                  <a:pt x="1095" y="1284"/>
                </a:lnTo>
                <a:lnTo>
                  <a:pt x="1110" y="1306"/>
                </a:lnTo>
                <a:lnTo>
                  <a:pt x="1112" y="1308"/>
                </a:lnTo>
                <a:lnTo>
                  <a:pt x="1119" y="1324"/>
                </a:lnTo>
                <a:lnTo>
                  <a:pt x="1119" y="1328"/>
                </a:lnTo>
                <a:lnTo>
                  <a:pt x="1118" y="1337"/>
                </a:lnTo>
                <a:lnTo>
                  <a:pt x="1115" y="1362"/>
                </a:lnTo>
                <a:lnTo>
                  <a:pt x="1122" y="1370"/>
                </a:lnTo>
                <a:lnTo>
                  <a:pt x="1125" y="1389"/>
                </a:lnTo>
                <a:lnTo>
                  <a:pt x="1119" y="1389"/>
                </a:lnTo>
                <a:lnTo>
                  <a:pt x="1105" y="1389"/>
                </a:lnTo>
                <a:lnTo>
                  <a:pt x="1051" y="1389"/>
                </a:lnTo>
                <a:lnTo>
                  <a:pt x="1049" y="1389"/>
                </a:lnTo>
                <a:lnTo>
                  <a:pt x="1029" y="1389"/>
                </a:lnTo>
                <a:lnTo>
                  <a:pt x="963" y="1389"/>
                </a:lnTo>
                <a:lnTo>
                  <a:pt x="895" y="1389"/>
                </a:lnTo>
                <a:lnTo>
                  <a:pt x="875" y="1389"/>
                </a:lnTo>
                <a:lnTo>
                  <a:pt x="791" y="1390"/>
                </a:lnTo>
                <a:lnTo>
                  <a:pt x="787" y="1390"/>
                </a:lnTo>
                <a:lnTo>
                  <a:pt x="783" y="1390"/>
                </a:lnTo>
                <a:lnTo>
                  <a:pt x="722" y="1390"/>
                </a:lnTo>
                <a:lnTo>
                  <a:pt x="717" y="1390"/>
                </a:lnTo>
                <a:lnTo>
                  <a:pt x="698" y="1390"/>
                </a:lnTo>
                <a:lnTo>
                  <a:pt x="670" y="1390"/>
                </a:lnTo>
                <a:lnTo>
                  <a:pt x="632" y="1390"/>
                </a:lnTo>
                <a:lnTo>
                  <a:pt x="627" y="1390"/>
                </a:lnTo>
                <a:lnTo>
                  <a:pt x="610" y="1390"/>
                </a:lnTo>
                <a:lnTo>
                  <a:pt x="608" y="1390"/>
                </a:lnTo>
                <a:lnTo>
                  <a:pt x="604" y="1390"/>
                </a:lnTo>
                <a:lnTo>
                  <a:pt x="558" y="1389"/>
                </a:lnTo>
                <a:lnTo>
                  <a:pt x="534" y="1389"/>
                </a:lnTo>
                <a:lnTo>
                  <a:pt x="521" y="1389"/>
                </a:lnTo>
                <a:lnTo>
                  <a:pt x="482" y="1389"/>
                </a:lnTo>
                <a:lnTo>
                  <a:pt x="464" y="1389"/>
                </a:lnTo>
                <a:lnTo>
                  <a:pt x="444" y="1389"/>
                </a:lnTo>
                <a:lnTo>
                  <a:pt x="440" y="1389"/>
                </a:lnTo>
                <a:lnTo>
                  <a:pt x="434" y="1389"/>
                </a:lnTo>
                <a:lnTo>
                  <a:pt x="394" y="1389"/>
                </a:lnTo>
                <a:lnTo>
                  <a:pt x="371" y="1389"/>
                </a:lnTo>
                <a:lnTo>
                  <a:pt x="345" y="1389"/>
                </a:lnTo>
                <a:lnTo>
                  <a:pt x="332" y="1390"/>
                </a:lnTo>
                <a:lnTo>
                  <a:pt x="283" y="1390"/>
                </a:lnTo>
                <a:lnTo>
                  <a:pt x="277" y="1389"/>
                </a:lnTo>
                <a:lnTo>
                  <a:pt x="256" y="1389"/>
                </a:lnTo>
                <a:lnTo>
                  <a:pt x="242" y="1389"/>
                </a:lnTo>
                <a:lnTo>
                  <a:pt x="230" y="1389"/>
                </a:lnTo>
                <a:lnTo>
                  <a:pt x="221" y="1389"/>
                </a:lnTo>
                <a:lnTo>
                  <a:pt x="183" y="1389"/>
                </a:lnTo>
                <a:lnTo>
                  <a:pt x="160" y="1389"/>
                </a:lnTo>
                <a:lnTo>
                  <a:pt x="146" y="1389"/>
                </a:lnTo>
                <a:lnTo>
                  <a:pt x="146" y="1360"/>
                </a:lnTo>
                <a:lnTo>
                  <a:pt x="146" y="1330"/>
                </a:lnTo>
                <a:lnTo>
                  <a:pt x="146" y="1307"/>
                </a:lnTo>
                <a:lnTo>
                  <a:pt x="146" y="1271"/>
                </a:lnTo>
                <a:lnTo>
                  <a:pt x="146" y="1243"/>
                </a:lnTo>
                <a:lnTo>
                  <a:pt x="146" y="1225"/>
                </a:lnTo>
                <a:lnTo>
                  <a:pt x="146" y="1143"/>
                </a:lnTo>
                <a:lnTo>
                  <a:pt x="146" y="1124"/>
                </a:lnTo>
                <a:lnTo>
                  <a:pt x="146" y="1123"/>
                </a:lnTo>
                <a:lnTo>
                  <a:pt x="146" y="108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2" name="myShape_MN1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SpPr>
            <a:spLocks/>
          </xdr:cNvSpPr>
        </xdr:nvSpPr>
        <xdr:spPr bwMode="auto">
          <a:xfrm>
            <a:off x="5842200" y="778586"/>
            <a:ext cx="38027" cy="7311"/>
          </a:xfrm>
          <a:custGeom>
            <a:avLst/>
            <a:gdLst>
              <a:gd name="T0" fmla="*/ 0 w 55"/>
              <a:gd name="T1" fmla="*/ 0 h 8"/>
              <a:gd name="T2" fmla="*/ 2147483647 w 55"/>
              <a:gd name="T3" fmla="*/ 0 h 8"/>
              <a:gd name="T4" fmla="*/ 2147483647 w 55"/>
              <a:gd name="T5" fmla="*/ 2147483647 h 8"/>
              <a:gd name="T6" fmla="*/ 2147483647 w 55"/>
              <a:gd name="T7" fmla="*/ 2147483647 h 8"/>
              <a:gd name="T8" fmla="*/ 0 w 55"/>
              <a:gd name="T9" fmla="*/ 0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55"/>
              <a:gd name="T16" fmla="*/ 0 h 8"/>
              <a:gd name="T17" fmla="*/ 55 w 55"/>
              <a:gd name="T18" fmla="*/ 8 h 8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55" h="8">
                <a:moveTo>
                  <a:pt x="0" y="0"/>
                </a:moveTo>
                <a:lnTo>
                  <a:pt x="55" y="0"/>
                </a:lnTo>
                <a:lnTo>
                  <a:pt x="44" y="5"/>
                </a:lnTo>
                <a:lnTo>
                  <a:pt x="33" y="8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752476</xdr:colOff>
      <xdr:row>24</xdr:row>
      <xdr:rowOff>104775</xdr:rowOff>
    </xdr:from>
    <xdr:to>
      <xdr:col>2</xdr:col>
      <xdr:colOff>1724026</xdr:colOff>
      <xdr:row>24</xdr:row>
      <xdr:rowOff>1143001</xdr:rowOff>
    </xdr:to>
    <xdr:grpSp>
      <xdr:nvGrpSpPr>
        <xdr:cNvPr id="113" name="S_MI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GrpSpPr>
          <a:grpSpLocks/>
        </xdr:cNvGrpSpPr>
      </xdr:nvGrpSpPr>
      <xdr:grpSpPr bwMode="auto">
        <a:xfrm>
          <a:off x="2790826" y="29432250"/>
          <a:ext cx="971550" cy="1038226"/>
          <a:chOff x="5635941" y="870762"/>
          <a:chExt cx="1143564" cy="1012540"/>
        </a:xfrm>
        <a:solidFill>
          <a:srgbClr val="87CEFA"/>
        </a:solidFill>
      </xdr:grpSpPr>
      <xdr:sp macro="" textlink="">
        <xdr:nvSpPr>
          <xdr:cNvPr id="114" name="myShape_MI3">
            <a:extLst>
              <a:ext uri="{FF2B5EF4-FFF2-40B4-BE49-F238E27FC236}">
                <a16:creationId xmlns:a16="http://schemas.microsoft.com/office/drawing/2014/main" id="{00000000-0008-0000-0500-000072000000}"/>
              </a:ext>
            </a:extLst>
          </xdr:cNvPr>
          <xdr:cNvSpPr>
            <a:spLocks/>
          </xdr:cNvSpPr>
        </xdr:nvSpPr>
        <xdr:spPr bwMode="auto">
          <a:xfrm>
            <a:off x="6459307" y="1147571"/>
            <a:ext cx="38119" cy="29138"/>
          </a:xfrm>
          <a:custGeom>
            <a:avLst/>
            <a:gdLst>
              <a:gd name="T0" fmla="*/ 0 w 48"/>
              <a:gd name="T1" fmla="*/ 2147483647 h 36"/>
              <a:gd name="T2" fmla="*/ 0 w 48"/>
              <a:gd name="T3" fmla="*/ 0 h 36"/>
              <a:gd name="T4" fmla="*/ 2147483647 w 48"/>
              <a:gd name="T5" fmla="*/ 2147483647 h 36"/>
              <a:gd name="T6" fmla="*/ 2147483647 w 48"/>
              <a:gd name="T7" fmla="*/ 2147483647 h 36"/>
              <a:gd name="T8" fmla="*/ 0 w 48"/>
              <a:gd name="T9" fmla="*/ 2147483647 h 3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8"/>
              <a:gd name="T16" fmla="*/ 0 h 36"/>
              <a:gd name="T17" fmla="*/ 48 w 48"/>
              <a:gd name="T18" fmla="*/ 36 h 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8" h="36">
                <a:moveTo>
                  <a:pt x="0" y="8"/>
                </a:moveTo>
                <a:lnTo>
                  <a:pt x="0" y="0"/>
                </a:lnTo>
                <a:lnTo>
                  <a:pt x="48" y="31"/>
                </a:lnTo>
                <a:lnTo>
                  <a:pt x="27" y="36"/>
                </a:lnTo>
                <a:lnTo>
                  <a:pt x="0" y="8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5" name="myShape_MI2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SpPr>
            <a:spLocks/>
          </xdr:cNvSpPr>
        </xdr:nvSpPr>
        <xdr:spPr bwMode="auto">
          <a:xfrm>
            <a:off x="6146733" y="1169425"/>
            <a:ext cx="632772" cy="713877"/>
          </a:xfrm>
          <a:custGeom>
            <a:avLst/>
            <a:gdLst>
              <a:gd name="T0" fmla="*/ 2147483647 w 826"/>
              <a:gd name="T1" fmla="*/ 2147483647 h 967"/>
              <a:gd name="T2" fmla="*/ 2147483647 w 826"/>
              <a:gd name="T3" fmla="*/ 2147483647 h 967"/>
              <a:gd name="T4" fmla="*/ 2147483647 w 826"/>
              <a:gd name="T5" fmla="*/ 2147483647 h 967"/>
              <a:gd name="T6" fmla="*/ 2147483647 w 826"/>
              <a:gd name="T7" fmla="*/ 2147483647 h 967"/>
              <a:gd name="T8" fmla="*/ 2147483647 w 826"/>
              <a:gd name="T9" fmla="*/ 2147483647 h 967"/>
              <a:gd name="T10" fmla="*/ 2147483647 w 826"/>
              <a:gd name="T11" fmla="*/ 2147483647 h 967"/>
              <a:gd name="T12" fmla="*/ 2147483647 w 826"/>
              <a:gd name="T13" fmla="*/ 2147483647 h 967"/>
              <a:gd name="T14" fmla="*/ 2147483647 w 826"/>
              <a:gd name="T15" fmla="*/ 2147483647 h 967"/>
              <a:gd name="T16" fmla="*/ 2147483647 w 826"/>
              <a:gd name="T17" fmla="*/ 2147483647 h 967"/>
              <a:gd name="T18" fmla="*/ 2147483647 w 826"/>
              <a:gd name="T19" fmla="*/ 2147483647 h 967"/>
              <a:gd name="T20" fmla="*/ 2147483647 w 826"/>
              <a:gd name="T21" fmla="*/ 2147483647 h 967"/>
              <a:gd name="T22" fmla="*/ 2147483647 w 826"/>
              <a:gd name="T23" fmla="*/ 2147483647 h 967"/>
              <a:gd name="T24" fmla="*/ 2147483647 w 826"/>
              <a:gd name="T25" fmla="*/ 2147483647 h 967"/>
              <a:gd name="T26" fmla="*/ 2147483647 w 826"/>
              <a:gd name="T27" fmla="*/ 2147483647 h 967"/>
              <a:gd name="T28" fmla="*/ 2147483647 w 826"/>
              <a:gd name="T29" fmla="*/ 2147483647 h 967"/>
              <a:gd name="T30" fmla="*/ 2147483647 w 826"/>
              <a:gd name="T31" fmla="*/ 2147483647 h 967"/>
              <a:gd name="T32" fmla="*/ 2147483647 w 826"/>
              <a:gd name="T33" fmla="*/ 2147483647 h 967"/>
              <a:gd name="T34" fmla="*/ 2147483647 w 826"/>
              <a:gd name="T35" fmla="*/ 2147483647 h 967"/>
              <a:gd name="T36" fmla="*/ 2147483647 w 826"/>
              <a:gd name="T37" fmla="*/ 2147483647 h 967"/>
              <a:gd name="T38" fmla="*/ 2147483647 w 826"/>
              <a:gd name="T39" fmla="*/ 2147483647 h 967"/>
              <a:gd name="T40" fmla="*/ 2147483647 w 826"/>
              <a:gd name="T41" fmla="*/ 2147483647 h 967"/>
              <a:gd name="T42" fmla="*/ 2147483647 w 826"/>
              <a:gd name="T43" fmla="*/ 2147483647 h 967"/>
              <a:gd name="T44" fmla="*/ 2147483647 w 826"/>
              <a:gd name="T45" fmla="*/ 2147483647 h 967"/>
              <a:gd name="T46" fmla="*/ 2147483647 w 826"/>
              <a:gd name="T47" fmla="*/ 2147483647 h 967"/>
              <a:gd name="T48" fmla="*/ 2147483647 w 826"/>
              <a:gd name="T49" fmla="*/ 2147483647 h 967"/>
              <a:gd name="T50" fmla="*/ 2147483647 w 826"/>
              <a:gd name="T51" fmla="*/ 2147483647 h 967"/>
              <a:gd name="T52" fmla="*/ 2147483647 w 826"/>
              <a:gd name="T53" fmla="*/ 2147483647 h 967"/>
              <a:gd name="T54" fmla="*/ 2147483647 w 826"/>
              <a:gd name="T55" fmla="*/ 2147483647 h 967"/>
              <a:gd name="T56" fmla="*/ 2147483647 w 826"/>
              <a:gd name="T57" fmla="*/ 2147483647 h 967"/>
              <a:gd name="T58" fmla="*/ 2147483647 w 826"/>
              <a:gd name="T59" fmla="*/ 2147483647 h 967"/>
              <a:gd name="T60" fmla="*/ 2147483647 w 826"/>
              <a:gd name="T61" fmla="*/ 2147483647 h 967"/>
              <a:gd name="T62" fmla="*/ 2147483647 w 826"/>
              <a:gd name="T63" fmla="*/ 2147483647 h 967"/>
              <a:gd name="T64" fmla="*/ 2147483647 w 826"/>
              <a:gd name="T65" fmla="*/ 2147483647 h 967"/>
              <a:gd name="T66" fmla="*/ 2147483647 w 826"/>
              <a:gd name="T67" fmla="*/ 2147483647 h 967"/>
              <a:gd name="T68" fmla="*/ 2147483647 w 826"/>
              <a:gd name="T69" fmla="*/ 2147483647 h 967"/>
              <a:gd name="T70" fmla="*/ 2147483647 w 826"/>
              <a:gd name="T71" fmla="*/ 2147483647 h 967"/>
              <a:gd name="T72" fmla="*/ 2147483647 w 826"/>
              <a:gd name="T73" fmla="*/ 2147483647 h 967"/>
              <a:gd name="T74" fmla="*/ 2147483647 w 826"/>
              <a:gd name="T75" fmla="*/ 2147483647 h 967"/>
              <a:gd name="T76" fmla="*/ 2147483647 w 826"/>
              <a:gd name="T77" fmla="*/ 2147483647 h 967"/>
              <a:gd name="T78" fmla="*/ 2147483647 w 826"/>
              <a:gd name="T79" fmla="*/ 2147483647 h 967"/>
              <a:gd name="T80" fmla="*/ 2147483647 w 826"/>
              <a:gd name="T81" fmla="*/ 2147483647 h 967"/>
              <a:gd name="T82" fmla="*/ 2147483647 w 826"/>
              <a:gd name="T83" fmla="*/ 2147483647 h 967"/>
              <a:gd name="T84" fmla="*/ 2147483647 w 826"/>
              <a:gd name="T85" fmla="*/ 2147483647 h 967"/>
              <a:gd name="T86" fmla="*/ 2147483647 w 826"/>
              <a:gd name="T87" fmla="*/ 2147483647 h 967"/>
              <a:gd name="T88" fmla="*/ 2147483647 w 826"/>
              <a:gd name="T89" fmla="*/ 2147483647 h 967"/>
              <a:gd name="T90" fmla="*/ 2147483647 w 826"/>
              <a:gd name="T91" fmla="*/ 2147483647 h 967"/>
              <a:gd name="T92" fmla="*/ 2147483647 w 826"/>
              <a:gd name="T93" fmla="*/ 2147483647 h 96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826"/>
              <a:gd name="T142" fmla="*/ 0 h 967"/>
              <a:gd name="T143" fmla="*/ 826 w 826"/>
              <a:gd name="T144" fmla="*/ 967 h 96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826" h="967">
                <a:moveTo>
                  <a:pt x="656" y="301"/>
                </a:moveTo>
                <a:lnTo>
                  <a:pt x="623" y="357"/>
                </a:lnTo>
                <a:lnTo>
                  <a:pt x="615" y="364"/>
                </a:lnTo>
                <a:lnTo>
                  <a:pt x="610" y="384"/>
                </a:lnTo>
                <a:lnTo>
                  <a:pt x="610" y="394"/>
                </a:lnTo>
                <a:lnTo>
                  <a:pt x="599" y="410"/>
                </a:lnTo>
                <a:lnTo>
                  <a:pt x="574" y="426"/>
                </a:lnTo>
                <a:lnTo>
                  <a:pt x="552" y="432"/>
                </a:lnTo>
                <a:lnTo>
                  <a:pt x="547" y="444"/>
                </a:lnTo>
                <a:lnTo>
                  <a:pt x="539" y="484"/>
                </a:lnTo>
                <a:lnTo>
                  <a:pt x="552" y="504"/>
                </a:lnTo>
                <a:lnTo>
                  <a:pt x="585" y="519"/>
                </a:lnTo>
                <a:lnTo>
                  <a:pt x="597" y="511"/>
                </a:lnTo>
                <a:lnTo>
                  <a:pt x="623" y="491"/>
                </a:lnTo>
                <a:lnTo>
                  <a:pt x="628" y="487"/>
                </a:lnTo>
                <a:lnTo>
                  <a:pt x="644" y="457"/>
                </a:lnTo>
                <a:lnTo>
                  <a:pt x="654" y="451"/>
                </a:lnTo>
                <a:lnTo>
                  <a:pt x="642" y="443"/>
                </a:lnTo>
                <a:lnTo>
                  <a:pt x="661" y="438"/>
                </a:lnTo>
                <a:lnTo>
                  <a:pt x="669" y="428"/>
                </a:lnTo>
                <a:lnTo>
                  <a:pt x="692" y="422"/>
                </a:lnTo>
                <a:lnTo>
                  <a:pt x="721" y="405"/>
                </a:lnTo>
                <a:lnTo>
                  <a:pt x="733" y="405"/>
                </a:lnTo>
                <a:lnTo>
                  <a:pt x="762" y="422"/>
                </a:lnTo>
                <a:lnTo>
                  <a:pt x="778" y="452"/>
                </a:lnTo>
                <a:lnTo>
                  <a:pt x="790" y="496"/>
                </a:lnTo>
                <a:lnTo>
                  <a:pt x="804" y="570"/>
                </a:lnTo>
                <a:lnTo>
                  <a:pt x="805" y="600"/>
                </a:lnTo>
                <a:lnTo>
                  <a:pt x="809" y="619"/>
                </a:lnTo>
                <a:lnTo>
                  <a:pt x="826" y="664"/>
                </a:lnTo>
                <a:lnTo>
                  <a:pt x="808" y="745"/>
                </a:lnTo>
                <a:lnTo>
                  <a:pt x="775" y="772"/>
                </a:lnTo>
                <a:lnTo>
                  <a:pt x="776" y="748"/>
                </a:lnTo>
                <a:lnTo>
                  <a:pt x="787" y="737"/>
                </a:lnTo>
                <a:lnTo>
                  <a:pt x="767" y="734"/>
                </a:lnTo>
                <a:lnTo>
                  <a:pt x="750" y="748"/>
                </a:lnTo>
                <a:lnTo>
                  <a:pt x="738" y="777"/>
                </a:lnTo>
                <a:lnTo>
                  <a:pt x="741" y="788"/>
                </a:lnTo>
                <a:lnTo>
                  <a:pt x="730" y="812"/>
                </a:lnTo>
                <a:lnTo>
                  <a:pt x="716" y="816"/>
                </a:lnTo>
                <a:lnTo>
                  <a:pt x="692" y="839"/>
                </a:lnTo>
                <a:lnTo>
                  <a:pt x="682" y="888"/>
                </a:lnTo>
                <a:lnTo>
                  <a:pt x="645" y="925"/>
                </a:lnTo>
                <a:lnTo>
                  <a:pt x="637" y="955"/>
                </a:lnTo>
                <a:lnTo>
                  <a:pt x="631" y="959"/>
                </a:lnTo>
                <a:lnTo>
                  <a:pt x="611" y="959"/>
                </a:lnTo>
                <a:lnTo>
                  <a:pt x="605" y="959"/>
                </a:lnTo>
                <a:lnTo>
                  <a:pt x="574" y="961"/>
                </a:lnTo>
                <a:lnTo>
                  <a:pt x="551" y="961"/>
                </a:lnTo>
                <a:lnTo>
                  <a:pt x="493" y="963"/>
                </a:lnTo>
                <a:lnTo>
                  <a:pt x="461" y="964"/>
                </a:lnTo>
                <a:lnTo>
                  <a:pt x="454" y="965"/>
                </a:lnTo>
                <a:lnTo>
                  <a:pt x="440" y="965"/>
                </a:lnTo>
                <a:lnTo>
                  <a:pt x="388" y="966"/>
                </a:lnTo>
                <a:lnTo>
                  <a:pt x="378" y="967"/>
                </a:lnTo>
                <a:lnTo>
                  <a:pt x="378" y="952"/>
                </a:lnTo>
                <a:lnTo>
                  <a:pt x="374" y="952"/>
                </a:lnTo>
                <a:lnTo>
                  <a:pt x="341" y="952"/>
                </a:lnTo>
                <a:lnTo>
                  <a:pt x="319" y="952"/>
                </a:lnTo>
                <a:lnTo>
                  <a:pt x="305" y="952"/>
                </a:lnTo>
                <a:lnTo>
                  <a:pt x="300" y="952"/>
                </a:lnTo>
                <a:lnTo>
                  <a:pt x="295" y="952"/>
                </a:lnTo>
                <a:lnTo>
                  <a:pt x="287" y="952"/>
                </a:lnTo>
                <a:lnTo>
                  <a:pt x="272" y="952"/>
                </a:lnTo>
                <a:lnTo>
                  <a:pt x="248" y="952"/>
                </a:lnTo>
                <a:lnTo>
                  <a:pt x="218" y="952"/>
                </a:lnTo>
                <a:lnTo>
                  <a:pt x="201" y="952"/>
                </a:lnTo>
                <a:lnTo>
                  <a:pt x="200" y="952"/>
                </a:lnTo>
                <a:lnTo>
                  <a:pt x="155" y="952"/>
                </a:lnTo>
                <a:lnTo>
                  <a:pt x="143" y="951"/>
                </a:lnTo>
                <a:lnTo>
                  <a:pt x="112" y="952"/>
                </a:lnTo>
                <a:lnTo>
                  <a:pt x="108" y="952"/>
                </a:lnTo>
                <a:lnTo>
                  <a:pt x="84" y="952"/>
                </a:lnTo>
                <a:lnTo>
                  <a:pt x="57" y="952"/>
                </a:lnTo>
                <a:lnTo>
                  <a:pt x="37" y="952"/>
                </a:lnTo>
                <a:lnTo>
                  <a:pt x="15" y="952"/>
                </a:lnTo>
                <a:lnTo>
                  <a:pt x="0" y="952"/>
                </a:lnTo>
                <a:lnTo>
                  <a:pt x="30" y="930"/>
                </a:lnTo>
                <a:lnTo>
                  <a:pt x="61" y="875"/>
                </a:lnTo>
                <a:lnTo>
                  <a:pt x="87" y="838"/>
                </a:lnTo>
                <a:lnTo>
                  <a:pt x="104" y="796"/>
                </a:lnTo>
                <a:lnTo>
                  <a:pt x="115" y="718"/>
                </a:lnTo>
                <a:lnTo>
                  <a:pt x="115" y="714"/>
                </a:lnTo>
                <a:lnTo>
                  <a:pt x="112" y="659"/>
                </a:lnTo>
                <a:lnTo>
                  <a:pt x="104" y="631"/>
                </a:lnTo>
                <a:lnTo>
                  <a:pt x="69" y="549"/>
                </a:lnTo>
                <a:lnTo>
                  <a:pt x="68" y="548"/>
                </a:lnTo>
                <a:lnTo>
                  <a:pt x="62" y="490"/>
                </a:lnTo>
                <a:lnTo>
                  <a:pt x="65" y="487"/>
                </a:lnTo>
                <a:lnTo>
                  <a:pt x="74" y="465"/>
                </a:lnTo>
                <a:lnTo>
                  <a:pt x="64" y="422"/>
                </a:lnTo>
                <a:lnTo>
                  <a:pt x="60" y="415"/>
                </a:lnTo>
                <a:lnTo>
                  <a:pt x="82" y="381"/>
                </a:lnTo>
                <a:lnTo>
                  <a:pt x="106" y="335"/>
                </a:lnTo>
                <a:lnTo>
                  <a:pt x="108" y="319"/>
                </a:lnTo>
                <a:lnTo>
                  <a:pt x="111" y="300"/>
                </a:lnTo>
                <a:lnTo>
                  <a:pt x="113" y="292"/>
                </a:lnTo>
                <a:lnTo>
                  <a:pt x="107" y="263"/>
                </a:lnTo>
                <a:lnTo>
                  <a:pt x="139" y="246"/>
                </a:lnTo>
                <a:lnTo>
                  <a:pt x="141" y="238"/>
                </a:lnTo>
                <a:lnTo>
                  <a:pt x="142" y="208"/>
                </a:lnTo>
                <a:lnTo>
                  <a:pt x="155" y="210"/>
                </a:lnTo>
                <a:lnTo>
                  <a:pt x="197" y="186"/>
                </a:lnTo>
                <a:lnTo>
                  <a:pt x="238" y="153"/>
                </a:lnTo>
                <a:lnTo>
                  <a:pt x="224" y="187"/>
                </a:lnTo>
                <a:lnTo>
                  <a:pt x="223" y="239"/>
                </a:lnTo>
                <a:lnTo>
                  <a:pt x="246" y="191"/>
                </a:lnTo>
                <a:lnTo>
                  <a:pt x="248" y="219"/>
                </a:lnTo>
                <a:lnTo>
                  <a:pt x="238" y="246"/>
                </a:lnTo>
                <a:lnTo>
                  <a:pt x="243" y="246"/>
                </a:lnTo>
                <a:lnTo>
                  <a:pt x="259" y="219"/>
                </a:lnTo>
                <a:lnTo>
                  <a:pt x="272" y="186"/>
                </a:lnTo>
                <a:lnTo>
                  <a:pt x="270" y="138"/>
                </a:lnTo>
                <a:lnTo>
                  <a:pt x="271" y="127"/>
                </a:lnTo>
                <a:lnTo>
                  <a:pt x="295" y="106"/>
                </a:lnTo>
                <a:lnTo>
                  <a:pt x="324" y="99"/>
                </a:lnTo>
                <a:lnTo>
                  <a:pt x="324" y="100"/>
                </a:lnTo>
                <a:lnTo>
                  <a:pt x="341" y="99"/>
                </a:lnTo>
                <a:lnTo>
                  <a:pt x="343" y="86"/>
                </a:lnTo>
                <a:lnTo>
                  <a:pt x="323" y="68"/>
                </a:lnTo>
                <a:lnTo>
                  <a:pt x="327" y="38"/>
                </a:lnTo>
                <a:lnTo>
                  <a:pt x="340" y="32"/>
                </a:lnTo>
                <a:lnTo>
                  <a:pt x="341" y="6"/>
                </a:lnTo>
                <a:lnTo>
                  <a:pt x="381" y="9"/>
                </a:lnTo>
                <a:lnTo>
                  <a:pt x="392" y="0"/>
                </a:lnTo>
                <a:lnTo>
                  <a:pt x="401" y="9"/>
                </a:lnTo>
                <a:lnTo>
                  <a:pt x="435" y="27"/>
                </a:lnTo>
                <a:lnTo>
                  <a:pt x="491" y="38"/>
                </a:lnTo>
                <a:lnTo>
                  <a:pt x="508" y="66"/>
                </a:lnTo>
                <a:lnTo>
                  <a:pt x="552" y="77"/>
                </a:lnTo>
                <a:lnTo>
                  <a:pt x="595" y="98"/>
                </a:lnTo>
                <a:lnTo>
                  <a:pt x="623" y="102"/>
                </a:lnTo>
                <a:lnTo>
                  <a:pt x="643" y="138"/>
                </a:lnTo>
                <a:lnTo>
                  <a:pt x="665" y="176"/>
                </a:lnTo>
                <a:lnTo>
                  <a:pt x="643" y="170"/>
                </a:lnTo>
                <a:lnTo>
                  <a:pt x="632" y="186"/>
                </a:lnTo>
                <a:lnTo>
                  <a:pt x="646" y="209"/>
                </a:lnTo>
                <a:lnTo>
                  <a:pt x="657" y="216"/>
                </a:lnTo>
                <a:lnTo>
                  <a:pt x="656" y="220"/>
                </a:lnTo>
                <a:lnTo>
                  <a:pt x="660" y="246"/>
                </a:lnTo>
                <a:lnTo>
                  <a:pt x="656" y="301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16" name="myShape_MI1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SpPr>
            <a:spLocks/>
          </xdr:cNvSpPr>
        </xdr:nvSpPr>
        <xdr:spPr bwMode="auto">
          <a:xfrm>
            <a:off x="5635941" y="870762"/>
            <a:ext cx="983465" cy="415214"/>
          </a:xfrm>
          <a:custGeom>
            <a:avLst/>
            <a:gdLst>
              <a:gd name="T0" fmla="*/ 2147483647 w 1293"/>
              <a:gd name="T1" fmla="*/ 2147483647 h 563"/>
              <a:gd name="T2" fmla="*/ 2147483647 w 1293"/>
              <a:gd name="T3" fmla="*/ 2147483647 h 563"/>
              <a:gd name="T4" fmla="*/ 2147483647 w 1293"/>
              <a:gd name="T5" fmla="*/ 2147483647 h 563"/>
              <a:gd name="T6" fmla="*/ 2147483647 w 1293"/>
              <a:gd name="T7" fmla="*/ 2147483647 h 563"/>
              <a:gd name="T8" fmla="*/ 2147483647 w 1293"/>
              <a:gd name="T9" fmla="*/ 2147483647 h 563"/>
              <a:gd name="T10" fmla="*/ 2147483647 w 1293"/>
              <a:gd name="T11" fmla="*/ 2147483647 h 563"/>
              <a:gd name="T12" fmla="*/ 2147483647 w 1293"/>
              <a:gd name="T13" fmla="*/ 2147483647 h 563"/>
              <a:gd name="T14" fmla="*/ 2147483647 w 1293"/>
              <a:gd name="T15" fmla="*/ 2147483647 h 563"/>
              <a:gd name="T16" fmla="*/ 2147483647 w 1293"/>
              <a:gd name="T17" fmla="*/ 2147483647 h 563"/>
              <a:gd name="T18" fmla="*/ 2147483647 w 1293"/>
              <a:gd name="T19" fmla="*/ 2147483647 h 563"/>
              <a:gd name="T20" fmla="*/ 2147483647 w 1293"/>
              <a:gd name="T21" fmla="*/ 2147483647 h 563"/>
              <a:gd name="T22" fmla="*/ 2147483647 w 1293"/>
              <a:gd name="T23" fmla="*/ 2147483647 h 563"/>
              <a:gd name="T24" fmla="*/ 2147483647 w 1293"/>
              <a:gd name="T25" fmla="*/ 2147483647 h 563"/>
              <a:gd name="T26" fmla="*/ 2147483647 w 1293"/>
              <a:gd name="T27" fmla="*/ 2147483647 h 563"/>
              <a:gd name="T28" fmla="*/ 2147483647 w 1293"/>
              <a:gd name="T29" fmla="*/ 2147483647 h 563"/>
              <a:gd name="T30" fmla="*/ 2147483647 w 1293"/>
              <a:gd name="T31" fmla="*/ 2147483647 h 563"/>
              <a:gd name="T32" fmla="*/ 2147483647 w 1293"/>
              <a:gd name="T33" fmla="*/ 2147483647 h 563"/>
              <a:gd name="T34" fmla="*/ 2147483647 w 1293"/>
              <a:gd name="T35" fmla="*/ 2147483647 h 563"/>
              <a:gd name="T36" fmla="*/ 2147483647 w 1293"/>
              <a:gd name="T37" fmla="*/ 2147483647 h 563"/>
              <a:gd name="T38" fmla="*/ 2147483647 w 1293"/>
              <a:gd name="T39" fmla="*/ 2147483647 h 563"/>
              <a:gd name="T40" fmla="*/ 2147483647 w 1293"/>
              <a:gd name="T41" fmla="*/ 2147483647 h 563"/>
              <a:gd name="T42" fmla="*/ 2147483647 w 1293"/>
              <a:gd name="T43" fmla="*/ 2147483647 h 563"/>
              <a:gd name="T44" fmla="*/ 2147483647 w 1293"/>
              <a:gd name="T45" fmla="*/ 0 h 563"/>
              <a:gd name="T46" fmla="*/ 2147483647 w 1293"/>
              <a:gd name="T47" fmla="*/ 2147483647 h 563"/>
              <a:gd name="T48" fmla="*/ 2147483647 w 1293"/>
              <a:gd name="T49" fmla="*/ 2147483647 h 563"/>
              <a:gd name="T50" fmla="*/ 2147483647 w 1293"/>
              <a:gd name="T51" fmla="*/ 2147483647 h 563"/>
              <a:gd name="T52" fmla="*/ 2147483647 w 1293"/>
              <a:gd name="T53" fmla="*/ 2147483647 h 563"/>
              <a:gd name="T54" fmla="*/ 2147483647 w 1293"/>
              <a:gd name="T55" fmla="*/ 2147483647 h 563"/>
              <a:gd name="T56" fmla="*/ 2147483647 w 1293"/>
              <a:gd name="T57" fmla="*/ 2147483647 h 563"/>
              <a:gd name="T58" fmla="*/ 2147483647 w 1293"/>
              <a:gd name="T59" fmla="*/ 2147483647 h 563"/>
              <a:gd name="T60" fmla="*/ 2147483647 w 1293"/>
              <a:gd name="T61" fmla="*/ 2147483647 h 563"/>
              <a:gd name="T62" fmla="*/ 2147483647 w 1293"/>
              <a:gd name="T63" fmla="*/ 2147483647 h 563"/>
              <a:gd name="T64" fmla="*/ 2147483647 w 1293"/>
              <a:gd name="T65" fmla="*/ 2147483647 h 563"/>
              <a:gd name="T66" fmla="*/ 2147483647 w 1293"/>
              <a:gd name="T67" fmla="*/ 2147483647 h 563"/>
              <a:gd name="T68" fmla="*/ 2147483647 w 1293"/>
              <a:gd name="T69" fmla="*/ 2147483647 h 563"/>
              <a:gd name="T70" fmla="*/ 2147483647 w 1293"/>
              <a:gd name="T71" fmla="*/ 2147483647 h 563"/>
              <a:gd name="T72" fmla="*/ 2147483647 w 1293"/>
              <a:gd name="T73" fmla="*/ 2147483647 h 563"/>
              <a:gd name="T74" fmla="*/ 2147483647 w 1293"/>
              <a:gd name="T75" fmla="*/ 2147483647 h 563"/>
              <a:gd name="T76" fmla="*/ 2147483647 w 1293"/>
              <a:gd name="T77" fmla="*/ 2147483647 h 563"/>
              <a:gd name="T78" fmla="*/ 2147483647 w 1293"/>
              <a:gd name="T79" fmla="*/ 2147483647 h 563"/>
              <a:gd name="T80" fmla="*/ 2147483647 w 1293"/>
              <a:gd name="T81" fmla="*/ 2147483647 h 563"/>
              <a:gd name="T82" fmla="*/ 2147483647 w 1293"/>
              <a:gd name="T83" fmla="*/ 2147483647 h 563"/>
              <a:gd name="T84" fmla="*/ 2147483647 w 1293"/>
              <a:gd name="T85" fmla="*/ 2147483647 h 563"/>
              <a:gd name="T86" fmla="*/ 2147483647 w 1293"/>
              <a:gd name="T87" fmla="*/ 2147483647 h 563"/>
              <a:gd name="T88" fmla="*/ 2147483647 w 1293"/>
              <a:gd name="T89" fmla="*/ 2147483647 h 563"/>
              <a:gd name="T90" fmla="*/ 2147483647 w 1293"/>
              <a:gd name="T91" fmla="*/ 2147483647 h 563"/>
              <a:gd name="T92" fmla="*/ 2147483647 w 1293"/>
              <a:gd name="T93" fmla="*/ 2147483647 h 563"/>
              <a:gd name="T94" fmla="*/ 2147483647 w 1293"/>
              <a:gd name="T95" fmla="*/ 2147483647 h 563"/>
              <a:gd name="T96" fmla="*/ 2147483647 w 1293"/>
              <a:gd name="T97" fmla="*/ 2147483647 h 563"/>
              <a:gd name="T98" fmla="*/ 2147483647 w 1293"/>
              <a:gd name="T99" fmla="*/ 2147483647 h 563"/>
              <a:gd name="T100" fmla="*/ 2147483647 w 1293"/>
              <a:gd name="T101" fmla="*/ 2147483647 h 563"/>
              <a:gd name="T102" fmla="*/ 2147483647 w 1293"/>
              <a:gd name="T103" fmla="*/ 2147483647 h 563"/>
              <a:gd name="T104" fmla="*/ 2147483647 w 1293"/>
              <a:gd name="T105" fmla="*/ 2147483647 h 563"/>
              <a:gd name="T106" fmla="*/ 2147483647 w 1293"/>
              <a:gd name="T107" fmla="*/ 2147483647 h 563"/>
              <a:gd name="T108" fmla="*/ 2147483647 w 1293"/>
              <a:gd name="T109" fmla="*/ 2147483647 h 563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1293"/>
              <a:gd name="T166" fmla="*/ 0 h 563"/>
              <a:gd name="T167" fmla="*/ 1293 w 1293"/>
              <a:gd name="T168" fmla="*/ 563 h 563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1293" h="563">
                <a:moveTo>
                  <a:pt x="739" y="407"/>
                </a:moveTo>
                <a:lnTo>
                  <a:pt x="707" y="409"/>
                </a:lnTo>
                <a:lnTo>
                  <a:pt x="686" y="381"/>
                </a:lnTo>
                <a:lnTo>
                  <a:pt x="670" y="409"/>
                </a:lnTo>
                <a:lnTo>
                  <a:pt x="643" y="409"/>
                </a:lnTo>
                <a:lnTo>
                  <a:pt x="638" y="392"/>
                </a:lnTo>
                <a:lnTo>
                  <a:pt x="590" y="456"/>
                </a:lnTo>
                <a:lnTo>
                  <a:pt x="545" y="530"/>
                </a:lnTo>
                <a:lnTo>
                  <a:pt x="524" y="558"/>
                </a:lnTo>
                <a:lnTo>
                  <a:pt x="530" y="563"/>
                </a:lnTo>
                <a:lnTo>
                  <a:pt x="513" y="557"/>
                </a:lnTo>
                <a:lnTo>
                  <a:pt x="480" y="416"/>
                </a:lnTo>
                <a:lnTo>
                  <a:pt x="476" y="409"/>
                </a:lnTo>
                <a:lnTo>
                  <a:pt x="454" y="404"/>
                </a:lnTo>
                <a:lnTo>
                  <a:pt x="454" y="399"/>
                </a:lnTo>
                <a:lnTo>
                  <a:pt x="441" y="402"/>
                </a:lnTo>
                <a:lnTo>
                  <a:pt x="428" y="395"/>
                </a:lnTo>
                <a:lnTo>
                  <a:pt x="439" y="379"/>
                </a:lnTo>
                <a:lnTo>
                  <a:pt x="430" y="369"/>
                </a:lnTo>
                <a:lnTo>
                  <a:pt x="404" y="359"/>
                </a:lnTo>
                <a:lnTo>
                  <a:pt x="358" y="352"/>
                </a:lnTo>
                <a:lnTo>
                  <a:pt x="335" y="353"/>
                </a:lnTo>
                <a:lnTo>
                  <a:pt x="324" y="347"/>
                </a:lnTo>
                <a:lnTo>
                  <a:pt x="313" y="344"/>
                </a:lnTo>
                <a:lnTo>
                  <a:pt x="294" y="342"/>
                </a:lnTo>
                <a:lnTo>
                  <a:pt x="277" y="332"/>
                </a:lnTo>
                <a:lnTo>
                  <a:pt x="266" y="327"/>
                </a:lnTo>
                <a:lnTo>
                  <a:pt x="247" y="317"/>
                </a:lnTo>
                <a:lnTo>
                  <a:pt x="105" y="282"/>
                </a:lnTo>
                <a:lnTo>
                  <a:pt x="91" y="279"/>
                </a:lnTo>
                <a:lnTo>
                  <a:pt x="54" y="264"/>
                </a:lnTo>
                <a:lnTo>
                  <a:pt x="37" y="232"/>
                </a:lnTo>
                <a:lnTo>
                  <a:pt x="0" y="217"/>
                </a:lnTo>
                <a:lnTo>
                  <a:pt x="31" y="203"/>
                </a:lnTo>
                <a:lnTo>
                  <a:pt x="78" y="187"/>
                </a:lnTo>
                <a:lnTo>
                  <a:pt x="98" y="170"/>
                </a:lnTo>
                <a:lnTo>
                  <a:pt x="124" y="155"/>
                </a:lnTo>
                <a:lnTo>
                  <a:pt x="145" y="157"/>
                </a:lnTo>
                <a:lnTo>
                  <a:pt x="218" y="136"/>
                </a:lnTo>
                <a:lnTo>
                  <a:pt x="277" y="106"/>
                </a:lnTo>
                <a:lnTo>
                  <a:pt x="288" y="88"/>
                </a:lnTo>
                <a:lnTo>
                  <a:pt x="334" y="58"/>
                </a:lnTo>
                <a:lnTo>
                  <a:pt x="356" y="46"/>
                </a:lnTo>
                <a:lnTo>
                  <a:pt x="376" y="25"/>
                </a:lnTo>
                <a:lnTo>
                  <a:pt x="428" y="5"/>
                </a:lnTo>
                <a:lnTo>
                  <a:pt x="452" y="0"/>
                </a:lnTo>
                <a:lnTo>
                  <a:pt x="499" y="6"/>
                </a:lnTo>
                <a:lnTo>
                  <a:pt x="503" y="14"/>
                </a:lnTo>
                <a:lnTo>
                  <a:pt x="452" y="39"/>
                </a:lnTo>
                <a:lnTo>
                  <a:pt x="409" y="67"/>
                </a:lnTo>
                <a:lnTo>
                  <a:pt x="404" y="81"/>
                </a:lnTo>
                <a:lnTo>
                  <a:pt x="386" y="97"/>
                </a:lnTo>
                <a:lnTo>
                  <a:pt x="382" y="112"/>
                </a:lnTo>
                <a:lnTo>
                  <a:pt x="367" y="129"/>
                </a:lnTo>
                <a:lnTo>
                  <a:pt x="404" y="132"/>
                </a:lnTo>
                <a:lnTo>
                  <a:pt x="404" y="131"/>
                </a:lnTo>
                <a:lnTo>
                  <a:pt x="444" y="135"/>
                </a:lnTo>
                <a:lnTo>
                  <a:pt x="499" y="146"/>
                </a:lnTo>
                <a:lnTo>
                  <a:pt x="529" y="173"/>
                </a:lnTo>
                <a:lnTo>
                  <a:pt x="574" y="232"/>
                </a:lnTo>
                <a:lnTo>
                  <a:pt x="617" y="233"/>
                </a:lnTo>
                <a:lnTo>
                  <a:pt x="686" y="237"/>
                </a:lnTo>
                <a:lnTo>
                  <a:pt x="698" y="232"/>
                </a:lnTo>
                <a:lnTo>
                  <a:pt x="693" y="222"/>
                </a:lnTo>
                <a:lnTo>
                  <a:pt x="706" y="232"/>
                </a:lnTo>
                <a:lnTo>
                  <a:pt x="727" y="232"/>
                </a:lnTo>
                <a:lnTo>
                  <a:pt x="803" y="193"/>
                </a:lnTo>
                <a:lnTo>
                  <a:pt x="851" y="187"/>
                </a:lnTo>
                <a:lnTo>
                  <a:pt x="872" y="190"/>
                </a:lnTo>
                <a:lnTo>
                  <a:pt x="919" y="190"/>
                </a:lnTo>
                <a:lnTo>
                  <a:pt x="968" y="172"/>
                </a:lnTo>
                <a:lnTo>
                  <a:pt x="1012" y="168"/>
                </a:lnTo>
                <a:lnTo>
                  <a:pt x="1005" y="232"/>
                </a:lnTo>
                <a:lnTo>
                  <a:pt x="1012" y="237"/>
                </a:lnTo>
                <a:lnTo>
                  <a:pt x="1059" y="241"/>
                </a:lnTo>
                <a:lnTo>
                  <a:pt x="1083" y="237"/>
                </a:lnTo>
                <a:lnTo>
                  <a:pt x="1095" y="252"/>
                </a:lnTo>
                <a:lnTo>
                  <a:pt x="1121" y="232"/>
                </a:lnTo>
                <a:lnTo>
                  <a:pt x="1150" y="234"/>
                </a:lnTo>
                <a:lnTo>
                  <a:pt x="1163" y="223"/>
                </a:lnTo>
                <a:lnTo>
                  <a:pt x="1176" y="225"/>
                </a:lnTo>
                <a:lnTo>
                  <a:pt x="1179" y="231"/>
                </a:lnTo>
                <a:lnTo>
                  <a:pt x="1174" y="263"/>
                </a:lnTo>
                <a:lnTo>
                  <a:pt x="1186" y="305"/>
                </a:lnTo>
                <a:lnTo>
                  <a:pt x="1199" y="315"/>
                </a:lnTo>
                <a:lnTo>
                  <a:pt x="1208" y="337"/>
                </a:lnTo>
                <a:lnTo>
                  <a:pt x="1218" y="335"/>
                </a:lnTo>
                <a:lnTo>
                  <a:pt x="1233" y="323"/>
                </a:lnTo>
                <a:lnTo>
                  <a:pt x="1247" y="331"/>
                </a:lnTo>
                <a:lnTo>
                  <a:pt x="1270" y="326"/>
                </a:lnTo>
                <a:lnTo>
                  <a:pt x="1293" y="352"/>
                </a:lnTo>
                <a:lnTo>
                  <a:pt x="1270" y="366"/>
                </a:lnTo>
                <a:lnTo>
                  <a:pt x="1243" y="365"/>
                </a:lnTo>
                <a:lnTo>
                  <a:pt x="1223" y="359"/>
                </a:lnTo>
                <a:lnTo>
                  <a:pt x="1200" y="361"/>
                </a:lnTo>
                <a:lnTo>
                  <a:pt x="1178" y="355"/>
                </a:lnTo>
                <a:lnTo>
                  <a:pt x="1129" y="366"/>
                </a:lnTo>
                <a:lnTo>
                  <a:pt x="1083" y="341"/>
                </a:lnTo>
                <a:lnTo>
                  <a:pt x="1072" y="350"/>
                </a:lnTo>
                <a:lnTo>
                  <a:pt x="1059" y="389"/>
                </a:lnTo>
                <a:lnTo>
                  <a:pt x="1012" y="349"/>
                </a:lnTo>
                <a:lnTo>
                  <a:pt x="990" y="340"/>
                </a:lnTo>
                <a:lnTo>
                  <a:pt x="919" y="327"/>
                </a:lnTo>
                <a:lnTo>
                  <a:pt x="895" y="352"/>
                </a:lnTo>
                <a:lnTo>
                  <a:pt x="872" y="358"/>
                </a:lnTo>
                <a:lnTo>
                  <a:pt x="851" y="358"/>
                </a:lnTo>
                <a:lnTo>
                  <a:pt x="835" y="364"/>
                </a:lnTo>
                <a:lnTo>
                  <a:pt x="803" y="358"/>
                </a:lnTo>
                <a:lnTo>
                  <a:pt x="779" y="362"/>
                </a:lnTo>
                <a:lnTo>
                  <a:pt x="739" y="407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26</xdr:row>
      <xdr:rowOff>95250</xdr:rowOff>
    </xdr:from>
    <xdr:to>
      <xdr:col>2</xdr:col>
      <xdr:colOff>1336302</xdr:colOff>
      <xdr:row>26</xdr:row>
      <xdr:rowOff>1155327</xdr:rowOff>
    </xdr:to>
    <xdr:sp macro="" textlink="">
      <xdr:nvSpPr>
        <xdr:cNvPr id="117" name="S_MS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/>
        </xdr:cNvSpPr>
      </xdr:nvSpPr>
      <xdr:spPr bwMode="auto">
        <a:xfrm>
          <a:off x="2486025" y="31956375"/>
          <a:ext cx="631452" cy="1060077"/>
        </a:xfrm>
        <a:custGeom>
          <a:avLst/>
          <a:gdLst>
            <a:gd name="T0" fmla="*/ 2147483647 w 662"/>
            <a:gd name="T1" fmla="*/ 2147483647 h 1138"/>
            <a:gd name="T2" fmla="*/ 2147483647 w 662"/>
            <a:gd name="T3" fmla="*/ 2147483647 h 1138"/>
            <a:gd name="T4" fmla="*/ 2147483647 w 662"/>
            <a:gd name="T5" fmla="*/ 2147483647 h 1138"/>
            <a:gd name="T6" fmla="*/ 2147483647 w 662"/>
            <a:gd name="T7" fmla="*/ 2147483647 h 1138"/>
            <a:gd name="T8" fmla="*/ 2147483647 w 662"/>
            <a:gd name="T9" fmla="*/ 2147483647 h 1138"/>
            <a:gd name="T10" fmla="*/ 2147483647 w 662"/>
            <a:gd name="T11" fmla="*/ 2147483647 h 1138"/>
            <a:gd name="T12" fmla="*/ 2147483647 w 662"/>
            <a:gd name="T13" fmla="*/ 2147483647 h 1138"/>
            <a:gd name="T14" fmla="*/ 2147483647 w 662"/>
            <a:gd name="T15" fmla="*/ 2147483647 h 1138"/>
            <a:gd name="T16" fmla="*/ 2147483647 w 662"/>
            <a:gd name="T17" fmla="*/ 2147483647 h 1138"/>
            <a:gd name="T18" fmla="*/ 2147483647 w 662"/>
            <a:gd name="T19" fmla="*/ 2147483647 h 1138"/>
            <a:gd name="T20" fmla="*/ 2147483647 w 662"/>
            <a:gd name="T21" fmla="*/ 2147483647 h 1138"/>
            <a:gd name="T22" fmla="*/ 2147483647 w 662"/>
            <a:gd name="T23" fmla="*/ 2147483647 h 1138"/>
            <a:gd name="T24" fmla="*/ 2147483647 w 662"/>
            <a:gd name="T25" fmla="*/ 2147483647 h 1138"/>
            <a:gd name="T26" fmla="*/ 2147483647 w 662"/>
            <a:gd name="T27" fmla="*/ 2147483647 h 1138"/>
            <a:gd name="T28" fmla="*/ 2147483647 w 662"/>
            <a:gd name="T29" fmla="*/ 2147483647 h 1138"/>
            <a:gd name="T30" fmla="*/ 2147483647 w 662"/>
            <a:gd name="T31" fmla="*/ 2147483647 h 1138"/>
            <a:gd name="T32" fmla="*/ 2147483647 w 662"/>
            <a:gd name="T33" fmla="*/ 2147483647 h 1138"/>
            <a:gd name="T34" fmla="*/ 2147483647 w 662"/>
            <a:gd name="T35" fmla="*/ 2147483647 h 1138"/>
            <a:gd name="T36" fmla="*/ 2147483647 w 662"/>
            <a:gd name="T37" fmla="*/ 2147483647 h 1138"/>
            <a:gd name="T38" fmla="*/ 2147483647 w 662"/>
            <a:gd name="T39" fmla="*/ 2147483647 h 1138"/>
            <a:gd name="T40" fmla="*/ 2147483647 w 662"/>
            <a:gd name="T41" fmla="*/ 0 h 1138"/>
            <a:gd name="T42" fmla="*/ 2147483647 w 662"/>
            <a:gd name="T43" fmla="*/ 0 h 1138"/>
            <a:gd name="T44" fmla="*/ 2147483647 w 662"/>
            <a:gd name="T45" fmla="*/ 0 h 1138"/>
            <a:gd name="T46" fmla="*/ 2147483647 w 662"/>
            <a:gd name="T47" fmla="*/ 0 h 1138"/>
            <a:gd name="T48" fmla="*/ 2147483647 w 662"/>
            <a:gd name="T49" fmla="*/ 0 h 1138"/>
            <a:gd name="T50" fmla="*/ 2147483647 w 662"/>
            <a:gd name="T51" fmla="*/ 0 h 1138"/>
            <a:gd name="T52" fmla="*/ 2147483647 w 662"/>
            <a:gd name="T53" fmla="*/ 0 h 1138"/>
            <a:gd name="T54" fmla="*/ 2147483647 w 662"/>
            <a:gd name="T55" fmla="*/ 0 h 1138"/>
            <a:gd name="T56" fmla="*/ 2147483647 w 662"/>
            <a:gd name="T57" fmla="*/ 2147483647 h 1138"/>
            <a:gd name="T58" fmla="*/ 2147483647 w 662"/>
            <a:gd name="T59" fmla="*/ 2147483647 h 1138"/>
            <a:gd name="T60" fmla="*/ 2147483647 w 662"/>
            <a:gd name="T61" fmla="*/ 2147483647 h 1138"/>
            <a:gd name="T62" fmla="*/ 2147483647 w 662"/>
            <a:gd name="T63" fmla="*/ 2147483647 h 1138"/>
            <a:gd name="T64" fmla="*/ 2147483647 w 662"/>
            <a:gd name="T65" fmla="*/ 2147483647 h 1138"/>
            <a:gd name="T66" fmla="*/ 2147483647 w 662"/>
            <a:gd name="T67" fmla="*/ 2147483647 h 1138"/>
            <a:gd name="T68" fmla="*/ 2147483647 w 662"/>
            <a:gd name="T69" fmla="*/ 2147483647 h 1138"/>
            <a:gd name="T70" fmla="*/ 2147483647 w 662"/>
            <a:gd name="T71" fmla="*/ 2147483647 h 1138"/>
            <a:gd name="T72" fmla="*/ 2147483647 w 662"/>
            <a:gd name="T73" fmla="*/ 2147483647 h 1138"/>
            <a:gd name="T74" fmla="*/ 2147483647 w 662"/>
            <a:gd name="T75" fmla="*/ 2147483647 h 1138"/>
            <a:gd name="T76" fmla="*/ 2147483647 w 662"/>
            <a:gd name="T77" fmla="*/ 2147483647 h 1138"/>
            <a:gd name="T78" fmla="*/ 2147483647 w 662"/>
            <a:gd name="T79" fmla="*/ 2147483647 h 1138"/>
            <a:gd name="T80" fmla="*/ 2147483647 w 662"/>
            <a:gd name="T81" fmla="*/ 2147483647 h 1138"/>
            <a:gd name="T82" fmla="*/ 2147483647 w 662"/>
            <a:gd name="T83" fmla="*/ 2147483647 h 1138"/>
            <a:gd name="T84" fmla="*/ 2147483647 w 662"/>
            <a:gd name="T85" fmla="*/ 2147483647 h 1138"/>
            <a:gd name="T86" fmla="*/ 2147483647 w 662"/>
            <a:gd name="T87" fmla="*/ 2147483647 h 1138"/>
            <a:gd name="T88" fmla="*/ 2147483647 w 662"/>
            <a:gd name="T89" fmla="*/ 2147483647 h 1138"/>
            <a:gd name="T90" fmla="*/ 2147483647 w 662"/>
            <a:gd name="T91" fmla="*/ 2147483647 h 1138"/>
            <a:gd name="T92" fmla="*/ 2147483647 w 662"/>
            <a:gd name="T93" fmla="*/ 2147483647 h 1138"/>
            <a:gd name="T94" fmla="*/ 2147483647 w 662"/>
            <a:gd name="T95" fmla="*/ 2147483647 h 1138"/>
            <a:gd name="T96" fmla="*/ 2147483647 w 662"/>
            <a:gd name="T97" fmla="*/ 2147483647 h 1138"/>
            <a:gd name="T98" fmla="*/ 2147483647 w 662"/>
            <a:gd name="T99" fmla="*/ 2147483647 h 1138"/>
            <a:gd name="T100" fmla="*/ 2147483647 w 662"/>
            <a:gd name="T101" fmla="*/ 2147483647 h 1138"/>
            <a:gd name="T102" fmla="*/ 2147483647 w 662"/>
            <a:gd name="T103" fmla="*/ 2147483647 h 1138"/>
            <a:gd name="T104" fmla="*/ 2147483647 w 662"/>
            <a:gd name="T105" fmla="*/ 2147483647 h 1138"/>
            <a:gd name="T106" fmla="*/ 2147483647 w 662"/>
            <a:gd name="T107" fmla="*/ 2147483647 h 1138"/>
            <a:gd name="T108" fmla="*/ 2147483647 w 662"/>
            <a:gd name="T109" fmla="*/ 2147483647 h 1138"/>
            <a:gd name="T110" fmla="*/ 2147483647 w 662"/>
            <a:gd name="T111" fmla="*/ 2147483647 h 1138"/>
            <a:gd name="T112" fmla="*/ 2147483647 w 662"/>
            <a:gd name="T113" fmla="*/ 2147483647 h 1138"/>
            <a:gd name="T114" fmla="*/ 2147483647 w 662"/>
            <a:gd name="T115" fmla="*/ 2147483647 h 1138"/>
            <a:gd name="T116" fmla="*/ 2147483647 w 662"/>
            <a:gd name="T117" fmla="*/ 2147483647 h 1138"/>
            <a:gd name="T118" fmla="*/ 0 w 662"/>
            <a:gd name="T119" fmla="*/ 2147483647 h 1138"/>
            <a:gd name="T120" fmla="*/ 2147483647 w 662"/>
            <a:gd name="T121" fmla="*/ 2147483647 h 1138"/>
            <a:gd name="T122" fmla="*/ 2147483647 w 662"/>
            <a:gd name="T123" fmla="*/ 2147483647 h 1138"/>
            <a:gd name="T124" fmla="*/ 2147483647 w 662"/>
            <a:gd name="T125" fmla="*/ 2147483647 h 1138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2"/>
            <a:gd name="T190" fmla="*/ 0 h 1138"/>
            <a:gd name="T191" fmla="*/ 662 w 662"/>
            <a:gd name="T192" fmla="*/ 1138 h 1138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2" h="1138">
              <a:moveTo>
                <a:pt x="60" y="766"/>
              </a:moveTo>
              <a:lnTo>
                <a:pt x="69" y="766"/>
              </a:lnTo>
              <a:lnTo>
                <a:pt x="73" y="738"/>
              </a:lnTo>
              <a:lnTo>
                <a:pt x="75" y="737"/>
              </a:lnTo>
              <a:lnTo>
                <a:pt x="103" y="707"/>
              </a:lnTo>
              <a:lnTo>
                <a:pt x="96" y="690"/>
              </a:lnTo>
              <a:lnTo>
                <a:pt x="113" y="681"/>
              </a:lnTo>
              <a:lnTo>
                <a:pt x="113" y="679"/>
              </a:lnTo>
              <a:lnTo>
                <a:pt x="116" y="677"/>
              </a:lnTo>
              <a:lnTo>
                <a:pt x="110" y="677"/>
              </a:lnTo>
              <a:lnTo>
                <a:pt x="110" y="679"/>
              </a:lnTo>
              <a:lnTo>
                <a:pt x="109" y="677"/>
              </a:lnTo>
              <a:lnTo>
                <a:pt x="96" y="677"/>
              </a:lnTo>
              <a:lnTo>
                <a:pt x="96" y="657"/>
              </a:lnTo>
              <a:lnTo>
                <a:pt x="120" y="662"/>
              </a:lnTo>
              <a:lnTo>
                <a:pt x="120" y="601"/>
              </a:lnTo>
              <a:lnTo>
                <a:pt x="97" y="590"/>
              </a:lnTo>
              <a:lnTo>
                <a:pt x="120" y="594"/>
              </a:lnTo>
              <a:lnTo>
                <a:pt x="106" y="575"/>
              </a:lnTo>
              <a:lnTo>
                <a:pt x="111" y="572"/>
              </a:lnTo>
              <a:lnTo>
                <a:pt x="119" y="560"/>
              </a:lnTo>
              <a:lnTo>
                <a:pt x="96" y="569"/>
              </a:lnTo>
              <a:lnTo>
                <a:pt x="89" y="470"/>
              </a:lnTo>
              <a:lnTo>
                <a:pt x="89" y="469"/>
              </a:lnTo>
              <a:lnTo>
                <a:pt x="96" y="380"/>
              </a:lnTo>
              <a:lnTo>
                <a:pt x="88" y="381"/>
              </a:lnTo>
              <a:lnTo>
                <a:pt x="96" y="360"/>
              </a:lnTo>
              <a:lnTo>
                <a:pt x="76" y="366"/>
              </a:lnTo>
              <a:lnTo>
                <a:pt x="84" y="351"/>
              </a:lnTo>
              <a:lnTo>
                <a:pt x="79" y="346"/>
              </a:lnTo>
              <a:lnTo>
                <a:pt x="78" y="345"/>
              </a:lnTo>
              <a:lnTo>
                <a:pt x="76" y="338"/>
              </a:lnTo>
              <a:lnTo>
                <a:pt x="96" y="304"/>
              </a:lnTo>
              <a:lnTo>
                <a:pt x="96" y="286"/>
              </a:lnTo>
              <a:lnTo>
                <a:pt x="120" y="290"/>
              </a:lnTo>
              <a:lnTo>
                <a:pt x="104" y="240"/>
              </a:lnTo>
              <a:lnTo>
                <a:pt x="120" y="231"/>
              </a:lnTo>
              <a:lnTo>
                <a:pt x="128" y="207"/>
              </a:lnTo>
              <a:lnTo>
                <a:pt x="150" y="176"/>
              </a:lnTo>
              <a:lnTo>
                <a:pt x="166" y="166"/>
              </a:lnTo>
              <a:lnTo>
                <a:pt x="163" y="151"/>
              </a:lnTo>
              <a:lnTo>
                <a:pt x="180" y="148"/>
              </a:lnTo>
              <a:lnTo>
                <a:pt x="176" y="158"/>
              </a:lnTo>
              <a:lnTo>
                <a:pt x="180" y="161"/>
              </a:lnTo>
              <a:lnTo>
                <a:pt x="200" y="111"/>
              </a:lnTo>
              <a:lnTo>
                <a:pt x="197" y="83"/>
              </a:lnTo>
              <a:lnTo>
                <a:pt x="204" y="77"/>
              </a:lnTo>
              <a:lnTo>
                <a:pt x="207" y="88"/>
              </a:lnTo>
              <a:lnTo>
                <a:pt x="220" y="74"/>
              </a:lnTo>
              <a:lnTo>
                <a:pt x="200" y="62"/>
              </a:lnTo>
              <a:lnTo>
                <a:pt x="205" y="58"/>
              </a:lnTo>
              <a:lnTo>
                <a:pt x="213" y="63"/>
              </a:lnTo>
              <a:lnTo>
                <a:pt x="222" y="58"/>
              </a:lnTo>
              <a:lnTo>
                <a:pt x="219" y="52"/>
              </a:lnTo>
              <a:lnTo>
                <a:pt x="230" y="39"/>
              </a:lnTo>
              <a:lnTo>
                <a:pt x="231" y="37"/>
              </a:lnTo>
              <a:lnTo>
                <a:pt x="234" y="34"/>
              </a:lnTo>
              <a:lnTo>
                <a:pt x="249" y="31"/>
              </a:lnTo>
              <a:lnTo>
                <a:pt x="260" y="22"/>
              </a:lnTo>
              <a:lnTo>
                <a:pt x="260" y="11"/>
              </a:lnTo>
              <a:lnTo>
                <a:pt x="249" y="0"/>
              </a:lnTo>
              <a:lnTo>
                <a:pt x="307" y="0"/>
              </a:lnTo>
              <a:lnTo>
                <a:pt x="334" y="0"/>
              </a:lnTo>
              <a:lnTo>
                <a:pt x="358" y="0"/>
              </a:lnTo>
              <a:lnTo>
                <a:pt x="373" y="0"/>
              </a:lnTo>
              <a:lnTo>
                <a:pt x="393" y="0"/>
              </a:lnTo>
              <a:lnTo>
                <a:pt x="409" y="0"/>
              </a:lnTo>
              <a:lnTo>
                <a:pt x="428" y="0"/>
              </a:lnTo>
              <a:lnTo>
                <a:pt x="438" y="0"/>
              </a:lnTo>
              <a:lnTo>
                <a:pt x="447" y="0"/>
              </a:lnTo>
              <a:lnTo>
                <a:pt x="457" y="0"/>
              </a:lnTo>
              <a:lnTo>
                <a:pt x="474" y="0"/>
              </a:lnTo>
              <a:lnTo>
                <a:pt x="484" y="0"/>
              </a:lnTo>
              <a:lnTo>
                <a:pt x="491" y="0"/>
              </a:lnTo>
              <a:lnTo>
                <a:pt x="493" y="0"/>
              </a:lnTo>
              <a:lnTo>
                <a:pt x="509" y="0"/>
              </a:lnTo>
              <a:lnTo>
                <a:pt x="526" y="0"/>
              </a:lnTo>
              <a:lnTo>
                <a:pt x="534" y="0"/>
              </a:lnTo>
              <a:lnTo>
                <a:pt x="551" y="0"/>
              </a:lnTo>
              <a:lnTo>
                <a:pt x="568" y="0"/>
              </a:lnTo>
              <a:lnTo>
                <a:pt x="610" y="0"/>
              </a:lnTo>
              <a:lnTo>
                <a:pt x="611" y="0"/>
              </a:lnTo>
              <a:lnTo>
                <a:pt x="613" y="0"/>
              </a:lnTo>
              <a:lnTo>
                <a:pt x="633" y="0"/>
              </a:lnTo>
              <a:lnTo>
                <a:pt x="643" y="0"/>
              </a:lnTo>
              <a:lnTo>
                <a:pt x="657" y="21"/>
              </a:lnTo>
              <a:lnTo>
                <a:pt x="662" y="25"/>
              </a:lnTo>
              <a:lnTo>
                <a:pt x="661" y="39"/>
              </a:lnTo>
              <a:lnTo>
                <a:pt x="657" y="76"/>
              </a:lnTo>
              <a:lnTo>
                <a:pt x="655" y="97"/>
              </a:lnTo>
              <a:lnTo>
                <a:pt x="653" y="117"/>
              </a:lnTo>
              <a:lnTo>
                <a:pt x="653" y="118"/>
              </a:lnTo>
              <a:lnTo>
                <a:pt x="652" y="125"/>
              </a:lnTo>
              <a:lnTo>
                <a:pt x="651" y="131"/>
              </a:lnTo>
              <a:lnTo>
                <a:pt x="649" y="147"/>
              </a:lnTo>
              <a:lnTo>
                <a:pt x="648" y="159"/>
              </a:lnTo>
              <a:lnTo>
                <a:pt x="645" y="191"/>
              </a:lnTo>
              <a:lnTo>
                <a:pt x="644" y="195"/>
              </a:lnTo>
              <a:lnTo>
                <a:pt x="643" y="214"/>
              </a:lnTo>
              <a:lnTo>
                <a:pt x="642" y="222"/>
              </a:lnTo>
              <a:lnTo>
                <a:pt x="641" y="234"/>
              </a:lnTo>
              <a:lnTo>
                <a:pt x="637" y="273"/>
              </a:lnTo>
              <a:lnTo>
                <a:pt x="634" y="295"/>
              </a:lnTo>
              <a:lnTo>
                <a:pt x="633" y="298"/>
              </a:lnTo>
              <a:lnTo>
                <a:pt x="629" y="345"/>
              </a:lnTo>
              <a:lnTo>
                <a:pt x="628" y="353"/>
              </a:lnTo>
              <a:lnTo>
                <a:pt x="627" y="375"/>
              </a:lnTo>
              <a:lnTo>
                <a:pt x="624" y="403"/>
              </a:lnTo>
              <a:lnTo>
                <a:pt x="622" y="418"/>
              </a:lnTo>
              <a:lnTo>
                <a:pt x="622" y="423"/>
              </a:lnTo>
              <a:lnTo>
                <a:pt x="617" y="473"/>
              </a:lnTo>
              <a:lnTo>
                <a:pt x="616" y="481"/>
              </a:lnTo>
              <a:lnTo>
                <a:pt x="615" y="488"/>
              </a:lnTo>
              <a:lnTo>
                <a:pt x="611" y="542"/>
              </a:lnTo>
              <a:lnTo>
                <a:pt x="610" y="550"/>
              </a:lnTo>
              <a:lnTo>
                <a:pt x="608" y="570"/>
              </a:lnTo>
              <a:lnTo>
                <a:pt x="603" y="613"/>
              </a:lnTo>
              <a:lnTo>
                <a:pt x="603" y="619"/>
              </a:lnTo>
              <a:lnTo>
                <a:pt x="601" y="635"/>
              </a:lnTo>
              <a:lnTo>
                <a:pt x="600" y="649"/>
              </a:lnTo>
              <a:lnTo>
                <a:pt x="600" y="651"/>
              </a:lnTo>
              <a:lnTo>
                <a:pt x="600" y="654"/>
              </a:lnTo>
              <a:lnTo>
                <a:pt x="599" y="661"/>
              </a:lnTo>
              <a:lnTo>
                <a:pt x="597" y="677"/>
              </a:lnTo>
              <a:lnTo>
                <a:pt x="592" y="732"/>
              </a:lnTo>
              <a:lnTo>
                <a:pt x="592" y="737"/>
              </a:lnTo>
              <a:lnTo>
                <a:pt x="593" y="741"/>
              </a:lnTo>
              <a:lnTo>
                <a:pt x="594" y="779"/>
              </a:lnTo>
              <a:lnTo>
                <a:pt x="596" y="825"/>
              </a:lnTo>
              <a:lnTo>
                <a:pt x="596" y="831"/>
              </a:lnTo>
              <a:lnTo>
                <a:pt x="597" y="840"/>
              </a:lnTo>
              <a:lnTo>
                <a:pt x="597" y="854"/>
              </a:lnTo>
              <a:lnTo>
                <a:pt x="598" y="882"/>
              </a:lnTo>
              <a:lnTo>
                <a:pt x="600" y="916"/>
              </a:lnTo>
              <a:lnTo>
                <a:pt x="600" y="924"/>
              </a:lnTo>
              <a:lnTo>
                <a:pt x="600" y="932"/>
              </a:lnTo>
              <a:lnTo>
                <a:pt x="601" y="944"/>
              </a:lnTo>
              <a:lnTo>
                <a:pt x="603" y="1003"/>
              </a:lnTo>
              <a:lnTo>
                <a:pt x="603" y="1006"/>
              </a:lnTo>
              <a:lnTo>
                <a:pt x="605" y="1038"/>
              </a:lnTo>
              <a:lnTo>
                <a:pt x="606" y="1068"/>
              </a:lnTo>
              <a:lnTo>
                <a:pt x="607" y="1097"/>
              </a:lnTo>
              <a:lnTo>
                <a:pt x="587" y="1104"/>
              </a:lnTo>
              <a:lnTo>
                <a:pt x="540" y="1097"/>
              </a:lnTo>
              <a:lnTo>
                <a:pt x="522" y="1084"/>
              </a:lnTo>
              <a:lnTo>
                <a:pt x="521" y="1092"/>
              </a:lnTo>
              <a:lnTo>
                <a:pt x="493" y="1088"/>
              </a:lnTo>
              <a:lnTo>
                <a:pt x="440" y="1106"/>
              </a:lnTo>
              <a:lnTo>
                <a:pt x="430" y="1092"/>
              </a:lnTo>
              <a:lnTo>
                <a:pt x="433" y="1104"/>
              </a:lnTo>
              <a:lnTo>
                <a:pt x="400" y="1137"/>
              </a:lnTo>
              <a:lnTo>
                <a:pt x="396" y="1138"/>
              </a:lnTo>
              <a:lnTo>
                <a:pt x="377" y="1121"/>
              </a:lnTo>
              <a:lnTo>
                <a:pt x="365" y="1071"/>
              </a:lnTo>
              <a:lnTo>
                <a:pt x="353" y="1062"/>
              </a:lnTo>
              <a:lnTo>
                <a:pt x="352" y="1062"/>
              </a:lnTo>
              <a:lnTo>
                <a:pt x="336" y="1022"/>
              </a:lnTo>
              <a:lnTo>
                <a:pt x="339" y="1003"/>
              </a:lnTo>
              <a:lnTo>
                <a:pt x="353" y="961"/>
              </a:lnTo>
              <a:lnTo>
                <a:pt x="357" y="943"/>
              </a:lnTo>
              <a:lnTo>
                <a:pt x="353" y="944"/>
              </a:lnTo>
              <a:lnTo>
                <a:pt x="353" y="943"/>
              </a:lnTo>
              <a:lnTo>
                <a:pt x="337" y="943"/>
              </a:lnTo>
              <a:lnTo>
                <a:pt x="283" y="943"/>
              </a:lnTo>
              <a:lnTo>
                <a:pt x="260" y="944"/>
              </a:lnTo>
              <a:lnTo>
                <a:pt x="258" y="944"/>
              </a:lnTo>
              <a:lnTo>
                <a:pt x="242" y="944"/>
              </a:lnTo>
              <a:lnTo>
                <a:pt x="236" y="944"/>
              </a:lnTo>
              <a:lnTo>
                <a:pt x="213" y="944"/>
              </a:lnTo>
              <a:lnTo>
                <a:pt x="204" y="944"/>
              </a:lnTo>
              <a:lnTo>
                <a:pt x="200" y="944"/>
              </a:lnTo>
              <a:lnTo>
                <a:pt x="174" y="944"/>
              </a:lnTo>
              <a:lnTo>
                <a:pt x="166" y="944"/>
              </a:lnTo>
              <a:lnTo>
                <a:pt x="152" y="944"/>
              </a:lnTo>
              <a:lnTo>
                <a:pt x="120" y="944"/>
              </a:lnTo>
              <a:lnTo>
                <a:pt x="109" y="944"/>
              </a:lnTo>
              <a:lnTo>
                <a:pt x="87" y="944"/>
              </a:lnTo>
              <a:lnTo>
                <a:pt x="73" y="944"/>
              </a:lnTo>
              <a:lnTo>
                <a:pt x="49" y="944"/>
              </a:lnTo>
              <a:lnTo>
                <a:pt x="0" y="944"/>
              </a:lnTo>
              <a:lnTo>
                <a:pt x="5" y="942"/>
              </a:lnTo>
              <a:lnTo>
                <a:pt x="3" y="913"/>
              </a:lnTo>
              <a:lnTo>
                <a:pt x="9" y="898"/>
              </a:lnTo>
              <a:lnTo>
                <a:pt x="26" y="857"/>
              </a:lnTo>
              <a:lnTo>
                <a:pt x="26" y="791"/>
              </a:lnTo>
              <a:lnTo>
                <a:pt x="48" y="771"/>
              </a:lnTo>
              <a:lnTo>
                <a:pt x="49" y="770"/>
              </a:lnTo>
              <a:lnTo>
                <a:pt x="53" y="766"/>
              </a:lnTo>
              <a:lnTo>
                <a:pt x="60" y="76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95250</xdr:colOff>
      <xdr:row>28</xdr:row>
      <xdr:rowOff>114300</xdr:rowOff>
    </xdr:from>
    <xdr:to>
      <xdr:col>2</xdr:col>
      <xdr:colOff>2256305</xdr:colOff>
      <xdr:row>28</xdr:row>
      <xdr:rowOff>1136277</xdr:rowOff>
    </xdr:to>
    <xdr:sp macro="" textlink="">
      <xdr:nvSpPr>
        <xdr:cNvPr id="118" name="S_MT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/>
        </xdr:cNvSpPr>
      </xdr:nvSpPr>
      <xdr:spPr bwMode="auto">
        <a:xfrm>
          <a:off x="1876425" y="34509075"/>
          <a:ext cx="2161055" cy="1021977"/>
        </a:xfrm>
        <a:custGeom>
          <a:avLst/>
          <a:gdLst>
            <a:gd name="T0" fmla="*/ 2147483647 w 2247"/>
            <a:gd name="T1" fmla="*/ 2147483647 h 1097"/>
            <a:gd name="T2" fmla="*/ 2147483647 w 2247"/>
            <a:gd name="T3" fmla="*/ 2147483647 h 1097"/>
            <a:gd name="T4" fmla="*/ 2147483647 w 2247"/>
            <a:gd name="T5" fmla="*/ 2147483647 h 1097"/>
            <a:gd name="T6" fmla="*/ 2147483647 w 2247"/>
            <a:gd name="T7" fmla="*/ 2147483647 h 1097"/>
            <a:gd name="T8" fmla="*/ 2147483647 w 2247"/>
            <a:gd name="T9" fmla="*/ 2147483647 h 1097"/>
            <a:gd name="T10" fmla="*/ 2147483647 w 2247"/>
            <a:gd name="T11" fmla="*/ 2147483647 h 1097"/>
            <a:gd name="T12" fmla="*/ 2147483647 w 2247"/>
            <a:gd name="T13" fmla="*/ 2147483647 h 1097"/>
            <a:gd name="T14" fmla="*/ 2147483647 w 2247"/>
            <a:gd name="T15" fmla="*/ 2147483647 h 1097"/>
            <a:gd name="T16" fmla="*/ 2147483647 w 2247"/>
            <a:gd name="T17" fmla="*/ 2147483647 h 1097"/>
            <a:gd name="T18" fmla="*/ 2147483647 w 2247"/>
            <a:gd name="T19" fmla="*/ 2147483647 h 1097"/>
            <a:gd name="T20" fmla="*/ 2147483647 w 2247"/>
            <a:gd name="T21" fmla="*/ 2147483647 h 1097"/>
            <a:gd name="T22" fmla="*/ 2147483647 w 2247"/>
            <a:gd name="T23" fmla="*/ 2147483647 h 1097"/>
            <a:gd name="T24" fmla="*/ 0 w 2247"/>
            <a:gd name="T25" fmla="*/ 2147483647 h 1097"/>
            <a:gd name="T26" fmla="*/ 0 w 2247"/>
            <a:gd name="T27" fmla="*/ 2147483647 h 1097"/>
            <a:gd name="T28" fmla="*/ 0 w 2247"/>
            <a:gd name="T29" fmla="*/ 2147483647 h 1097"/>
            <a:gd name="T30" fmla="*/ 0 w 2247"/>
            <a:gd name="T31" fmla="*/ 2147483647 h 1097"/>
            <a:gd name="T32" fmla="*/ 0 w 2247"/>
            <a:gd name="T33" fmla="*/ 0 h 1097"/>
            <a:gd name="T34" fmla="*/ 2147483647 w 2247"/>
            <a:gd name="T35" fmla="*/ 0 h 1097"/>
            <a:gd name="T36" fmla="*/ 2147483647 w 2247"/>
            <a:gd name="T37" fmla="*/ 0 h 1097"/>
            <a:gd name="T38" fmla="*/ 2147483647 w 2247"/>
            <a:gd name="T39" fmla="*/ 0 h 1097"/>
            <a:gd name="T40" fmla="*/ 2147483647 w 2247"/>
            <a:gd name="T41" fmla="*/ 0 h 1097"/>
            <a:gd name="T42" fmla="*/ 2147483647 w 2247"/>
            <a:gd name="T43" fmla="*/ 0 h 1097"/>
            <a:gd name="T44" fmla="*/ 2147483647 w 2247"/>
            <a:gd name="T45" fmla="*/ 0 h 1097"/>
            <a:gd name="T46" fmla="*/ 2147483647 w 2247"/>
            <a:gd name="T47" fmla="*/ 2147483647 h 1097"/>
            <a:gd name="T48" fmla="*/ 2147483647 w 2247"/>
            <a:gd name="T49" fmla="*/ 2147483647 h 1097"/>
            <a:gd name="T50" fmla="*/ 2147483647 w 2247"/>
            <a:gd name="T51" fmla="*/ 2147483647 h 1097"/>
            <a:gd name="T52" fmla="*/ 2147483647 w 2247"/>
            <a:gd name="T53" fmla="*/ 2147483647 h 1097"/>
            <a:gd name="T54" fmla="*/ 2147483647 w 2247"/>
            <a:gd name="T55" fmla="*/ 2147483647 h 1097"/>
            <a:gd name="T56" fmla="*/ 2147483647 w 2247"/>
            <a:gd name="T57" fmla="*/ 2147483647 h 1097"/>
            <a:gd name="T58" fmla="*/ 2147483647 w 2247"/>
            <a:gd name="T59" fmla="*/ 2147483647 h 1097"/>
            <a:gd name="T60" fmla="*/ 2147483647 w 2247"/>
            <a:gd name="T61" fmla="*/ 2147483647 h 1097"/>
            <a:gd name="T62" fmla="*/ 2147483647 w 2247"/>
            <a:gd name="T63" fmla="*/ 2147483647 h 1097"/>
            <a:gd name="T64" fmla="*/ 2147483647 w 2247"/>
            <a:gd name="T65" fmla="*/ 2147483647 h 1097"/>
            <a:gd name="T66" fmla="*/ 2147483647 w 2247"/>
            <a:gd name="T67" fmla="*/ 2147483647 h 1097"/>
            <a:gd name="T68" fmla="*/ 2147483647 w 2247"/>
            <a:gd name="T69" fmla="*/ 2147483647 h 1097"/>
            <a:gd name="T70" fmla="*/ 2147483647 w 2247"/>
            <a:gd name="T71" fmla="*/ 2147483647 h 1097"/>
            <a:gd name="T72" fmla="*/ 2147483647 w 2247"/>
            <a:gd name="T73" fmla="*/ 2147483647 h 1097"/>
            <a:gd name="T74" fmla="*/ 2147483647 w 2247"/>
            <a:gd name="T75" fmla="*/ 2147483647 h 1097"/>
            <a:gd name="T76" fmla="*/ 2147483647 w 2247"/>
            <a:gd name="T77" fmla="*/ 2147483647 h 1097"/>
            <a:gd name="T78" fmla="*/ 2147483647 w 2247"/>
            <a:gd name="T79" fmla="*/ 2147483647 h 1097"/>
            <a:gd name="T80" fmla="*/ 2147483647 w 2247"/>
            <a:gd name="T81" fmla="*/ 2147483647 h 1097"/>
            <a:gd name="T82" fmla="*/ 2147483647 w 2247"/>
            <a:gd name="T83" fmla="*/ 2147483647 h 1097"/>
            <a:gd name="T84" fmla="*/ 2147483647 w 2247"/>
            <a:gd name="T85" fmla="*/ 2147483647 h 1097"/>
            <a:gd name="T86" fmla="*/ 2147483647 w 2247"/>
            <a:gd name="T87" fmla="*/ 2147483647 h 1097"/>
            <a:gd name="T88" fmla="*/ 2147483647 w 2247"/>
            <a:gd name="T89" fmla="*/ 2147483647 h 1097"/>
            <a:gd name="T90" fmla="*/ 2147483647 w 2247"/>
            <a:gd name="T91" fmla="*/ 2147483647 h 1097"/>
            <a:gd name="T92" fmla="*/ 2147483647 w 2247"/>
            <a:gd name="T93" fmla="*/ 2147483647 h 1097"/>
            <a:gd name="T94" fmla="*/ 2147483647 w 2247"/>
            <a:gd name="T95" fmla="*/ 2147483647 h 1097"/>
            <a:gd name="T96" fmla="*/ 2147483647 w 2247"/>
            <a:gd name="T97" fmla="*/ 2147483647 h 1097"/>
            <a:gd name="T98" fmla="*/ 2147483647 w 2247"/>
            <a:gd name="T99" fmla="*/ 2147483647 h 1097"/>
            <a:gd name="T100" fmla="*/ 2147483647 w 2247"/>
            <a:gd name="T101" fmla="*/ 2147483647 h 1097"/>
            <a:gd name="T102" fmla="*/ 2147483647 w 2247"/>
            <a:gd name="T103" fmla="*/ 2147483647 h 1097"/>
            <a:gd name="T104" fmla="*/ 2147483647 w 2247"/>
            <a:gd name="T105" fmla="*/ 2147483647 h 1097"/>
            <a:gd name="T106" fmla="*/ 2147483647 w 2247"/>
            <a:gd name="T107" fmla="*/ 2147483647 h 1097"/>
            <a:gd name="T108" fmla="*/ 2147483647 w 2247"/>
            <a:gd name="T109" fmla="*/ 2147483647 h 1097"/>
            <a:gd name="T110" fmla="*/ 2147483647 w 2247"/>
            <a:gd name="T111" fmla="*/ 2147483647 h 1097"/>
            <a:gd name="T112" fmla="*/ 2147483647 w 2247"/>
            <a:gd name="T113" fmla="*/ 2147483647 h 1097"/>
            <a:gd name="T114" fmla="*/ 2147483647 w 2247"/>
            <a:gd name="T115" fmla="*/ 2147483647 h 1097"/>
            <a:gd name="T116" fmla="*/ 2147483647 w 2247"/>
            <a:gd name="T117" fmla="*/ 2147483647 h 1097"/>
            <a:gd name="T118" fmla="*/ 2147483647 w 2247"/>
            <a:gd name="T119" fmla="*/ 2147483647 h 1097"/>
            <a:gd name="T120" fmla="*/ 2147483647 w 2247"/>
            <a:gd name="T121" fmla="*/ 2147483647 h 1097"/>
            <a:gd name="T122" fmla="*/ 2147483647 w 2247"/>
            <a:gd name="T123" fmla="*/ 2147483647 h 1097"/>
            <a:gd name="T124" fmla="*/ 2147483647 w 2247"/>
            <a:gd name="T125" fmla="*/ 2147483647 h 1097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2247"/>
            <a:gd name="T190" fmla="*/ 0 h 1097"/>
            <a:gd name="T191" fmla="*/ 2247 w 2247"/>
            <a:gd name="T192" fmla="*/ 1097 h 1097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2247" h="1097">
              <a:moveTo>
                <a:pt x="395" y="781"/>
              </a:moveTo>
              <a:lnTo>
                <a:pt x="336" y="823"/>
              </a:lnTo>
              <a:lnTo>
                <a:pt x="312" y="827"/>
              </a:lnTo>
              <a:lnTo>
                <a:pt x="277" y="813"/>
              </a:lnTo>
              <a:lnTo>
                <a:pt x="307" y="591"/>
              </a:lnTo>
              <a:lnTo>
                <a:pt x="313" y="591"/>
              </a:lnTo>
              <a:lnTo>
                <a:pt x="322" y="562"/>
              </a:lnTo>
              <a:lnTo>
                <a:pt x="321" y="553"/>
              </a:lnTo>
              <a:lnTo>
                <a:pt x="313" y="551"/>
              </a:lnTo>
              <a:lnTo>
                <a:pt x="289" y="557"/>
              </a:lnTo>
              <a:lnTo>
                <a:pt x="272" y="560"/>
              </a:lnTo>
              <a:lnTo>
                <a:pt x="266" y="553"/>
              </a:lnTo>
              <a:lnTo>
                <a:pt x="266" y="540"/>
              </a:lnTo>
              <a:lnTo>
                <a:pt x="257" y="535"/>
              </a:lnTo>
              <a:lnTo>
                <a:pt x="240" y="545"/>
              </a:lnTo>
              <a:lnTo>
                <a:pt x="236" y="540"/>
              </a:lnTo>
              <a:lnTo>
                <a:pt x="240" y="532"/>
              </a:lnTo>
              <a:lnTo>
                <a:pt x="204" y="489"/>
              </a:lnTo>
              <a:lnTo>
                <a:pt x="184" y="473"/>
              </a:lnTo>
              <a:lnTo>
                <a:pt x="135" y="415"/>
              </a:lnTo>
              <a:lnTo>
                <a:pt x="106" y="407"/>
              </a:lnTo>
              <a:lnTo>
                <a:pt x="56" y="369"/>
              </a:lnTo>
              <a:lnTo>
                <a:pt x="78" y="359"/>
              </a:lnTo>
              <a:lnTo>
                <a:pt x="56" y="344"/>
              </a:lnTo>
              <a:lnTo>
                <a:pt x="56" y="304"/>
              </a:lnTo>
              <a:lnTo>
                <a:pt x="0" y="242"/>
              </a:lnTo>
              <a:lnTo>
                <a:pt x="0" y="236"/>
              </a:lnTo>
              <a:lnTo>
                <a:pt x="0" y="186"/>
              </a:lnTo>
              <a:lnTo>
                <a:pt x="0" y="127"/>
              </a:lnTo>
              <a:lnTo>
                <a:pt x="0" y="119"/>
              </a:lnTo>
              <a:lnTo>
                <a:pt x="0" y="118"/>
              </a:lnTo>
              <a:lnTo>
                <a:pt x="0" y="30"/>
              </a:lnTo>
              <a:lnTo>
                <a:pt x="0" y="6"/>
              </a:lnTo>
              <a:lnTo>
                <a:pt x="0" y="0"/>
              </a:lnTo>
              <a:lnTo>
                <a:pt x="247" y="0"/>
              </a:lnTo>
              <a:lnTo>
                <a:pt x="371" y="1"/>
              </a:lnTo>
              <a:lnTo>
                <a:pt x="722" y="1"/>
              </a:lnTo>
              <a:lnTo>
                <a:pt x="894" y="1"/>
              </a:lnTo>
              <a:lnTo>
                <a:pt x="992" y="1"/>
              </a:lnTo>
              <a:lnTo>
                <a:pt x="1134" y="1"/>
              </a:lnTo>
              <a:lnTo>
                <a:pt x="1227" y="0"/>
              </a:lnTo>
              <a:lnTo>
                <a:pt x="1461" y="0"/>
              </a:lnTo>
              <a:lnTo>
                <a:pt x="1658" y="0"/>
              </a:lnTo>
              <a:lnTo>
                <a:pt x="1858" y="1"/>
              </a:lnTo>
              <a:lnTo>
                <a:pt x="2056" y="1"/>
              </a:lnTo>
              <a:lnTo>
                <a:pt x="2245" y="1"/>
              </a:lnTo>
              <a:lnTo>
                <a:pt x="2245" y="60"/>
              </a:lnTo>
              <a:lnTo>
                <a:pt x="2245" y="79"/>
              </a:lnTo>
              <a:lnTo>
                <a:pt x="2245" y="87"/>
              </a:lnTo>
              <a:lnTo>
                <a:pt x="2245" y="89"/>
              </a:lnTo>
              <a:lnTo>
                <a:pt x="2245" y="119"/>
              </a:lnTo>
              <a:lnTo>
                <a:pt x="2245" y="144"/>
              </a:lnTo>
              <a:lnTo>
                <a:pt x="2246" y="207"/>
              </a:lnTo>
              <a:lnTo>
                <a:pt x="2246" y="236"/>
              </a:lnTo>
              <a:lnTo>
                <a:pt x="2246" y="237"/>
              </a:lnTo>
              <a:lnTo>
                <a:pt x="2246" y="266"/>
              </a:lnTo>
              <a:lnTo>
                <a:pt x="2246" y="295"/>
              </a:lnTo>
              <a:lnTo>
                <a:pt x="2246" y="379"/>
              </a:lnTo>
              <a:lnTo>
                <a:pt x="2246" y="384"/>
              </a:lnTo>
              <a:lnTo>
                <a:pt x="2246" y="395"/>
              </a:lnTo>
              <a:lnTo>
                <a:pt x="2246" y="443"/>
              </a:lnTo>
              <a:lnTo>
                <a:pt x="2246" y="532"/>
              </a:lnTo>
              <a:lnTo>
                <a:pt x="2245" y="557"/>
              </a:lnTo>
              <a:lnTo>
                <a:pt x="2246" y="581"/>
              </a:lnTo>
              <a:lnTo>
                <a:pt x="2246" y="591"/>
              </a:lnTo>
              <a:lnTo>
                <a:pt x="2246" y="643"/>
              </a:lnTo>
              <a:lnTo>
                <a:pt x="2245" y="651"/>
              </a:lnTo>
              <a:lnTo>
                <a:pt x="2246" y="686"/>
              </a:lnTo>
              <a:lnTo>
                <a:pt x="2246" y="722"/>
              </a:lnTo>
              <a:lnTo>
                <a:pt x="2246" y="737"/>
              </a:lnTo>
              <a:lnTo>
                <a:pt x="2246" y="768"/>
              </a:lnTo>
              <a:lnTo>
                <a:pt x="2246" y="886"/>
              </a:lnTo>
              <a:lnTo>
                <a:pt x="2247" y="895"/>
              </a:lnTo>
              <a:lnTo>
                <a:pt x="2247" y="945"/>
              </a:lnTo>
              <a:lnTo>
                <a:pt x="2247" y="946"/>
              </a:lnTo>
              <a:lnTo>
                <a:pt x="2243" y="946"/>
              </a:lnTo>
              <a:lnTo>
                <a:pt x="2117" y="946"/>
              </a:lnTo>
              <a:lnTo>
                <a:pt x="2098" y="945"/>
              </a:lnTo>
              <a:lnTo>
                <a:pt x="2059" y="945"/>
              </a:lnTo>
              <a:lnTo>
                <a:pt x="2050" y="945"/>
              </a:lnTo>
              <a:lnTo>
                <a:pt x="1896" y="945"/>
              </a:lnTo>
              <a:lnTo>
                <a:pt x="1880" y="947"/>
              </a:lnTo>
              <a:lnTo>
                <a:pt x="1877" y="947"/>
              </a:lnTo>
              <a:lnTo>
                <a:pt x="1856" y="947"/>
              </a:lnTo>
              <a:lnTo>
                <a:pt x="1832" y="947"/>
              </a:lnTo>
              <a:lnTo>
                <a:pt x="1830" y="947"/>
              </a:lnTo>
              <a:lnTo>
                <a:pt x="1692" y="946"/>
              </a:lnTo>
              <a:lnTo>
                <a:pt x="1669" y="945"/>
              </a:lnTo>
              <a:lnTo>
                <a:pt x="1522" y="945"/>
              </a:lnTo>
              <a:lnTo>
                <a:pt x="1459" y="945"/>
              </a:lnTo>
              <a:lnTo>
                <a:pt x="1435" y="945"/>
              </a:lnTo>
              <a:lnTo>
                <a:pt x="1412" y="945"/>
              </a:lnTo>
              <a:lnTo>
                <a:pt x="1389" y="945"/>
              </a:lnTo>
              <a:lnTo>
                <a:pt x="1319" y="945"/>
              </a:lnTo>
              <a:lnTo>
                <a:pt x="1295" y="944"/>
              </a:lnTo>
              <a:lnTo>
                <a:pt x="1169" y="945"/>
              </a:lnTo>
              <a:lnTo>
                <a:pt x="1158" y="945"/>
              </a:lnTo>
              <a:lnTo>
                <a:pt x="1131" y="945"/>
              </a:lnTo>
              <a:lnTo>
                <a:pt x="1055" y="947"/>
              </a:lnTo>
              <a:lnTo>
                <a:pt x="935" y="945"/>
              </a:lnTo>
              <a:lnTo>
                <a:pt x="933" y="1024"/>
              </a:lnTo>
              <a:lnTo>
                <a:pt x="935" y="1064"/>
              </a:lnTo>
              <a:lnTo>
                <a:pt x="935" y="1069"/>
              </a:lnTo>
              <a:lnTo>
                <a:pt x="927" y="1067"/>
              </a:lnTo>
              <a:lnTo>
                <a:pt x="926" y="1067"/>
              </a:lnTo>
              <a:lnTo>
                <a:pt x="920" y="1064"/>
              </a:lnTo>
              <a:lnTo>
                <a:pt x="897" y="1028"/>
              </a:lnTo>
              <a:lnTo>
                <a:pt x="874" y="1004"/>
              </a:lnTo>
              <a:lnTo>
                <a:pt x="870" y="1005"/>
              </a:lnTo>
              <a:lnTo>
                <a:pt x="855" y="1014"/>
              </a:lnTo>
              <a:lnTo>
                <a:pt x="848" y="1029"/>
              </a:lnTo>
              <a:lnTo>
                <a:pt x="851" y="1054"/>
              </a:lnTo>
              <a:lnTo>
                <a:pt x="829" y="1052"/>
              </a:lnTo>
              <a:lnTo>
                <a:pt x="733" y="1056"/>
              </a:lnTo>
              <a:lnTo>
                <a:pt x="711" y="1048"/>
              </a:lnTo>
              <a:lnTo>
                <a:pt x="691" y="1064"/>
              </a:lnTo>
              <a:lnTo>
                <a:pt x="664" y="1072"/>
              </a:lnTo>
              <a:lnTo>
                <a:pt x="620" y="1064"/>
              </a:lnTo>
              <a:lnTo>
                <a:pt x="601" y="1081"/>
              </a:lnTo>
              <a:lnTo>
                <a:pt x="605" y="1093"/>
              </a:lnTo>
              <a:lnTo>
                <a:pt x="600" y="1097"/>
              </a:lnTo>
              <a:lnTo>
                <a:pt x="570" y="1075"/>
              </a:lnTo>
              <a:lnTo>
                <a:pt x="545" y="1003"/>
              </a:lnTo>
              <a:lnTo>
                <a:pt x="485" y="975"/>
              </a:lnTo>
              <a:lnTo>
                <a:pt x="487" y="945"/>
              </a:lnTo>
              <a:lnTo>
                <a:pt x="395" y="78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857251</xdr:colOff>
      <xdr:row>30</xdr:row>
      <xdr:rowOff>57150</xdr:rowOff>
    </xdr:from>
    <xdr:to>
      <xdr:col>2</xdr:col>
      <xdr:colOff>1428751</xdr:colOff>
      <xdr:row>30</xdr:row>
      <xdr:rowOff>1171575</xdr:rowOff>
    </xdr:to>
    <xdr:sp macro="" textlink="">
      <xdr:nvSpPr>
        <xdr:cNvPr id="119" name="S_NV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/>
        </xdr:cNvSpPr>
      </xdr:nvSpPr>
      <xdr:spPr bwMode="auto">
        <a:xfrm>
          <a:off x="2638426" y="36985575"/>
          <a:ext cx="571500" cy="1114425"/>
        </a:xfrm>
        <a:custGeom>
          <a:avLst/>
          <a:gdLst>
            <a:gd name="T0" fmla="*/ 2147483647 w 1116"/>
            <a:gd name="T1" fmla="*/ 2147483647 h 1654"/>
            <a:gd name="T2" fmla="*/ 2147483647 w 1116"/>
            <a:gd name="T3" fmla="*/ 2147483647 h 1654"/>
            <a:gd name="T4" fmla="*/ 2147483647 w 1116"/>
            <a:gd name="T5" fmla="*/ 2147483647 h 1654"/>
            <a:gd name="T6" fmla="*/ 2147483647 w 1116"/>
            <a:gd name="T7" fmla="*/ 2147483647 h 1654"/>
            <a:gd name="T8" fmla="*/ 2147483647 w 1116"/>
            <a:gd name="T9" fmla="*/ 2147483647 h 1654"/>
            <a:gd name="T10" fmla="*/ 2147483647 w 1116"/>
            <a:gd name="T11" fmla="*/ 2147483647 h 1654"/>
            <a:gd name="T12" fmla="*/ 2147483647 w 1116"/>
            <a:gd name="T13" fmla="*/ 2147483647 h 1654"/>
            <a:gd name="T14" fmla="*/ 2147483647 w 1116"/>
            <a:gd name="T15" fmla="*/ 2147483647 h 1654"/>
            <a:gd name="T16" fmla="*/ 2147483647 w 1116"/>
            <a:gd name="T17" fmla="*/ 2147483647 h 1654"/>
            <a:gd name="T18" fmla="*/ 2147483647 w 1116"/>
            <a:gd name="T19" fmla="*/ 2147483647 h 1654"/>
            <a:gd name="T20" fmla="*/ 2147483647 w 1116"/>
            <a:gd name="T21" fmla="*/ 2147483647 h 1654"/>
            <a:gd name="T22" fmla="*/ 2147483647 w 1116"/>
            <a:gd name="T23" fmla="*/ 2147483647 h 1654"/>
            <a:gd name="T24" fmla="*/ 2147483647 w 1116"/>
            <a:gd name="T25" fmla="*/ 2147483647 h 1654"/>
            <a:gd name="T26" fmla="*/ 2147483647 w 1116"/>
            <a:gd name="T27" fmla="*/ 2147483647 h 1654"/>
            <a:gd name="T28" fmla="*/ 2147483647 w 1116"/>
            <a:gd name="T29" fmla="*/ 2147483647 h 1654"/>
            <a:gd name="T30" fmla="*/ 2147483647 w 1116"/>
            <a:gd name="T31" fmla="*/ 2147483647 h 1654"/>
            <a:gd name="T32" fmla="*/ 2147483647 w 1116"/>
            <a:gd name="T33" fmla="*/ 2147483647 h 1654"/>
            <a:gd name="T34" fmla="*/ 2147483647 w 1116"/>
            <a:gd name="T35" fmla="*/ 2147483647 h 1654"/>
            <a:gd name="T36" fmla="*/ 2147483647 w 1116"/>
            <a:gd name="T37" fmla="*/ 2147483647 h 1654"/>
            <a:gd name="T38" fmla="*/ 2147483647 w 1116"/>
            <a:gd name="T39" fmla="*/ 2147483647 h 1654"/>
            <a:gd name="T40" fmla="*/ 2147483647 w 1116"/>
            <a:gd name="T41" fmla="*/ 2147483647 h 1654"/>
            <a:gd name="T42" fmla="*/ 2147483647 w 1116"/>
            <a:gd name="T43" fmla="*/ 2147483647 h 1654"/>
            <a:gd name="T44" fmla="*/ 2147483647 w 1116"/>
            <a:gd name="T45" fmla="*/ 2147483647 h 1654"/>
            <a:gd name="T46" fmla="*/ 2147483647 w 1116"/>
            <a:gd name="T47" fmla="*/ 2147483647 h 1654"/>
            <a:gd name="T48" fmla="*/ 2147483647 w 1116"/>
            <a:gd name="T49" fmla="*/ 2147483647 h 1654"/>
            <a:gd name="T50" fmla="*/ 2147483647 w 1116"/>
            <a:gd name="T51" fmla="*/ 2147483647 h 1654"/>
            <a:gd name="T52" fmla="*/ 2147483647 w 1116"/>
            <a:gd name="T53" fmla="*/ 2147483647 h 1654"/>
            <a:gd name="T54" fmla="*/ 2147483647 w 1116"/>
            <a:gd name="T55" fmla="*/ 2147483647 h 1654"/>
            <a:gd name="T56" fmla="*/ 2147483647 w 1116"/>
            <a:gd name="T57" fmla="*/ 2147483647 h 1654"/>
            <a:gd name="T58" fmla="*/ 2147483647 w 1116"/>
            <a:gd name="T59" fmla="*/ 2147483647 h 1654"/>
            <a:gd name="T60" fmla="*/ 2147483647 w 1116"/>
            <a:gd name="T61" fmla="*/ 2147483647 h 1654"/>
            <a:gd name="T62" fmla="*/ 2147483647 w 1116"/>
            <a:gd name="T63" fmla="*/ 0 h 1654"/>
            <a:gd name="T64" fmla="*/ 2147483647 w 1116"/>
            <a:gd name="T65" fmla="*/ 0 h 1654"/>
            <a:gd name="T66" fmla="*/ 2147483647 w 1116"/>
            <a:gd name="T67" fmla="*/ 0 h 1654"/>
            <a:gd name="T68" fmla="*/ 2147483647 w 1116"/>
            <a:gd name="T69" fmla="*/ 0 h 1654"/>
            <a:gd name="T70" fmla="*/ 2147483647 w 1116"/>
            <a:gd name="T71" fmla="*/ 0 h 1654"/>
            <a:gd name="T72" fmla="*/ 2147483647 w 1116"/>
            <a:gd name="T73" fmla="*/ 0 h 1654"/>
            <a:gd name="T74" fmla="*/ 2147483647 w 1116"/>
            <a:gd name="T75" fmla="*/ 0 h 1654"/>
            <a:gd name="T76" fmla="*/ 2147483647 w 1116"/>
            <a:gd name="T77" fmla="*/ 0 h 1654"/>
            <a:gd name="T78" fmla="*/ 2147483647 w 1116"/>
            <a:gd name="T79" fmla="*/ 0 h 1654"/>
            <a:gd name="T80" fmla="*/ 2147483647 w 1116"/>
            <a:gd name="T81" fmla="*/ 0 h 1654"/>
            <a:gd name="T82" fmla="*/ 2147483647 w 1116"/>
            <a:gd name="T83" fmla="*/ 2147483647 h 1654"/>
            <a:gd name="T84" fmla="*/ 2147483647 w 1116"/>
            <a:gd name="T85" fmla="*/ 2147483647 h 1654"/>
            <a:gd name="T86" fmla="*/ 2147483647 w 1116"/>
            <a:gd name="T87" fmla="*/ 2147483647 h 1654"/>
            <a:gd name="T88" fmla="*/ 2147483647 w 1116"/>
            <a:gd name="T89" fmla="*/ 2147483647 h 1654"/>
            <a:gd name="T90" fmla="*/ 2147483647 w 1116"/>
            <a:gd name="T91" fmla="*/ 2147483647 h 1654"/>
            <a:gd name="T92" fmla="*/ 0 w 1116"/>
            <a:gd name="T93" fmla="*/ 2147483647 h 1654"/>
            <a:gd name="T94" fmla="*/ 0 w 1116"/>
            <a:gd name="T95" fmla="*/ 2147483647 h 1654"/>
            <a:gd name="T96" fmla="*/ 2147483647 w 1116"/>
            <a:gd name="T97" fmla="*/ 2147483647 h 1654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16"/>
            <a:gd name="T148" fmla="*/ 0 h 1654"/>
            <a:gd name="T149" fmla="*/ 1116 w 1116"/>
            <a:gd name="T150" fmla="*/ 1654 h 1654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16" h="1654">
              <a:moveTo>
                <a:pt x="1" y="683"/>
              </a:moveTo>
              <a:lnTo>
                <a:pt x="1" y="694"/>
              </a:lnTo>
              <a:lnTo>
                <a:pt x="1" y="710"/>
              </a:lnTo>
              <a:lnTo>
                <a:pt x="11" y="720"/>
              </a:lnTo>
              <a:lnTo>
                <a:pt x="19" y="725"/>
              </a:lnTo>
              <a:lnTo>
                <a:pt x="31" y="736"/>
              </a:lnTo>
              <a:lnTo>
                <a:pt x="68" y="769"/>
              </a:lnTo>
              <a:lnTo>
                <a:pt x="79" y="777"/>
              </a:lnTo>
              <a:lnTo>
                <a:pt x="94" y="791"/>
              </a:lnTo>
              <a:lnTo>
                <a:pt x="127" y="820"/>
              </a:lnTo>
              <a:lnTo>
                <a:pt x="136" y="828"/>
              </a:lnTo>
              <a:lnTo>
                <a:pt x="141" y="832"/>
              </a:lnTo>
              <a:lnTo>
                <a:pt x="158" y="848"/>
              </a:lnTo>
              <a:lnTo>
                <a:pt x="202" y="887"/>
              </a:lnTo>
              <a:lnTo>
                <a:pt x="234" y="915"/>
              </a:lnTo>
              <a:lnTo>
                <a:pt x="295" y="970"/>
              </a:lnTo>
              <a:lnTo>
                <a:pt x="366" y="1035"/>
              </a:lnTo>
              <a:lnTo>
                <a:pt x="398" y="1064"/>
              </a:lnTo>
              <a:lnTo>
                <a:pt x="406" y="1073"/>
              </a:lnTo>
              <a:lnTo>
                <a:pt x="448" y="1111"/>
              </a:lnTo>
              <a:lnTo>
                <a:pt x="461" y="1123"/>
              </a:lnTo>
              <a:lnTo>
                <a:pt x="530" y="1188"/>
              </a:lnTo>
              <a:lnTo>
                <a:pt x="647" y="1301"/>
              </a:lnTo>
              <a:lnTo>
                <a:pt x="702" y="1353"/>
              </a:lnTo>
              <a:lnTo>
                <a:pt x="768" y="1417"/>
              </a:lnTo>
              <a:lnTo>
                <a:pt x="769" y="1418"/>
              </a:lnTo>
              <a:lnTo>
                <a:pt x="796" y="1445"/>
              </a:lnTo>
              <a:lnTo>
                <a:pt x="818" y="1468"/>
              </a:lnTo>
              <a:lnTo>
                <a:pt x="889" y="1537"/>
              </a:lnTo>
              <a:lnTo>
                <a:pt x="951" y="1599"/>
              </a:lnTo>
              <a:lnTo>
                <a:pt x="1005" y="1654"/>
              </a:lnTo>
              <a:lnTo>
                <a:pt x="1013" y="1596"/>
              </a:lnTo>
              <a:lnTo>
                <a:pt x="993" y="1477"/>
              </a:lnTo>
              <a:lnTo>
                <a:pt x="998" y="1448"/>
              </a:lnTo>
              <a:lnTo>
                <a:pt x="983" y="1397"/>
              </a:lnTo>
              <a:lnTo>
                <a:pt x="1029" y="1384"/>
              </a:lnTo>
              <a:lnTo>
                <a:pt x="1076" y="1414"/>
              </a:lnTo>
              <a:lnTo>
                <a:pt x="1113" y="1373"/>
              </a:lnTo>
              <a:lnTo>
                <a:pt x="1114" y="1219"/>
              </a:lnTo>
              <a:lnTo>
                <a:pt x="1114" y="1182"/>
              </a:lnTo>
              <a:lnTo>
                <a:pt x="1114" y="1157"/>
              </a:lnTo>
              <a:lnTo>
                <a:pt x="1114" y="1080"/>
              </a:lnTo>
              <a:lnTo>
                <a:pt x="1114" y="1040"/>
              </a:lnTo>
              <a:lnTo>
                <a:pt x="1114" y="1005"/>
              </a:lnTo>
              <a:lnTo>
                <a:pt x="1114" y="1000"/>
              </a:lnTo>
              <a:lnTo>
                <a:pt x="1114" y="911"/>
              </a:lnTo>
              <a:lnTo>
                <a:pt x="1114" y="877"/>
              </a:lnTo>
              <a:lnTo>
                <a:pt x="1114" y="828"/>
              </a:lnTo>
              <a:lnTo>
                <a:pt x="1114" y="811"/>
              </a:lnTo>
              <a:lnTo>
                <a:pt x="1114" y="799"/>
              </a:lnTo>
              <a:lnTo>
                <a:pt x="1114" y="786"/>
              </a:lnTo>
              <a:lnTo>
                <a:pt x="1114" y="742"/>
              </a:lnTo>
              <a:lnTo>
                <a:pt x="1115" y="591"/>
              </a:lnTo>
              <a:lnTo>
                <a:pt x="1114" y="582"/>
              </a:lnTo>
              <a:lnTo>
                <a:pt x="1115" y="532"/>
              </a:lnTo>
              <a:lnTo>
                <a:pt x="1115" y="496"/>
              </a:lnTo>
              <a:lnTo>
                <a:pt x="1115" y="473"/>
              </a:lnTo>
              <a:lnTo>
                <a:pt x="1115" y="446"/>
              </a:lnTo>
              <a:lnTo>
                <a:pt x="1115" y="391"/>
              </a:lnTo>
              <a:lnTo>
                <a:pt x="1115" y="326"/>
              </a:lnTo>
              <a:lnTo>
                <a:pt x="1115" y="237"/>
              </a:lnTo>
              <a:lnTo>
                <a:pt x="1116" y="160"/>
              </a:lnTo>
              <a:lnTo>
                <a:pt x="1116" y="28"/>
              </a:lnTo>
              <a:lnTo>
                <a:pt x="1116" y="3"/>
              </a:lnTo>
              <a:lnTo>
                <a:pt x="1079" y="3"/>
              </a:lnTo>
              <a:lnTo>
                <a:pt x="1076" y="3"/>
              </a:lnTo>
              <a:lnTo>
                <a:pt x="1071" y="3"/>
              </a:lnTo>
              <a:lnTo>
                <a:pt x="1011" y="3"/>
              </a:lnTo>
              <a:lnTo>
                <a:pt x="983" y="1"/>
              </a:lnTo>
              <a:lnTo>
                <a:pt x="930" y="1"/>
              </a:lnTo>
              <a:lnTo>
                <a:pt x="740" y="1"/>
              </a:lnTo>
              <a:lnTo>
                <a:pt x="568" y="1"/>
              </a:lnTo>
              <a:lnTo>
                <a:pt x="557" y="0"/>
              </a:lnTo>
              <a:lnTo>
                <a:pt x="515" y="1"/>
              </a:lnTo>
              <a:lnTo>
                <a:pt x="506" y="1"/>
              </a:lnTo>
              <a:lnTo>
                <a:pt x="338" y="1"/>
              </a:lnTo>
              <a:lnTo>
                <a:pt x="281" y="3"/>
              </a:lnTo>
              <a:lnTo>
                <a:pt x="245" y="3"/>
              </a:lnTo>
              <a:lnTo>
                <a:pt x="127" y="3"/>
              </a:lnTo>
              <a:lnTo>
                <a:pt x="121" y="3"/>
              </a:lnTo>
              <a:lnTo>
                <a:pt x="94" y="3"/>
              </a:lnTo>
              <a:lnTo>
                <a:pt x="24" y="1"/>
              </a:lnTo>
              <a:lnTo>
                <a:pt x="1" y="3"/>
              </a:lnTo>
              <a:lnTo>
                <a:pt x="1" y="55"/>
              </a:lnTo>
              <a:lnTo>
                <a:pt x="1" y="154"/>
              </a:lnTo>
              <a:lnTo>
                <a:pt x="1" y="194"/>
              </a:lnTo>
              <a:lnTo>
                <a:pt x="2" y="356"/>
              </a:lnTo>
              <a:lnTo>
                <a:pt x="1" y="484"/>
              </a:lnTo>
              <a:lnTo>
                <a:pt x="1" y="539"/>
              </a:lnTo>
              <a:lnTo>
                <a:pt x="1" y="562"/>
              </a:lnTo>
              <a:lnTo>
                <a:pt x="1" y="591"/>
              </a:lnTo>
              <a:lnTo>
                <a:pt x="1" y="605"/>
              </a:lnTo>
              <a:lnTo>
                <a:pt x="0" y="621"/>
              </a:lnTo>
              <a:lnTo>
                <a:pt x="0" y="635"/>
              </a:lnTo>
              <a:lnTo>
                <a:pt x="0" y="651"/>
              </a:lnTo>
              <a:lnTo>
                <a:pt x="0" y="670"/>
              </a:lnTo>
              <a:lnTo>
                <a:pt x="0" y="680"/>
              </a:lnTo>
              <a:lnTo>
                <a:pt x="1" y="68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27</xdr:row>
      <xdr:rowOff>95250</xdr:rowOff>
    </xdr:from>
    <xdr:to>
      <xdr:col>2</xdr:col>
      <xdr:colOff>1666875</xdr:colOff>
      <xdr:row>27</xdr:row>
      <xdr:rowOff>1190625</xdr:rowOff>
    </xdr:to>
    <xdr:sp macro="" textlink="">
      <xdr:nvSpPr>
        <xdr:cNvPr id="120" name="S_MO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/>
        </xdr:cNvSpPr>
      </xdr:nvSpPr>
      <xdr:spPr bwMode="auto">
        <a:xfrm>
          <a:off x="2209800" y="33223200"/>
          <a:ext cx="1238250" cy="1095375"/>
        </a:xfrm>
        <a:custGeom>
          <a:avLst/>
          <a:gdLst>
            <a:gd name="T0" fmla="*/ 2147483647 w 1248"/>
            <a:gd name="T1" fmla="*/ 2147483647 h 1090"/>
            <a:gd name="T2" fmla="*/ 2147483647 w 1248"/>
            <a:gd name="T3" fmla="*/ 2147483647 h 1090"/>
            <a:gd name="T4" fmla="*/ 2147483647 w 1248"/>
            <a:gd name="T5" fmla="*/ 2147483647 h 1090"/>
            <a:gd name="T6" fmla="*/ 2147483647 w 1248"/>
            <a:gd name="T7" fmla="*/ 2147483647 h 1090"/>
            <a:gd name="T8" fmla="*/ 2147483647 w 1248"/>
            <a:gd name="T9" fmla="*/ 0 h 1090"/>
            <a:gd name="T10" fmla="*/ 2147483647 w 1248"/>
            <a:gd name="T11" fmla="*/ 2147483647 h 1090"/>
            <a:gd name="T12" fmla="*/ 2147483647 w 1248"/>
            <a:gd name="T13" fmla="*/ 2147483647 h 1090"/>
            <a:gd name="T14" fmla="*/ 2147483647 w 1248"/>
            <a:gd name="T15" fmla="*/ 2147483647 h 1090"/>
            <a:gd name="T16" fmla="*/ 2147483647 w 1248"/>
            <a:gd name="T17" fmla="*/ 2147483647 h 1090"/>
            <a:gd name="T18" fmla="*/ 2147483647 w 1248"/>
            <a:gd name="T19" fmla="*/ 2147483647 h 1090"/>
            <a:gd name="T20" fmla="*/ 2147483647 w 1248"/>
            <a:gd name="T21" fmla="*/ 2147483647 h 1090"/>
            <a:gd name="T22" fmla="*/ 2147483647 w 1248"/>
            <a:gd name="T23" fmla="*/ 2147483647 h 1090"/>
            <a:gd name="T24" fmla="*/ 2147483647 w 1248"/>
            <a:gd name="T25" fmla="*/ 2147483647 h 1090"/>
            <a:gd name="T26" fmla="*/ 2147483647 w 1248"/>
            <a:gd name="T27" fmla="*/ 2147483647 h 1090"/>
            <a:gd name="T28" fmla="*/ 2147483647 w 1248"/>
            <a:gd name="T29" fmla="*/ 2147483647 h 1090"/>
            <a:gd name="T30" fmla="*/ 2147483647 w 1248"/>
            <a:gd name="T31" fmla="*/ 2147483647 h 1090"/>
            <a:gd name="T32" fmla="*/ 2147483647 w 1248"/>
            <a:gd name="T33" fmla="*/ 2147483647 h 1090"/>
            <a:gd name="T34" fmla="*/ 2147483647 w 1248"/>
            <a:gd name="T35" fmla="*/ 2147483647 h 1090"/>
            <a:gd name="T36" fmla="*/ 2147483647 w 1248"/>
            <a:gd name="T37" fmla="*/ 2147483647 h 1090"/>
            <a:gd name="T38" fmla="*/ 2147483647 w 1248"/>
            <a:gd name="T39" fmla="*/ 2147483647 h 1090"/>
            <a:gd name="T40" fmla="*/ 2147483647 w 1248"/>
            <a:gd name="T41" fmla="*/ 2147483647 h 1090"/>
            <a:gd name="T42" fmla="*/ 2147483647 w 1248"/>
            <a:gd name="T43" fmla="*/ 2147483647 h 1090"/>
            <a:gd name="T44" fmla="*/ 2147483647 w 1248"/>
            <a:gd name="T45" fmla="*/ 2147483647 h 1090"/>
            <a:gd name="T46" fmla="*/ 2147483647 w 1248"/>
            <a:gd name="T47" fmla="*/ 2147483647 h 1090"/>
            <a:gd name="T48" fmla="*/ 2147483647 w 1248"/>
            <a:gd name="T49" fmla="*/ 2147483647 h 1090"/>
            <a:gd name="T50" fmla="*/ 2147483647 w 1248"/>
            <a:gd name="T51" fmla="*/ 2147483647 h 1090"/>
            <a:gd name="T52" fmla="*/ 2147483647 w 1248"/>
            <a:gd name="T53" fmla="*/ 2147483647 h 1090"/>
            <a:gd name="T54" fmla="*/ 2147483647 w 1248"/>
            <a:gd name="T55" fmla="*/ 2147483647 h 1090"/>
            <a:gd name="T56" fmla="*/ 2147483647 w 1248"/>
            <a:gd name="T57" fmla="*/ 2147483647 h 1090"/>
            <a:gd name="T58" fmla="*/ 2147483647 w 1248"/>
            <a:gd name="T59" fmla="*/ 2147483647 h 1090"/>
            <a:gd name="T60" fmla="*/ 2147483647 w 1248"/>
            <a:gd name="T61" fmla="*/ 2147483647 h 1090"/>
            <a:gd name="T62" fmla="*/ 2147483647 w 1248"/>
            <a:gd name="T63" fmla="*/ 2147483647 h 1090"/>
            <a:gd name="T64" fmla="*/ 2147483647 w 1248"/>
            <a:gd name="T65" fmla="*/ 2147483647 h 1090"/>
            <a:gd name="T66" fmla="*/ 2147483647 w 1248"/>
            <a:gd name="T67" fmla="*/ 2147483647 h 1090"/>
            <a:gd name="T68" fmla="*/ 2147483647 w 1248"/>
            <a:gd name="T69" fmla="*/ 2147483647 h 1090"/>
            <a:gd name="T70" fmla="*/ 2147483647 w 1248"/>
            <a:gd name="T71" fmla="*/ 2147483647 h 1090"/>
            <a:gd name="T72" fmla="*/ 2147483647 w 1248"/>
            <a:gd name="T73" fmla="*/ 2147483647 h 1090"/>
            <a:gd name="T74" fmla="*/ 2147483647 w 1248"/>
            <a:gd name="T75" fmla="*/ 2147483647 h 1090"/>
            <a:gd name="T76" fmla="*/ 2147483647 w 1248"/>
            <a:gd name="T77" fmla="*/ 2147483647 h 1090"/>
            <a:gd name="T78" fmla="*/ 2147483647 w 1248"/>
            <a:gd name="T79" fmla="*/ 2147483647 h 1090"/>
            <a:gd name="T80" fmla="*/ 2147483647 w 1248"/>
            <a:gd name="T81" fmla="*/ 2147483647 h 1090"/>
            <a:gd name="T82" fmla="*/ 2147483647 w 1248"/>
            <a:gd name="T83" fmla="*/ 2147483647 h 1090"/>
            <a:gd name="T84" fmla="*/ 2147483647 w 1248"/>
            <a:gd name="T85" fmla="*/ 2147483647 h 1090"/>
            <a:gd name="T86" fmla="*/ 2147483647 w 1248"/>
            <a:gd name="T87" fmla="*/ 2147483647 h 1090"/>
            <a:gd name="T88" fmla="*/ 2147483647 w 1248"/>
            <a:gd name="T89" fmla="*/ 2147483647 h 1090"/>
            <a:gd name="T90" fmla="*/ 2147483647 w 1248"/>
            <a:gd name="T91" fmla="*/ 2147483647 h 1090"/>
            <a:gd name="T92" fmla="*/ 2147483647 w 1248"/>
            <a:gd name="T93" fmla="*/ 2147483647 h 1090"/>
            <a:gd name="T94" fmla="*/ 2147483647 w 1248"/>
            <a:gd name="T95" fmla="*/ 2147483647 h 1090"/>
            <a:gd name="T96" fmla="*/ 2147483647 w 1248"/>
            <a:gd name="T97" fmla="*/ 2147483647 h 1090"/>
            <a:gd name="T98" fmla="*/ 2147483647 w 1248"/>
            <a:gd name="T99" fmla="*/ 2147483647 h 1090"/>
            <a:gd name="T100" fmla="*/ 0 w 1248"/>
            <a:gd name="T101" fmla="*/ 2147483647 h 1090"/>
            <a:gd name="T102" fmla="*/ 2147483647 w 1248"/>
            <a:gd name="T103" fmla="*/ 2147483647 h 1090"/>
            <a:gd name="T104" fmla="*/ 2147483647 w 1248"/>
            <a:gd name="T105" fmla="*/ 2147483647 h 1090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248"/>
            <a:gd name="T160" fmla="*/ 0 h 1090"/>
            <a:gd name="T161" fmla="*/ 1248 w 1248"/>
            <a:gd name="T162" fmla="*/ 1090 h 1090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248" h="1090">
              <a:moveTo>
                <a:pt x="288" y="10"/>
              </a:moveTo>
              <a:lnTo>
                <a:pt x="329" y="10"/>
              </a:lnTo>
              <a:lnTo>
                <a:pt x="331" y="8"/>
              </a:lnTo>
              <a:lnTo>
                <a:pt x="374" y="8"/>
              </a:lnTo>
              <a:lnTo>
                <a:pt x="375" y="7"/>
              </a:lnTo>
              <a:lnTo>
                <a:pt x="378" y="8"/>
              </a:lnTo>
              <a:lnTo>
                <a:pt x="414" y="7"/>
              </a:lnTo>
              <a:lnTo>
                <a:pt x="425" y="7"/>
              </a:lnTo>
              <a:lnTo>
                <a:pt x="436" y="7"/>
              </a:lnTo>
              <a:lnTo>
                <a:pt x="449" y="7"/>
              </a:lnTo>
              <a:lnTo>
                <a:pt x="472" y="7"/>
              </a:lnTo>
              <a:lnTo>
                <a:pt x="500" y="6"/>
              </a:lnTo>
              <a:lnTo>
                <a:pt x="518" y="6"/>
              </a:lnTo>
              <a:lnTo>
                <a:pt x="565" y="5"/>
              </a:lnTo>
              <a:lnTo>
                <a:pt x="572" y="5"/>
              </a:lnTo>
              <a:lnTo>
                <a:pt x="587" y="4"/>
              </a:lnTo>
              <a:lnTo>
                <a:pt x="612" y="4"/>
              </a:lnTo>
              <a:lnTo>
                <a:pt x="640" y="3"/>
              </a:lnTo>
              <a:lnTo>
                <a:pt x="658" y="3"/>
              </a:lnTo>
              <a:lnTo>
                <a:pt x="662" y="3"/>
              </a:lnTo>
              <a:lnTo>
                <a:pt x="672" y="3"/>
              </a:lnTo>
              <a:lnTo>
                <a:pt x="694" y="2"/>
              </a:lnTo>
              <a:lnTo>
                <a:pt x="701" y="2"/>
              </a:lnTo>
              <a:lnTo>
                <a:pt x="716" y="1"/>
              </a:lnTo>
              <a:lnTo>
                <a:pt x="756" y="0"/>
              </a:lnTo>
              <a:lnTo>
                <a:pt x="758" y="2"/>
              </a:lnTo>
              <a:lnTo>
                <a:pt x="759" y="3"/>
              </a:lnTo>
              <a:lnTo>
                <a:pt x="776" y="16"/>
              </a:lnTo>
              <a:lnTo>
                <a:pt x="799" y="49"/>
              </a:lnTo>
              <a:lnTo>
                <a:pt x="815" y="56"/>
              </a:lnTo>
              <a:lnTo>
                <a:pt x="812" y="57"/>
              </a:lnTo>
              <a:lnTo>
                <a:pt x="809" y="59"/>
              </a:lnTo>
              <a:lnTo>
                <a:pt x="800" y="86"/>
              </a:lnTo>
              <a:lnTo>
                <a:pt x="799" y="87"/>
              </a:lnTo>
              <a:lnTo>
                <a:pt x="797" y="97"/>
              </a:lnTo>
              <a:lnTo>
                <a:pt x="797" y="114"/>
              </a:lnTo>
              <a:lnTo>
                <a:pt x="804" y="144"/>
              </a:lnTo>
              <a:lnTo>
                <a:pt x="811" y="157"/>
              </a:lnTo>
              <a:lnTo>
                <a:pt x="809" y="174"/>
              </a:lnTo>
              <a:lnTo>
                <a:pt x="822" y="189"/>
              </a:lnTo>
              <a:lnTo>
                <a:pt x="824" y="201"/>
              </a:lnTo>
              <a:lnTo>
                <a:pt x="823" y="203"/>
              </a:lnTo>
              <a:lnTo>
                <a:pt x="834" y="218"/>
              </a:lnTo>
              <a:lnTo>
                <a:pt x="835" y="219"/>
              </a:lnTo>
              <a:lnTo>
                <a:pt x="841" y="224"/>
              </a:lnTo>
              <a:lnTo>
                <a:pt x="843" y="228"/>
              </a:lnTo>
              <a:lnTo>
                <a:pt x="860" y="240"/>
              </a:lnTo>
              <a:lnTo>
                <a:pt x="864" y="251"/>
              </a:lnTo>
              <a:lnTo>
                <a:pt x="872" y="254"/>
              </a:lnTo>
              <a:lnTo>
                <a:pt x="893" y="280"/>
              </a:lnTo>
              <a:lnTo>
                <a:pt x="904" y="287"/>
              </a:lnTo>
              <a:lnTo>
                <a:pt x="922" y="300"/>
              </a:lnTo>
              <a:lnTo>
                <a:pt x="939" y="318"/>
              </a:lnTo>
              <a:lnTo>
                <a:pt x="944" y="327"/>
              </a:lnTo>
              <a:lnTo>
                <a:pt x="951" y="351"/>
              </a:lnTo>
              <a:lnTo>
                <a:pt x="952" y="381"/>
              </a:lnTo>
              <a:lnTo>
                <a:pt x="956" y="396"/>
              </a:lnTo>
              <a:lnTo>
                <a:pt x="971" y="412"/>
              </a:lnTo>
              <a:lnTo>
                <a:pt x="977" y="410"/>
              </a:lnTo>
              <a:lnTo>
                <a:pt x="995" y="388"/>
              </a:lnTo>
              <a:lnTo>
                <a:pt x="1009" y="392"/>
              </a:lnTo>
              <a:lnTo>
                <a:pt x="1017" y="396"/>
              </a:lnTo>
              <a:lnTo>
                <a:pt x="1028" y="399"/>
              </a:lnTo>
              <a:lnTo>
                <a:pt x="1033" y="400"/>
              </a:lnTo>
              <a:lnTo>
                <a:pt x="1056" y="415"/>
              </a:lnTo>
              <a:lnTo>
                <a:pt x="1058" y="427"/>
              </a:lnTo>
              <a:lnTo>
                <a:pt x="1056" y="428"/>
              </a:lnTo>
              <a:lnTo>
                <a:pt x="1056" y="429"/>
              </a:lnTo>
              <a:lnTo>
                <a:pt x="1048" y="434"/>
              </a:lnTo>
              <a:lnTo>
                <a:pt x="1046" y="440"/>
              </a:lnTo>
              <a:lnTo>
                <a:pt x="1046" y="461"/>
              </a:lnTo>
              <a:lnTo>
                <a:pt x="1046" y="470"/>
              </a:lnTo>
              <a:lnTo>
                <a:pt x="1033" y="489"/>
              </a:lnTo>
              <a:lnTo>
                <a:pt x="1032" y="491"/>
              </a:lnTo>
              <a:lnTo>
                <a:pt x="1030" y="494"/>
              </a:lnTo>
              <a:lnTo>
                <a:pt x="1029" y="499"/>
              </a:lnTo>
              <a:lnTo>
                <a:pt x="1016" y="526"/>
              </a:lnTo>
              <a:lnTo>
                <a:pt x="1010" y="558"/>
              </a:lnTo>
              <a:lnTo>
                <a:pt x="1013" y="564"/>
              </a:lnTo>
              <a:lnTo>
                <a:pt x="1032" y="586"/>
              </a:lnTo>
              <a:lnTo>
                <a:pt x="1033" y="587"/>
              </a:lnTo>
              <a:lnTo>
                <a:pt x="1033" y="590"/>
              </a:lnTo>
              <a:lnTo>
                <a:pt x="1040" y="596"/>
              </a:lnTo>
              <a:lnTo>
                <a:pt x="1056" y="602"/>
              </a:lnTo>
              <a:lnTo>
                <a:pt x="1080" y="625"/>
              </a:lnTo>
              <a:lnTo>
                <a:pt x="1091" y="646"/>
              </a:lnTo>
              <a:lnTo>
                <a:pt x="1102" y="644"/>
              </a:lnTo>
              <a:lnTo>
                <a:pt x="1117" y="646"/>
              </a:lnTo>
              <a:lnTo>
                <a:pt x="1141" y="663"/>
              </a:lnTo>
              <a:lnTo>
                <a:pt x="1142" y="676"/>
              </a:lnTo>
              <a:lnTo>
                <a:pt x="1173" y="707"/>
              </a:lnTo>
              <a:lnTo>
                <a:pt x="1169" y="718"/>
              </a:lnTo>
              <a:lnTo>
                <a:pt x="1169" y="719"/>
              </a:lnTo>
              <a:lnTo>
                <a:pt x="1187" y="764"/>
              </a:lnTo>
              <a:lnTo>
                <a:pt x="1182" y="773"/>
              </a:lnTo>
              <a:lnTo>
                <a:pt x="1175" y="774"/>
              </a:lnTo>
              <a:lnTo>
                <a:pt x="1171" y="779"/>
              </a:lnTo>
              <a:lnTo>
                <a:pt x="1173" y="794"/>
              </a:lnTo>
              <a:lnTo>
                <a:pt x="1175" y="794"/>
              </a:lnTo>
              <a:lnTo>
                <a:pt x="1181" y="794"/>
              </a:lnTo>
              <a:lnTo>
                <a:pt x="1197" y="844"/>
              </a:lnTo>
              <a:lnTo>
                <a:pt x="1208" y="851"/>
              </a:lnTo>
              <a:lnTo>
                <a:pt x="1217" y="853"/>
              </a:lnTo>
              <a:lnTo>
                <a:pt x="1219" y="836"/>
              </a:lnTo>
              <a:lnTo>
                <a:pt x="1236" y="853"/>
              </a:lnTo>
              <a:lnTo>
                <a:pt x="1244" y="857"/>
              </a:lnTo>
              <a:lnTo>
                <a:pt x="1248" y="865"/>
              </a:lnTo>
              <a:lnTo>
                <a:pt x="1248" y="867"/>
              </a:lnTo>
              <a:lnTo>
                <a:pt x="1245" y="880"/>
              </a:lnTo>
              <a:lnTo>
                <a:pt x="1243" y="883"/>
              </a:lnTo>
              <a:lnTo>
                <a:pt x="1244" y="904"/>
              </a:lnTo>
              <a:lnTo>
                <a:pt x="1244" y="912"/>
              </a:lnTo>
              <a:lnTo>
                <a:pt x="1231" y="913"/>
              </a:lnTo>
              <a:lnTo>
                <a:pt x="1234" y="935"/>
              </a:lnTo>
              <a:lnTo>
                <a:pt x="1220" y="956"/>
              </a:lnTo>
              <a:lnTo>
                <a:pt x="1205" y="940"/>
              </a:lnTo>
              <a:lnTo>
                <a:pt x="1198" y="942"/>
              </a:lnTo>
              <a:lnTo>
                <a:pt x="1197" y="944"/>
              </a:lnTo>
              <a:lnTo>
                <a:pt x="1188" y="972"/>
              </a:lnTo>
              <a:lnTo>
                <a:pt x="1175" y="972"/>
              </a:lnTo>
              <a:lnTo>
                <a:pt x="1173" y="954"/>
              </a:lnTo>
              <a:lnTo>
                <a:pt x="1166" y="972"/>
              </a:lnTo>
              <a:lnTo>
                <a:pt x="1171" y="1001"/>
              </a:lnTo>
              <a:lnTo>
                <a:pt x="1165" y="1010"/>
              </a:lnTo>
              <a:lnTo>
                <a:pt x="1166" y="1031"/>
              </a:lnTo>
              <a:lnTo>
                <a:pt x="1136" y="1031"/>
              </a:lnTo>
              <a:lnTo>
                <a:pt x="1148" y="1046"/>
              </a:lnTo>
              <a:lnTo>
                <a:pt x="1155" y="1059"/>
              </a:lnTo>
              <a:lnTo>
                <a:pt x="1150" y="1064"/>
              </a:lnTo>
              <a:lnTo>
                <a:pt x="1129" y="1089"/>
              </a:lnTo>
              <a:lnTo>
                <a:pt x="1126" y="1089"/>
              </a:lnTo>
              <a:lnTo>
                <a:pt x="1096" y="1089"/>
              </a:lnTo>
              <a:lnTo>
                <a:pt x="1087" y="1089"/>
              </a:lnTo>
              <a:lnTo>
                <a:pt x="1049" y="1090"/>
              </a:lnTo>
              <a:lnTo>
                <a:pt x="1033" y="1090"/>
              </a:lnTo>
              <a:lnTo>
                <a:pt x="1025" y="1090"/>
              </a:lnTo>
              <a:lnTo>
                <a:pt x="1009" y="1090"/>
              </a:lnTo>
              <a:lnTo>
                <a:pt x="1024" y="1063"/>
              </a:lnTo>
              <a:lnTo>
                <a:pt x="1030" y="1061"/>
              </a:lnTo>
              <a:lnTo>
                <a:pt x="1044" y="1042"/>
              </a:lnTo>
              <a:lnTo>
                <a:pt x="1056" y="1032"/>
              </a:lnTo>
              <a:lnTo>
                <a:pt x="1051" y="972"/>
              </a:lnTo>
              <a:lnTo>
                <a:pt x="1038" y="972"/>
              </a:lnTo>
              <a:lnTo>
                <a:pt x="1033" y="972"/>
              </a:lnTo>
              <a:lnTo>
                <a:pt x="1024" y="972"/>
              </a:lnTo>
              <a:lnTo>
                <a:pt x="972" y="972"/>
              </a:lnTo>
              <a:lnTo>
                <a:pt x="946" y="972"/>
              </a:lnTo>
              <a:lnTo>
                <a:pt x="943" y="972"/>
              </a:lnTo>
              <a:lnTo>
                <a:pt x="932" y="972"/>
              </a:lnTo>
              <a:lnTo>
                <a:pt x="916" y="972"/>
              </a:lnTo>
              <a:lnTo>
                <a:pt x="893" y="972"/>
              </a:lnTo>
              <a:lnTo>
                <a:pt x="869" y="972"/>
              </a:lnTo>
              <a:lnTo>
                <a:pt x="855" y="972"/>
              </a:lnTo>
              <a:lnTo>
                <a:pt x="849" y="972"/>
              </a:lnTo>
              <a:lnTo>
                <a:pt x="817" y="972"/>
              </a:lnTo>
              <a:lnTo>
                <a:pt x="816" y="972"/>
              </a:lnTo>
              <a:lnTo>
                <a:pt x="814" y="972"/>
              </a:lnTo>
              <a:lnTo>
                <a:pt x="808" y="972"/>
              </a:lnTo>
              <a:lnTo>
                <a:pt x="799" y="972"/>
              </a:lnTo>
              <a:lnTo>
                <a:pt x="790" y="972"/>
              </a:lnTo>
              <a:lnTo>
                <a:pt x="766" y="972"/>
              </a:lnTo>
              <a:lnTo>
                <a:pt x="753" y="972"/>
              </a:lnTo>
              <a:lnTo>
                <a:pt x="705" y="972"/>
              </a:lnTo>
              <a:lnTo>
                <a:pt x="683" y="972"/>
              </a:lnTo>
              <a:lnTo>
                <a:pt x="682" y="972"/>
              </a:lnTo>
              <a:lnTo>
                <a:pt x="678" y="972"/>
              </a:lnTo>
              <a:lnTo>
                <a:pt x="635" y="972"/>
              </a:lnTo>
              <a:lnTo>
                <a:pt x="623" y="972"/>
              </a:lnTo>
              <a:lnTo>
                <a:pt x="607" y="972"/>
              </a:lnTo>
              <a:lnTo>
                <a:pt x="572" y="972"/>
              </a:lnTo>
              <a:lnTo>
                <a:pt x="565" y="972"/>
              </a:lnTo>
              <a:lnTo>
                <a:pt x="561" y="972"/>
              </a:lnTo>
              <a:lnTo>
                <a:pt x="546" y="972"/>
              </a:lnTo>
              <a:lnTo>
                <a:pt x="510" y="972"/>
              </a:lnTo>
              <a:lnTo>
                <a:pt x="490" y="972"/>
              </a:lnTo>
              <a:lnTo>
                <a:pt x="464" y="972"/>
              </a:lnTo>
              <a:lnTo>
                <a:pt x="459" y="972"/>
              </a:lnTo>
              <a:lnTo>
                <a:pt x="449" y="972"/>
              </a:lnTo>
              <a:lnTo>
                <a:pt x="436" y="972"/>
              </a:lnTo>
              <a:lnTo>
                <a:pt x="409" y="972"/>
              </a:lnTo>
              <a:lnTo>
                <a:pt x="386" y="972"/>
              </a:lnTo>
              <a:lnTo>
                <a:pt x="369" y="972"/>
              </a:lnTo>
              <a:lnTo>
                <a:pt x="357" y="972"/>
              </a:lnTo>
              <a:lnTo>
                <a:pt x="344" y="972"/>
              </a:lnTo>
              <a:lnTo>
                <a:pt x="331" y="972"/>
              </a:lnTo>
              <a:lnTo>
                <a:pt x="317" y="972"/>
              </a:lnTo>
              <a:lnTo>
                <a:pt x="261" y="972"/>
              </a:lnTo>
              <a:lnTo>
                <a:pt x="238" y="972"/>
              </a:lnTo>
              <a:lnTo>
                <a:pt x="215" y="972"/>
              </a:lnTo>
              <a:lnTo>
                <a:pt x="215" y="948"/>
              </a:lnTo>
              <a:lnTo>
                <a:pt x="215" y="937"/>
              </a:lnTo>
              <a:lnTo>
                <a:pt x="215" y="932"/>
              </a:lnTo>
              <a:lnTo>
                <a:pt x="215" y="930"/>
              </a:lnTo>
              <a:lnTo>
                <a:pt x="215" y="915"/>
              </a:lnTo>
              <a:lnTo>
                <a:pt x="215" y="909"/>
              </a:lnTo>
              <a:lnTo>
                <a:pt x="215" y="886"/>
              </a:lnTo>
              <a:lnTo>
                <a:pt x="215" y="863"/>
              </a:lnTo>
              <a:lnTo>
                <a:pt x="215" y="854"/>
              </a:lnTo>
              <a:lnTo>
                <a:pt x="215" y="853"/>
              </a:lnTo>
              <a:lnTo>
                <a:pt x="215" y="845"/>
              </a:lnTo>
              <a:lnTo>
                <a:pt x="215" y="840"/>
              </a:lnTo>
              <a:lnTo>
                <a:pt x="215" y="833"/>
              </a:lnTo>
              <a:lnTo>
                <a:pt x="215" y="814"/>
              </a:lnTo>
              <a:lnTo>
                <a:pt x="215" y="774"/>
              </a:lnTo>
              <a:lnTo>
                <a:pt x="215" y="767"/>
              </a:lnTo>
              <a:lnTo>
                <a:pt x="215" y="764"/>
              </a:lnTo>
              <a:lnTo>
                <a:pt x="216" y="735"/>
              </a:lnTo>
              <a:lnTo>
                <a:pt x="215" y="699"/>
              </a:lnTo>
              <a:lnTo>
                <a:pt x="215" y="695"/>
              </a:lnTo>
              <a:lnTo>
                <a:pt x="216" y="668"/>
              </a:lnTo>
              <a:lnTo>
                <a:pt x="216" y="632"/>
              </a:lnTo>
              <a:lnTo>
                <a:pt x="216" y="608"/>
              </a:lnTo>
              <a:lnTo>
                <a:pt x="216" y="602"/>
              </a:lnTo>
              <a:lnTo>
                <a:pt x="216" y="581"/>
              </a:lnTo>
              <a:lnTo>
                <a:pt x="216" y="558"/>
              </a:lnTo>
              <a:lnTo>
                <a:pt x="216" y="525"/>
              </a:lnTo>
              <a:lnTo>
                <a:pt x="216" y="504"/>
              </a:lnTo>
              <a:lnTo>
                <a:pt x="216" y="499"/>
              </a:lnTo>
              <a:lnTo>
                <a:pt x="217" y="470"/>
              </a:lnTo>
              <a:lnTo>
                <a:pt x="217" y="443"/>
              </a:lnTo>
              <a:lnTo>
                <a:pt x="217" y="440"/>
              </a:lnTo>
              <a:lnTo>
                <a:pt x="217" y="416"/>
              </a:lnTo>
              <a:lnTo>
                <a:pt x="217" y="403"/>
              </a:lnTo>
              <a:lnTo>
                <a:pt x="217" y="386"/>
              </a:lnTo>
              <a:lnTo>
                <a:pt x="217" y="370"/>
              </a:lnTo>
              <a:lnTo>
                <a:pt x="217" y="354"/>
              </a:lnTo>
              <a:lnTo>
                <a:pt x="217" y="352"/>
              </a:lnTo>
              <a:lnTo>
                <a:pt x="218" y="351"/>
              </a:lnTo>
              <a:lnTo>
                <a:pt x="218" y="343"/>
              </a:lnTo>
              <a:lnTo>
                <a:pt x="214" y="343"/>
              </a:lnTo>
              <a:lnTo>
                <a:pt x="191" y="340"/>
              </a:lnTo>
              <a:lnTo>
                <a:pt x="186" y="333"/>
              </a:lnTo>
              <a:lnTo>
                <a:pt x="167" y="315"/>
              </a:lnTo>
              <a:lnTo>
                <a:pt x="167" y="292"/>
              </a:lnTo>
              <a:lnTo>
                <a:pt x="150" y="281"/>
              </a:lnTo>
              <a:lnTo>
                <a:pt x="141" y="274"/>
              </a:lnTo>
              <a:lnTo>
                <a:pt x="135" y="262"/>
              </a:lnTo>
              <a:lnTo>
                <a:pt x="125" y="255"/>
              </a:lnTo>
              <a:lnTo>
                <a:pt x="134" y="233"/>
              </a:lnTo>
              <a:lnTo>
                <a:pt x="145" y="220"/>
              </a:lnTo>
              <a:lnTo>
                <a:pt x="167" y="209"/>
              </a:lnTo>
              <a:lnTo>
                <a:pt x="167" y="187"/>
              </a:lnTo>
              <a:lnTo>
                <a:pt x="157" y="174"/>
              </a:lnTo>
              <a:lnTo>
                <a:pt x="146" y="169"/>
              </a:lnTo>
              <a:lnTo>
                <a:pt x="139" y="174"/>
              </a:lnTo>
              <a:lnTo>
                <a:pt x="121" y="174"/>
              </a:lnTo>
              <a:lnTo>
                <a:pt x="87" y="144"/>
              </a:lnTo>
              <a:lnTo>
                <a:pt x="74" y="138"/>
              </a:lnTo>
              <a:lnTo>
                <a:pt x="50" y="86"/>
              </a:lnTo>
              <a:lnTo>
                <a:pt x="41" y="82"/>
              </a:lnTo>
              <a:lnTo>
                <a:pt x="27" y="71"/>
              </a:lnTo>
              <a:lnTo>
                <a:pt x="17" y="12"/>
              </a:lnTo>
              <a:lnTo>
                <a:pt x="12" y="21"/>
              </a:lnTo>
              <a:lnTo>
                <a:pt x="4" y="20"/>
              </a:lnTo>
              <a:lnTo>
                <a:pt x="0" y="7"/>
              </a:lnTo>
              <a:lnTo>
                <a:pt x="1" y="6"/>
              </a:lnTo>
              <a:lnTo>
                <a:pt x="4" y="6"/>
              </a:lnTo>
              <a:lnTo>
                <a:pt x="50" y="7"/>
              </a:lnTo>
              <a:lnTo>
                <a:pt x="74" y="7"/>
              </a:lnTo>
              <a:lnTo>
                <a:pt x="98" y="7"/>
              </a:lnTo>
              <a:lnTo>
                <a:pt x="106" y="8"/>
              </a:lnTo>
              <a:lnTo>
                <a:pt x="145" y="8"/>
              </a:lnTo>
              <a:lnTo>
                <a:pt x="160" y="8"/>
              </a:lnTo>
              <a:lnTo>
                <a:pt x="191" y="10"/>
              </a:lnTo>
              <a:lnTo>
                <a:pt x="213" y="10"/>
              </a:lnTo>
              <a:lnTo>
                <a:pt x="238" y="10"/>
              </a:lnTo>
              <a:lnTo>
                <a:pt x="243" y="10"/>
              </a:lnTo>
              <a:lnTo>
                <a:pt x="285" y="10"/>
              </a:lnTo>
              <a:lnTo>
                <a:pt x="288" y="10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180975</xdr:colOff>
      <xdr:row>29</xdr:row>
      <xdr:rowOff>161924</xdr:rowOff>
    </xdr:from>
    <xdr:to>
      <xdr:col>2</xdr:col>
      <xdr:colOff>2200275</xdr:colOff>
      <xdr:row>29</xdr:row>
      <xdr:rowOff>1123949</xdr:rowOff>
    </xdr:to>
    <xdr:sp macro="" textlink="">
      <xdr:nvSpPr>
        <xdr:cNvPr id="121" name="S_NE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/>
        </xdr:cNvSpPr>
      </xdr:nvSpPr>
      <xdr:spPr bwMode="auto">
        <a:xfrm>
          <a:off x="1962150" y="35823524"/>
          <a:ext cx="2019300" cy="962025"/>
        </a:xfrm>
        <a:custGeom>
          <a:avLst/>
          <a:gdLst>
            <a:gd name="T0" fmla="*/ 2147483647 w 1637"/>
            <a:gd name="T1" fmla="*/ 2147483647 h 709"/>
            <a:gd name="T2" fmla="*/ 2147483647 w 1637"/>
            <a:gd name="T3" fmla="*/ 2147483647 h 709"/>
            <a:gd name="T4" fmla="*/ 2147483647 w 1637"/>
            <a:gd name="T5" fmla="*/ 2147483647 h 709"/>
            <a:gd name="T6" fmla="*/ 2147483647 w 1637"/>
            <a:gd name="T7" fmla="*/ 2147483647 h 709"/>
            <a:gd name="T8" fmla="*/ 2147483647 w 1637"/>
            <a:gd name="T9" fmla="*/ 2147483647 h 709"/>
            <a:gd name="T10" fmla="*/ 2147483647 w 1637"/>
            <a:gd name="T11" fmla="*/ 2147483647 h 709"/>
            <a:gd name="T12" fmla="*/ 2147483647 w 1637"/>
            <a:gd name="T13" fmla="*/ 2147483647 h 709"/>
            <a:gd name="T14" fmla="*/ 2147483647 w 1637"/>
            <a:gd name="T15" fmla="*/ 2147483647 h 709"/>
            <a:gd name="T16" fmla="*/ 2147483647 w 1637"/>
            <a:gd name="T17" fmla="*/ 2147483647 h 709"/>
            <a:gd name="T18" fmla="*/ 2147483647 w 1637"/>
            <a:gd name="T19" fmla="*/ 2147483647 h 709"/>
            <a:gd name="T20" fmla="*/ 2147483647 w 1637"/>
            <a:gd name="T21" fmla="*/ 2147483647 h 709"/>
            <a:gd name="T22" fmla="*/ 2147483647 w 1637"/>
            <a:gd name="T23" fmla="*/ 2147483647 h 709"/>
            <a:gd name="T24" fmla="*/ 0 w 1637"/>
            <a:gd name="T25" fmla="*/ 2147483647 h 709"/>
            <a:gd name="T26" fmla="*/ 0 w 1637"/>
            <a:gd name="T27" fmla="*/ 2147483647 h 709"/>
            <a:gd name="T28" fmla="*/ 0 w 1637"/>
            <a:gd name="T29" fmla="*/ 2147483647 h 709"/>
            <a:gd name="T30" fmla="*/ 0 w 1637"/>
            <a:gd name="T31" fmla="*/ 2147483647 h 709"/>
            <a:gd name="T32" fmla="*/ 0 w 1637"/>
            <a:gd name="T33" fmla="*/ 2147483647 h 709"/>
            <a:gd name="T34" fmla="*/ 0 w 1637"/>
            <a:gd name="T35" fmla="*/ 2147483647 h 709"/>
            <a:gd name="T36" fmla="*/ 2147483647 w 1637"/>
            <a:gd name="T37" fmla="*/ 0 h 709"/>
            <a:gd name="T38" fmla="*/ 2147483647 w 1637"/>
            <a:gd name="T39" fmla="*/ 2147483647 h 709"/>
            <a:gd name="T40" fmla="*/ 2147483647 w 1637"/>
            <a:gd name="T41" fmla="*/ 2147483647 h 709"/>
            <a:gd name="T42" fmla="*/ 2147483647 w 1637"/>
            <a:gd name="T43" fmla="*/ 2147483647 h 709"/>
            <a:gd name="T44" fmla="*/ 2147483647 w 1637"/>
            <a:gd name="T45" fmla="*/ 2147483647 h 709"/>
            <a:gd name="T46" fmla="*/ 2147483647 w 1637"/>
            <a:gd name="T47" fmla="*/ 2147483647 h 709"/>
            <a:gd name="T48" fmla="*/ 2147483647 w 1637"/>
            <a:gd name="T49" fmla="*/ 2147483647 h 709"/>
            <a:gd name="T50" fmla="*/ 2147483647 w 1637"/>
            <a:gd name="T51" fmla="*/ 2147483647 h 709"/>
            <a:gd name="T52" fmla="*/ 2147483647 w 1637"/>
            <a:gd name="T53" fmla="*/ 2147483647 h 709"/>
            <a:gd name="T54" fmla="*/ 2147483647 w 1637"/>
            <a:gd name="T55" fmla="*/ 2147483647 h 709"/>
            <a:gd name="T56" fmla="*/ 2147483647 w 1637"/>
            <a:gd name="T57" fmla="*/ 2147483647 h 709"/>
            <a:gd name="T58" fmla="*/ 2147483647 w 1637"/>
            <a:gd name="T59" fmla="*/ 2147483647 h 709"/>
            <a:gd name="T60" fmla="*/ 2147483647 w 1637"/>
            <a:gd name="T61" fmla="*/ 2147483647 h 709"/>
            <a:gd name="T62" fmla="*/ 2147483647 w 1637"/>
            <a:gd name="T63" fmla="*/ 2147483647 h 709"/>
            <a:gd name="T64" fmla="*/ 2147483647 w 1637"/>
            <a:gd name="T65" fmla="*/ 2147483647 h 709"/>
            <a:gd name="T66" fmla="*/ 2147483647 w 1637"/>
            <a:gd name="T67" fmla="*/ 2147483647 h 709"/>
            <a:gd name="T68" fmla="*/ 2147483647 w 1637"/>
            <a:gd name="T69" fmla="*/ 2147483647 h 709"/>
            <a:gd name="T70" fmla="*/ 2147483647 w 1637"/>
            <a:gd name="T71" fmla="*/ 2147483647 h 709"/>
            <a:gd name="T72" fmla="*/ 2147483647 w 1637"/>
            <a:gd name="T73" fmla="*/ 2147483647 h 709"/>
            <a:gd name="T74" fmla="*/ 2147483647 w 1637"/>
            <a:gd name="T75" fmla="*/ 2147483647 h 709"/>
            <a:gd name="T76" fmla="*/ 2147483647 w 1637"/>
            <a:gd name="T77" fmla="*/ 2147483647 h 709"/>
            <a:gd name="T78" fmla="*/ 2147483647 w 1637"/>
            <a:gd name="T79" fmla="*/ 2147483647 h 709"/>
            <a:gd name="T80" fmla="*/ 2147483647 w 1637"/>
            <a:gd name="T81" fmla="*/ 2147483647 h 709"/>
            <a:gd name="T82" fmla="*/ 2147483647 w 1637"/>
            <a:gd name="T83" fmla="*/ 2147483647 h 709"/>
            <a:gd name="T84" fmla="*/ 2147483647 w 1637"/>
            <a:gd name="T85" fmla="*/ 2147483647 h 709"/>
            <a:gd name="T86" fmla="*/ 2147483647 w 1637"/>
            <a:gd name="T87" fmla="*/ 2147483647 h 709"/>
            <a:gd name="T88" fmla="*/ 2147483647 w 1637"/>
            <a:gd name="T89" fmla="*/ 2147483647 h 709"/>
            <a:gd name="T90" fmla="*/ 2147483647 w 1637"/>
            <a:gd name="T91" fmla="*/ 2147483647 h 709"/>
            <a:gd name="T92" fmla="*/ 2147483647 w 1637"/>
            <a:gd name="T93" fmla="*/ 2147483647 h 709"/>
            <a:gd name="T94" fmla="*/ 2147483647 w 1637"/>
            <a:gd name="T95" fmla="*/ 2147483647 h 709"/>
            <a:gd name="T96" fmla="*/ 2147483647 w 1637"/>
            <a:gd name="T97" fmla="*/ 2147483647 h 709"/>
            <a:gd name="T98" fmla="*/ 2147483647 w 1637"/>
            <a:gd name="T99" fmla="*/ 2147483647 h 709"/>
            <a:gd name="T100" fmla="*/ 2147483647 w 1637"/>
            <a:gd name="T101" fmla="*/ 2147483647 h 709"/>
            <a:gd name="T102" fmla="*/ 2147483647 w 1637"/>
            <a:gd name="T103" fmla="*/ 2147483647 h 709"/>
            <a:gd name="T104" fmla="*/ 2147483647 w 1637"/>
            <a:gd name="T105" fmla="*/ 2147483647 h 709"/>
            <a:gd name="T106" fmla="*/ 2147483647 w 1637"/>
            <a:gd name="T107" fmla="*/ 2147483647 h 709"/>
            <a:gd name="T108" fmla="*/ 2147483647 w 1637"/>
            <a:gd name="T109" fmla="*/ 2147483647 h 709"/>
            <a:gd name="T110" fmla="*/ 2147483647 w 1637"/>
            <a:gd name="T111" fmla="*/ 2147483647 h 709"/>
            <a:gd name="T112" fmla="*/ 2147483647 w 1637"/>
            <a:gd name="T113" fmla="*/ 2147483647 h 709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637"/>
            <a:gd name="T172" fmla="*/ 0 h 709"/>
            <a:gd name="T173" fmla="*/ 1637 w 1637"/>
            <a:gd name="T174" fmla="*/ 709 h 709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637" h="709">
              <a:moveTo>
                <a:pt x="997" y="709"/>
              </a:moveTo>
              <a:lnTo>
                <a:pt x="993" y="709"/>
              </a:lnTo>
              <a:lnTo>
                <a:pt x="969" y="709"/>
              </a:lnTo>
              <a:lnTo>
                <a:pt x="934" y="709"/>
              </a:lnTo>
              <a:lnTo>
                <a:pt x="923" y="709"/>
              </a:lnTo>
              <a:lnTo>
                <a:pt x="912" y="709"/>
              </a:lnTo>
              <a:lnTo>
                <a:pt x="888" y="709"/>
              </a:lnTo>
              <a:lnTo>
                <a:pt x="876" y="709"/>
              </a:lnTo>
              <a:lnTo>
                <a:pt x="829" y="709"/>
              </a:lnTo>
              <a:lnTo>
                <a:pt x="793" y="709"/>
              </a:lnTo>
              <a:lnTo>
                <a:pt x="736" y="709"/>
              </a:lnTo>
              <a:lnTo>
                <a:pt x="726" y="709"/>
              </a:lnTo>
              <a:lnTo>
                <a:pt x="723" y="709"/>
              </a:lnTo>
              <a:lnTo>
                <a:pt x="689" y="709"/>
              </a:lnTo>
              <a:lnTo>
                <a:pt x="654" y="709"/>
              </a:lnTo>
              <a:lnTo>
                <a:pt x="621" y="709"/>
              </a:lnTo>
              <a:lnTo>
                <a:pt x="619" y="709"/>
              </a:lnTo>
              <a:lnTo>
                <a:pt x="617" y="709"/>
              </a:lnTo>
              <a:lnTo>
                <a:pt x="595" y="709"/>
              </a:lnTo>
              <a:lnTo>
                <a:pt x="548" y="708"/>
              </a:lnTo>
              <a:lnTo>
                <a:pt x="511" y="708"/>
              </a:lnTo>
              <a:lnTo>
                <a:pt x="501" y="708"/>
              </a:lnTo>
              <a:lnTo>
                <a:pt x="495" y="709"/>
              </a:lnTo>
              <a:lnTo>
                <a:pt x="375" y="708"/>
              </a:lnTo>
              <a:lnTo>
                <a:pt x="375" y="627"/>
              </a:lnTo>
              <a:lnTo>
                <a:pt x="375" y="606"/>
              </a:lnTo>
              <a:lnTo>
                <a:pt x="375" y="592"/>
              </a:lnTo>
              <a:lnTo>
                <a:pt x="375" y="562"/>
              </a:lnTo>
              <a:lnTo>
                <a:pt x="375" y="545"/>
              </a:lnTo>
              <a:lnTo>
                <a:pt x="375" y="533"/>
              </a:lnTo>
              <a:lnTo>
                <a:pt x="375" y="473"/>
              </a:lnTo>
              <a:lnTo>
                <a:pt x="269" y="473"/>
              </a:lnTo>
              <a:lnTo>
                <a:pt x="268" y="473"/>
              </a:lnTo>
              <a:lnTo>
                <a:pt x="263" y="473"/>
              </a:lnTo>
              <a:lnTo>
                <a:pt x="127" y="473"/>
              </a:lnTo>
              <a:lnTo>
                <a:pt x="90" y="473"/>
              </a:lnTo>
              <a:lnTo>
                <a:pt x="91" y="473"/>
              </a:lnTo>
              <a:lnTo>
                <a:pt x="81" y="473"/>
              </a:lnTo>
              <a:lnTo>
                <a:pt x="0" y="473"/>
              </a:lnTo>
              <a:lnTo>
                <a:pt x="0" y="444"/>
              </a:lnTo>
              <a:lnTo>
                <a:pt x="0" y="401"/>
              </a:lnTo>
              <a:lnTo>
                <a:pt x="0" y="381"/>
              </a:lnTo>
              <a:lnTo>
                <a:pt x="0" y="355"/>
              </a:lnTo>
              <a:lnTo>
                <a:pt x="0" y="340"/>
              </a:lnTo>
              <a:lnTo>
                <a:pt x="0" y="325"/>
              </a:lnTo>
              <a:lnTo>
                <a:pt x="0" y="308"/>
              </a:lnTo>
              <a:lnTo>
                <a:pt x="0" y="296"/>
              </a:lnTo>
              <a:lnTo>
                <a:pt x="0" y="266"/>
              </a:lnTo>
              <a:lnTo>
                <a:pt x="0" y="236"/>
              </a:lnTo>
              <a:lnTo>
                <a:pt x="0" y="207"/>
              </a:lnTo>
              <a:lnTo>
                <a:pt x="0" y="178"/>
              </a:lnTo>
              <a:lnTo>
                <a:pt x="0" y="97"/>
              </a:lnTo>
              <a:lnTo>
                <a:pt x="0" y="44"/>
              </a:lnTo>
              <a:lnTo>
                <a:pt x="0" y="12"/>
              </a:lnTo>
              <a:lnTo>
                <a:pt x="0" y="1"/>
              </a:lnTo>
              <a:lnTo>
                <a:pt x="8" y="1"/>
              </a:lnTo>
              <a:lnTo>
                <a:pt x="11" y="0"/>
              </a:lnTo>
              <a:lnTo>
                <a:pt x="103" y="0"/>
              </a:lnTo>
              <a:lnTo>
                <a:pt x="151" y="0"/>
              </a:lnTo>
              <a:lnTo>
                <a:pt x="158" y="1"/>
              </a:lnTo>
              <a:lnTo>
                <a:pt x="197" y="1"/>
              </a:lnTo>
              <a:lnTo>
                <a:pt x="221" y="1"/>
              </a:lnTo>
              <a:lnTo>
                <a:pt x="225" y="1"/>
              </a:lnTo>
              <a:lnTo>
                <a:pt x="237" y="1"/>
              </a:lnTo>
              <a:lnTo>
                <a:pt x="296" y="1"/>
              </a:lnTo>
              <a:lnTo>
                <a:pt x="338" y="1"/>
              </a:lnTo>
              <a:lnTo>
                <a:pt x="370" y="1"/>
              </a:lnTo>
              <a:lnTo>
                <a:pt x="432" y="1"/>
              </a:lnTo>
              <a:lnTo>
                <a:pt x="446" y="2"/>
              </a:lnTo>
              <a:lnTo>
                <a:pt x="529" y="1"/>
              </a:lnTo>
              <a:lnTo>
                <a:pt x="604" y="1"/>
              </a:lnTo>
              <a:lnTo>
                <a:pt x="665" y="1"/>
              </a:lnTo>
              <a:lnTo>
                <a:pt x="722" y="1"/>
              </a:lnTo>
              <a:lnTo>
                <a:pt x="846" y="1"/>
              </a:lnTo>
              <a:lnTo>
                <a:pt x="898" y="1"/>
              </a:lnTo>
              <a:lnTo>
                <a:pt x="1040" y="1"/>
              </a:lnTo>
              <a:lnTo>
                <a:pt x="1063" y="22"/>
              </a:lnTo>
              <a:lnTo>
                <a:pt x="1075" y="29"/>
              </a:lnTo>
              <a:lnTo>
                <a:pt x="1087" y="31"/>
              </a:lnTo>
              <a:lnTo>
                <a:pt x="1105" y="38"/>
              </a:lnTo>
              <a:lnTo>
                <a:pt x="1133" y="57"/>
              </a:lnTo>
              <a:lnTo>
                <a:pt x="1158" y="34"/>
              </a:lnTo>
              <a:lnTo>
                <a:pt x="1201" y="36"/>
              </a:lnTo>
              <a:lnTo>
                <a:pt x="1206" y="37"/>
              </a:lnTo>
              <a:lnTo>
                <a:pt x="1227" y="34"/>
              </a:lnTo>
              <a:lnTo>
                <a:pt x="1229" y="35"/>
              </a:lnTo>
              <a:lnTo>
                <a:pt x="1273" y="35"/>
              </a:lnTo>
              <a:lnTo>
                <a:pt x="1290" y="48"/>
              </a:lnTo>
              <a:lnTo>
                <a:pt x="1296" y="54"/>
              </a:lnTo>
              <a:lnTo>
                <a:pt x="1317" y="58"/>
              </a:lnTo>
              <a:lnTo>
                <a:pt x="1356" y="70"/>
              </a:lnTo>
              <a:lnTo>
                <a:pt x="1375" y="90"/>
              </a:lnTo>
              <a:lnTo>
                <a:pt x="1390" y="113"/>
              </a:lnTo>
              <a:lnTo>
                <a:pt x="1410" y="119"/>
              </a:lnTo>
              <a:lnTo>
                <a:pt x="1424" y="122"/>
              </a:lnTo>
              <a:lnTo>
                <a:pt x="1440" y="172"/>
              </a:lnTo>
              <a:lnTo>
                <a:pt x="1446" y="178"/>
              </a:lnTo>
              <a:lnTo>
                <a:pt x="1445" y="180"/>
              </a:lnTo>
              <a:lnTo>
                <a:pt x="1441" y="186"/>
              </a:lnTo>
              <a:lnTo>
                <a:pt x="1454" y="207"/>
              </a:lnTo>
              <a:lnTo>
                <a:pt x="1456" y="226"/>
              </a:lnTo>
              <a:lnTo>
                <a:pt x="1462" y="237"/>
              </a:lnTo>
              <a:lnTo>
                <a:pt x="1473" y="237"/>
              </a:lnTo>
              <a:lnTo>
                <a:pt x="1482" y="268"/>
              </a:lnTo>
              <a:lnTo>
                <a:pt x="1484" y="271"/>
              </a:lnTo>
              <a:lnTo>
                <a:pt x="1490" y="296"/>
              </a:lnTo>
              <a:lnTo>
                <a:pt x="1485" y="312"/>
              </a:lnTo>
              <a:lnTo>
                <a:pt x="1486" y="326"/>
              </a:lnTo>
              <a:lnTo>
                <a:pt x="1507" y="346"/>
              </a:lnTo>
              <a:lnTo>
                <a:pt x="1508" y="353"/>
              </a:lnTo>
              <a:lnTo>
                <a:pt x="1506" y="355"/>
              </a:lnTo>
              <a:lnTo>
                <a:pt x="1507" y="362"/>
              </a:lnTo>
              <a:lnTo>
                <a:pt x="1519" y="381"/>
              </a:lnTo>
              <a:lnTo>
                <a:pt x="1531" y="405"/>
              </a:lnTo>
              <a:lnTo>
                <a:pt x="1522" y="414"/>
              </a:lnTo>
              <a:lnTo>
                <a:pt x="1521" y="428"/>
              </a:lnTo>
              <a:lnTo>
                <a:pt x="1531" y="429"/>
              </a:lnTo>
              <a:lnTo>
                <a:pt x="1532" y="433"/>
              </a:lnTo>
              <a:lnTo>
                <a:pt x="1530" y="435"/>
              </a:lnTo>
              <a:lnTo>
                <a:pt x="1532" y="444"/>
              </a:lnTo>
              <a:lnTo>
                <a:pt x="1529" y="459"/>
              </a:lnTo>
              <a:lnTo>
                <a:pt x="1530" y="461"/>
              </a:lnTo>
              <a:lnTo>
                <a:pt x="1531" y="461"/>
              </a:lnTo>
              <a:lnTo>
                <a:pt x="1532" y="473"/>
              </a:lnTo>
              <a:lnTo>
                <a:pt x="1543" y="496"/>
              </a:lnTo>
              <a:lnTo>
                <a:pt x="1543" y="498"/>
              </a:lnTo>
              <a:lnTo>
                <a:pt x="1539" y="503"/>
              </a:lnTo>
              <a:lnTo>
                <a:pt x="1538" y="524"/>
              </a:lnTo>
              <a:lnTo>
                <a:pt x="1530" y="533"/>
              </a:lnTo>
              <a:lnTo>
                <a:pt x="1554" y="566"/>
              </a:lnTo>
              <a:lnTo>
                <a:pt x="1551" y="571"/>
              </a:lnTo>
              <a:lnTo>
                <a:pt x="1550" y="572"/>
              </a:lnTo>
              <a:lnTo>
                <a:pt x="1554" y="585"/>
              </a:lnTo>
              <a:lnTo>
                <a:pt x="1562" y="586"/>
              </a:lnTo>
              <a:lnTo>
                <a:pt x="1567" y="577"/>
              </a:lnTo>
              <a:lnTo>
                <a:pt x="1577" y="636"/>
              </a:lnTo>
              <a:lnTo>
                <a:pt x="1591" y="647"/>
              </a:lnTo>
              <a:lnTo>
                <a:pt x="1600" y="651"/>
              </a:lnTo>
              <a:lnTo>
                <a:pt x="1624" y="703"/>
              </a:lnTo>
              <a:lnTo>
                <a:pt x="1637" y="709"/>
              </a:lnTo>
              <a:lnTo>
                <a:pt x="1630" y="709"/>
              </a:lnTo>
              <a:lnTo>
                <a:pt x="1547" y="709"/>
              </a:lnTo>
              <a:lnTo>
                <a:pt x="1531" y="709"/>
              </a:lnTo>
              <a:lnTo>
                <a:pt x="1507" y="709"/>
              </a:lnTo>
              <a:lnTo>
                <a:pt x="1505" y="709"/>
              </a:lnTo>
              <a:lnTo>
                <a:pt x="1484" y="709"/>
              </a:lnTo>
              <a:lnTo>
                <a:pt x="1462" y="709"/>
              </a:lnTo>
              <a:lnTo>
                <a:pt x="1460" y="709"/>
              </a:lnTo>
              <a:lnTo>
                <a:pt x="1437" y="709"/>
              </a:lnTo>
              <a:lnTo>
                <a:pt x="1421" y="709"/>
              </a:lnTo>
              <a:lnTo>
                <a:pt x="1413" y="709"/>
              </a:lnTo>
              <a:lnTo>
                <a:pt x="1367" y="709"/>
              </a:lnTo>
              <a:lnTo>
                <a:pt x="1356" y="709"/>
              </a:lnTo>
              <a:lnTo>
                <a:pt x="1344" y="709"/>
              </a:lnTo>
              <a:lnTo>
                <a:pt x="1336" y="709"/>
              </a:lnTo>
              <a:lnTo>
                <a:pt x="1296" y="709"/>
              </a:lnTo>
              <a:lnTo>
                <a:pt x="1273" y="709"/>
              </a:lnTo>
              <a:lnTo>
                <a:pt x="1252" y="709"/>
              </a:lnTo>
              <a:lnTo>
                <a:pt x="1249" y="709"/>
              </a:lnTo>
              <a:lnTo>
                <a:pt x="1203" y="709"/>
              </a:lnTo>
              <a:lnTo>
                <a:pt x="1167" y="709"/>
              </a:lnTo>
              <a:lnTo>
                <a:pt x="1156" y="709"/>
              </a:lnTo>
              <a:lnTo>
                <a:pt x="1146" y="709"/>
              </a:lnTo>
              <a:lnTo>
                <a:pt x="1133" y="709"/>
              </a:lnTo>
              <a:lnTo>
                <a:pt x="1109" y="709"/>
              </a:lnTo>
              <a:lnTo>
                <a:pt x="1082" y="709"/>
              </a:lnTo>
              <a:lnTo>
                <a:pt x="1063" y="709"/>
              </a:lnTo>
              <a:lnTo>
                <a:pt x="1040" y="709"/>
              </a:lnTo>
              <a:lnTo>
                <a:pt x="1039" y="709"/>
              </a:lnTo>
              <a:lnTo>
                <a:pt x="1016" y="709"/>
              </a:lnTo>
              <a:lnTo>
                <a:pt x="997" y="70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31</xdr:row>
      <xdr:rowOff>104775</xdr:rowOff>
    </xdr:from>
    <xdr:to>
      <xdr:col>2</xdr:col>
      <xdr:colOff>1457325</xdr:colOff>
      <xdr:row>31</xdr:row>
      <xdr:rowOff>1000125</xdr:rowOff>
    </xdr:to>
    <xdr:sp macro="" textlink="">
      <xdr:nvSpPr>
        <xdr:cNvPr id="122" name="S_NH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/>
        </xdr:cNvSpPr>
      </xdr:nvSpPr>
      <xdr:spPr bwMode="auto">
        <a:xfrm>
          <a:off x="2486025" y="38300025"/>
          <a:ext cx="752475" cy="895350"/>
        </a:xfrm>
        <a:custGeom>
          <a:avLst/>
          <a:gdLst>
            <a:gd name="T0" fmla="*/ 2147483647 w 343"/>
            <a:gd name="T1" fmla="*/ 2147483647 h 616"/>
            <a:gd name="T2" fmla="*/ 2147483647 w 343"/>
            <a:gd name="T3" fmla="*/ 2147483647 h 616"/>
            <a:gd name="T4" fmla="*/ 2147483647 w 343"/>
            <a:gd name="T5" fmla="*/ 2147483647 h 616"/>
            <a:gd name="T6" fmla="*/ 2147483647 w 343"/>
            <a:gd name="T7" fmla="*/ 2147483647 h 616"/>
            <a:gd name="T8" fmla="*/ 2147483647 w 343"/>
            <a:gd name="T9" fmla="*/ 2147483647 h 616"/>
            <a:gd name="T10" fmla="*/ 2147483647 w 343"/>
            <a:gd name="T11" fmla="*/ 2147483647 h 616"/>
            <a:gd name="T12" fmla="*/ 2147483647 w 343"/>
            <a:gd name="T13" fmla="*/ 2147483647 h 616"/>
            <a:gd name="T14" fmla="*/ 2147483647 w 343"/>
            <a:gd name="T15" fmla="*/ 2147483647 h 616"/>
            <a:gd name="T16" fmla="*/ 2147483647 w 343"/>
            <a:gd name="T17" fmla="*/ 2147483647 h 616"/>
            <a:gd name="T18" fmla="*/ 2147483647 w 343"/>
            <a:gd name="T19" fmla="*/ 2147483647 h 616"/>
            <a:gd name="T20" fmla="*/ 2147483647 w 343"/>
            <a:gd name="T21" fmla="*/ 2147483647 h 616"/>
            <a:gd name="T22" fmla="*/ 2147483647 w 343"/>
            <a:gd name="T23" fmla="*/ 2147483647 h 616"/>
            <a:gd name="T24" fmla="*/ 2147483647 w 343"/>
            <a:gd name="T25" fmla="*/ 2147483647 h 616"/>
            <a:gd name="T26" fmla="*/ 2147483647 w 343"/>
            <a:gd name="T27" fmla="*/ 2147483647 h 616"/>
            <a:gd name="T28" fmla="*/ 2147483647 w 343"/>
            <a:gd name="T29" fmla="*/ 2147483647 h 616"/>
            <a:gd name="T30" fmla="*/ 2147483647 w 343"/>
            <a:gd name="T31" fmla="*/ 2147483647 h 616"/>
            <a:gd name="T32" fmla="*/ 2147483647 w 343"/>
            <a:gd name="T33" fmla="*/ 2147483647 h 616"/>
            <a:gd name="T34" fmla="*/ 2147483647 w 343"/>
            <a:gd name="T35" fmla="*/ 2147483647 h 616"/>
            <a:gd name="T36" fmla="*/ 2147483647 w 343"/>
            <a:gd name="T37" fmla="*/ 2147483647 h 616"/>
            <a:gd name="T38" fmla="*/ 2147483647 w 343"/>
            <a:gd name="T39" fmla="*/ 2147483647 h 616"/>
            <a:gd name="T40" fmla="*/ 2147483647 w 343"/>
            <a:gd name="T41" fmla="*/ 0 h 616"/>
            <a:gd name="T42" fmla="*/ 2147483647 w 343"/>
            <a:gd name="T43" fmla="*/ 2147483647 h 616"/>
            <a:gd name="T44" fmla="*/ 2147483647 w 343"/>
            <a:gd name="T45" fmla="*/ 2147483647 h 616"/>
            <a:gd name="T46" fmla="*/ 2147483647 w 343"/>
            <a:gd name="T47" fmla="*/ 2147483647 h 616"/>
            <a:gd name="T48" fmla="*/ 2147483647 w 343"/>
            <a:gd name="T49" fmla="*/ 2147483647 h 616"/>
            <a:gd name="T50" fmla="*/ 2147483647 w 343"/>
            <a:gd name="T51" fmla="*/ 2147483647 h 616"/>
            <a:gd name="T52" fmla="*/ 2147483647 w 343"/>
            <a:gd name="T53" fmla="*/ 2147483647 h 616"/>
            <a:gd name="T54" fmla="*/ 2147483647 w 343"/>
            <a:gd name="T55" fmla="*/ 2147483647 h 616"/>
            <a:gd name="T56" fmla="*/ 2147483647 w 343"/>
            <a:gd name="T57" fmla="*/ 2147483647 h 616"/>
            <a:gd name="T58" fmla="*/ 2147483647 w 343"/>
            <a:gd name="T59" fmla="*/ 2147483647 h 616"/>
            <a:gd name="T60" fmla="*/ 2147483647 w 343"/>
            <a:gd name="T61" fmla="*/ 2147483647 h 616"/>
            <a:gd name="T62" fmla="*/ 2147483647 w 343"/>
            <a:gd name="T63" fmla="*/ 2147483647 h 616"/>
            <a:gd name="T64" fmla="*/ 2147483647 w 343"/>
            <a:gd name="T65" fmla="*/ 2147483647 h 616"/>
            <a:gd name="T66" fmla="*/ 2147483647 w 343"/>
            <a:gd name="T67" fmla="*/ 2147483647 h 616"/>
            <a:gd name="T68" fmla="*/ 2147483647 w 343"/>
            <a:gd name="T69" fmla="*/ 2147483647 h 616"/>
            <a:gd name="T70" fmla="*/ 2147483647 w 343"/>
            <a:gd name="T71" fmla="*/ 2147483647 h 616"/>
            <a:gd name="T72" fmla="*/ 2147483647 w 343"/>
            <a:gd name="T73" fmla="*/ 2147483647 h 616"/>
            <a:gd name="T74" fmla="*/ 2147483647 w 343"/>
            <a:gd name="T75" fmla="*/ 2147483647 h 616"/>
            <a:gd name="T76" fmla="*/ 2147483647 w 343"/>
            <a:gd name="T77" fmla="*/ 2147483647 h 616"/>
            <a:gd name="T78" fmla="*/ 2147483647 w 343"/>
            <a:gd name="T79" fmla="*/ 2147483647 h 616"/>
            <a:gd name="T80" fmla="*/ 2147483647 w 343"/>
            <a:gd name="T81" fmla="*/ 2147483647 h 616"/>
            <a:gd name="T82" fmla="*/ 2147483647 w 343"/>
            <a:gd name="T83" fmla="*/ 2147483647 h 616"/>
            <a:gd name="T84" fmla="*/ 2147483647 w 343"/>
            <a:gd name="T85" fmla="*/ 2147483647 h 616"/>
            <a:gd name="T86" fmla="*/ 2147483647 w 343"/>
            <a:gd name="T87" fmla="*/ 2147483647 h 616"/>
            <a:gd name="T88" fmla="*/ 2147483647 w 343"/>
            <a:gd name="T89" fmla="*/ 2147483647 h 616"/>
            <a:gd name="T90" fmla="*/ 2147483647 w 343"/>
            <a:gd name="T91" fmla="*/ 2147483647 h 616"/>
            <a:gd name="T92" fmla="*/ 2147483647 w 343"/>
            <a:gd name="T93" fmla="*/ 2147483647 h 616"/>
            <a:gd name="T94" fmla="*/ 2147483647 w 343"/>
            <a:gd name="T95" fmla="*/ 2147483647 h 616"/>
            <a:gd name="T96" fmla="*/ 2147483647 w 343"/>
            <a:gd name="T97" fmla="*/ 2147483647 h 616"/>
            <a:gd name="T98" fmla="*/ 2147483647 w 343"/>
            <a:gd name="T99" fmla="*/ 2147483647 h 616"/>
            <a:gd name="T100" fmla="*/ 2147483647 w 343"/>
            <a:gd name="T101" fmla="*/ 2147483647 h 616"/>
            <a:gd name="T102" fmla="*/ 2147483647 w 343"/>
            <a:gd name="T103" fmla="*/ 2147483647 h 616"/>
            <a:gd name="T104" fmla="*/ 2147483647 w 343"/>
            <a:gd name="T105" fmla="*/ 2147483647 h 616"/>
            <a:gd name="T106" fmla="*/ 2147483647 w 343"/>
            <a:gd name="T107" fmla="*/ 2147483647 h 616"/>
            <a:gd name="T108" fmla="*/ 2147483647 w 343"/>
            <a:gd name="T109" fmla="*/ 2147483647 h 616"/>
            <a:gd name="T110" fmla="*/ 0 w 343"/>
            <a:gd name="T111" fmla="*/ 2147483647 h 616"/>
            <a:gd name="T112" fmla="*/ 2147483647 w 343"/>
            <a:gd name="T113" fmla="*/ 2147483647 h 616"/>
            <a:gd name="T114" fmla="*/ 2147483647 w 343"/>
            <a:gd name="T115" fmla="*/ 2147483647 h 616"/>
            <a:gd name="T116" fmla="*/ 2147483647 w 343"/>
            <a:gd name="T117" fmla="*/ 2147483647 h 616"/>
            <a:gd name="T118" fmla="*/ 2147483647 w 343"/>
            <a:gd name="T119" fmla="*/ 2147483647 h 616"/>
            <a:gd name="T120" fmla="*/ 2147483647 w 343"/>
            <a:gd name="T121" fmla="*/ 2147483647 h 616"/>
            <a:gd name="T122" fmla="*/ 2147483647 w 343"/>
            <a:gd name="T123" fmla="*/ 2147483647 h 616"/>
            <a:gd name="T124" fmla="*/ 2147483647 w 343"/>
            <a:gd name="T125" fmla="*/ 2147483647 h 61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343"/>
            <a:gd name="T190" fmla="*/ 0 h 616"/>
            <a:gd name="T191" fmla="*/ 343 w 343"/>
            <a:gd name="T192" fmla="*/ 616 h 616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343" h="616">
              <a:moveTo>
                <a:pt x="39" y="402"/>
              </a:moveTo>
              <a:lnTo>
                <a:pt x="39" y="396"/>
              </a:lnTo>
              <a:lnTo>
                <a:pt x="53" y="369"/>
              </a:lnTo>
              <a:lnTo>
                <a:pt x="62" y="362"/>
              </a:lnTo>
              <a:lnTo>
                <a:pt x="80" y="308"/>
              </a:lnTo>
              <a:lnTo>
                <a:pt x="93" y="279"/>
              </a:lnTo>
              <a:lnTo>
                <a:pt x="92" y="271"/>
              </a:lnTo>
              <a:lnTo>
                <a:pt x="90" y="249"/>
              </a:lnTo>
              <a:lnTo>
                <a:pt x="101" y="230"/>
              </a:lnTo>
              <a:lnTo>
                <a:pt x="131" y="225"/>
              </a:lnTo>
              <a:lnTo>
                <a:pt x="135" y="219"/>
              </a:lnTo>
              <a:lnTo>
                <a:pt x="145" y="211"/>
              </a:lnTo>
              <a:lnTo>
                <a:pt x="178" y="190"/>
              </a:lnTo>
              <a:lnTo>
                <a:pt x="169" y="131"/>
              </a:lnTo>
              <a:lnTo>
                <a:pt x="195" y="92"/>
              </a:lnTo>
              <a:lnTo>
                <a:pt x="194" y="68"/>
              </a:lnTo>
              <a:lnTo>
                <a:pt x="205" y="15"/>
              </a:lnTo>
              <a:lnTo>
                <a:pt x="241" y="8"/>
              </a:lnTo>
              <a:lnTo>
                <a:pt x="244" y="12"/>
              </a:lnTo>
              <a:lnTo>
                <a:pt x="264" y="12"/>
              </a:lnTo>
              <a:lnTo>
                <a:pt x="269" y="0"/>
              </a:lnTo>
              <a:lnTo>
                <a:pt x="273" y="12"/>
              </a:lnTo>
              <a:lnTo>
                <a:pt x="273" y="23"/>
              </a:lnTo>
              <a:lnTo>
                <a:pt x="281" y="131"/>
              </a:lnTo>
              <a:lnTo>
                <a:pt x="286" y="240"/>
              </a:lnTo>
              <a:lnTo>
                <a:pt x="286" y="249"/>
              </a:lnTo>
              <a:lnTo>
                <a:pt x="288" y="307"/>
              </a:lnTo>
              <a:lnTo>
                <a:pt x="289" y="357"/>
              </a:lnTo>
              <a:lnTo>
                <a:pt x="290" y="366"/>
              </a:lnTo>
              <a:lnTo>
                <a:pt x="295" y="415"/>
              </a:lnTo>
              <a:lnTo>
                <a:pt x="295" y="417"/>
              </a:lnTo>
              <a:lnTo>
                <a:pt x="295" y="463"/>
              </a:lnTo>
              <a:lnTo>
                <a:pt x="317" y="485"/>
              </a:lnTo>
              <a:lnTo>
                <a:pt x="321" y="515"/>
              </a:lnTo>
              <a:lnTo>
                <a:pt x="334" y="525"/>
              </a:lnTo>
              <a:lnTo>
                <a:pt x="334" y="526"/>
              </a:lnTo>
              <a:lnTo>
                <a:pt x="343" y="530"/>
              </a:lnTo>
              <a:lnTo>
                <a:pt x="342" y="530"/>
              </a:lnTo>
              <a:lnTo>
                <a:pt x="326" y="563"/>
              </a:lnTo>
              <a:lnTo>
                <a:pt x="322" y="574"/>
              </a:lnTo>
              <a:lnTo>
                <a:pt x="282" y="577"/>
              </a:lnTo>
              <a:lnTo>
                <a:pt x="275" y="590"/>
              </a:lnTo>
              <a:lnTo>
                <a:pt x="242" y="605"/>
              </a:lnTo>
              <a:lnTo>
                <a:pt x="241" y="605"/>
              </a:lnTo>
              <a:lnTo>
                <a:pt x="240" y="606"/>
              </a:lnTo>
              <a:lnTo>
                <a:pt x="238" y="608"/>
              </a:lnTo>
              <a:lnTo>
                <a:pt x="233" y="616"/>
              </a:lnTo>
              <a:lnTo>
                <a:pt x="119" y="612"/>
              </a:lnTo>
              <a:lnTo>
                <a:pt x="114" y="611"/>
              </a:lnTo>
              <a:lnTo>
                <a:pt x="107" y="611"/>
              </a:lnTo>
              <a:lnTo>
                <a:pt x="88" y="611"/>
              </a:lnTo>
              <a:lnTo>
                <a:pt x="47" y="609"/>
              </a:lnTo>
              <a:lnTo>
                <a:pt x="36" y="609"/>
              </a:lnTo>
              <a:lnTo>
                <a:pt x="31" y="609"/>
              </a:lnTo>
              <a:lnTo>
                <a:pt x="15" y="608"/>
              </a:lnTo>
              <a:lnTo>
                <a:pt x="0" y="556"/>
              </a:lnTo>
              <a:lnTo>
                <a:pt x="14" y="544"/>
              </a:lnTo>
              <a:lnTo>
                <a:pt x="16" y="505"/>
              </a:lnTo>
              <a:lnTo>
                <a:pt x="20" y="489"/>
              </a:lnTo>
              <a:lnTo>
                <a:pt x="20" y="488"/>
              </a:lnTo>
              <a:lnTo>
                <a:pt x="29" y="427"/>
              </a:lnTo>
              <a:lnTo>
                <a:pt x="30" y="408"/>
              </a:lnTo>
              <a:lnTo>
                <a:pt x="39" y="40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32</xdr:row>
      <xdr:rowOff>104774</xdr:rowOff>
    </xdr:from>
    <xdr:to>
      <xdr:col>2</xdr:col>
      <xdr:colOff>1543050</xdr:colOff>
      <xdr:row>32</xdr:row>
      <xdr:rowOff>1181099</xdr:rowOff>
    </xdr:to>
    <xdr:sp macro="" textlink="">
      <xdr:nvSpPr>
        <xdr:cNvPr id="123" name="S_NJ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/>
        </xdr:cNvSpPr>
      </xdr:nvSpPr>
      <xdr:spPr bwMode="auto">
        <a:xfrm>
          <a:off x="2486025" y="39566849"/>
          <a:ext cx="838200" cy="1076325"/>
        </a:xfrm>
        <a:custGeom>
          <a:avLst/>
          <a:gdLst>
            <a:gd name="T0" fmla="*/ 2147483647 w 312"/>
            <a:gd name="T1" fmla="*/ 2147483647 h 573"/>
            <a:gd name="T2" fmla="*/ 2147483647 w 312"/>
            <a:gd name="T3" fmla="*/ 2147483647 h 573"/>
            <a:gd name="T4" fmla="*/ 2147483647 w 312"/>
            <a:gd name="T5" fmla="*/ 2147483647 h 573"/>
            <a:gd name="T6" fmla="*/ 2147483647 w 312"/>
            <a:gd name="T7" fmla="*/ 2147483647 h 573"/>
            <a:gd name="T8" fmla="*/ 2147483647 w 312"/>
            <a:gd name="T9" fmla="*/ 2147483647 h 573"/>
            <a:gd name="T10" fmla="*/ 2147483647 w 312"/>
            <a:gd name="T11" fmla="*/ 2147483647 h 573"/>
            <a:gd name="T12" fmla="*/ 2147483647 w 312"/>
            <a:gd name="T13" fmla="*/ 2147483647 h 573"/>
            <a:gd name="T14" fmla="*/ 2147483647 w 312"/>
            <a:gd name="T15" fmla="*/ 2147483647 h 573"/>
            <a:gd name="T16" fmla="*/ 2147483647 w 312"/>
            <a:gd name="T17" fmla="*/ 2147483647 h 573"/>
            <a:gd name="T18" fmla="*/ 2147483647 w 312"/>
            <a:gd name="T19" fmla="*/ 2147483647 h 573"/>
            <a:gd name="T20" fmla="*/ 2147483647 w 312"/>
            <a:gd name="T21" fmla="*/ 2147483647 h 573"/>
            <a:gd name="T22" fmla="*/ 2147483647 w 312"/>
            <a:gd name="T23" fmla="*/ 2147483647 h 573"/>
            <a:gd name="T24" fmla="*/ 2147483647 w 312"/>
            <a:gd name="T25" fmla="*/ 2147483647 h 573"/>
            <a:gd name="T26" fmla="*/ 2147483647 w 312"/>
            <a:gd name="T27" fmla="*/ 2147483647 h 573"/>
            <a:gd name="T28" fmla="*/ 2147483647 w 312"/>
            <a:gd name="T29" fmla="*/ 2147483647 h 573"/>
            <a:gd name="T30" fmla="*/ 2147483647 w 312"/>
            <a:gd name="T31" fmla="*/ 2147483647 h 573"/>
            <a:gd name="T32" fmla="*/ 2147483647 w 312"/>
            <a:gd name="T33" fmla="*/ 2147483647 h 573"/>
            <a:gd name="T34" fmla="*/ 2147483647 w 312"/>
            <a:gd name="T35" fmla="*/ 2147483647 h 573"/>
            <a:gd name="T36" fmla="*/ 2147483647 w 312"/>
            <a:gd name="T37" fmla="*/ 2147483647 h 573"/>
            <a:gd name="T38" fmla="*/ 2147483647 w 312"/>
            <a:gd name="T39" fmla="*/ 2147483647 h 573"/>
            <a:gd name="T40" fmla="*/ 2147483647 w 312"/>
            <a:gd name="T41" fmla="*/ 2147483647 h 573"/>
            <a:gd name="T42" fmla="*/ 2147483647 w 312"/>
            <a:gd name="T43" fmla="*/ 0 h 573"/>
            <a:gd name="T44" fmla="*/ 2147483647 w 312"/>
            <a:gd name="T45" fmla="*/ 2147483647 h 573"/>
            <a:gd name="T46" fmla="*/ 2147483647 w 312"/>
            <a:gd name="T47" fmla="*/ 2147483647 h 573"/>
            <a:gd name="T48" fmla="*/ 2147483647 w 312"/>
            <a:gd name="T49" fmla="*/ 2147483647 h 573"/>
            <a:gd name="T50" fmla="*/ 2147483647 w 312"/>
            <a:gd name="T51" fmla="*/ 2147483647 h 573"/>
            <a:gd name="T52" fmla="*/ 2147483647 w 312"/>
            <a:gd name="T53" fmla="*/ 2147483647 h 573"/>
            <a:gd name="T54" fmla="*/ 2147483647 w 312"/>
            <a:gd name="T55" fmla="*/ 2147483647 h 573"/>
            <a:gd name="T56" fmla="*/ 2147483647 w 312"/>
            <a:gd name="T57" fmla="*/ 2147483647 h 573"/>
            <a:gd name="T58" fmla="*/ 2147483647 w 312"/>
            <a:gd name="T59" fmla="*/ 2147483647 h 573"/>
            <a:gd name="T60" fmla="*/ 2147483647 w 312"/>
            <a:gd name="T61" fmla="*/ 2147483647 h 573"/>
            <a:gd name="T62" fmla="*/ 2147483647 w 312"/>
            <a:gd name="T63" fmla="*/ 2147483647 h 573"/>
            <a:gd name="T64" fmla="*/ 2147483647 w 312"/>
            <a:gd name="T65" fmla="*/ 2147483647 h 573"/>
            <a:gd name="T66" fmla="*/ 2147483647 w 312"/>
            <a:gd name="T67" fmla="*/ 2147483647 h 573"/>
            <a:gd name="T68" fmla="*/ 2147483647 w 312"/>
            <a:gd name="T69" fmla="*/ 2147483647 h 573"/>
            <a:gd name="T70" fmla="*/ 2147483647 w 312"/>
            <a:gd name="T71" fmla="*/ 2147483647 h 573"/>
            <a:gd name="T72" fmla="*/ 2147483647 w 312"/>
            <a:gd name="T73" fmla="*/ 2147483647 h 573"/>
            <a:gd name="T74" fmla="*/ 2147483647 w 312"/>
            <a:gd name="T75" fmla="*/ 2147483647 h 573"/>
            <a:gd name="T76" fmla="*/ 2147483647 w 312"/>
            <a:gd name="T77" fmla="*/ 2147483647 h 573"/>
            <a:gd name="T78" fmla="*/ 0 w 312"/>
            <a:gd name="T79" fmla="*/ 2147483647 h 573"/>
            <a:gd name="T80" fmla="*/ 0 w 312"/>
            <a:gd name="T81" fmla="*/ 2147483647 h 573"/>
            <a:gd name="T82" fmla="*/ 2147483647 w 312"/>
            <a:gd name="T83" fmla="*/ 2147483647 h 573"/>
            <a:gd name="T84" fmla="*/ 2147483647 w 312"/>
            <a:gd name="T85" fmla="*/ 2147483647 h 573"/>
            <a:gd name="T86" fmla="*/ 2147483647 w 312"/>
            <a:gd name="T87" fmla="*/ 2147483647 h 573"/>
            <a:gd name="T88" fmla="*/ 2147483647 w 312"/>
            <a:gd name="T89" fmla="*/ 2147483647 h 573"/>
            <a:gd name="T90" fmla="*/ 2147483647 w 312"/>
            <a:gd name="T91" fmla="*/ 2147483647 h 573"/>
            <a:gd name="T92" fmla="*/ 2147483647 w 312"/>
            <a:gd name="T93" fmla="*/ 2147483647 h 573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312"/>
            <a:gd name="T142" fmla="*/ 0 h 573"/>
            <a:gd name="T143" fmla="*/ 312 w 312"/>
            <a:gd name="T144" fmla="*/ 573 h 573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312" h="573">
              <a:moveTo>
                <a:pt x="230" y="438"/>
              </a:moveTo>
              <a:lnTo>
                <a:pt x="237" y="437"/>
              </a:lnTo>
              <a:lnTo>
                <a:pt x="273" y="376"/>
              </a:lnTo>
              <a:lnTo>
                <a:pt x="286" y="297"/>
              </a:lnTo>
              <a:lnTo>
                <a:pt x="297" y="232"/>
              </a:lnTo>
              <a:lnTo>
                <a:pt x="294" y="209"/>
              </a:lnTo>
              <a:lnTo>
                <a:pt x="292" y="219"/>
              </a:lnTo>
              <a:lnTo>
                <a:pt x="258" y="212"/>
              </a:lnTo>
              <a:lnTo>
                <a:pt x="253" y="217"/>
              </a:lnTo>
              <a:lnTo>
                <a:pt x="245" y="211"/>
              </a:lnTo>
              <a:lnTo>
                <a:pt x="243" y="203"/>
              </a:lnTo>
              <a:lnTo>
                <a:pt x="245" y="198"/>
              </a:lnTo>
              <a:lnTo>
                <a:pt x="244" y="192"/>
              </a:lnTo>
              <a:lnTo>
                <a:pt x="254" y="180"/>
              </a:lnTo>
              <a:lnTo>
                <a:pt x="254" y="174"/>
              </a:lnTo>
              <a:lnTo>
                <a:pt x="254" y="172"/>
              </a:lnTo>
              <a:lnTo>
                <a:pt x="261" y="168"/>
              </a:lnTo>
              <a:lnTo>
                <a:pt x="265" y="168"/>
              </a:lnTo>
              <a:lnTo>
                <a:pt x="275" y="166"/>
              </a:lnTo>
              <a:lnTo>
                <a:pt x="281" y="166"/>
              </a:lnTo>
              <a:lnTo>
                <a:pt x="285" y="159"/>
              </a:lnTo>
              <a:lnTo>
                <a:pt x="287" y="151"/>
              </a:lnTo>
              <a:lnTo>
                <a:pt x="289" y="142"/>
              </a:lnTo>
              <a:lnTo>
                <a:pt x="295" y="132"/>
              </a:lnTo>
              <a:lnTo>
                <a:pt x="303" y="114"/>
              </a:lnTo>
              <a:lnTo>
                <a:pt x="304" y="112"/>
              </a:lnTo>
              <a:lnTo>
                <a:pt x="304" y="111"/>
              </a:lnTo>
              <a:lnTo>
                <a:pt x="305" y="111"/>
              </a:lnTo>
              <a:lnTo>
                <a:pt x="306" y="104"/>
              </a:lnTo>
              <a:lnTo>
                <a:pt x="311" y="91"/>
              </a:lnTo>
              <a:lnTo>
                <a:pt x="311" y="88"/>
              </a:lnTo>
              <a:lnTo>
                <a:pt x="312" y="85"/>
              </a:lnTo>
              <a:lnTo>
                <a:pt x="310" y="85"/>
              </a:lnTo>
              <a:lnTo>
                <a:pt x="266" y="60"/>
              </a:lnTo>
              <a:lnTo>
                <a:pt x="252" y="53"/>
              </a:lnTo>
              <a:lnTo>
                <a:pt x="250" y="52"/>
              </a:lnTo>
              <a:lnTo>
                <a:pt x="247" y="51"/>
              </a:lnTo>
              <a:lnTo>
                <a:pt x="241" y="48"/>
              </a:lnTo>
              <a:lnTo>
                <a:pt x="229" y="40"/>
              </a:lnTo>
              <a:lnTo>
                <a:pt x="223" y="37"/>
              </a:lnTo>
              <a:lnTo>
                <a:pt x="205" y="25"/>
              </a:lnTo>
              <a:lnTo>
                <a:pt x="189" y="15"/>
              </a:lnTo>
              <a:lnTo>
                <a:pt x="162" y="0"/>
              </a:lnTo>
              <a:lnTo>
                <a:pt x="150" y="3"/>
              </a:lnTo>
              <a:lnTo>
                <a:pt x="132" y="25"/>
              </a:lnTo>
              <a:lnTo>
                <a:pt x="125" y="42"/>
              </a:lnTo>
              <a:lnTo>
                <a:pt x="106" y="62"/>
              </a:lnTo>
              <a:lnTo>
                <a:pt x="111" y="61"/>
              </a:lnTo>
              <a:lnTo>
                <a:pt x="104" y="67"/>
              </a:lnTo>
              <a:lnTo>
                <a:pt x="79" y="87"/>
              </a:lnTo>
              <a:lnTo>
                <a:pt x="82" y="91"/>
              </a:lnTo>
              <a:lnTo>
                <a:pt x="94" y="114"/>
              </a:lnTo>
              <a:lnTo>
                <a:pt x="68" y="144"/>
              </a:lnTo>
              <a:lnTo>
                <a:pt x="68" y="177"/>
              </a:lnTo>
              <a:lnTo>
                <a:pt x="69" y="178"/>
              </a:lnTo>
              <a:lnTo>
                <a:pt x="69" y="180"/>
              </a:lnTo>
              <a:lnTo>
                <a:pt x="82" y="184"/>
              </a:lnTo>
              <a:lnTo>
                <a:pt x="114" y="232"/>
              </a:lnTo>
              <a:lnTo>
                <a:pt x="115" y="240"/>
              </a:lnTo>
              <a:lnTo>
                <a:pt x="128" y="250"/>
              </a:lnTo>
              <a:lnTo>
                <a:pt x="134" y="262"/>
              </a:lnTo>
              <a:lnTo>
                <a:pt x="157" y="286"/>
              </a:lnTo>
              <a:lnTo>
                <a:pt x="140" y="290"/>
              </a:lnTo>
              <a:lnTo>
                <a:pt x="128" y="301"/>
              </a:lnTo>
              <a:lnTo>
                <a:pt x="109" y="309"/>
              </a:lnTo>
              <a:lnTo>
                <a:pt x="104" y="314"/>
              </a:lnTo>
              <a:lnTo>
                <a:pt x="94" y="320"/>
              </a:lnTo>
              <a:lnTo>
                <a:pt x="93" y="323"/>
              </a:lnTo>
              <a:lnTo>
                <a:pt x="82" y="329"/>
              </a:lnTo>
              <a:lnTo>
                <a:pt x="81" y="344"/>
              </a:lnTo>
              <a:lnTo>
                <a:pt x="78" y="347"/>
              </a:lnTo>
              <a:lnTo>
                <a:pt x="68" y="350"/>
              </a:lnTo>
              <a:lnTo>
                <a:pt x="67" y="351"/>
              </a:lnTo>
              <a:lnTo>
                <a:pt x="66" y="353"/>
              </a:lnTo>
              <a:lnTo>
                <a:pt x="58" y="355"/>
              </a:lnTo>
              <a:lnTo>
                <a:pt x="35" y="362"/>
              </a:lnTo>
              <a:lnTo>
                <a:pt x="27" y="368"/>
              </a:lnTo>
              <a:lnTo>
                <a:pt x="22" y="373"/>
              </a:lnTo>
              <a:lnTo>
                <a:pt x="11" y="391"/>
              </a:lnTo>
              <a:lnTo>
                <a:pt x="0" y="408"/>
              </a:lnTo>
              <a:lnTo>
                <a:pt x="2" y="416"/>
              </a:lnTo>
              <a:lnTo>
                <a:pt x="2" y="439"/>
              </a:lnTo>
              <a:lnTo>
                <a:pt x="28" y="467"/>
              </a:lnTo>
              <a:lnTo>
                <a:pt x="50" y="487"/>
              </a:lnTo>
              <a:lnTo>
                <a:pt x="58" y="487"/>
              </a:lnTo>
              <a:lnTo>
                <a:pt x="82" y="512"/>
              </a:lnTo>
              <a:lnTo>
                <a:pt x="83" y="508"/>
              </a:lnTo>
              <a:lnTo>
                <a:pt x="120" y="515"/>
              </a:lnTo>
              <a:lnTo>
                <a:pt x="112" y="573"/>
              </a:lnTo>
              <a:lnTo>
                <a:pt x="128" y="571"/>
              </a:lnTo>
              <a:lnTo>
                <a:pt x="145" y="557"/>
              </a:lnTo>
              <a:lnTo>
                <a:pt x="191" y="486"/>
              </a:lnTo>
              <a:lnTo>
                <a:pt x="192" y="485"/>
              </a:lnTo>
              <a:lnTo>
                <a:pt x="234" y="443"/>
              </a:lnTo>
              <a:lnTo>
                <a:pt x="230" y="43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34</xdr:row>
      <xdr:rowOff>161925</xdr:rowOff>
    </xdr:from>
    <xdr:to>
      <xdr:col>2</xdr:col>
      <xdr:colOff>1777253</xdr:colOff>
      <xdr:row>34</xdr:row>
      <xdr:rowOff>1160369</xdr:rowOff>
    </xdr:to>
    <xdr:sp macro="" textlink="">
      <xdr:nvSpPr>
        <xdr:cNvPr id="124" name="S_NY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/>
        </xdr:cNvSpPr>
      </xdr:nvSpPr>
      <xdr:spPr bwMode="auto">
        <a:xfrm>
          <a:off x="2152650" y="42157650"/>
          <a:ext cx="1405778" cy="998444"/>
        </a:xfrm>
        <a:custGeom>
          <a:avLst/>
          <a:gdLst>
            <a:gd name="T0" fmla="*/ 2147483647 w 1462"/>
            <a:gd name="T1" fmla="*/ 2147483647 h 1066"/>
            <a:gd name="T2" fmla="*/ 2147483647 w 1462"/>
            <a:gd name="T3" fmla="*/ 2147483647 h 1066"/>
            <a:gd name="T4" fmla="*/ 2147483647 w 1462"/>
            <a:gd name="T5" fmla="*/ 2147483647 h 1066"/>
            <a:gd name="T6" fmla="*/ 2147483647 w 1462"/>
            <a:gd name="T7" fmla="*/ 2147483647 h 1066"/>
            <a:gd name="T8" fmla="*/ 2147483647 w 1462"/>
            <a:gd name="T9" fmla="*/ 2147483647 h 1066"/>
            <a:gd name="T10" fmla="*/ 2147483647 w 1462"/>
            <a:gd name="T11" fmla="*/ 2147483647 h 1066"/>
            <a:gd name="T12" fmla="*/ 2147483647 w 1462"/>
            <a:gd name="T13" fmla="*/ 2147483647 h 1066"/>
            <a:gd name="T14" fmla="*/ 2147483647 w 1462"/>
            <a:gd name="T15" fmla="*/ 2147483647 h 1066"/>
            <a:gd name="T16" fmla="*/ 2147483647 w 1462"/>
            <a:gd name="T17" fmla="*/ 2147483647 h 1066"/>
            <a:gd name="T18" fmla="*/ 2147483647 w 1462"/>
            <a:gd name="T19" fmla="*/ 2147483647 h 1066"/>
            <a:gd name="T20" fmla="*/ 2147483647 w 1462"/>
            <a:gd name="T21" fmla="*/ 2147483647 h 1066"/>
            <a:gd name="T22" fmla="*/ 2147483647 w 1462"/>
            <a:gd name="T23" fmla="*/ 2147483647 h 1066"/>
            <a:gd name="T24" fmla="*/ 2147483647 w 1462"/>
            <a:gd name="T25" fmla="*/ 2147483647 h 1066"/>
            <a:gd name="T26" fmla="*/ 2147483647 w 1462"/>
            <a:gd name="T27" fmla="*/ 2147483647 h 1066"/>
            <a:gd name="T28" fmla="*/ 0 w 1462"/>
            <a:gd name="T29" fmla="*/ 2147483647 h 1066"/>
            <a:gd name="T30" fmla="*/ 2147483647 w 1462"/>
            <a:gd name="T31" fmla="*/ 2147483647 h 1066"/>
            <a:gd name="T32" fmla="*/ 2147483647 w 1462"/>
            <a:gd name="T33" fmla="*/ 2147483647 h 1066"/>
            <a:gd name="T34" fmla="*/ 2147483647 w 1462"/>
            <a:gd name="T35" fmla="*/ 2147483647 h 1066"/>
            <a:gd name="T36" fmla="*/ 2147483647 w 1462"/>
            <a:gd name="T37" fmla="*/ 2147483647 h 1066"/>
            <a:gd name="T38" fmla="*/ 2147483647 w 1462"/>
            <a:gd name="T39" fmla="*/ 2147483647 h 1066"/>
            <a:gd name="T40" fmla="*/ 2147483647 w 1462"/>
            <a:gd name="T41" fmla="*/ 2147483647 h 1066"/>
            <a:gd name="T42" fmla="*/ 2147483647 w 1462"/>
            <a:gd name="T43" fmla="*/ 2147483647 h 1066"/>
            <a:gd name="T44" fmla="*/ 2147483647 w 1462"/>
            <a:gd name="T45" fmla="*/ 2147483647 h 1066"/>
            <a:gd name="T46" fmla="*/ 2147483647 w 1462"/>
            <a:gd name="T47" fmla="*/ 2147483647 h 1066"/>
            <a:gd name="T48" fmla="*/ 2147483647 w 1462"/>
            <a:gd name="T49" fmla="*/ 2147483647 h 1066"/>
            <a:gd name="T50" fmla="*/ 2147483647 w 1462"/>
            <a:gd name="T51" fmla="*/ 2147483647 h 1066"/>
            <a:gd name="T52" fmla="*/ 2147483647 w 1462"/>
            <a:gd name="T53" fmla="*/ 2147483647 h 1066"/>
            <a:gd name="T54" fmla="*/ 2147483647 w 1462"/>
            <a:gd name="T55" fmla="*/ 2147483647 h 1066"/>
            <a:gd name="T56" fmla="*/ 2147483647 w 1462"/>
            <a:gd name="T57" fmla="*/ 2147483647 h 1066"/>
            <a:gd name="T58" fmla="*/ 2147483647 w 1462"/>
            <a:gd name="T59" fmla="*/ 2147483647 h 1066"/>
            <a:gd name="T60" fmla="*/ 2147483647 w 1462"/>
            <a:gd name="T61" fmla="*/ 2147483647 h 1066"/>
            <a:gd name="T62" fmla="*/ 2147483647 w 1462"/>
            <a:gd name="T63" fmla="*/ 2147483647 h 1066"/>
            <a:gd name="T64" fmla="*/ 2147483647 w 1462"/>
            <a:gd name="T65" fmla="*/ 2147483647 h 1066"/>
            <a:gd name="T66" fmla="*/ 2147483647 w 1462"/>
            <a:gd name="T67" fmla="*/ 2147483647 h 1066"/>
            <a:gd name="T68" fmla="*/ 2147483647 w 1462"/>
            <a:gd name="T69" fmla="*/ 2147483647 h 1066"/>
            <a:gd name="T70" fmla="*/ 2147483647 w 1462"/>
            <a:gd name="T71" fmla="*/ 2147483647 h 1066"/>
            <a:gd name="T72" fmla="*/ 2147483647 w 1462"/>
            <a:gd name="T73" fmla="*/ 2147483647 h 1066"/>
            <a:gd name="T74" fmla="*/ 2147483647 w 1462"/>
            <a:gd name="T75" fmla="*/ 2147483647 h 1066"/>
            <a:gd name="T76" fmla="*/ 2147483647 w 1462"/>
            <a:gd name="T77" fmla="*/ 2147483647 h 1066"/>
            <a:gd name="T78" fmla="*/ 2147483647 w 1462"/>
            <a:gd name="T79" fmla="*/ 2147483647 h 1066"/>
            <a:gd name="T80" fmla="*/ 2147483647 w 1462"/>
            <a:gd name="T81" fmla="*/ 2147483647 h 1066"/>
            <a:gd name="T82" fmla="*/ 2147483647 w 1462"/>
            <a:gd name="T83" fmla="*/ 2147483647 h 1066"/>
            <a:gd name="T84" fmla="*/ 2147483647 w 1462"/>
            <a:gd name="T85" fmla="*/ 2147483647 h 1066"/>
            <a:gd name="T86" fmla="*/ 2147483647 w 1462"/>
            <a:gd name="T87" fmla="*/ 2147483647 h 1066"/>
            <a:gd name="T88" fmla="*/ 2147483647 w 1462"/>
            <a:gd name="T89" fmla="*/ 2147483647 h 1066"/>
            <a:gd name="T90" fmla="*/ 2147483647 w 1462"/>
            <a:gd name="T91" fmla="*/ 2147483647 h 1066"/>
            <a:gd name="T92" fmla="*/ 2147483647 w 1462"/>
            <a:gd name="T93" fmla="*/ 2147483647 h 1066"/>
            <a:gd name="T94" fmla="*/ 2147483647 w 1462"/>
            <a:gd name="T95" fmla="*/ 2147483647 h 1066"/>
            <a:gd name="T96" fmla="*/ 2147483647 w 1462"/>
            <a:gd name="T97" fmla="*/ 2147483647 h 1066"/>
            <a:gd name="T98" fmla="*/ 2147483647 w 1462"/>
            <a:gd name="T99" fmla="*/ 2147483647 h 1066"/>
            <a:gd name="T100" fmla="*/ 2147483647 w 1462"/>
            <a:gd name="T101" fmla="*/ 2147483647 h 1066"/>
            <a:gd name="T102" fmla="*/ 2147483647 w 1462"/>
            <a:gd name="T103" fmla="*/ 2147483647 h 106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1462"/>
            <a:gd name="T157" fmla="*/ 0 h 1066"/>
            <a:gd name="T158" fmla="*/ 1462 w 1462"/>
            <a:gd name="T159" fmla="*/ 1066 h 1066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1462" h="1066">
              <a:moveTo>
                <a:pt x="1098" y="948"/>
              </a:moveTo>
              <a:lnTo>
                <a:pt x="1096" y="948"/>
              </a:lnTo>
              <a:lnTo>
                <a:pt x="1052" y="923"/>
              </a:lnTo>
              <a:lnTo>
                <a:pt x="1038" y="916"/>
              </a:lnTo>
              <a:lnTo>
                <a:pt x="1036" y="915"/>
              </a:lnTo>
              <a:lnTo>
                <a:pt x="1033" y="914"/>
              </a:lnTo>
              <a:lnTo>
                <a:pt x="1027" y="911"/>
              </a:lnTo>
              <a:lnTo>
                <a:pt x="1015" y="903"/>
              </a:lnTo>
              <a:lnTo>
                <a:pt x="1009" y="900"/>
              </a:lnTo>
              <a:lnTo>
                <a:pt x="991" y="888"/>
              </a:lnTo>
              <a:lnTo>
                <a:pt x="975" y="878"/>
              </a:lnTo>
              <a:lnTo>
                <a:pt x="948" y="863"/>
              </a:lnTo>
              <a:lnTo>
                <a:pt x="946" y="859"/>
              </a:lnTo>
              <a:lnTo>
                <a:pt x="937" y="846"/>
              </a:lnTo>
              <a:lnTo>
                <a:pt x="936" y="847"/>
              </a:lnTo>
              <a:lnTo>
                <a:pt x="914" y="843"/>
              </a:lnTo>
              <a:lnTo>
                <a:pt x="890" y="827"/>
              </a:lnTo>
              <a:lnTo>
                <a:pt x="877" y="805"/>
              </a:lnTo>
              <a:lnTo>
                <a:pt x="882" y="799"/>
              </a:lnTo>
              <a:lnTo>
                <a:pt x="880" y="770"/>
              </a:lnTo>
              <a:lnTo>
                <a:pt x="863" y="747"/>
              </a:lnTo>
              <a:lnTo>
                <a:pt x="859" y="742"/>
              </a:lnTo>
              <a:lnTo>
                <a:pt x="844" y="744"/>
              </a:lnTo>
              <a:lnTo>
                <a:pt x="823" y="711"/>
              </a:lnTo>
              <a:lnTo>
                <a:pt x="821" y="710"/>
              </a:lnTo>
              <a:lnTo>
                <a:pt x="800" y="711"/>
              </a:lnTo>
              <a:lnTo>
                <a:pt x="741" y="711"/>
              </a:lnTo>
              <a:lnTo>
                <a:pt x="704" y="711"/>
              </a:lnTo>
              <a:lnTo>
                <a:pt x="684" y="711"/>
              </a:lnTo>
              <a:lnTo>
                <a:pt x="680" y="711"/>
              </a:lnTo>
              <a:lnTo>
                <a:pt x="676" y="711"/>
              </a:lnTo>
              <a:lnTo>
                <a:pt x="657" y="711"/>
              </a:lnTo>
              <a:lnTo>
                <a:pt x="633" y="711"/>
              </a:lnTo>
              <a:lnTo>
                <a:pt x="599" y="711"/>
              </a:lnTo>
              <a:lnTo>
                <a:pt x="555" y="710"/>
              </a:lnTo>
              <a:lnTo>
                <a:pt x="540" y="710"/>
              </a:lnTo>
              <a:lnTo>
                <a:pt x="530" y="710"/>
              </a:lnTo>
              <a:lnTo>
                <a:pt x="523" y="710"/>
              </a:lnTo>
              <a:lnTo>
                <a:pt x="501" y="711"/>
              </a:lnTo>
              <a:lnTo>
                <a:pt x="421" y="711"/>
              </a:lnTo>
              <a:lnTo>
                <a:pt x="402" y="711"/>
              </a:lnTo>
              <a:lnTo>
                <a:pt x="400" y="711"/>
              </a:lnTo>
              <a:lnTo>
                <a:pt x="384" y="711"/>
              </a:lnTo>
              <a:lnTo>
                <a:pt x="376" y="711"/>
              </a:lnTo>
              <a:lnTo>
                <a:pt x="347" y="711"/>
              </a:lnTo>
              <a:lnTo>
                <a:pt x="306" y="711"/>
              </a:lnTo>
              <a:lnTo>
                <a:pt x="291" y="711"/>
              </a:lnTo>
              <a:lnTo>
                <a:pt x="282" y="711"/>
              </a:lnTo>
              <a:lnTo>
                <a:pt x="271" y="711"/>
              </a:lnTo>
              <a:lnTo>
                <a:pt x="213" y="711"/>
              </a:lnTo>
              <a:lnTo>
                <a:pt x="169" y="711"/>
              </a:lnTo>
              <a:lnTo>
                <a:pt x="157" y="711"/>
              </a:lnTo>
              <a:lnTo>
                <a:pt x="144" y="711"/>
              </a:lnTo>
              <a:lnTo>
                <a:pt x="142" y="711"/>
              </a:lnTo>
              <a:lnTo>
                <a:pt x="130" y="711"/>
              </a:lnTo>
              <a:lnTo>
                <a:pt x="109" y="711"/>
              </a:lnTo>
              <a:lnTo>
                <a:pt x="54" y="711"/>
              </a:lnTo>
              <a:lnTo>
                <a:pt x="29" y="711"/>
              </a:lnTo>
              <a:lnTo>
                <a:pt x="21" y="711"/>
              </a:lnTo>
              <a:lnTo>
                <a:pt x="0" y="711"/>
              </a:lnTo>
              <a:lnTo>
                <a:pt x="0" y="647"/>
              </a:lnTo>
              <a:lnTo>
                <a:pt x="25" y="633"/>
              </a:lnTo>
              <a:lnTo>
                <a:pt x="82" y="593"/>
              </a:lnTo>
              <a:lnTo>
                <a:pt x="116" y="577"/>
              </a:lnTo>
              <a:lnTo>
                <a:pt x="142" y="544"/>
              </a:lnTo>
              <a:lnTo>
                <a:pt x="161" y="534"/>
              </a:lnTo>
              <a:lnTo>
                <a:pt x="157" y="488"/>
              </a:lnTo>
              <a:lnTo>
                <a:pt x="140" y="478"/>
              </a:lnTo>
              <a:lnTo>
                <a:pt x="139" y="459"/>
              </a:lnTo>
              <a:lnTo>
                <a:pt x="131" y="448"/>
              </a:lnTo>
              <a:lnTo>
                <a:pt x="129" y="413"/>
              </a:lnTo>
              <a:lnTo>
                <a:pt x="243" y="387"/>
              </a:lnTo>
              <a:lnTo>
                <a:pt x="303" y="386"/>
              </a:lnTo>
              <a:lnTo>
                <a:pt x="304" y="386"/>
              </a:lnTo>
              <a:lnTo>
                <a:pt x="330" y="388"/>
              </a:lnTo>
              <a:lnTo>
                <a:pt x="376" y="396"/>
              </a:lnTo>
              <a:lnTo>
                <a:pt x="416" y="419"/>
              </a:lnTo>
              <a:lnTo>
                <a:pt x="446" y="410"/>
              </a:lnTo>
              <a:lnTo>
                <a:pt x="492" y="407"/>
              </a:lnTo>
              <a:lnTo>
                <a:pt x="516" y="411"/>
              </a:lnTo>
              <a:lnTo>
                <a:pt x="568" y="394"/>
              </a:lnTo>
              <a:lnTo>
                <a:pt x="569" y="394"/>
              </a:lnTo>
              <a:lnTo>
                <a:pt x="580" y="386"/>
              </a:lnTo>
              <a:lnTo>
                <a:pt x="588" y="376"/>
              </a:lnTo>
              <a:lnTo>
                <a:pt x="618" y="357"/>
              </a:lnTo>
              <a:lnTo>
                <a:pt x="657" y="351"/>
              </a:lnTo>
              <a:lnTo>
                <a:pt x="666" y="328"/>
              </a:lnTo>
              <a:lnTo>
                <a:pt x="666" y="314"/>
              </a:lnTo>
              <a:lnTo>
                <a:pt x="660" y="284"/>
              </a:lnTo>
              <a:lnTo>
                <a:pt x="652" y="280"/>
              </a:lnTo>
              <a:lnTo>
                <a:pt x="651" y="268"/>
              </a:lnTo>
              <a:lnTo>
                <a:pt x="663" y="272"/>
              </a:lnTo>
              <a:lnTo>
                <a:pt x="680" y="260"/>
              </a:lnTo>
              <a:lnTo>
                <a:pt x="657" y="246"/>
              </a:lnTo>
              <a:lnTo>
                <a:pt x="650" y="248"/>
              </a:lnTo>
              <a:lnTo>
                <a:pt x="654" y="238"/>
              </a:lnTo>
              <a:lnTo>
                <a:pt x="631" y="230"/>
              </a:lnTo>
              <a:lnTo>
                <a:pt x="645" y="191"/>
              </a:lnTo>
              <a:lnTo>
                <a:pt x="673" y="182"/>
              </a:lnTo>
              <a:lnTo>
                <a:pt x="673" y="172"/>
              </a:lnTo>
              <a:lnTo>
                <a:pt x="720" y="149"/>
              </a:lnTo>
              <a:lnTo>
                <a:pt x="730" y="143"/>
              </a:lnTo>
              <a:lnTo>
                <a:pt x="739" y="127"/>
              </a:lnTo>
              <a:lnTo>
                <a:pt x="833" y="41"/>
              </a:lnTo>
              <a:lnTo>
                <a:pt x="864" y="28"/>
              </a:lnTo>
              <a:lnTo>
                <a:pt x="867" y="23"/>
              </a:lnTo>
              <a:lnTo>
                <a:pt x="916" y="1"/>
              </a:lnTo>
              <a:lnTo>
                <a:pt x="941" y="4"/>
              </a:lnTo>
              <a:lnTo>
                <a:pt x="943" y="3"/>
              </a:lnTo>
              <a:lnTo>
                <a:pt x="946" y="2"/>
              </a:lnTo>
              <a:lnTo>
                <a:pt x="1072" y="3"/>
              </a:lnTo>
              <a:lnTo>
                <a:pt x="1077" y="3"/>
              </a:lnTo>
              <a:lnTo>
                <a:pt x="1148" y="2"/>
              </a:lnTo>
              <a:lnTo>
                <a:pt x="1200" y="0"/>
              </a:lnTo>
              <a:lnTo>
                <a:pt x="1194" y="35"/>
              </a:lnTo>
              <a:lnTo>
                <a:pt x="1194" y="102"/>
              </a:lnTo>
              <a:lnTo>
                <a:pt x="1197" y="106"/>
              </a:lnTo>
              <a:lnTo>
                <a:pt x="1202" y="109"/>
              </a:lnTo>
              <a:lnTo>
                <a:pt x="1202" y="110"/>
              </a:lnTo>
              <a:lnTo>
                <a:pt x="1207" y="121"/>
              </a:lnTo>
              <a:lnTo>
                <a:pt x="1206" y="176"/>
              </a:lnTo>
              <a:lnTo>
                <a:pt x="1191" y="193"/>
              </a:lnTo>
              <a:lnTo>
                <a:pt x="1183" y="221"/>
              </a:lnTo>
              <a:lnTo>
                <a:pt x="1194" y="284"/>
              </a:lnTo>
              <a:lnTo>
                <a:pt x="1194" y="287"/>
              </a:lnTo>
              <a:lnTo>
                <a:pt x="1195" y="287"/>
              </a:lnTo>
              <a:lnTo>
                <a:pt x="1196" y="297"/>
              </a:lnTo>
              <a:lnTo>
                <a:pt x="1185" y="327"/>
              </a:lnTo>
              <a:lnTo>
                <a:pt x="1208" y="327"/>
              </a:lnTo>
              <a:lnTo>
                <a:pt x="1218" y="401"/>
              </a:lnTo>
              <a:lnTo>
                <a:pt x="1217" y="416"/>
              </a:lnTo>
              <a:lnTo>
                <a:pt x="1215" y="445"/>
              </a:lnTo>
              <a:lnTo>
                <a:pt x="1213" y="488"/>
              </a:lnTo>
              <a:lnTo>
                <a:pt x="1212" y="515"/>
              </a:lnTo>
              <a:lnTo>
                <a:pt x="1213" y="535"/>
              </a:lnTo>
              <a:lnTo>
                <a:pt x="1215" y="535"/>
              </a:lnTo>
              <a:lnTo>
                <a:pt x="1210" y="551"/>
              </a:lnTo>
              <a:lnTo>
                <a:pt x="1207" y="564"/>
              </a:lnTo>
              <a:lnTo>
                <a:pt x="1198" y="591"/>
              </a:lnTo>
              <a:lnTo>
                <a:pt x="1173" y="681"/>
              </a:lnTo>
              <a:lnTo>
                <a:pt x="1169" y="691"/>
              </a:lnTo>
              <a:lnTo>
                <a:pt x="1172" y="700"/>
              </a:lnTo>
              <a:lnTo>
                <a:pt x="1174" y="700"/>
              </a:lnTo>
              <a:lnTo>
                <a:pt x="1173" y="711"/>
              </a:lnTo>
              <a:lnTo>
                <a:pt x="1169" y="770"/>
              </a:lnTo>
              <a:lnTo>
                <a:pt x="1167" y="790"/>
              </a:lnTo>
              <a:lnTo>
                <a:pt x="1167" y="799"/>
              </a:lnTo>
              <a:lnTo>
                <a:pt x="1166" y="805"/>
              </a:lnTo>
              <a:lnTo>
                <a:pt x="1165" y="823"/>
              </a:lnTo>
              <a:lnTo>
                <a:pt x="1164" y="845"/>
              </a:lnTo>
              <a:lnTo>
                <a:pt x="1164" y="851"/>
              </a:lnTo>
              <a:lnTo>
                <a:pt x="1163" y="860"/>
              </a:lnTo>
              <a:lnTo>
                <a:pt x="1175" y="897"/>
              </a:lnTo>
              <a:lnTo>
                <a:pt x="1129" y="923"/>
              </a:lnTo>
              <a:lnTo>
                <a:pt x="1143" y="951"/>
              </a:lnTo>
              <a:lnTo>
                <a:pt x="1124" y="967"/>
              </a:lnTo>
              <a:lnTo>
                <a:pt x="1121" y="977"/>
              </a:lnTo>
              <a:lnTo>
                <a:pt x="1118" y="978"/>
              </a:lnTo>
              <a:lnTo>
                <a:pt x="1120" y="980"/>
              </a:lnTo>
              <a:lnTo>
                <a:pt x="1122" y="984"/>
              </a:lnTo>
              <a:lnTo>
                <a:pt x="1142" y="977"/>
              </a:lnTo>
              <a:lnTo>
                <a:pt x="1148" y="972"/>
              </a:lnTo>
              <a:lnTo>
                <a:pt x="1172" y="966"/>
              </a:lnTo>
              <a:lnTo>
                <a:pt x="1193" y="960"/>
              </a:lnTo>
              <a:lnTo>
                <a:pt x="1218" y="968"/>
              </a:lnTo>
              <a:lnTo>
                <a:pt x="1241" y="953"/>
              </a:lnTo>
              <a:lnTo>
                <a:pt x="1332" y="952"/>
              </a:lnTo>
              <a:lnTo>
                <a:pt x="1383" y="918"/>
              </a:lnTo>
              <a:lnTo>
                <a:pt x="1408" y="909"/>
              </a:lnTo>
              <a:lnTo>
                <a:pt x="1398" y="918"/>
              </a:lnTo>
              <a:lnTo>
                <a:pt x="1405" y="937"/>
              </a:lnTo>
              <a:lnTo>
                <a:pt x="1429" y="947"/>
              </a:lnTo>
              <a:lnTo>
                <a:pt x="1459" y="931"/>
              </a:lnTo>
              <a:lnTo>
                <a:pt x="1462" y="940"/>
              </a:lnTo>
              <a:lnTo>
                <a:pt x="1405" y="965"/>
              </a:lnTo>
              <a:lnTo>
                <a:pt x="1218" y="1037"/>
              </a:lnTo>
              <a:lnTo>
                <a:pt x="1185" y="1040"/>
              </a:lnTo>
              <a:lnTo>
                <a:pt x="1148" y="1045"/>
              </a:lnTo>
              <a:lnTo>
                <a:pt x="1123" y="1045"/>
              </a:lnTo>
              <a:lnTo>
                <a:pt x="1101" y="1051"/>
              </a:lnTo>
              <a:lnTo>
                <a:pt x="1089" y="1055"/>
              </a:lnTo>
              <a:lnTo>
                <a:pt x="1090" y="1050"/>
              </a:lnTo>
              <a:lnTo>
                <a:pt x="1077" y="1049"/>
              </a:lnTo>
              <a:lnTo>
                <a:pt x="1070" y="1040"/>
              </a:lnTo>
              <a:lnTo>
                <a:pt x="1054" y="1056"/>
              </a:lnTo>
              <a:lnTo>
                <a:pt x="1030" y="1066"/>
              </a:lnTo>
              <a:lnTo>
                <a:pt x="1029" y="1066"/>
              </a:lnTo>
              <a:lnTo>
                <a:pt x="1031" y="1061"/>
              </a:lnTo>
              <a:lnTo>
                <a:pt x="1030" y="1055"/>
              </a:lnTo>
              <a:lnTo>
                <a:pt x="1040" y="1043"/>
              </a:lnTo>
              <a:lnTo>
                <a:pt x="1040" y="1037"/>
              </a:lnTo>
              <a:lnTo>
                <a:pt x="1040" y="1035"/>
              </a:lnTo>
              <a:lnTo>
                <a:pt x="1047" y="1031"/>
              </a:lnTo>
              <a:lnTo>
                <a:pt x="1051" y="1031"/>
              </a:lnTo>
              <a:lnTo>
                <a:pt x="1061" y="1029"/>
              </a:lnTo>
              <a:lnTo>
                <a:pt x="1067" y="1029"/>
              </a:lnTo>
              <a:lnTo>
                <a:pt x="1071" y="1022"/>
              </a:lnTo>
              <a:lnTo>
                <a:pt x="1073" y="1014"/>
              </a:lnTo>
              <a:lnTo>
                <a:pt x="1075" y="1005"/>
              </a:lnTo>
              <a:lnTo>
                <a:pt x="1081" y="995"/>
              </a:lnTo>
              <a:lnTo>
                <a:pt x="1089" y="977"/>
              </a:lnTo>
              <a:lnTo>
                <a:pt x="1090" y="975"/>
              </a:lnTo>
              <a:lnTo>
                <a:pt x="1090" y="974"/>
              </a:lnTo>
              <a:lnTo>
                <a:pt x="1091" y="974"/>
              </a:lnTo>
              <a:lnTo>
                <a:pt x="1092" y="967"/>
              </a:lnTo>
              <a:lnTo>
                <a:pt x="1097" y="954"/>
              </a:lnTo>
              <a:lnTo>
                <a:pt x="1097" y="951"/>
              </a:lnTo>
              <a:lnTo>
                <a:pt x="1098" y="94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35</xdr:row>
      <xdr:rowOff>200025</xdr:rowOff>
    </xdr:from>
    <xdr:to>
      <xdr:col>2</xdr:col>
      <xdr:colOff>2200275</xdr:colOff>
      <xdr:row>35</xdr:row>
      <xdr:rowOff>1181100</xdr:rowOff>
    </xdr:to>
    <xdr:sp macro="" textlink="">
      <xdr:nvSpPr>
        <xdr:cNvPr id="125" name="S_NC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/>
        </xdr:cNvSpPr>
      </xdr:nvSpPr>
      <xdr:spPr bwMode="auto">
        <a:xfrm>
          <a:off x="1914525" y="43462575"/>
          <a:ext cx="2066925" cy="981075"/>
        </a:xfrm>
        <a:custGeom>
          <a:avLst/>
          <a:gdLst>
            <a:gd name="T0" fmla="*/ 2147483647 w 1656"/>
            <a:gd name="T1" fmla="*/ 2147483647 h 647"/>
            <a:gd name="T2" fmla="*/ 2147483647 w 1656"/>
            <a:gd name="T3" fmla="*/ 2147483647 h 647"/>
            <a:gd name="T4" fmla="*/ 2147483647 w 1656"/>
            <a:gd name="T5" fmla="*/ 2147483647 h 647"/>
            <a:gd name="T6" fmla="*/ 2147483647 w 1656"/>
            <a:gd name="T7" fmla="*/ 0 h 647"/>
            <a:gd name="T8" fmla="*/ 2147483647 w 1656"/>
            <a:gd name="T9" fmla="*/ 0 h 647"/>
            <a:gd name="T10" fmla="*/ 2147483647 w 1656"/>
            <a:gd name="T11" fmla="*/ 0 h 647"/>
            <a:gd name="T12" fmla="*/ 2147483647 w 1656"/>
            <a:gd name="T13" fmla="*/ 0 h 647"/>
            <a:gd name="T14" fmla="*/ 2147483647 w 1656"/>
            <a:gd name="T15" fmla="*/ 2147483647 h 647"/>
            <a:gd name="T16" fmla="*/ 2147483647 w 1656"/>
            <a:gd name="T17" fmla="*/ 2147483647 h 647"/>
            <a:gd name="T18" fmla="*/ 2147483647 w 1656"/>
            <a:gd name="T19" fmla="*/ 2147483647 h 647"/>
            <a:gd name="T20" fmla="*/ 2147483647 w 1656"/>
            <a:gd name="T21" fmla="*/ 2147483647 h 647"/>
            <a:gd name="T22" fmla="*/ 2147483647 w 1656"/>
            <a:gd name="T23" fmla="*/ 2147483647 h 647"/>
            <a:gd name="T24" fmla="*/ 2147483647 w 1656"/>
            <a:gd name="T25" fmla="*/ 2147483647 h 647"/>
            <a:gd name="T26" fmla="*/ 2147483647 w 1656"/>
            <a:gd name="T27" fmla="*/ 2147483647 h 647"/>
            <a:gd name="T28" fmla="*/ 2147483647 w 1656"/>
            <a:gd name="T29" fmla="*/ 2147483647 h 647"/>
            <a:gd name="T30" fmla="*/ 2147483647 w 1656"/>
            <a:gd name="T31" fmla="*/ 2147483647 h 647"/>
            <a:gd name="T32" fmla="*/ 2147483647 w 1656"/>
            <a:gd name="T33" fmla="*/ 2147483647 h 647"/>
            <a:gd name="T34" fmla="*/ 2147483647 w 1656"/>
            <a:gd name="T35" fmla="*/ 2147483647 h 647"/>
            <a:gd name="T36" fmla="*/ 2147483647 w 1656"/>
            <a:gd name="T37" fmla="*/ 2147483647 h 647"/>
            <a:gd name="T38" fmla="*/ 2147483647 w 1656"/>
            <a:gd name="T39" fmla="*/ 2147483647 h 647"/>
            <a:gd name="T40" fmla="*/ 2147483647 w 1656"/>
            <a:gd name="T41" fmla="*/ 2147483647 h 647"/>
            <a:gd name="T42" fmla="*/ 2147483647 w 1656"/>
            <a:gd name="T43" fmla="*/ 2147483647 h 647"/>
            <a:gd name="T44" fmla="*/ 2147483647 w 1656"/>
            <a:gd name="T45" fmla="*/ 2147483647 h 647"/>
            <a:gd name="T46" fmla="*/ 2147483647 w 1656"/>
            <a:gd name="T47" fmla="*/ 2147483647 h 647"/>
            <a:gd name="T48" fmla="*/ 2147483647 w 1656"/>
            <a:gd name="T49" fmla="*/ 2147483647 h 647"/>
            <a:gd name="T50" fmla="*/ 2147483647 w 1656"/>
            <a:gd name="T51" fmla="*/ 2147483647 h 647"/>
            <a:gd name="T52" fmla="*/ 2147483647 w 1656"/>
            <a:gd name="T53" fmla="*/ 2147483647 h 647"/>
            <a:gd name="T54" fmla="*/ 2147483647 w 1656"/>
            <a:gd name="T55" fmla="*/ 2147483647 h 647"/>
            <a:gd name="T56" fmla="*/ 2147483647 w 1656"/>
            <a:gd name="T57" fmla="*/ 2147483647 h 647"/>
            <a:gd name="T58" fmla="*/ 2147483647 w 1656"/>
            <a:gd name="T59" fmla="*/ 2147483647 h 647"/>
            <a:gd name="T60" fmla="*/ 2147483647 w 1656"/>
            <a:gd name="T61" fmla="*/ 2147483647 h 647"/>
            <a:gd name="T62" fmla="*/ 2147483647 w 1656"/>
            <a:gd name="T63" fmla="*/ 2147483647 h 647"/>
            <a:gd name="T64" fmla="*/ 2147483647 w 1656"/>
            <a:gd name="T65" fmla="*/ 2147483647 h 647"/>
            <a:gd name="T66" fmla="*/ 2147483647 w 1656"/>
            <a:gd name="T67" fmla="*/ 2147483647 h 647"/>
            <a:gd name="T68" fmla="*/ 2147483647 w 1656"/>
            <a:gd name="T69" fmla="*/ 2147483647 h 647"/>
            <a:gd name="T70" fmla="*/ 2147483647 w 1656"/>
            <a:gd name="T71" fmla="*/ 2147483647 h 647"/>
            <a:gd name="T72" fmla="*/ 2147483647 w 1656"/>
            <a:gd name="T73" fmla="*/ 2147483647 h 647"/>
            <a:gd name="T74" fmla="*/ 2147483647 w 1656"/>
            <a:gd name="T75" fmla="*/ 2147483647 h 647"/>
            <a:gd name="T76" fmla="*/ 2147483647 w 1656"/>
            <a:gd name="T77" fmla="*/ 2147483647 h 647"/>
            <a:gd name="T78" fmla="*/ 2147483647 w 1656"/>
            <a:gd name="T79" fmla="*/ 2147483647 h 647"/>
            <a:gd name="T80" fmla="*/ 2147483647 w 1656"/>
            <a:gd name="T81" fmla="*/ 2147483647 h 647"/>
            <a:gd name="T82" fmla="*/ 2147483647 w 1656"/>
            <a:gd name="T83" fmla="*/ 2147483647 h 647"/>
            <a:gd name="T84" fmla="*/ 2147483647 w 1656"/>
            <a:gd name="T85" fmla="*/ 2147483647 h 647"/>
            <a:gd name="T86" fmla="*/ 2147483647 w 1656"/>
            <a:gd name="T87" fmla="*/ 2147483647 h 647"/>
            <a:gd name="T88" fmla="*/ 2147483647 w 1656"/>
            <a:gd name="T89" fmla="*/ 2147483647 h 647"/>
            <a:gd name="T90" fmla="*/ 0 w 1656"/>
            <a:gd name="T91" fmla="*/ 2147483647 h 647"/>
            <a:gd name="T92" fmla="*/ 2147483647 w 1656"/>
            <a:gd name="T93" fmla="*/ 2147483647 h 647"/>
            <a:gd name="T94" fmla="*/ 2147483647 w 1656"/>
            <a:gd name="T95" fmla="*/ 2147483647 h 647"/>
            <a:gd name="T96" fmla="*/ 2147483647 w 1656"/>
            <a:gd name="T97" fmla="*/ 2147483647 h 647"/>
            <a:gd name="T98" fmla="*/ 2147483647 w 1656"/>
            <a:gd name="T99" fmla="*/ 2147483647 h 647"/>
            <a:gd name="T100" fmla="*/ 2147483647 w 1656"/>
            <a:gd name="T101" fmla="*/ 2147483647 h 647"/>
            <a:gd name="T102" fmla="*/ 2147483647 w 1656"/>
            <a:gd name="T103" fmla="*/ 2147483647 h 647"/>
            <a:gd name="T104" fmla="*/ 2147483647 w 1656"/>
            <a:gd name="T105" fmla="*/ 2147483647 h 647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656"/>
            <a:gd name="T160" fmla="*/ 0 h 647"/>
            <a:gd name="T161" fmla="*/ 1656 w 1656"/>
            <a:gd name="T162" fmla="*/ 647 h 647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656" h="647">
              <a:moveTo>
                <a:pt x="356" y="122"/>
              </a:moveTo>
              <a:lnTo>
                <a:pt x="364" y="115"/>
              </a:lnTo>
              <a:lnTo>
                <a:pt x="387" y="108"/>
              </a:lnTo>
              <a:lnTo>
                <a:pt x="392" y="102"/>
              </a:lnTo>
              <a:lnTo>
                <a:pt x="409" y="109"/>
              </a:lnTo>
              <a:lnTo>
                <a:pt x="411" y="115"/>
              </a:lnTo>
              <a:lnTo>
                <a:pt x="419" y="115"/>
              </a:lnTo>
              <a:lnTo>
                <a:pt x="423" y="109"/>
              </a:lnTo>
              <a:lnTo>
                <a:pt x="429" y="109"/>
              </a:lnTo>
              <a:lnTo>
                <a:pt x="447" y="77"/>
              </a:lnTo>
              <a:lnTo>
                <a:pt x="449" y="72"/>
              </a:lnTo>
              <a:lnTo>
                <a:pt x="458" y="65"/>
              </a:lnTo>
              <a:lnTo>
                <a:pt x="481" y="60"/>
              </a:lnTo>
              <a:lnTo>
                <a:pt x="484" y="47"/>
              </a:lnTo>
              <a:lnTo>
                <a:pt x="490" y="22"/>
              </a:lnTo>
              <a:lnTo>
                <a:pt x="494" y="0"/>
              </a:lnTo>
              <a:lnTo>
                <a:pt x="504" y="0"/>
              </a:lnTo>
              <a:lnTo>
                <a:pt x="532" y="2"/>
              </a:lnTo>
              <a:lnTo>
                <a:pt x="538" y="4"/>
              </a:lnTo>
              <a:lnTo>
                <a:pt x="555" y="4"/>
              </a:lnTo>
              <a:lnTo>
                <a:pt x="564" y="4"/>
              </a:lnTo>
              <a:lnTo>
                <a:pt x="611" y="6"/>
              </a:lnTo>
              <a:lnTo>
                <a:pt x="640" y="7"/>
              </a:lnTo>
              <a:lnTo>
                <a:pt x="645" y="7"/>
              </a:lnTo>
              <a:lnTo>
                <a:pt x="646" y="7"/>
              </a:lnTo>
              <a:lnTo>
                <a:pt x="648" y="8"/>
              </a:lnTo>
              <a:lnTo>
                <a:pt x="651" y="8"/>
              </a:lnTo>
              <a:lnTo>
                <a:pt x="655" y="7"/>
              </a:lnTo>
              <a:lnTo>
                <a:pt x="663" y="7"/>
              </a:lnTo>
              <a:lnTo>
                <a:pt x="676" y="7"/>
              </a:lnTo>
              <a:lnTo>
                <a:pt x="693" y="8"/>
              </a:lnTo>
              <a:lnTo>
                <a:pt x="703" y="8"/>
              </a:lnTo>
              <a:lnTo>
                <a:pt x="715" y="9"/>
              </a:lnTo>
              <a:lnTo>
                <a:pt x="725" y="9"/>
              </a:lnTo>
              <a:lnTo>
                <a:pt x="753" y="11"/>
              </a:lnTo>
              <a:lnTo>
                <a:pt x="785" y="11"/>
              </a:lnTo>
              <a:lnTo>
                <a:pt x="798" y="11"/>
              </a:lnTo>
              <a:lnTo>
                <a:pt x="803" y="11"/>
              </a:lnTo>
              <a:lnTo>
                <a:pt x="808" y="11"/>
              </a:lnTo>
              <a:lnTo>
                <a:pt x="831" y="11"/>
              </a:lnTo>
              <a:lnTo>
                <a:pt x="861" y="11"/>
              </a:lnTo>
              <a:lnTo>
                <a:pt x="878" y="11"/>
              </a:lnTo>
              <a:lnTo>
                <a:pt x="890" y="12"/>
              </a:lnTo>
              <a:lnTo>
                <a:pt x="900" y="12"/>
              </a:lnTo>
              <a:lnTo>
                <a:pt x="925" y="12"/>
              </a:lnTo>
              <a:lnTo>
                <a:pt x="949" y="12"/>
              </a:lnTo>
              <a:lnTo>
                <a:pt x="954" y="11"/>
              </a:lnTo>
              <a:lnTo>
                <a:pt x="969" y="11"/>
              </a:lnTo>
              <a:lnTo>
                <a:pt x="1027" y="11"/>
              </a:lnTo>
              <a:lnTo>
                <a:pt x="1030" y="11"/>
              </a:lnTo>
              <a:lnTo>
                <a:pt x="1034" y="11"/>
              </a:lnTo>
              <a:lnTo>
                <a:pt x="1037" y="11"/>
              </a:lnTo>
              <a:lnTo>
                <a:pt x="1042" y="11"/>
              </a:lnTo>
              <a:lnTo>
                <a:pt x="1045" y="11"/>
              </a:lnTo>
              <a:lnTo>
                <a:pt x="1066" y="12"/>
              </a:lnTo>
              <a:lnTo>
                <a:pt x="1089" y="12"/>
              </a:lnTo>
              <a:lnTo>
                <a:pt x="1097" y="11"/>
              </a:lnTo>
              <a:lnTo>
                <a:pt x="1105" y="11"/>
              </a:lnTo>
              <a:lnTo>
                <a:pt x="1112" y="11"/>
              </a:lnTo>
              <a:lnTo>
                <a:pt x="1121" y="11"/>
              </a:lnTo>
              <a:lnTo>
                <a:pt x="1135" y="11"/>
              </a:lnTo>
              <a:lnTo>
                <a:pt x="1141" y="11"/>
              </a:lnTo>
              <a:lnTo>
                <a:pt x="1174" y="11"/>
              </a:lnTo>
              <a:lnTo>
                <a:pt x="1182" y="11"/>
              </a:lnTo>
              <a:lnTo>
                <a:pt x="1191" y="11"/>
              </a:lnTo>
              <a:lnTo>
                <a:pt x="1200" y="11"/>
              </a:lnTo>
              <a:lnTo>
                <a:pt x="1211" y="11"/>
              </a:lnTo>
              <a:lnTo>
                <a:pt x="1219" y="11"/>
              </a:lnTo>
              <a:lnTo>
                <a:pt x="1226" y="11"/>
              </a:lnTo>
              <a:lnTo>
                <a:pt x="1263" y="11"/>
              </a:lnTo>
              <a:lnTo>
                <a:pt x="1267" y="11"/>
              </a:lnTo>
              <a:lnTo>
                <a:pt x="1314" y="11"/>
              </a:lnTo>
              <a:lnTo>
                <a:pt x="1322" y="11"/>
              </a:lnTo>
              <a:lnTo>
                <a:pt x="1339" y="10"/>
              </a:lnTo>
              <a:lnTo>
                <a:pt x="1346" y="11"/>
              </a:lnTo>
              <a:lnTo>
                <a:pt x="1351" y="11"/>
              </a:lnTo>
              <a:lnTo>
                <a:pt x="1385" y="11"/>
              </a:lnTo>
              <a:lnTo>
                <a:pt x="1386" y="9"/>
              </a:lnTo>
              <a:lnTo>
                <a:pt x="1393" y="9"/>
              </a:lnTo>
              <a:lnTo>
                <a:pt x="1416" y="9"/>
              </a:lnTo>
              <a:lnTo>
                <a:pt x="1455" y="9"/>
              </a:lnTo>
              <a:lnTo>
                <a:pt x="1456" y="9"/>
              </a:lnTo>
              <a:lnTo>
                <a:pt x="1463" y="9"/>
              </a:lnTo>
              <a:lnTo>
                <a:pt x="1465" y="9"/>
              </a:lnTo>
              <a:lnTo>
                <a:pt x="1486" y="9"/>
              </a:lnTo>
              <a:lnTo>
                <a:pt x="1493" y="10"/>
              </a:lnTo>
              <a:lnTo>
                <a:pt x="1498" y="10"/>
              </a:lnTo>
              <a:lnTo>
                <a:pt x="1505" y="10"/>
              </a:lnTo>
              <a:lnTo>
                <a:pt x="1510" y="10"/>
              </a:lnTo>
              <a:lnTo>
                <a:pt x="1533" y="9"/>
              </a:lnTo>
              <a:lnTo>
                <a:pt x="1557" y="10"/>
              </a:lnTo>
              <a:lnTo>
                <a:pt x="1581" y="10"/>
              </a:lnTo>
              <a:lnTo>
                <a:pt x="1583" y="22"/>
              </a:lnTo>
              <a:lnTo>
                <a:pt x="1599" y="85"/>
              </a:lnTo>
              <a:lnTo>
                <a:pt x="1656" y="228"/>
              </a:lnTo>
              <a:lnTo>
                <a:pt x="1646" y="317"/>
              </a:lnTo>
              <a:lnTo>
                <a:pt x="1603" y="330"/>
              </a:lnTo>
              <a:lnTo>
                <a:pt x="1555" y="360"/>
              </a:lnTo>
              <a:lnTo>
                <a:pt x="1555" y="361"/>
              </a:lnTo>
              <a:lnTo>
                <a:pt x="1554" y="361"/>
              </a:lnTo>
              <a:lnTo>
                <a:pt x="1503" y="405"/>
              </a:lnTo>
              <a:lnTo>
                <a:pt x="1456" y="465"/>
              </a:lnTo>
              <a:lnTo>
                <a:pt x="1439" y="453"/>
              </a:lnTo>
              <a:lnTo>
                <a:pt x="1416" y="448"/>
              </a:lnTo>
              <a:lnTo>
                <a:pt x="1348" y="460"/>
              </a:lnTo>
              <a:lnTo>
                <a:pt x="1325" y="473"/>
              </a:lnTo>
              <a:lnTo>
                <a:pt x="1272" y="508"/>
              </a:lnTo>
              <a:lnTo>
                <a:pt x="1236" y="543"/>
              </a:lnTo>
              <a:lnTo>
                <a:pt x="1227" y="553"/>
              </a:lnTo>
              <a:lnTo>
                <a:pt x="1194" y="629"/>
              </a:lnTo>
              <a:lnTo>
                <a:pt x="1191" y="641"/>
              </a:lnTo>
              <a:lnTo>
                <a:pt x="1159" y="633"/>
              </a:lnTo>
              <a:lnTo>
                <a:pt x="1112" y="635"/>
              </a:lnTo>
              <a:lnTo>
                <a:pt x="1081" y="647"/>
              </a:lnTo>
              <a:lnTo>
                <a:pt x="1075" y="641"/>
              </a:lnTo>
              <a:lnTo>
                <a:pt x="1062" y="627"/>
              </a:lnTo>
              <a:lnTo>
                <a:pt x="1060" y="625"/>
              </a:lnTo>
              <a:lnTo>
                <a:pt x="1019" y="580"/>
              </a:lnTo>
              <a:lnTo>
                <a:pt x="993" y="553"/>
              </a:lnTo>
              <a:lnTo>
                <a:pt x="982" y="541"/>
              </a:lnTo>
              <a:lnTo>
                <a:pt x="946" y="502"/>
              </a:lnTo>
              <a:lnTo>
                <a:pt x="932" y="487"/>
              </a:lnTo>
              <a:lnTo>
                <a:pt x="910" y="465"/>
              </a:lnTo>
              <a:lnTo>
                <a:pt x="909" y="464"/>
              </a:lnTo>
              <a:lnTo>
                <a:pt x="909" y="463"/>
              </a:lnTo>
              <a:lnTo>
                <a:pt x="882" y="435"/>
              </a:lnTo>
              <a:lnTo>
                <a:pt x="869" y="422"/>
              </a:lnTo>
              <a:lnTo>
                <a:pt x="867" y="422"/>
              </a:lnTo>
              <a:lnTo>
                <a:pt x="855" y="422"/>
              </a:lnTo>
              <a:lnTo>
                <a:pt x="831" y="422"/>
              </a:lnTo>
              <a:lnTo>
                <a:pt x="822" y="421"/>
              </a:lnTo>
              <a:lnTo>
                <a:pt x="808" y="421"/>
              </a:lnTo>
              <a:lnTo>
                <a:pt x="758" y="420"/>
              </a:lnTo>
              <a:lnTo>
                <a:pt x="748" y="420"/>
              </a:lnTo>
              <a:lnTo>
                <a:pt x="747" y="420"/>
              </a:lnTo>
              <a:lnTo>
                <a:pt x="722" y="419"/>
              </a:lnTo>
              <a:lnTo>
                <a:pt x="703" y="419"/>
              </a:lnTo>
              <a:lnTo>
                <a:pt x="659" y="419"/>
              </a:lnTo>
              <a:lnTo>
                <a:pt x="662" y="391"/>
              </a:lnTo>
              <a:lnTo>
                <a:pt x="651" y="375"/>
              </a:lnTo>
              <a:lnTo>
                <a:pt x="648" y="372"/>
              </a:lnTo>
              <a:lnTo>
                <a:pt x="645" y="366"/>
              </a:lnTo>
              <a:lnTo>
                <a:pt x="639" y="358"/>
              </a:lnTo>
              <a:lnTo>
                <a:pt x="621" y="360"/>
              </a:lnTo>
              <a:lnTo>
                <a:pt x="612" y="343"/>
              </a:lnTo>
              <a:lnTo>
                <a:pt x="615" y="341"/>
              </a:lnTo>
              <a:lnTo>
                <a:pt x="595" y="338"/>
              </a:lnTo>
              <a:lnTo>
                <a:pt x="574" y="337"/>
              </a:lnTo>
              <a:lnTo>
                <a:pt x="559" y="337"/>
              </a:lnTo>
              <a:lnTo>
                <a:pt x="552" y="336"/>
              </a:lnTo>
              <a:lnTo>
                <a:pt x="527" y="335"/>
              </a:lnTo>
              <a:lnTo>
                <a:pt x="481" y="333"/>
              </a:lnTo>
              <a:lnTo>
                <a:pt x="477" y="333"/>
              </a:lnTo>
              <a:lnTo>
                <a:pt x="458" y="332"/>
              </a:lnTo>
              <a:lnTo>
                <a:pt x="440" y="331"/>
              </a:lnTo>
              <a:lnTo>
                <a:pt x="422" y="331"/>
              </a:lnTo>
              <a:lnTo>
                <a:pt x="409" y="330"/>
              </a:lnTo>
              <a:lnTo>
                <a:pt x="394" y="329"/>
              </a:lnTo>
              <a:lnTo>
                <a:pt x="389" y="329"/>
              </a:lnTo>
              <a:lnTo>
                <a:pt x="387" y="329"/>
              </a:lnTo>
              <a:lnTo>
                <a:pt x="368" y="331"/>
              </a:lnTo>
              <a:lnTo>
                <a:pt x="340" y="337"/>
              </a:lnTo>
              <a:lnTo>
                <a:pt x="326" y="342"/>
              </a:lnTo>
              <a:lnTo>
                <a:pt x="312" y="346"/>
              </a:lnTo>
              <a:lnTo>
                <a:pt x="306" y="346"/>
              </a:lnTo>
              <a:lnTo>
                <a:pt x="291" y="360"/>
              </a:lnTo>
              <a:lnTo>
                <a:pt x="270" y="361"/>
              </a:lnTo>
              <a:lnTo>
                <a:pt x="266" y="362"/>
              </a:lnTo>
              <a:lnTo>
                <a:pt x="247" y="368"/>
              </a:lnTo>
              <a:lnTo>
                <a:pt x="246" y="370"/>
              </a:lnTo>
              <a:lnTo>
                <a:pt x="227" y="376"/>
              </a:lnTo>
              <a:lnTo>
                <a:pt x="215" y="376"/>
              </a:lnTo>
              <a:lnTo>
                <a:pt x="187" y="377"/>
              </a:lnTo>
              <a:lnTo>
                <a:pt x="157" y="377"/>
              </a:lnTo>
              <a:lnTo>
                <a:pt x="154" y="377"/>
              </a:lnTo>
              <a:lnTo>
                <a:pt x="144" y="377"/>
              </a:lnTo>
              <a:lnTo>
                <a:pt x="131" y="377"/>
              </a:lnTo>
              <a:lnTo>
                <a:pt x="131" y="379"/>
              </a:lnTo>
              <a:lnTo>
                <a:pt x="71" y="379"/>
              </a:lnTo>
              <a:lnTo>
                <a:pt x="69" y="379"/>
              </a:lnTo>
              <a:lnTo>
                <a:pt x="59" y="379"/>
              </a:lnTo>
              <a:lnTo>
                <a:pt x="36" y="379"/>
              </a:lnTo>
              <a:lnTo>
                <a:pt x="14" y="378"/>
              </a:lnTo>
              <a:lnTo>
                <a:pt x="0" y="378"/>
              </a:lnTo>
              <a:lnTo>
                <a:pt x="0" y="376"/>
              </a:lnTo>
              <a:lnTo>
                <a:pt x="3" y="346"/>
              </a:lnTo>
              <a:lnTo>
                <a:pt x="5" y="327"/>
              </a:lnTo>
              <a:lnTo>
                <a:pt x="14" y="316"/>
              </a:lnTo>
              <a:lnTo>
                <a:pt x="42" y="317"/>
              </a:lnTo>
              <a:lnTo>
                <a:pt x="54" y="306"/>
              </a:lnTo>
              <a:lnTo>
                <a:pt x="59" y="287"/>
              </a:lnTo>
              <a:lnTo>
                <a:pt x="60" y="275"/>
              </a:lnTo>
              <a:lnTo>
                <a:pt x="67" y="266"/>
              </a:lnTo>
              <a:lnTo>
                <a:pt x="68" y="267"/>
              </a:lnTo>
              <a:lnTo>
                <a:pt x="83" y="253"/>
              </a:lnTo>
              <a:lnTo>
                <a:pt x="107" y="243"/>
              </a:lnTo>
              <a:lnTo>
                <a:pt x="123" y="241"/>
              </a:lnTo>
              <a:lnTo>
                <a:pt x="129" y="241"/>
              </a:lnTo>
              <a:lnTo>
                <a:pt x="154" y="243"/>
              </a:lnTo>
              <a:lnTo>
                <a:pt x="200" y="211"/>
              </a:lnTo>
              <a:lnTo>
                <a:pt x="199" y="207"/>
              </a:lnTo>
              <a:lnTo>
                <a:pt x="223" y="194"/>
              </a:lnTo>
              <a:lnTo>
                <a:pt x="247" y="193"/>
              </a:lnTo>
              <a:lnTo>
                <a:pt x="254" y="189"/>
              </a:lnTo>
              <a:lnTo>
                <a:pt x="265" y="167"/>
              </a:lnTo>
              <a:lnTo>
                <a:pt x="265" y="165"/>
              </a:lnTo>
              <a:lnTo>
                <a:pt x="266" y="152"/>
              </a:lnTo>
              <a:lnTo>
                <a:pt x="289" y="139"/>
              </a:lnTo>
              <a:lnTo>
                <a:pt x="318" y="126"/>
              </a:lnTo>
              <a:lnTo>
                <a:pt x="321" y="130"/>
              </a:lnTo>
              <a:lnTo>
                <a:pt x="319" y="139"/>
              </a:lnTo>
              <a:lnTo>
                <a:pt x="339" y="145"/>
              </a:lnTo>
              <a:lnTo>
                <a:pt x="340" y="144"/>
              </a:lnTo>
              <a:lnTo>
                <a:pt x="347" y="137"/>
              </a:lnTo>
              <a:lnTo>
                <a:pt x="356" y="12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685800</xdr:colOff>
      <xdr:row>37</xdr:row>
      <xdr:rowOff>114300</xdr:rowOff>
    </xdr:from>
    <xdr:to>
      <xdr:col>2</xdr:col>
      <xdr:colOff>1752600</xdr:colOff>
      <xdr:row>37</xdr:row>
      <xdr:rowOff>1057275</xdr:rowOff>
    </xdr:to>
    <xdr:sp macro="" textlink="">
      <xdr:nvSpPr>
        <xdr:cNvPr id="126" name="S_OH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/>
        </xdr:cNvSpPr>
      </xdr:nvSpPr>
      <xdr:spPr bwMode="auto">
        <a:xfrm>
          <a:off x="2466975" y="45910500"/>
          <a:ext cx="1066800" cy="942975"/>
        </a:xfrm>
        <a:custGeom>
          <a:avLst/>
          <a:gdLst>
            <a:gd name="T0" fmla="*/ 2147483647 w 804"/>
            <a:gd name="T1" fmla="*/ 2147483647 h 841"/>
            <a:gd name="T2" fmla="*/ 2147483647 w 804"/>
            <a:gd name="T3" fmla="*/ 2147483647 h 841"/>
            <a:gd name="T4" fmla="*/ 2147483647 w 804"/>
            <a:gd name="T5" fmla="*/ 2147483647 h 841"/>
            <a:gd name="T6" fmla="*/ 2147483647 w 804"/>
            <a:gd name="T7" fmla="*/ 2147483647 h 841"/>
            <a:gd name="T8" fmla="*/ 2147483647 w 804"/>
            <a:gd name="T9" fmla="*/ 2147483647 h 841"/>
            <a:gd name="T10" fmla="*/ 2147483647 w 804"/>
            <a:gd name="T11" fmla="*/ 2147483647 h 841"/>
            <a:gd name="T12" fmla="*/ 0 w 804"/>
            <a:gd name="T13" fmla="*/ 2147483647 h 841"/>
            <a:gd name="T14" fmla="*/ 0 w 804"/>
            <a:gd name="T15" fmla="*/ 2147483647 h 841"/>
            <a:gd name="T16" fmla="*/ 2147483647 w 804"/>
            <a:gd name="T17" fmla="*/ 2147483647 h 841"/>
            <a:gd name="T18" fmla="*/ 2147483647 w 804"/>
            <a:gd name="T19" fmla="*/ 2147483647 h 841"/>
            <a:gd name="T20" fmla="*/ 2147483647 w 804"/>
            <a:gd name="T21" fmla="*/ 2147483647 h 841"/>
            <a:gd name="T22" fmla="*/ 2147483647 w 804"/>
            <a:gd name="T23" fmla="*/ 2147483647 h 841"/>
            <a:gd name="T24" fmla="*/ 2147483647 w 804"/>
            <a:gd name="T25" fmla="*/ 2147483647 h 841"/>
            <a:gd name="T26" fmla="*/ 2147483647 w 804"/>
            <a:gd name="T27" fmla="*/ 2147483647 h 841"/>
            <a:gd name="T28" fmla="*/ 2147483647 w 804"/>
            <a:gd name="T29" fmla="*/ 2147483647 h 841"/>
            <a:gd name="T30" fmla="*/ 2147483647 w 804"/>
            <a:gd name="T31" fmla="*/ 2147483647 h 841"/>
            <a:gd name="T32" fmla="*/ 2147483647 w 804"/>
            <a:gd name="T33" fmla="*/ 2147483647 h 841"/>
            <a:gd name="T34" fmla="*/ 2147483647 w 804"/>
            <a:gd name="T35" fmla="*/ 2147483647 h 841"/>
            <a:gd name="T36" fmla="*/ 2147483647 w 804"/>
            <a:gd name="T37" fmla="*/ 2147483647 h 841"/>
            <a:gd name="T38" fmla="*/ 2147483647 w 804"/>
            <a:gd name="T39" fmla="*/ 2147483647 h 841"/>
            <a:gd name="T40" fmla="*/ 2147483647 w 804"/>
            <a:gd name="T41" fmla="*/ 2147483647 h 841"/>
            <a:gd name="T42" fmla="*/ 2147483647 w 804"/>
            <a:gd name="T43" fmla="*/ 2147483647 h 841"/>
            <a:gd name="T44" fmla="*/ 2147483647 w 804"/>
            <a:gd name="T45" fmla="*/ 2147483647 h 841"/>
            <a:gd name="T46" fmla="*/ 2147483647 w 804"/>
            <a:gd name="T47" fmla="*/ 2147483647 h 841"/>
            <a:gd name="T48" fmla="*/ 2147483647 w 804"/>
            <a:gd name="T49" fmla="*/ 2147483647 h 841"/>
            <a:gd name="T50" fmla="*/ 2147483647 w 804"/>
            <a:gd name="T51" fmla="*/ 2147483647 h 841"/>
            <a:gd name="T52" fmla="*/ 2147483647 w 804"/>
            <a:gd name="T53" fmla="*/ 2147483647 h 841"/>
            <a:gd name="T54" fmla="*/ 2147483647 w 804"/>
            <a:gd name="T55" fmla="*/ 2147483647 h 841"/>
            <a:gd name="T56" fmla="*/ 2147483647 w 804"/>
            <a:gd name="T57" fmla="*/ 2147483647 h 841"/>
            <a:gd name="T58" fmla="*/ 2147483647 w 804"/>
            <a:gd name="T59" fmla="*/ 2147483647 h 841"/>
            <a:gd name="T60" fmla="*/ 2147483647 w 804"/>
            <a:gd name="T61" fmla="*/ 2147483647 h 841"/>
            <a:gd name="T62" fmla="*/ 2147483647 w 804"/>
            <a:gd name="T63" fmla="*/ 2147483647 h 841"/>
            <a:gd name="T64" fmla="*/ 2147483647 w 804"/>
            <a:gd name="T65" fmla="*/ 2147483647 h 841"/>
            <a:gd name="T66" fmla="*/ 2147483647 w 804"/>
            <a:gd name="T67" fmla="*/ 2147483647 h 841"/>
            <a:gd name="T68" fmla="*/ 2147483647 w 804"/>
            <a:gd name="T69" fmla="*/ 2147483647 h 841"/>
            <a:gd name="T70" fmla="*/ 2147483647 w 804"/>
            <a:gd name="T71" fmla="*/ 2147483647 h 841"/>
            <a:gd name="T72" fmla="*/ 2147483647 w 804"/>
            <a:gd name="T73" fmla="*/ 2147483647 h 841"/>
            <a:gd name="T74" fmla="*/ 2147483647 w 804"/>
            <a:gd name="T75" fmla="*/ 2147483647 h 841"/>
            <a:gd name="T76" fmla="*/ 2147483647 w 804"/>
            <a:gd name="T77" fmla="*/ 2147483647 h 841"/>
            <a:gd name="T78" fmla="*/ 2147483647 w 804"/>
            <a:gd name="T79" fmla="*/ 2147483647 h 841"/>
            <a:gd name="T80" fmla="*/ 2147483647 w 804"/>
            <a:gd name="T81" fmla="*/ 2147483647 h 841"/>
            <a:gd name="T82" fmla="*/ 2147483647 w 804"/>
            <a:gd name="T83" fmla="*/ 2147483647 h 841"/>
            <a:gd name="T84" fmla="*/ 2147483647 w 804"/>
            <a:gd name="T85" fmla="*/ 2147483647 h 841"/>
            <a:gd name="T86" fmla="*/ 2147483647 w 804"/>
            <a:gd name="T87" fmla="*/ 2147483647 h 841"/>
            <a:gd name="T88" fmla="*/ 2147483647 w 804"/>
            <a:gd name="T89" fmla="*/ 2147483647 h 841"/>
            <a:gd name="T90" fmla="*/ 2147483647 w 804"/>
            <a:gd name="T91" fmla="*/ 2147483647 h 841"/>
            <a:gd name="T92" fmla="*/ 2147483647 w 804"/>
            <a:gd name="T93" fmla="*/ 2147483647 h 841"/>
            <a:gd name="T94" fmla="*/ 2147483647 w 804"/>
            <a:gd name="T95" fmla="*/ 2147483647 h 841"/>
            <a:gd name="T96" fmla="*/ 2147483647 w 804"/>
            <a:gd name="T97" fmla="*/ 2147483647 h 841"/>
            <a:gd name="T98" fmla="*/ 2147483647 w 804"/>
            <a:gd name="T99" fmla="*/ 2147483647 h 841"/>
            <a:gd name="T100" fmla="*/ 2147483647 w 804"/>
            <a:gd name="T101" fmla="*/ 2147483647 h 841"/>
            <a:gd name="T102" fmla="*/ 2147483647 w 804"/>
            <a:gd name="T103" fmla="*/ 2147483647 h 841"/>
            <a:gd name="T104" fmla="*/ 2147483647 w 804"/>
            <a:gd name="T105" fmla="*/ 2147483647 h 841"/>
            <a:gd name="T106" fmla="*/ 2147483647 w 804"/>
            <a:gd name="T107" fmla="*/ 2147483647 h 841"/>
            <a:gd name="T108" fmla="*/ 2147483647 w 804"/>
            <a:gd name="T109" fmla="*/ 2147483647 h 841"/>
            <a:gd name="T110" fmla="*/ 2147483647 w 804"/>
            <a:gd name="T111" fmla="*/ 2147483647 h 841"/>
            <a:gd name="T112" fmla="*/ 2147483647 w 804"/>
            <a:gd name="T113" fmla="*/ 2147483647 h 841"/>
            <a:gd name="T114" fmla="*/ 2147483647 w 804"/>
            <a:gd name="T115" fmla="*/ 2147483647 h 841"/>
            <a:gd name="T116" fmla="*/ 2147483647 w 804"/>
            <a:gd name="T117" fmla="*/ 2147483647 h 84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804"/>
            <a:gd name="T178" fmla="*/ 0 h 841"/>
            <a:gd name="T179" fmla="*/ 804 w 804"/>
            <a:gd name="T180" fmla="*/ 841 h 84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804" h="841">
              <a:moveTo>
                <a:pt x="208" y="787"/>
              </a:moveTo>
              <a:lnTo>
                <a:pt x="200" y="785"/>
              </a:lnTo>
              <a:lnTo>
                <a:pt x="180" y="762"/>
              </a:lnTo>
              <a:lnTo>
                <a:pt x="171" y="758"/>
              </a:lnTo>
              <a:lnTo>
                <a:pt x="154" y="754"/>
              </a:lnTo>
              <a:lnTo>
                <a:pt x="153" y="754"/>
              </a:lnTo>
              <a:lnTo>
                <a:pt x="143" y="756"/>
              </a:lnTo>
              <a:lnTo>
                <a:pt x="130" y="753"/>
              </a:lnTo>
              <a:lnTo>
                <a:pt x="110" y="744"/>
              </a:lnTo>
              <a:lnTo>
                <a:pt x="110" y="732"/>
              </a:lnTo>
              <a:lnTo>
                <a:pt x="104" y="721"/>
              </a:lnTo>
              <a:lnTo>
                <a:pt x="101" y="716"/>
              </a:lnTo>
              <a:lnTo>
                <a:pt x="93" y="698"/>
              </a:lnTo>
              <a:lnTo>
                <a:pt x="83" y="692"/>
              </a:lnTo>
              <a:lnTo>
                <a:pt x="62" y="677"/>
              </a:lnTo>
              <a:lnTo>
                <a:pt x="58" y="680"/>
              </a:lnTo>
              <a:lnTo>
                <a:pt x="37" y="686"/>
              </a:lnTo>
              <a:lnTo>
                <a:pt x="36" y="685"/>
              </a:lnTo>
              <a:lnTo>
                <a:pt x="12" y="668"/>
              </a:lnTo>
              <a:lnTo>
                <a:pt x="7" y="673"/>
              </a:lnTo>
              <a:lnTo>
                <a:pt x="0" y="678"/>
              </a:lnTo>
              <a:lnTo>
                <a:pt x="0" y="673"/>
              </a:lnTo>
              <a:lnTo>
                <a:pt x="0" y="661"/>
              </a:lnTo>
              <a:lnTo>
                <a:pt x="0" y="630"/>
              </a:lnTo>
              <a:lnTo>
                <a:pt x="1" y="594"/>
              </a:lnTo>
              <a:lnTo>
                <a:pt x="1" y="584"/>
              </a:lnTo>
              <a:lnTo>
                <a:pt x="1" y="579"/>
              </a:lnTo>
              <a:lnTo>
                <a:pt x="1" y="569"/>
              </a:lnTo>
              <a:lnTo>
                <a:pt x="1" y="563"/>
              </a:lnTo>
              <a:lnTo>
                <a:pt x="1" y="558"/>
              </a:lnTo>
              <a:lnTo>
                <a:pt x="1" y="532"/>
              </a:lnTo>
              <a:lnTo>
                <a:pt x="1" y="508"/>
              </a:lnTo>
              <a:lnTo>
                <a:pt x="1" y="496"/>
              </a:lnTo>
              <a:lnTo>
                <a:pt x="1" y="486"/>
              </a:lnTo>
              <a:lnTo>
                <a:pt x="2" y="466"/>
              </a:lnTo>
              <a:lnTo>
                <a:pt x="2" y="465"/>
              </a:lnTo>
              <a:lnTo>
                <a:pt x="2" y="436"/>
              </a:lnTo>
              <a:lnTo>
                <a:pt x="3" y="408"/>
              </a:lnTo>
              <a:lnTo>
                <a:pt x="3" y="394"/>
              </a:lnTo>
              <a:lnTo>
                <a:pt x="3" y="383"/>
              </a:lnTo>
              <a:lnTo>
                <a:pt x="3" y="369"/>
              </a:lnTo>
              <a:lnTo>
                <a:pt x="3" y="349"/>
              </a:lnTo>
              <a:lnTo>
                <a:pt x="3" y="332"/>
              </a:lnTo>
              <a:lnTo>
                <a:pt x="3" y="319"/>
              </a:lnTo>
              <a:lnTo>
                <a:pt x="3" y="294"/>
              </a:lnTo>
              <a:lnTo>
                <a:pt x="3" y="290"/>
              </a:lnTo>
              <a:lnTo>
                <a:pt x="3" y="260"/>
              </a:lnTo>
              <a:lnTo>
                <a:pt x="3" y="248"/>
              </a:lnTo>
              <a:lnTo>
                <a:pt x="3" y="233"/>
              </a:lnTo>
              <a:lnTo>
                <a:pt x="3" y="230"/>
              </a:lnTo>
              <a:lnTo>
                <a:pt x="3" y="201"/>
              </a:lnTo>
              <a:lnTo>
                <a:pt x="3" y="171"/>
              </a:lnTo>
              <a:lnTo>
                <a:pt x="3" y="167"/>
              </a:lnTo>
              <a:lnTo>
                <a:pt x="3" y="145"/>
              </a:lnTo>
              <a:lnTo>
                <a:pt x="3" y="142"/>
              </a:lnTo>
              <a:lnTo>
                <a:pt x="3" y="129"/>
              </a:lnTo>
              <a:lnTo>
                <a:pt x="3" y="105"/>
              </a:lnTo>
              <a:lnTo>
                <a:pt x="2" y="66"/>
              </a:lnTo>
              <a:lnTo>
                <a:pt x="12" y="65"/>
              </a:lnTo>
              <a:lnTo>
                <a:pt x="64" y="64"/>
              </a:lnTo>
              <a:lnTo>
                <a:pt x="78" y="64"/>
              </a:lnTo>
              <a:lnTo>
                <a:pt x="85" y="63"/>
              </a:lnTo>
              <a:lnTo>
                <a:pt x="117" y="62"/>
              </a:lnTo>
              <a:lnTo>
                <a:pt x="175" y="60"/>
              </a:lnTo>
              <a:lnTo>
                <a:pt x="198" y="60"/>
              </a:lnTo>
              <a:lnTo>
                <a:pt x="229" y="58"/>
              </a:lnTo>
              <a:lnTo>
                <a:pt x="235" y="58"/>
              </a:lnTo>
              <a:lnTo>
                <a:pt x="255" y="58"/>
              </a:lnTo>
              <a:lnTo>
                <a:pt x="269" y="68"/>
              </a:lnTo>
              <a:lnTo>
                <a:pt x="293" y="75"/>
              </a:lnTo>
              <a:lnTo>
                <a:pt x="309" y="83"/>
              </a:lnTo>
              <a:lnTo>
                <a:pt x="340" y="103"/>
              </a:lnTo>
              <a:lnTo>
                <a:pt x="387" y="101"/>
              </a:lnTo>
              <a:lnTo>
                <a:pt x="396" y="114"/>
              </a:lnTo>
              <a:lnTo>
                <a:pt x="411" y="127"/>
              </a:lnTo>
              <a:lnTo>
                <a:pt x="433" y="140"/>
              </a:lnTo>
              <a:lnTo>
                <a:pt x="462" y="129"/>
              </a:lnTo>
              <a:lnTo>
                <a:pt x="480" y="127"/>
              </a:lnTo>
              <a:lnTo>
                <a:pt x="502" y="116"/>
              </a:lnTo>
              <a:lnTo>
                <a:pt x="533" y="111"/>
              </a:lnTo>
              <a:lnTo>
                <a:pt x="551" y="116"/>
              </a:lnTo>
              <a:lnTo>
                <a:pt x="574" y="115"/>
              </a:lnTo>
              <a:lnTo>
                <a:pt x="622" y="81"/>
              </a:lnTo>
              <a:lnTo>
                <a:pt x="638" y="65"/>
              </a:lnTo>
              <a:lnTo>
                <a:pt x="644" y="62"/>
              </a:lnTo>
              <a:lnTo>
                <a:pt x="713" y="29"/>
              </a:lnTo>
              <a:lnTo>
                <a:pt x="714" y="29"/>
              </a:lnTo>
              <a:lnTo>
                <a:pt x="804" y="0"/>
              </a:lnTo>
              <a:lnTo>
                <a:pt x="804" y="23"/>
              </a:lnTo>
              <a:lnTo>
                <a:pt x="804" y="30"/>
              </a:lnTo>
              <a:lnTo>
                <a:pt x="804" y="62"/>
              </a:lnTo>
              <a:lnTo>
                <a:pt x="804" y="82"/>
              </a:lnTo>
              <a:lnTo>
                <a:pt x="804" y="112"/>
              </a:lnTo>
              <a:lnTo>
                <a:pt x="804" y="114"/>
              </a:lnTo>
              <a:lnTo>
                <a:pt x="804" y="142"/>
              </a:lnTo>
              <a:lnTo>
                <a:pt x="804" y="161"/>
              </a:lnTo>
              <a:lnTo>
                <a:pt x="804" y="199"/>
              </a:lnTo>
              <a:lnTo>
                <a:pt x="804" y="201"/>
              </a:lnTo>
              <a:lnTo>
                <a:pt x="804" y="230"/>
              </a:lnTo>
              <a:lnTo>
                <a:pt x="804" y="236"/>
              </a:lnTo>
              <a:lnTo>
                <a:pt x="804" y="253"/>
              </a:lnTo>
              <a:lnTo>
                <a:pt x="804" y="260"/>
              </a:lnTo>
              <a:lnTo>
                <a:pt x="804" y="265"/>
              </a:lnTo>
              <a:lnTo>
                <a:pt x="804" y="279"/>
              </a:lnTo>
              <a:lnTo>
                <a:pt x="804" y="295"/>
              </a:lnTo>
              <a:lnTo>
                <a:pt x="804" y="316"/>
              </a:lnTo>
              <a:lnTo>
                <a:pt x="797" y="319"/>
              </a:lnTo>
              <a:lnTo>
                <a:pt x="784" y="320"/>
              </a:lnTo>
              <a:lnTo>
                <a:pt x="777" y="329"/>
              </a:lnTo>
              <a:lnTo>
                <a:pt x="786" y="349"/>
              </a:lnTo>
              <a:lnTo>
                <a:pt x="784" y="372"/>
              </a:lnTo>
              <a:lnTo>
                <a:pt x="783" y="373"/>
              </a:lnTo>
              <a:lnTo>
                <a:pt x="787" y="378"/>
              </a:lnTo>
              <a:lnTo>
                <a:pt x="784" y="404"/>
              </a:lnTo>
              <a:lnTo>
                <a:pt x="774" y="423"/>
              </a:lnTo>
              <a:lnTo>
                <a:pt x="770" y="429"/>
              </a:lnTo>
              <a:lnTo>
                <a:pt x="768" y="436"/>
              </a:lnTo>
              <a:lnTo>
                <a:pt x="764" y="459"/>
              </a:lnTo>
              <a:lnTo>
                <a:pt x="762" y="474"/>
              </a:lnTo>
              <a:lnTo>
                <a:pt x="752" y="486"/>
              </a:lnTo>
              <a:lnTo>
                <a:pt x="748" y="502"/>
              </a:lnTo>
              <a:lnTo>
                <a:pt x="740" y="525"/>
              </a:lnTo>
              <a:lnTo>
                <a:pt x="746" y="533"/>
              </a:lnTo>
              <a:lnTo>
                <a:pt x="737" y="554"/>
              </a:lnTo>
              <a:lnTo>
                <a:pt x="737" y="555"/>
              </a:lnTo>
              <a:lnTo>
                <a:pt x="724" y="560"/>
              </a:lnTo>
              <a:lnTo>
                <a:pt x="714" y="569"/>
              </a:lnTo>
              <a:lnTo>
                <a:pt x="707" y="576"/>
              </a:lnTo>
              <a:lnTo>
                <a:pt x="697" y="584"/>
              </a:lnTo>
              <a:lnTo>
                <a:pt x="697" y="585"/>
              </a:lnTo>
              <a:lnTo>
                <a:pt x="691" y="595"/>
              </a:lnTo>
              <a:lnTo>
                <a:pt x="667" y="611"/>
              </a:lnTo>
              <a:lnTo>
                <a:pt x="659" y="614"/>
              </a:lnTo>
              <a:lnTo>
                <a:pt x="645" y="622"/>
              </a:lnTo>
              <a:lnTo>
                <a:pt x="620" y="614"/>
              </a:lnTo>
              <a:lnTo>
                <a:pt x="607" y="640"/>
              </a:lnTo>
              <a:lnTo>
                <a:pt x="584" y="644"/>
              </a:lnTo>
              <a:lnTo>
                <a:pt x="579" y="652"/>
              </a:lnTo>
              <a:lnTo>
                <a:pt x="574" y="659"/>
              </a:lnTo>
              <a:lnTo>
                <a:pt x="572" y="660"/>
              </a:lnTo>
              <a:lnTo>
                <a:pt x="574" y="664"/>
              </a:lnTo>
              <a:lnTo>
                <a:pt x="575" y="673"/>
              </a:lnTo>
              <a:lnTo>
                <a:pt x="574" y="680"/>
              </a:lnTo>
              <a:lnTo>
                <a:pt x="564" y="717"/>
              </a:lnTo>
              <a:lnTo>
                <a:pt x="551" y="731"/>
              </a:lnTo>
              <a:lnTo>
                <a:pt x="544" y="732"/>
              </a:lnTo>
              <a:lnTo>
                <a:pt x="527" y="697"/>
              </a:lnTo>
              <a:lnTo>
                <a:pt x="518" y="703"/>
              </a:lnTo>
              <a:lnTo>
                <a:pt x="509" y="713"/>
              </a:lnTo>
              <a:lnTo>
                <a:pt x="491" y="762"/>
              </a:lnTo>
              <a:lnTo>
                <a:pt x="495" y="792"/>
              </a:lnTo>
              <a:lnTo>
                <a:pt x="487" y="799"/>
              </a:lnTo>
              <a:lnTo>
                <a:pt x="480" y="797"/>
              </a:lnTo>
              <a:lnTo>
                <a:pt x="479" y="797"/>
              </a:lnTo>
              <a:lnTo>
                <a:pt x="474" y="801"/>
              </a:lnTo>
              <a:lnTo>
                <a:pt x="470" y="821"/>
              </a:lnTo>
              <a:lnTo>
                <a:pt x="457" y="836"/>
              </a:lnTo>
              <a:lnTo>
                <a:pt x="433" y="841"/>
              </a:lnTo>
              <a:lnTo>
                <a:pt x="416" y="839"/>
              </a:lnTo>
              <a:lnTo>
                <a:pt x="411" y="826"/>
              </a:lnTo>
              <a:lnTo>
                <a:pt x="403" y="820"/>
              </a:lnTo>
              <a:lnTo>
                <a:pt x="387" y="807"/>
              </a:lnTo>
              <a:lnTo>
                <a:pt x="374" y="805"/>
              </a:lnTo>
              <a:lnTo>
                <a:pt x="367" y="792"/>
              </a:lnTo>
              <a:lnTo>
                <a:pt x="362" y="762"/>
              </a:lnTo>
              <a:lnTo>
                <a:pt x="335" y="767"/>
              </a:lnTo>
              <a:lnTo>
                <a:pt x="313" y="792"/>
              </a:lnTo>
              <a:lnTo>
                <a:pt x="296" y="791"/>
              </a:lnTo>
              <a:lnTo>
                <a:pt x="290" y="793"/>
              </a:lnTo>
              <a:lnTo>
                <a:pt x="285" y="798"/>
              </a:lnTo>
              <a:lnTo>
                <a:pt x="270" y="783"/>
              </a:lnTo>
              <a:lnTo>
                <a:pt x="241" y="772"/>
              </a:lnTo>
              <a:lnTo>
                <a:pt x="223" y="779"/>
              </a:lnTo>
              <a:lnTo>
                <a:pt x="219" y="789"/>
              </a:lnTo>
              <a:lnTo>
                <a:pt x="211" y="790"/>
              </a:lnTo>
              <a:lnTo>
                <a:pt x="209" y="789"/>
              </a:lnTo>
              <a:lnTo>
                <a:pt x="208" y="78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419100</xdr:colOff>
      <xdr:row>39</xdr:row>
      <xdr:rowOff>152400</xdr:rowOff>
    </xdr:from>
    <xdr:to>
      <xdr:col>2</xdr:col>
      <xdr:colOff>1882028</xdr:colOff>
      <xdr:row>39</xdr:row>
      <xdr:rowOff>1093694</xdr:rowOff>
    </xdr:to>
    <xdr:sp macro="" textlink="">
      <xdr:nvSpPr>
        <xdr:cNvPr id="127" name="S_OR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/>
        </xdr:cNvSpPr>
      </xdr:nvSpPr>
      <xdr:spPr bwMode="auto">
        <a:xfrm>
          <a:off x="2200275" y="48482250"/>
          <a:ext cx="1462928" cy="941294"/>
        </a:xfrm>
        <a:custGeom>
          <a:avLst/>
          <a:gdLst>
            <a:gd name="T0" fmla="*/ 2147483647 w 1519"/>
            <a:gd name="T1" fmla="*/ 2147483647 h 1011"/>
            <a:gd name="T2" fmla="*/ 2147483647 w 1519"/>
            <a:gd name="T3" fmla="*/ 2147483647 h 1011"/>
            <a:gd name="T4" fmla="*/ 2147483647 w 1519"/>
            <a:gd name="T5" fmla="*/ 2147483647 h 1011"/>
            <a:gd name="T6" fmla="*/ 2147483647 w 1519"/>
            <a:gd name="T7" fmla="*/ 2147483647 h 1011"/>
            <a:gd name="T8" fmla="*/ 2147483647 w 1519"/>
            <a:gd name="T9" fmla="*/ 2147483647 h 1011"/>
            <a:gd name="T10" fmla="*/ 2147483647 w 1519"/>
            <a:gd name="T11" fmla="*/ 2147483647 h 1011"/>
            <a:gd name="T12" fmla="*/ 2147483647 w 1519"/>
            <a:gd name="T13" fmla="*/ 2147483647 h 1011"/>
            <a:gd name="T14" fmla="*/ 2147483647 w 1519"/>
            <a:gd name="T15" fmla="*/ 2147483647 h 1011"/>
            <a:gd name="T16" fmla="*/ 2147483647 w 1519"/>
            <a:gd name="T17" fmla="*/ 2147483647 h 1011"/>
            <a:gd name="T18" fmla="*/ 2147483647 w 1519"/>
            <a:gd name="T19" fmla="*/ 2147483647 h 1011"/>
            <a:gd name="T20" fmla="*/ 2147483647 w 1519"/>
            <a:gd name="T21" fmla="*/ 2147483647 h 1011"/>
            <a:gd name="T22" fmla="*/ 2147483647 w 1519"/>
            <a:gd name="T23" fmla="*/ 2147483647 h 1011"/>
            <a:gd name="T24" fmla="*/ 2147483647 w 1519"/>
            <a:gd name="T25" fmla="*/ 2147483647 h 1011"/>
            <a:gd name="T26" fmla="*/ 2147483647 w 1519"/>
            <a:gd name="T27" fmla="*/ 2147483647 h 1011"/>
            <a:gd name="T28" fmla="*/ 2147483647 w 1519"/>
            <a:gd name="T29" fmla="*/ 2147483647 h 1011"/>
            <a:gd name="T30" fmla="*/ 2147483647 w 1519"/>
            <a:gd name="T31" fmla="*/ 2147483647 h 1011"/>
            <a:gd name="T32" fmla="*/ 2147483647 w 1519"/>
            <a:gd name="T33" fmla="*/ 2147483647 h 1011"/>
            <a:gd name="T34" fmla="*/ 2147483647 w 1519"/>
            <a:gd name="T35" fmla="*/ 2147483647 h 1011"/>
            <a:gd name="T36" fmla="*/ 2147483647 w 1519"/>
            <a:gd name="T37" fmla="*/ 2147483647 h 1011"/>
            <a:gd name="T38" fmla="*/ 2147483647 w 1519"/>
            <a:gd name="T39" fmla="*/ 2147483647 h 1011"/>
            <a:gd name="T40" fmla="*/ 2147483647 w 1519"/>
            <a:gd name="T41" fmla="*/ 2147483647 h 1011"/>
            <a:gd name="T42" fmla="*/ 2147483647 w 1519"/>
            <a:gd name="T43" fmla="*/ 0 h 1011"/>
            <a:gd name="T44" fmla="*/ 2147483647 w 1519"/>
            <a:gd name="T45" fmla="*/ 2147483647 h 1011"/>
            <a:gd name="T46" fmla="*/ 2147483647 w 1519"/>
            <a:gd name="T47" fmla="*/ 2147483647 h 1011"/>
            <a:gd name="T48" fmla="*/ 2147483647 w 1519"/>
            <a:gd name="T49" fmla="*/ 2147483647 h 1011"/>
            <a:gd name="T50" fmla="*/ 2147483647 w 1519"/>
            <a:gd name="T51" fmla="*/ 2147483647 h 1011"/>
            <a:gd name="T52" fmla="*/ 2147483647 w 1519"/>
            <a:gd name="T53" fmla="*/ 2147483647 h 1011"/>
            <a:gd name="T54" fmla="*/ 2147483647 w 1519"/>
            <a:gd name="T55" fmla="*/ 2147483647 h 1011"/>
            <a:gd name="T56" fmla="*/ 2147483647 w 1519"/>
            <a:gd name="T57" fmla="*/ 2147483647 h 1011"/>
            <a:gd name="T58" fmla="*/ 2147483647 w 1519"/>
            <a:gd name="T59" fmla="*/ 2147483647 h 1011"/>
            <a:gd name="T60" fmla="*/ 2147483647 w 1519"/>
            <a:gd name="T61" fmla="*/ 2147483647 h 1011"/>
            <a:gd name="T62" fmla="*/ 2147483647 w 1519"/>
            <a:gd name="T63" fmla="*/ 2147483647 h 1011"/>
            <a:gd name="T64" fmla="*/ 2147483647 w 1519"/>
            <a:gd name="T65" fmla="*/ 2147483647 h 1011"/>
            <a:gd name="T66" fmla="*/ 2147483647 w 1519"/>
            <a:gd name="T67" fmla="*/ 2147483647 h 1011"/>
            <a:gd name="T68" fmla="*/ 2147483647 w 1519"/>
            <a:gd name="T69" fmla="*/ 2147483647 h 1011"/>
            <a:gd name="T70" fmla="*/ 2147483647 w 1519"/>
            <a:gd name="T71" fmla="*/ 2147483647 h 1011"/>
            <a:gd name="T72" fmla="*/ 2147483647 w 1519"/>
            <a:gd name="T73" fmla="*/ 2147483647 h 1011"/>
            <a:gd name="T74" fmla="*/ 2147483647 w 1519"/>
            <a:gd name="T75" fmla="*/ 2147483647 h 1011"/>
            <a:gd name="T76" fmla="*/ 2147483647 w 1519"/>
            <a:gd name="T77" fmla="*/ 2147483647 h 1011"/>
            <a:gd name="T78" fmla="*/ 2147483647 w 1519"/>
            <a:gd name="T79" fmla="*/ 2147483647 h 1011"/>
            <a:gd name="T80" fmla="*/ 2147483647 w 1519"/>
            <a:gd name="T81" fmla="*/ 2147483647 h 1011"/>
            <a:gd name="T82" fmla="*/ 2147483647 w 1519"/>
            <a:gd name="T83" fmla="*/ 2147483647 h 1011"/>
            <a:gd name="T84" fmla="*/ 2147483647 w 1519"/>
            <a:gd name="T85" fmla="*/ 2147483647 h 1011"/>
            <a:gd name="T86" fmla="*/ 2147483647 w 1519"/>
            <a:gd name="T87" fmla="*/ 2147483647 h 1011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1519"/>
            <a:gd name="T133" fmla="*/ 0 h 1011"/>
            <a:gd name="T134" fmla="*/ 1519 w 1519"/>
            <a:gd name="T135" fmla="*/ 1011 h 1011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1519" h="1011">
              <a:moveTo>
                <a:pt x="1379" y="466"/>
              </a:moveTo>
              <a:lnTo>
                <a:pt x="1406" y="478"/>
              </a:lnTo>
              <a:lnTo>
                <a:pt x="1419" y="479"/>
              </a:lnTo>
              <a:lnTo>
                <a:pt x="1439" y="500"/>
              </a:lnTo>
              <a:lnTo>
                <a:pt x="1436" y="508"/>
              </a:lnTo>
              <a:lnTo>
                <a:pt x="1433" y="509"/>
              </a:lnTo>
              <a:lnTo>
                <a:pt x="1423" y="565"/>
              </a:lnTo>
              <a:lnTo>
                <a:pt x="1419" y="569"/>
              </a:lnTo>
              <a:lnTo>
                <a:pt x="1415" y="582"/>
              </a:lnTo>
              <a:lnTo>
                <a:pt x="1415" y="612"/>
              </a:lnTo>
              <a:lnTo>
                <a:pt x="1415" y="636"/>
              </a:lnTo>
              <a:lnTo>
                <a:pt x="1415" y="734"/>
              </a:lnTo>
              <a:lnTo>
                <a:pt x="1415" y="1008"/>
              </a:lnTo>
              <a:lnTo>
                <a:pt x="1373" y="1009"/>
              </a:lnTo>
              <a:lnTo>
                <a:pt x="1364" y="1009"/>
              </a:lnTo>
              <a:lnTo>
                <a:pt x="1196" y="1009"/>
              </a:lnTo>
              <a:lnTo>
                <a:pt x="1139" y="1011"/>
              </a:lnTo>
              <a:lnTo>
                <a:pt x="1103" y="1011"/>
              </a:lnTo>
              <a:lnTo>
                <a:pt x="985" y="1011"/>
              </a:lnTo>
              <a:lnTo>
                <a:pt x="979" y="1011"/>
              </a:lnTo>
              <a:lnTo>
                <a:pt x="952" y="1011"/>
              </a:lnTo>
              <a:lnTo>
                <a:pt x="882" y="1009"/>
              </a:lnTo>
              <a:lnTo>
                <a:pt x="859" y="1011"/>
              </a:lnTo>
              <a:lnTo>
                <a:pt x="820" y="1011"/>
              </a:lnTo>
              <a:lnTo>
                <a:pt x="812" y="1011"/>
              </a:lnTo>
              <a:lnTo>
                <a:pt x="694" y="1011"/>
              </a:lnTo>
              <a:lnTo>
                <a:pt x="659" y="1011"/>
              </a:lnTo>
              <a:lnTo>
                <a:pt x="616" y="1009"/>
              </a:lnTo>
              <a:lnTo>
                <a:pt x="588" y="1009"/>
              </a:lnTo>
              <a:lnTo>
                <a:pt x="484" y="1008"/>
              </a:lnTo>
              <a:lnTo>
                <a:pt x="452" y="1007"/>
              </a:lnTo>
              <a:lnTo>
                <a:pt x="431" y="1007"/>
              </a:lnTo>
              <a:lnTo>
                <a:pt x="289" y="1008"/>
              </a:lnTo>
              <a:lnTo>
                <a:pt x="270" y="1007"/>
              </a:lnTo>
              <a:lnTo>
                <a:pt x="254" y="1008"/>
              </a:lnTo>
              <a:lnTo>
                <a:pt x="233" y="1009"/>
              </a:lnTo>
              <a:lnTo>
                <a:pt x="217" y="1008"/>
              </a:lnTo>
              <a:lnTo>
                <a:pt x="200" y="1009"/>
              </a:lnTo>
              <a:lnTo>
                <a:pt x="181" y="1009"/>
              </a:lnTo>
              <a:lnTo>
                <a:pt x="175" y="1011"/>
              </a:lnTo>
              <a:lnTo>
                <a:pt x="144" y="1011"/>
              </a:lnTo>
              <a:lnTo>
                <a:pt x="111" y="1009"/>
              </a:lnTo>
              <a:lnTo>
                <a:pt x="87" y="1009"/>
              </a:lnTo>
              <a:lnTo>
                <a:pt x="70" y="1009"/>
              </a:lnTo>
              <a:lnTo>
                <a:pt x="42" y="984"/>
              </a:lnTo>
              <a:lnTo>
                <a:pt x="32" y="857"/>
              </a:lnTo>
              <a:lnTo>
                <a:pt x="0" y="811"/>
              </a:lnTo>
              <a:lnTo>
                <a:pt x="21" y="784"/>
              </a:lnTo>
              <a:lnTo>
                <a:pt x="40" y="691"/>
              </a:lnTo>
              <a:lnTo>
                <a:pt x="50" y="684"/>
              </a:lnTo>
              <a:lnTo>
                <a:pt x="70" y="628"/>
              </a:lnTo>
              <a:lnTo>
                <a:pt x="81" y="570"/>
              </a:lnTo>
              <a:lnTo>
                <a:pt x="81" y="569"/>
              </a:lnTo>
              <a:lnTo>
                <a:pt x="89" y="471"/>
              </a:lnTo>
              <a:lnTo>
                <a:pt x="107" y="295"/>
              </a:lnTo>
              <a:lnTo>
                <a:pt x="108" y="292"/>
              </a:lnTo>
              <a:lnTo>
                <a:pt x="107" y="290"/>
              </a:lnTo>
              <a:lnTo>
                <a:pt x="117" y="241"/>
              </a:lnTo>
              <a:lnTo>
                <a:pt x="118" y="124"/>
              </a:lnTo>
              <a:lnTo>
                <a:pt x="116" y="116"/>
              </a:lnTo>
              <a:lnTo>
                <a:pt x="120" y="34"/>
              </a:lnTo>
              <a:lnTo>
                <a:pt x="106" y="10"/>
              </a:lnTo>
              <a:lnTo>
                <a:pt x="111" y="8"/>
              </a:lnTo>
              <a:lnTo>
                <a:pt x="134" y="24"/>
              </a:lnTo>
              <a:lnTo>
                <a:pt x="157" y="15"/>
              </a:lnTo>
              <a:lnTo>
                <a:pt x="173" y="2"/>
              </a:lnTo>
              <a:lnTo>
                <a:pt x="208" y="0"/>
              </a:lnTo>
              <a:lnTo>
                <a:pt x="214" y="4"/>
              </a:lnTo>
              <a:lnTo>
                <a:pt x="229" y="29"/>
              </a:lnTo>
              <a:lnTo>
                <a:pt x="251" y="28"/>
              </a:lnTo>
              <a:lnTo>
                <a:pt x="258" y="24"/>
              </a:lnTo>
              <a:lnTo>
                <a:pt x="298" y="33"/>
              </a:lnTo>
              <a:lnTo>
                <a:pt x="332" y="73"/>
              </a:lnTo>
              <a:lnTo>
                <a:pt x="337" y="100"/>
              </a:lnTo>
              <a:lnTo>
                <a:pt x="343" y="123"/>
              </a:lnTo>
              <a:lnTo>
                <a:pt x="343" y="127"/>
              </a:lnTo>
              <a:lnTo>
                <a:pt x="342" y="129"/>
              </a:lnTo>
              <a:lnTo>
                <a:pt x="342" y="145"/>
              </a:lnTo>
              <a:lnTo>
                <a:pt x="403" y="167"/>
              </a:lnTo>
              <a:lnTo>
                <a:pt x="438" y="170"/>
              </a:lnTo>
              <a:lnTo>
                <a:pt x="451" y="164"/>
              </a:lnTo>
              <a:lnTo>
                <a:pt x="466" y="163"/>
              </a:lnTo>
              <a:lnTo>
                <a:pt x="499" y="147"/>
              </a:lnTo>
              <a:lnTo>
                <a:pt x="520" y="133"/>
              </a:lnTo>
              <a:lnTo>
                <a:pt x="534" y="136"/>
              </a:lnTo>
              <a:lnTo>
                <a:pt x="574" y="129"/>
              </a:lnTo>
              <a:lnTo>
                <a:pt x="578" y="130"/>
              </a:lnTo>
              <a:lnTo>
                <a:pt x="585" y="135"/>
              </a:lnTo>
              <a:lnTo>
                <a:pt x="589" y="135"/>
              </a:lnTo>
              <a:lnTo>
                <a:pt x="632" y="141"/>
              </a:lnTo>
              <a:lnTo>
                <a:pt x="637" y="156"/>
              </a:lnTo>
              <a:lnTo>
                <a:pt x="687" y="149"/>
              </a:lnTo>
              <a:lnTo>
                <a:pt x="699" y="141"/>
              </a:lnTo>
              <a:lnTo>
                <a:pt x="730" y="131"/>
              </a:lnTo>
              <a:lnTo>
                <a:pt x="737" y="127"/>
              </a:lnTo>
              <a:lnTo>
                <a:pt x="769" y="136"/>
              </a:lnTo>
              <a:lnTo>
                <a:pt x="819" y="129"/>
              </a:lnTo>
              <a:lnTo>
                <a:pt x="859" y="108"/>
              </a:lnTo>
              <a:lnTo>
                <a:pt x="865" y="105"/>
              </a:lnTo>
              <a:lnTo>
                <a:pt x="876" y="105"/>
              </a:lnTo>
              <a:lnTo>
                <a:pt x="883" y="103"/>
              </a:lnTo>
              <a:lnTo>
                <a:pt x="921" y="98"/>
              </a:lnTo>
              <a:lnTo>
                <a:pt x="939" y="82"/>
              </a:lnTo>
              <a:lnTo>
                <a:pt x="965" y="84"/>
              </a:lnTo>
              <a:lnTo>
                <a:pt x="998" y="78"/>
              </a:lnTo>
              <a:lnTo>
                <a:pt x="1022" y="79"/>
              </a:lnTo>
              <a:lnTo>
                <a:pt x="1048" y="64"/>
              </a:lnTo>
              <a:lnTo>
                <a:pt x="1087" y="63"/>
              </a:lnTo>
              <a:lnTo>
                <a:pt x="1186" y="64"/>
              </a:lnTo>
              <a:lnTo>
                <a:pt x="1233" y="64"/>
              </a:lnTo>
              <a:lnTo>
                <a:pt x="1238" y="64"/>
              </a:lnTo>
              <a:lnTo>
                <a:pt x="1287" y="64"/>
              </a:lnTo>
              <a:lnTo>
                <a:pt x="1303" y="64"/>
              </a:lnTo>
              <a:lnTo>
                <a:pt x="1307" y="64"/>
              </a:lnTo>
              <a:lnTo>
                <a:pt x="1326" y="64"/>
              </a:lnTo>
              <a:lnTo>
                <a:pt x="1329" y="64"/>
              </a:lnTo>
              <a:lnTo>
                <a:pt x="1331" y="64"/>
              </a:lnTo>
              <a:lnTo>
                <a:pt x="1354" y="64"/>
              </a:lnTo>
              <a:lnTo>
                <a:pt x="1356" y="64"/>
              </a:lnTo>
              <a:lnTo>
                <a:pt x="1436" y="66"/>
              </a:lnTo>
              <a:lnTo>
                <a:pt x="1443" y="75"/>
              </a:lnTo>
              <a:lnTo>
                <a:pt x="1455" y="93"/>
              </a:lnTo>
              <a:lnTo>
                <a:pt x="1458" y="98"/>
              </a:lnTo>
              <a:lnTo>
                <a:pt x="1505" y="123"/>
              </a:lnTo>
              <a:lnTo>
                <a:pt x="1519" y="152"/>
              </a:lnTo>
              <a:lnTo>
                <a:pt x="1478" y="237"/>
              </a:lnTo>
              <a:lnTo>
                <a:pt x="1477" y="239"/>
              </a:lnTo>
              <a:lnTo>
                <a:pt x="1467" y="271"/>
              </a:lnTo>
              <a:lnTo>
                <a:pt x="1460" y="282"/>
              </a:lnTo>
              <a:lnTo>
                <a:pt x="1448" y="301"/>
              </a:lnTo>
              <a:lnTo>
                <a:pt x="1439" y="338"/>
              </a:lnTo>
              <a:lnTo>
                <a:pt x="1414" y="360"/>
              </a:lnTo>
              <a:lnTo>
                <a:pt x="1376" y="448"/>
              </a:lnTo>
              <a:lnTo>
                <a:pt x="1379" y="46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38</xdr:row>
      <xdr:rowOff>152400</xdr:rowOff>
    </xdr:from>
    <xdr:to>
      <xdr:col>2</xdr:col>
      <xdr:colOff>2066925</xdr:colOff>
      <xdr:row>38</xdr:row>
      <xdr:rowOff>1104900</xdr:rowOff>
    </xdr:to>
    <xdr:sp macro="" textlink="">
      <xdr:nvSpPr>
        <xdr:cNvPr id="128" name="S_OK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/>
        </xdr:cNvSpPr>
      </xdr:nvSpPr>
      <xdr:spPr bwMode="auto">
        <a:xfrm>
          <a:off x="1924050" y="47215425"/>
          <a:ext cx="1924050" cy="952500"/>
        </a:xfrm>
        <a:custGeom>
          <a:avLst/>
          <a:gdLst>
            <a:gd name="T0" fmla="*/ 2147483647 w 1604"/>
            <a:gd name="T1" fmla="*/ 2147483647 h 799"/>
            <a:gd name="T2" fmla="*/ 2147483647 w 1604"/>
            <a:gd name="T3" fmla="*/ 2147483647 h 799"/>
            <a:gd name="T4" fmla="*/ 2147483647 w 1604"/>
            <a:gd name="T5" fmla="*/ 2147483647 h 799"/>
            <a:gd name="T6" fmla="*/ 2147483647 w 1604"/>
            <a:gd name="T7" fmla="*/ 0 h 799"/>
            <a:gd name="T8" fmla="*/ 2147483647 w 1604"/>
            <a:gd name="T9" fmla="*/ 0 h 799"/>
            <a:gd name="T10" fmla="*/ 2147483647 w 1604"/>
            <a:gd name="T11" fmla="*/ 0 h 799"/>
            <a:gd name="T12" fmla="*/ 2147483647 w 1604"/>
            <a:gd name="T13" fmla="*/ 0 h 799"/>
            <a:gd name="T14" fmla="*/ 2147483647 w 1604"/>
            <a:gd name="T15" fmla="*/ 0 h 799"/>
            <a:gd name="T16" fmla="*/ 2147483647 w 1604"/>
            <a:gd name="T17" fmla="*/ 0 h 799"/>
            <a:gd name="T18" fmla="*/ 2147483647 w 1604"/>
            <a:gd name="T19" fmla="*/ 0 h 799"/>
            <a:gd name="T20" fmla="*/ 2147483647 w 1604"/>
            <a:gd name="T21" fmla="*/ 2147483647 h 799"/>
            <a:gd name="T22" fmla="*/ 2147483647 w 1604"/>
            <a:gd name="T23" fmla="*/ 2147483647 h 799"/>
            <a:gd name="T24" fmla="*/ 2147483647 w 1604"/>
            <a:gd name="T25" fmla="*/ 0 h 799"/>
            <a:gd name="T26" fmla="*/ 2147483647 w 1604"/>
            <a:gd name="T27" fmla="*/ 0 h 799"/>
            <a:gd name="T28" fmla="*/ 2147483647 w 1604"/>
            <a:gd name="T29" fmla="*/ 0 h 799"/>
            <a:gd name="T30" fmla="*/ 2147483647 w 1604"/>
            <a:gd name="T31" fmla="*/ 0 h 799"/>
            <a:gd name="T32" fmla="*/ 2147483647 w 1604"/>
            <a:gd name="T33" fmla="*/ 2147483647 h 799"/>
            <a:gd name="T34" fmla="*/ 2147483647 w 1604"/>
            <a:gd name="T35" fmla="*/ 2147483647 h 799"/>
            <a:gd name="T36" fmla="*/ 2147483647 w 1604"/>
            <a:gd name="T37" fmla="*/ 2147483647 h 799"/>
            <a:gd name="T38" fmla="*/ 0 w 1604"/>
            <a:gd name="T39" fmla="*/ 0 h 799"/>
            <a:gd name="T40" fmla="*/ 2147483647 w 1604"/>
            <a:gd name="T41" fmla="*/ 2147483647 h 799"/>
            <a:gd name="T42" fmla="*/ 2147483647 w 1604"/>
            <a:gd name="T43" fmla="*/ 2147483647 h 799"/>
            <a:gd name="T44" fmla="*/ 2147483647 w 1604"/>
            <a:gd name="T45" fmla="*/ 2147483647 h 799"/>
            <a:gd name="T46" fmla="*/ 2147483647 w 1604"/>
            <a:gd name="T47" fmla="*/ 2147483647 h 799"/>
            <a:gd name="T48" fmla="*/ 2147483647 w 1604"/>
            <a:gd name="T49" fmla="*/ 2147483647 h 799"/>
            <a:gd name="T50" fmla="*/ 2147483647 w 1604"/>
            <a:gd name="T51" fmla="*/ 2147483647 h 799"/>
            <a:gd name="T52" fmla="*/ 2147483647 w 1604"/>
            <a:gd name="T53" fmla="*/ 2147483647 h 799"/>
            <a:gd name="T54" fmla="*/ 2147483647 w 1604"/>
            <a:gd name="T55" fmla="*/ 2147483647 h 799"/>
            <a:gd name="T56" fmla="*/ 2147483647 w 1604"/>
            <a:gd name="T57" fmla="*/ 2147483647 h 799"/>
            <a:gd name="T58" fmla="*/ 2147483647 w 1604"/>
            <a:gd name="T59" fmla="*/ 2147483647 h 799"/>
            <a:gd name="T60" fmla="*/ 2147483647 w 1604"/>
            <a:gd name="T61" fmla="*/ 2147483647 h 799"/>
            <a:gd name="T62" fmla="*/ 2147483647 w 1604"/>
            <a:gd name="T63" fmla="*/ 2147483647 h 799"/>
            <a:gd name="T64" fmla="*/ 2147483647 w 1604"/>
            <a:gd name="T65" fmla="*/ 2147483647 h 799"/>
            <a:gd name="T66" fmla="*/ 2147483647 w 1604"/>
            <a:gd name="T67" fmla="*/ 2147483647 h 799"/>
            <a:gd name="T68" fmla="*/ 2147483647 w 1604"/>
            <a:gd name="T69" fmla="*/ 2147483647 h 799"/>
            <a:gd name="T70" fmla="*/ 2147483647 w 1604"/>
            <a:gd name="T71" fmla="*/ 2147483647 h 799"/>
            <a:gd name="T72" fmla="*/ 2147483647 w 1604"/>
            <a:gd name="T73" fmla="*/ 2147483647 h 799"/>
            <a:gd name="T74" fmla="*/ 2147483647 w 1604"/>
            <a:gd name="T75" fmla="*/ 2147483647 h 799"/>
            <a:gd name="T76" fmla="*/ 2147483647 w 1604"/>
            <a:gd name="T77" fmla="*/ 2147483647 h 799"/>
            <a:gd name="T78" fmla="*/ 2147483647 w 1604"/>
            <a:gd name="T79" fmla="*/ 2147483647 h 799"/>
            <a:gd name="T80" fmla="*/ 2147483647 w 1604"/>
            <a:gd name="T81" fmla="*/ 2147483647 h 799"/>
            <a:gd name="T82" fmla="*/ 2147483647 w 1604"/>
            <a:gd name="T83" fmla="*/ 2147483647 h 799"/>
            <a:gd name="T84" fmla="*/ 2147483647 w 1604"/>
            <a:gd name="T85" fmla="*/ 2147483647 h 799"/>
            <a:gd name="T86" fmla="*/ 2147483647 w 1604"/>
            <a:gd name="T87" fmla="*/ 2147483647 h 799"/>
            <a:gd name="T88" fmla="*/ 2147483647 w 1604"/>
            <a:gd name="T89" fmla="*/ 2147483647 h 799"/>
            <a:gd name="T90" fmla="*/ 2147483647 w 1604"/>
            <a:gd name="T91" fmla="*/ 2147483647 h 799"/>
            <a:gd name="T92" fmla="*/ 2147483647 w 1604"/>
            <a:gd name="T93" fmla="*/ 2147483647 h 799"/>
            <a:gd name="T94" fmla="*/ 2147483647 w 1604"/>
            <a:gd name="T95" fmla="*/ 2147483647 h 799"/>
            <a:gd name="T96" fmla="*/ 2147483647 w 1604"/>
            <a:gd name="T97" fmla="*/ 2147483647 h 799"/>
            <a:gd name="T98" fmla="*/ 2147483647 w 1604"/>
            <a:gd name="T99" fmla="*/ 2147483647 h 799"/>
            <a:gd name="T100" fmla="*/ 2147483647 w 1604"/>
            <a:gd name="T101" fmla="*/ 2147483647 h 799"/>
            <a:gd name="T102" fmla="*/ 2147483647 w 1604"/>
            <a:gd name="T103" fmla="*/ 2147483647 h 799"/>
            <a:gd name="T104" fmla="*/ 2147483647 w 1604"/>
            <a:gd name="T105" fmla="*/ 2147483647 h 799"/>
            <a:gd name="T106" fmla="*/ 2147483647 w 1604"/>
            <a:gd name="T107" fmla="*/ 2147483647 h 799"/>
            <a:gd name="T108" fmla="*/ 2147483647 w 1604"/>
            <a:gd name="T109" fmla="*/ 2147483647 h 799"/>
            <a:gd name="T110" fmla="*/ 2147483647 w 1604"/>
            <a:gd name="T111" fmla="*/ 2147483647 h 799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w 1604"/>
            <a:gd name="T169" fmla="*/ 0 h 799"/>
            <a:gd name="T170" fmla="*/ 1604 w 1604"/>
            <a:gd name="T171" fmla="*/ 799 h 799"/>
          </a:gdLst>
          <a:ahLst/>
          <a:cxnLst>
            <a:cxn ang="T112">
              <a:pos x="T0" y="T1"/>
            </a:cxn>
            <a:cxn ang="T113">
              <a:pos x="T2" y="T3"/>
            </a:cxn>
            <a:cxn ang="T114">
              <a:pos x="T4" y="T5"/>
            </a:cxn>
            <a:cxn ang="T115">
              <a:pos x="T6" y="T7"/>
            </a:cxn>
            <a:cxn ang="T116">
              <a:pos x="T8" y="T9"/>
            </a:cxn>
            <a:cxn ang="T117">
              <a:pos x="T10" y="T11"/>
            </a:cxn>
            <a:cxn ang="T118">
              <a:pos x="T12" y="T13"/>
            </a:cxn>
            <a:cxn ang="T119">
              <a:pos x="T14" y="T15"/>
            </a:cxn>
            <a:cxn ang="T120">
              <a:pos x="T16" y="T17"/>
            </a:cxn>
            <a:cxn ang="T121">
              <a:pos x="T18" y="T19"/>
            </a:cxn>
            <a:cxn ang="T122">
              <a:pos x="T20" y="T21"/>
            </a:cxn>
            <a:cxn ang="T123">
              <a:pos x="T22" y="T23"/>
            </a:cxn>
            <a:cxn ang="T124">
              <a:pos x="T24" y="T25"/>
            </a:cxn>
            <a:cxn ang="T125">
              <a:pos x="T26" y="T27"/>
            </a:cxn>
            <a:cxn ang="T126">
              <a:pos x="T28" y="T29"/>
            </a:cxn>
            <a:cxn ang="T127">
              <a:pos x="T30" y="T31"/>
            </a:cxn>
            <a:cxn ang="T128">
              <a:pos x="T32" y="T33"/>
            </a:cxn>
            <a:cxn ang="T129">
              <a:pos x="T34" y="T35"/>
            </a:cxn>
            <a:cxn ang="T130">
              <a:pos x="T36" y="T37"/>
            </a:cxn>
            <a:cxn ang="T131">
              <a:pos x="T38" y="T39"/>
            </a:cxn>
            <a:cxn ang="T132">
              <a:pos x="T40" y="T41"/>
            </a:cxn>
            <a:cxn ang="T133">
              <a:pos x="T42" y="T43"/>
            </a:cxn>
            <a:cxn ang="T134">
              <a:pos x="T44" y="T45"/>
            </a:cxn>
            <a:cxn ang="T135">
              <a:pos x="T46" y="T47"/>
            </a:cxn>
            <a:cxn ang="T136">
              <a:pos x="T48" y="T49"/>
            </a:cxn>
            <a:cxn ang="T137">
              <a:pos x="T50" y="T51"/>
            </a:cxn>
            <a:cxn ang="T138">
              <a:pos x="T52" y="T53"/>
            </a:cxn>
            <a:cxn ang="T139">
              <a:pos x="T54" y="T55"/>
            </a:cxn>
            <a:cxn ang="T140">
              <a:pos x="T56" y="T57"/>
            </a:cxn>
            <a:cxn ang="T141">
              <a:pos x="T58" y="T59"/>
            </a:cxn>
            <a:cxn ang="T142">
              <a:pos x="T60" y="T61"/>
            </a:cxn>
            <a:cxn ang="T143">
              <a:pos x="T62" y="T63"/>
            </a:cxn>
            <a:cxn ang="T144">
              <a:pos x="T64" y="T65"/>
            </a:cxn>
            <a:cxn ang="T145">
              <a:pos x="T66" y="T67"/>
            </a:cxn>
            <a:cxn ang="T146">
              <a:pos x="T68" y="T69"/>
            </a:cxn>
            <a:cxn ang="T147">
              <a:pos x="T70" y="T71"/>
            </a:cxn>
            <a:cxn ang="T148">
              <a:pos x="T72" y="T73"/>
            </a:cxn>
            <a:cxn ang="T149">
              <a:pos x="T74" y="T75"/>
            </a:cxn>
            <a:cxn ang="T150">
              <a:pos x="T76" y="T77"/>
            </a:cxn>
            <a:cxn ang="T151">
              <a:pos x="T78" y="T79"/>
            </a:cxn>
            <a:cxn ang="T152">
              <a:pos x="T80" y="T81"/>
            </a:cxn>
            <a:cxn ang="T153">
              <a:pos x="T82" y="T83"/>
            </a:cxn>
            <a:cxn ang="T154">
              <a:pos x="T84" y="T85"/>
            </a:cxn>
            <a:cxn ang="T155">
              <a:pos x="T86" y="T87"/>
            </a:cxn>
            <a:cxn ang="T156">
              <a:pos x="T88" y="T89"/>
            </a:cxn>
            <a:cxn ang="T157">
              <a:pos x="T90" y="T91"/>
            </a:cxn>
            <a:cxn ang="T158">
              <a:pos x="T92" y="T93"/>
            </a:cxn>
            <a:cxn ang="T159">
              <a:pos x="T94" y="T95"/>
            </a:cxn>
            <a:cxn ang="T160">
              <a:pos x="T96" y="T97"/>
            </a:cxn>
            <a:cxn ang="T161">
              <a:pos x="T98" y="T99"/>
            </a:cxn>
            <a:cxn ang="T162">
              <a:pos x="T100" y="T101"/>
            </a:cxn>
            <a:cxn ang="T163">
              <a:pos x="T102" y="T103"/>
            </a:cxn>
            <a:cxn ang="T164">
              <a:pos x="T104" y="T105"/>
            </a:cxn>
            <a:cxn ang="T165">
              <a:pos x="T106" y="T107"/>
            </a:cxn>
            <a:cxn ang="T166">
              <a:pos x="T108" y="T109"/>
            </a:cxn>
            <a:cxn ang="T167">
              <a:pos x="T110" y="T111"/>
            </a:cxn>
          </a:cxnLst>
          <a:rect l="T168" t="T169" r="T170" b="T171"/>
          <a:pathLst>
            <a:path w="1604" h="799">
              <a:moveTo>
                <a:pt x="1579" y="198"/>
              </a:moveTo>
              <a:lnTo>
                <a:pt x="1575" y="164"/>
              </a:lnTo>
              <a:lnTo>
                <a:pt x="1573" y="148"/>
              </a:lnTo>
              <a:lnTo>
                <a:pt x="1568" y="119"/>
              </a:lnTo>
              <a:lnTo>
                <a:pt x="1568" y="95"/>
              </a:lnTo>
              <a:lnTo>
                <a:pt x="1568" y="84"/>
              </a:lnTo>
              <a:lnTo>
                <a:pt x="1568" y="79"/>
              </a:lnTo>
              <a:lnTo>
                <a:pt x="1568" y="77"/>
              </a:lnTo>
              <a:lnTo>
                <a:pt x="1568" y="62"/>
              </a:lnTo>
              <a:lnTo>
                <a:pt x="1568" y="56"/>
              </a:lnTo>
              <a:lnTo>
                <a:pt x="1568" y="33"/>
              </a:lnTo>
              <a:lnTo>
                <a:pt x="1568" y="10"/>
              </a:lnTo>
              <a:lnTo>
                <a:pt x="1568" y="1"/>
              </a:lnTo>
              <a:lnTo>
                <a:pt x="1567" y="1"/>
              </a:lnTo>
              <a:lnTo>
                <a:pt x="1544" y="1"/>
              </a:lnTo>
              <a:lnTo>
                <a:pt x="1495" y="0"/>
              </a:lnTo>
              <a:lnTo>
                <a:pt x="1484" y="0"/>
              </a:lnTo>
              <a:lnTo>
                <a:pt x="1451" y="0"/>
              </a:lnTo>
              <a:lnTo>
                <a:pt x="1438" y="0"/>
              </a:lnTo>
              <a:lnTo>
                <a:pt x="1421" y="0"/>
              </a:lnTo>
              <a:lnTo>
                <a:pt x="1403" y="0"/>
              </a:lnTo>
              <a:lnTo>
                <a:pt x="1399" y="0"/>
              </a:lnTo>
              <a:lnTo>
                <a:pt x="1380" y="0"/>
              </a:lnTo>
              <a:lnTo>
                <a:pt x="1371" y="0"/>
              </a:lnTo>
              <a:lnTo>
                <a:pt x="1350" y="0"/>
              </a:lnTo>
              <a:lnTo>
                <a:pt x="1334" y="0"/>
              </a:lnTo>
              <a:lnTo>
                <a:pt x="1317" y="0"/>
              </a:lnTo>
              <a:lnTo>
                <a:pt x="1310" y="0"/>
              </a:lnTo>
              <a:lnTo>
                <a:pt x="1287" y="0"/>
              </a:lnTo>
              <a:lnTo>
                <a:pt x="1228" y="0"/>
              </a:lnTo>
              <a:lnTo>
                <a:pt x="1212" y="0"/>
              </a:lnTo>
              <a:lnTo>
                <a:pt x="1194" y="0"/>
              </a:lnTo>
              <a:lnTo>
                <a:pt x="1170" y="0"/>
              </a:lnTo>
              <a:lnTo>
                <a:pt x="1147" y="0"/>
              </a:lnTo>
              <a:lnTo>
                <a:pt x="1123" y="0"/>
              </a:lnTo>
              <a:lnTo>
                <a:pt x="1095" y="0"/>
              </a:lnTo>
              <a:lnTo>
                <a:pt x="1064" y="1"/>
              </a:lnTo>
              <a:lnTo>
                <a:pt x="1052" y="0"/>
              </a:lnTo>
              <a:lnTo>
                <a:pt x="1036" y="1"/>
              </a:lnTo>
              <a:lnTo>
                <a:pt x="1030" y="0"/>
              </a:lnTo>
              <a:lnTo>
                <a:pt x="995" y="0"/>
              </a:lnTo>
              <a:lnTo>
                <a:pt x="973" y="1"/>
              </a:lnTo>
              <a:lnTo>
                <a:pt x="936" y="1"/>
              </a:lnTo>
              <a:lnTo>
                <a:pt x="927" y="1"/>
              </a:lnTo>
              <a:lnTo>
                <a:pt x="915" y="1"/>
              </a:lnTo>
              <a:lnTo>
                <a:pt x="912" y="1"/>
              </a:lnTo>
              <a:lnTo>
                <a:pt x="881" y="1"/>
              </a:lnTo>
              <a:lnTo>
                <a:pt x="872" y="1"/>
              </a:lnTo>
              <a:lnTo>
                <a:pt x="866" y="1"/>
              </a:lnTo>
              <a:lnTo>
                <a:pt x="843" y="1"/>
              </a:lnTo>
              <a:lnTo>
                <a:pt x="834" y="0"/>
              </a:lnTo>
              <a:lnTo>
                <a:pt x="796" y="0"/>
              </a:lnTo>
              <a:lnTo>
                <a:pt x="784" y="0"/>
              </a:lnTo>
              <a:lnTo>
                <a:pt x="750" y="0"/>
              </a:lnTo>
              <a:lnTo>
                <a:pt x="685" y="0"/>
              </a:lnTo>
              <a:lnTo>
                <a:pt x="679" y="0"/>
              </a:lnTo>
              <a:lnTo>
                <a:pt x="664" y="0"/>
              </a:lnTo>
              <a:lnTo>
                <a:pt x="655" y="0"/>
              </a:lnTo>
              <a:lnTo>
                <a:pt x="648" y="0"/>
              </a:lnTo>
              <a:lnTo>
                <a:pt x="575" y="0"/>
              </a:lnTo>
              <a:lnTo>
                <a:pt x="562" y="0"/>
              </a:lnTo>
              <a:lnTo>
                <a:pt x="561" y="0"/>
              </a:lnTo>
              <a:lnTo>
                <a:pt x="554" y="0"/>
              </a:lnTo>
              <a:lnTo>
                <a:pt x="545" y="0"/>
              </a:lnTo>
              <a:lnTo>
                <a:pt x="539" y="0"/>
              </a:lnTo>
              <a:lnTo>
                <a:pt x="456" y="0"/>
              </a:lnTo>
              <a:lnTo>
                <a:pt x="443" y="0"/>
              </a:lnTo>
              <a:lnTo>
                <a:pt x="385" y="1"/>
              </a:lnTo>
              <a:lnTo>
                <a:pt x="375" y="1"/>
              </a:lnTo>
              <a:lnTo>
                <a:pt x="362" y="1"/>
              </a:lnTo>
              <a:lnTo>
                <a:pt x="351" y="1"/>
              </a:lnTo>
              <a:lnTo>
                <a:pt x="304" y="1"/>
              </a:lnTo>
              <a:lnTo>
                <a:pt x="271" y="1"/>
              </a:lnTo>
              <a:lnTo>
                <a:pt x="235" y="2"/>
              </a:lnTo>
              <a:lnTo>
                <a:pt x="224" y="2"/>
              </a:lnTo>
              <a:lnTo>
                <a:pt x="182" y="2"/>
              </a:lnTo>
              <a:lnTo>
                <a:pt x="180" y="2"/>
              </a:lnTo>
              <a:lnTo>
                <a:pt x="71" y="1"/>
              </a:lnTo>
              <a:lnTo>
                <a:pt x="45" y="0"/>
              </a:lnTo>
              <a:lnTo>
                <a:pt x="0" y="0"/>
              </a:lnTo>
              <a:lnTo>
                <a:pt x="0" y="30"/>
              </a:lnTo>
              <a:lnTo>
                <a:pt x="0" y="66"/>
              </a:lnTo>
              <a:lnTo>
                <a:pt x="0" y="119"/>
              </a:lnTo>
              <a:lnTo>
                <a:pt x="72" y="118"/>
              </a:lnTo>
              <a:lnTo>
                <a:pt x="118" y="119"/>
              </a:lnTo>
              <a:lnTo>
                <a:pt x="158" y="119"/>
              </a:lnTo>
              <a:lnTo>
                <a:pt x="164" y="119"/>
              </a:lnTo>
              <a:lnTo>
                <a:pt x="167" y="119"/>
              </a:lnTo>
              <a:lnTo>
                <a:pt x="182" y="119"/>
              </a:lnTo>
              <a:lnTo>
                <a:pt x="207" y="119"/>
              </a:lnTo>
              <a:lnTo>
                <a:pt x="214" y="119"/>
              </a:lnTo>
              <a:lnTo>
                <a:pt x="258" y="119"/>
              </a:lnTo>
              <a:lnTo>
                <a:pt x="304" y="119"/>
              </a:lnTo>
              <a:lnTo>
                <a:pt x="328" y="119"/>
              </a:lnTo>
              <a:lnTo>
                <a:pt x="359" y="119"/>
              </a:lnTo>
              <a:lnTo>
                <a:pt x="375" y="119"/>
              </a:lnTo>
              <a:lnTo>
                <a:pt x="384" y="119"/>
              </a:lnTo>
              <a:lnTo>
                <a:pt x="398" y="119"/>
              </a:lnTo>
              <a:lnTo>
                <a:pt x="445" y="119"/>
              </a:lnTo>
              <a:lnTo>
                <a:pt x="459" y="119"/>
              </a:lnTo>
              <a:lnTo>
                <a:pt x="492" y="119"/>
              </a:lnTo>
              <a:lnTo>
                <a:pt x="494" y="119"/>
              </a:lnTo>
              <a:lnTo>
                <a:pt x="561" y="119"/>
              </a:lnTo>
              <a:lnTo>
                <a:pt x="562" y="119"/>
              </a:lnTo>
              <a:lnTo>
                <a:pt x="562" y="148"/>
              </a:lnTo>
              <a:lnTo>
                <a:pt x="562" y="224"/>
              </a:lnTo>
              <a:lnTo>
                <a:pt x="562" y="236"/>
              </a:lnTo>
              <a:lnTo>
                <a:pt x="562" y="256"/>
              </a:lnTo>
              <a:lnTo>
                <a:pt x="562" y="265"/>
              </a:lnTo>
              <a:lnTo>
                <a:pt x="562" y="277"/>
              </a:lnTo>
              <a:lnTo>
                <a:pt x="562" y="295"/>
              </a:lnTo>
              <a:lnTo>
                <a:pt x="562" y="326"/>
              </a:lnTo>
              <a:lnTo>
                <a:pt x="562" y="354"/>
              </a:lnTo>
              <a:lnTo>
                <a:pt x="562" y="362"/>
              </a:lnTo>
              <a:lnTo>
                <a:pt x="562" y="372"/>
              </a:lnTo>
              <a:lnTo>
                <a:pt x="562" y="404"/>
              </a:lnTo>
              <a:lnTo>
                <a:pt x="562" y="414"/>
              </a:lnTo>
              <a:lnTo>
                <a:pt x="562" y="429"/>
              </a:lnTo>
              <a:lnTo>
                <a:pt x="562" y="443"/>
              </a:lnTo>
              <a:lnTo>
                <a:pt x="562" y="465"/>
              </a:lnTo>
              <a:lnTo>
                <a:pt x="562" y="502"/>
              </a:lnTo>
              <a:lnTo>
                <a:pt x="562" y="518"/>
              </a:lnTo>
              <a:lnTo>
                <a:pt x="562" y="532"/>
              </a:lnTo>
              <a:lnTo>
                <a:pt x="562" y="577"/>
              </a:lnTo>
              <a:lnTo>
                <a:pt x="569" y="575"/>
              </a:lnTo>
              <a:lnTo>
                <a:pt x="570" y="575"/>
              </a:lnTo>
              <a:lnTo>
                <a:pt x="591" y="589"/>
              </a:lnTo>
              <a:lnTo>
                <a:pt x="609" y="610"/>
              </a:lnTo>
              <a:lnTo>
                <a:pt x="655" y="613"/>
              </a:lnTo>
              <a:lnTo>
                <a:pt x="660" y="616"/>
              </a:lnTo>
              <a:lnTo>
                <a:pt x="702" y="624"/>
              </a:lnTo>
              <a:lnTo>
                <a:pt x="710" y="630"/>
              </a:lnTo>
              <a:lnTo>
                <a:pt x="712" y="657"/>
              </a:lnTo>
              <a:lnTo>
                <a:pt x="726" y="663"/>
              </a:lnTo>
              <a:lnTo>
                <a:pt x="738" y="661"/>
              </a:lnTo>
              <a:lnTo>
                <a:pt x="758" y="663"/>
              </a:lnTo>
              <a:lnTo>
                <a:pt x="796" y="681"/>
              </a:lnTo>
              <a:lnTo>
                <a:pt x="819" y="672"/>
              </a:lnTo>
              <a:lnTo>
                <a:pt x="822" y="673"/>
              </a:lnTo>
              <a:lnTo>
                <a:pt x="832" y="679"/>
              </a:lnTo>
              <a:lnTo>
                <a:pt x="843" y="691"/>
              </a:lnTo>
              <a:lnTo>
                <a:pt x="857" y="692"/>
              </a:lnTo>
              <a:lnTo>
                <a:pt x="891" y="679"/>
              </a:lnTo>
              <a:lnTo>
                <a:pt x="904" y="682"/>
              </a:lnTo>
              <a:lnTo>
                <a:pt x="910" y="677"/>
              </a:lnTo>
              <a:lnTo>
                <a:pt x="919" y="676"/>
              </a:lnTo>
              <a:lnTo>
                <a:pt x="923" y="708"/>
              </a:lnTo>
              <a:lnTo>
                <a:pt x="940" y="708"/>
              </a:lnTo>
              <a:lnTo>
                <a:pt x="940" y="735"/>
              </a:lnTo>
              <a:lnTo>
                <a:pt x="959" y="745"/>
              </a:lnTo>
              <a:lnTo>
                <a:pt x="1006" y="716"/>
              </a:lnTo>
              <a:lnTo>
                <a:pt x="1018" y="733"/>
              </a:lnTo>
              <a:lnTo>
                <a:pt x="1025" y="731"/>
              </a:lnTo>
              <a:lnTo>
                <a:pt x="1030" y="729"/>
              </a:lnTo>
              <a:lnTo>
                <a:pt x="1033" y="729"/>
              </a:lnTo>
              <a:lnTo>
                <a:pt x="1052" y="752"/>
              </a:lnTo>
              <a:lnTo>
                <a:pt x="1090" y="738"/>
              </a:lnTo>
              <a:lnTo>
                <a:pt x="1088" y="766"/>
              </a:lnTo>
              <a:lnTo>
                <a:pt x="1099" y="776"/>
              </a:lnTo>
              <a:lnTo>
                <a:pt x="1134" y="721"/>
              </a:lnTo>
              <a:lnTo>
                <a:pt x="1136" y="719"/>
              </a:lnTo>
              <a:lnTo>
                <a:pt x="1170" y="750"/>
              </a:lnTo>
              <a:lnTo>
                <a:pt x="1199" y="734"/>
              </a:lnTo>
              <a:lnTo>
                <a:pt x="1200" y="734"/>
              </a:lnTo>
              <a:lnTo>
                <a:pt x="1196" y="739"/>
              </a:lnTo>
              <a:lnTo>
                <a:pt x="1216" y="763"/>
              </a:lnTo>
              <a:lnTo>
                <a:pt x="1231" y="762"/>
              </a:lnTo>
              <a:lnTo>
                <a:pt x="1240" y="774"/>
              </a:lnTo>
              <a:lnTo>
                <a:pt x="1263" y="765"/>
              </a:lnTo>
              <a:lnTo>
                <a:pt x="1310" y="739"/>
              </a:lnTo>
              <a:lnTo>
                <a:pt x="1339" y="747"/>
              </a:lnTo>
              <a:lnTo>
                <a:pt x="1355" y="738"/>
              </a:lnTo>
              <a:lnTo>
                <a:pt x="1357" y="734"/>
              </a:lnTo>
              <a:lnTo>
                <a:pt x="1384" y="729"/>
              </a:lnTo>
              <a:lnTo>
                <a:pt x="1384" y="723"/>
              </a:lnTo>
              <a:lnTo>
                <a:pt x="1392" y="724"/>
              </a:lnTo>
              <a:lnTo>
                <a:pt x="1397" y="734"/>
              </a:lnTo>
              <a:lnTo>
                <a:pt x="1395" y="736"/>
              </a:lnTo>
              <a:lnTo>
                <a:pt x="1439" y="737"/>
              </a:lnTo>
              <a:lnTo>
                <a:pt x="1445" y="738"/>
              </a:lnTo>
              <a:lnTo>
                <a:pt x="1451" y="724"/>
              </a:lnTo>
              <a:lnTo>
                <a:pt x="1468" y="723"/>
              </a:lnTo>
              <a:lnTo>
                <a:pt x="1474" y="724"/>
              </a:lnTo>
              <a:lnTo>
                <a:pt x="1474" y="731"/>
              </a:lnTo>
              <a:lnTo>
                <a:pt x="1498" y="742"/>
              </a:lnTo>
              <a:lnTo>
                <a:pt x="1520" y="768"/>
              </a:lnTo>
              <a:lnTo>
                <a:pt x="1531" y="772"/>
              </a:lnTo>
              <a:lnTo>
                <a:pt x="1530" y="764"/>
              </a:lnTo>
              <a:lnTo>
                <a:pt x="1543" y="768"/>
              </a:lnTo>
              <a:lnTo>
                <a:pt x="1543" y="777"/>
              </a:lnTo>
              <a:lnTo>
                <a:pt x="1547" y="776"/>
              </a:lnTo>
              <a:lnTo>
                <a:pt x="1545" y="779"/>
              </a:lnTo>
              <a:lnTo>
                <a:pt x="1567" y="784"/>
              </a:lnTo>
              <a:lnTo>
                <a:pt x="1586" y="799"/>
              </a:lnTo>
              <a:lnTo>
                <a:pt x="1594" y="794"/>
              </a:lnTo>
              <a:lnTo>
                <a:pt x="1595" y="734"/>
              </a:lnTo>
              <a:lnTo>
                <a:pt x="1595" y="729"/>
              </a:lnTo>
              <a:lnTo>
                <a:pt x="1595" y="723"/>
              </a:lnTo>
              <a:lnTo>
                <a:pt x="1595" y="719"/>
              </a:lnTo>
              <a:lnTo>
                <a:pt x="1596" y="679"/>
              </a:lnTo>
              <a:lnTo>
                <a:pt x="1596" y="665"/>
              </a:lnTo>
              <a:lnTo>
                <a:pt x="1597" y="650"/>
              </a:lnTo>
              <a:lnTo>
                <a:pt x="1598" y="600"/>
              </a:lnTo>
              <a:lnTo>
                <a:pt x="1598" y="590"/>
              </a:lnTo>
              <a:lnTo>
                <a:pt x="1598" y="556"/>
              </a:lnTo>
              <a:lnTo>
                <a:pt x="1599" y="547"/>
              </a:lnTo>
              <a:lnTo>
                <a:pt x="1599" y="537"/>
              </a:lnTo>
              <a:lnTo>
                <a:pt x="1600" y="502"/>
              </a:lnTo>
              <a:lnTo>
                <a:pt x="1600" y="500"/>
              </a:lnTo>
              <a:lnTo>
                <a:pt x="1600" y="488"/>
              </a:lnTo>
              <a:lnTo>
                <a:pt x="1602" y="414"/>
              </a:lnTo>
              <a:lnTo>
                <a:pt x="1604" y="384"/>
              </a:lnTo>
              <a:lnTo>
                <a:pt x="1604" y="381"/>
              </a:lnTo>
              <a:lnTo>
                <a:pt x="1604" y="380"/>
              </a:lnTo>
              <a:lnTo>
                <a:pt x="1604" y="379"/>
              </a:lnTo>
              <a:lnTo>
                <a:pt x="1600" y="354"/>
              </a:lnTo>
              <a:lnTo>
                <a:pt x="1600" y="352"/>
              </a:lnTo>
              <a:lnTo>
                <a:pt x="1596" y="322"/>
              </a:lnTo>
              <a:lnTo>
                <a:pt x="1595" y="313"/>
              </a:lnTo>
              <a:lnTo>
                <a:pt x="1594" y="306"/>
              </a:lnTo>
              <a:lnTo>
                <a:pt x="1592" y="293"/>
              </a:lnTo>
              <a:lnTo>
                <a:pt x="1591" y="284"/>
              </a:lnTo>
              <a:lnTo>
                <a:pt x="1589" y="266"/>
              </a:lnTo>
              <a:lnTo>
                <a:pt x="1581" y="213"/>
              </a:lnTo>
              <a:lnTo>
                <a:pt x="1580" y="206"/>
              </a:lnTo>
              <a:lnTo>
                <a:pt x="1579" y="19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304799</xdr:colOff>
      <xdr:row>40</xdr:row>
      <xdr:rowOff>133350</xdr:rowOff>
    </xdr:from>
    <xdr:to>
      <xdr:col>2</xdr:col>
      <xdr:colOff>2028824</xdr:colOff>
      <xdr:row>40</xdr:row>
      <xdr:rowOff>1133475</xdr:rowOff>
    </xdr:to>
    <xdr:sp macro="" textlink="">
      <xdr:nvSpPr>
        <xdr:cNvPr id="129" name="S_PA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/>
        </xdr:cNvSpPr>
      </xdr:nvSpPr>
      <xdr:spPr bwMode="auto">
        <a:xfrm>
          <a:off x="2085974" y="49730025"/>
          <a:ext cx="1724025" cy="1000125"/>
        </a:xfrm>
        <a:custGeom>
          <a:avLst/>
          <a:gdLst>
            <a:gd name="T0" fmla="*/ 2147483647 w 1090"/>
            <a:gd name="T1" fmla="*/ 2147483647 h 603"/>
            <a:gd name="T2" fmla="*/ 2147483647 w 1090"/>
            <a:gd name="T3" fmla="*/ 2147483647 h 603"/>
            <a:gd name="T4" fmla="*/ 2147483647 w 1090"/>
            <a:gd name="T5" fmla="*/ 2147483647 h 603"/>
            <a:gd name="T6" fmla="*/ 2147483647 w 1090"/>
            <a:gd name="T7" fmla="*/ 2147483647 h 603"/>
            <a:gd name="T8" fmla="*/ 2147483647 w 1090"/>
            <a:gd name="T9" fmla="*/ 2147483647 h 603"/>
            <a:gd name="T10" fmla="*/ 2147483647 w 1090"/>
            <a:gd name="T11" fmla="*/ 2147483647 h 603"/>
            <a:gd name="T12" fmla="*/ 2147483647 w 1090"/>
            <a:gd name="T13" fmla="*/ 2147483647 h 603"/>
            <a:gd name="T14" fmla="*/ 2147483647 w 1090"/>
            <a:gd name="T15" fmla="*/ 2147483647 h 603"/>
            <a:gd name="T16" fmla="*/ 2147483647 w 1090"/>
            <a:gd name="T17" fmla="*/ 2147483647 h 603"/>
            <a:gd name="T18" fmla="*/ 2147483647 w 1090"/>
            <a:gd name="T19" fmla="*/ 2147483647 h 603"/>
            <a:gd name="T20" fmla="*/ 2147483647 w 1090"/>
            <a:gd name="T21" fmla="*/ 2147483647 h 603"/>
            <a:gd name="T22" fmla="*/ 2147483647 w 1090"/>
            <a:gd name="T23" fmla="*/ 2147483647 h 603"/>
            <a:gd name="T24" fmla="*/ 2147483647 w 1090"/>
            <a:gd name="T25" fmla="*/ 2147483647 h 603"/>
            <a:gd name="T26" fmla="*/ 2147483647 w 1090"/>
            <a:gd name="T27" fmla="*/ 2147483647 h 603"/>
            <a:gd name="T28" fmla="*/ 2147483647 w 1090"/>
            <a:gd name="T29" fmla="*/ 2147483647 h 603"/>
            <a:gd name="T30" fmla="*/ 2147483647 w 1090"/>
            <a:gd name="T31" fmla="*/ 2147483647 h 603"/>
            <a:gd name="T32" fmla="*/ 2147483647 w 1090"/>
            <a:gd name="T33" fmla="*/ 2147483647 h 603"/>
            <a:gd name="T34" fmla="*/ 2147483647 w 1090"/>
            <a:gd name="T35" fmla="*/ 2147483647 h 603"/>
            <a:gd name="T36" fmla="*/ 2147483647 w 1090"/>
            <a:gd name="T37" fmla="*/ 2147483647 h 603"/>
            <a:gd name="T38" fmla="*/ 2147483647 w 1090"/>
            <a:gd name="T39" fmla="*/ 2147483647 h 603"/>
            <a:gd name="T40" fmla="*/ 2147483647 w 1090"/>
            <a:gd name="T41" fmla="*/ 2147483647 h 603"/>
            <a:gd name="T42" fmla="*/ 2147483647 w 1090"/>
            <a:gd name="T43" fmla="*/ 2147483647 h 603"/>
            <a:gd name="T44" fmla="*/ 2147483647 w 1090"/>
            <a:gd name="T45" fmla="*/ 2147483647 h 603"/>
            <a:gd name="T46" fmla="*/ 2147483647 w 1090"/>
            <a:gd name="T47" fmla="*/ 2147483647 h 603"/>
            <a:gd name="T48" fmla="*/ 2147483647 w 1090"/>
            <a:gd name="T49" fmla="*/ 2147483647 h 603"/>
            <a:gd name="T50" fmla="*/ 2147483647 w 1090"/>
            <a:gd name="T51" fmla="*/ 2147483647 h 603"/>
            <a:gd name="T52" fmla="*/ 2147483647 w 1090"/>
            <a:gd name="T53" fmla="*/ 2147483647 h 603"/>
            <a:gd name="T54" fmla="*/ 2147483647 w 1090"/>
            <a:gd name="T55" fmla="*/ 2147483647 h 603"/>
            <a:gd name="T56" fmla="*/ 2147483647 w 1090"/>
            <a:gd name="T57" fmla="*/ 2147483647 h 603"/>
            <a:gd name="T58" fmla="*/ 2147483647 w 1090"/>
            <a:gd name="T59" fmla="*/ 2147483647 h 603"/>
            <a:gd name="T60" fmla="*/ 2147483647 w 1090"/>
            <a:gd name="T61" fmla="*/ 2147483647 h 603"/>
            <a:gd name="T62" fmla="*/ 2147483647 w 1090"/>
            <a:gd name="T63" fmla="*/ 2147483647 h 603"/>
            <a:gd name="T64" fmla="*/ 2147483647 w 1090"/>
            <a:gd name="T65" fmla="*/ 2147483647 h 603"/>
            <a:gd name="T66" fmla="*/ 2147483647 w 1090"/>
            <a:gd name="T67" fmla="*/ 2147483647 h 603"/>
            <a:gd name="T68" fmla="*/ 2147483647 w 1090"/>
            <a:gd name="T69" fmla="*/ 2147483647 h 603"/>
            <a:gd name="T70" fmla="*/ 0 w 1090"/>
            <a:gd name="T71" fmla="*/ 2147483647 h 603"/>
            <a:gd name="T72" fmla="*/ 0 w 1090"/>
            <a:gd name="T73" fmla="*/ 2147483647 h 603"/>
            <a:gd name="T74" fmla="*/ 0 w 1090"/>
            <a:gd name="T75" fmla="*/ 2147483647 h 603"/>
            <a:gd name="T76" fmla="*/ 0 w 1090"/>
            <a:gd name="T77" fmla="*/ 2147483647 h 603"/>
            <a:gd name="T78" fmla="*/ 0 w 1090"/>
            <a:gd name="T79" fmla="*/ 2147483647 h 603"/>
            <a:gd name="T80" fmla="*/ 0 w 1090"/>
            <a:gd name="T81" fmla="*/ 2147483647 h 603"/>
            <a:gd name="T82" fmla="*/ 0 w 1090"/>
            <a:gd name="T83" fmla="*/ 2147483647 h 603"/>
            <a:gd name="T84" fmla="*/ 0 w 1090"/>
            <a:gd name="T85" fmla="*/ 2147483647 h 603"/>
            <a:gd name="T86" fmla="*/ 0 w 1090"/>
            <a:gd name="T87" fmla="*/ 2147483647 h 603"/>
            <a:gd name="T88" fmla="*/ 0 w 1090"/>
            <a:gd name="T89" fmla="*/ 2147483647 h 603"/>
            <a:gd name="T90" fmla="*/ 0 w 1090"/>
            <a:gd name="T91" fmla="*/ 2147483647 h 603"/>
            <a:gd name="T92" fmla="*/ 0 w 1090"/>
            <a:gd name="T93" fmla="*/ 2147483647 h 603"/>
            <a:gd name="T94" fmla="*/ 2147483647 w 1090"/>
            <a:gd name="T95" fmla="*/ 2147483647 h 603"/>
            <a:gd name="T96" fmla="*/ 2147483647 w 1090"/>
            <a:gd name="T97" fmla="*/ 2147483647 h 603"/>
            <a:gd name="T98" fmla="*/ 2147483647 w 1090"/>
            <a:gd name="T99" fmla="*/ 2147483647 h 603"/>
            <a:gd name="T100" fmla="*/ 2147483647 w 1090"/>
            <a:gd name="T101" fmla="*/ 2147483647 h 603"/>
            <a:gd name="T102" fmla="*/ 2147483647 w 1090"/>
            <a:gd name="T103" fmla="*/ 2147483647 h 603"/>
            <a:gd name="T104" fmla="*/ 2147483647 w 1090"/>
            <a:gd name="T105" fmla="*/ 2147483647 h 603"/>
            <a:gd name="T106" fmla="*/ 2147483647 w 1090"/>
            <a:gd name="T107" fmla="*/ 2147483647 h 603"/>
            <a:gd name="T108" fmla="*/ 2147483647 w 1090"/>
            <a:gd name="T109" fmla="*/ 2147483647 h 603"/>
            <a:gd name="T110" fmla="*/ 2147483647 w 1090"/>
            <a:gd name="T111" fmla="*/ 2147483647 h 603"/>
            <a:gd name="T112" fmla="*/ 2147483647 w 1090"/>
            <a:gd name="T113" fmla="*/ 2147483647 h 603"/>
            <a:gd name="T114" fmla="*/ 2147483647 w 1090"/>
            <a:gd name="T115" fmla="*/ 2147483647 h 603"/>
            <a:gd name="T116" fmla="*/ 2147483647 w 1090"/>
            <a:gd name="T117" fmla="*/ 2147483647 h 603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090"/>
            <a:gd name="T178" fmla="*/ 0 h 603"/>
            <a:gd name="T179" fmla="*/ 1090 w 1090"/>
            <a:gd name="T180" fmla="*/ 603 h 603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090" h="603">
              <a:moveTo>
                <a:pt x="659" y="603"/>
              </a:moveTo>
              <a:lnTo>
                <a:pt x="674" y="603"/>
              </a:lnTo>
              <a:lnTo>
                <a:pt x="678" y="603"/>
              </a:lnTo>
              <a:lnTo>
                <a:pt x="698" y="603"/>
              </a:lnTo>
              <a:lnTo>
                <a:pt x="709" y="603"/>
              </a:lnTo>
              <a:lnTo>
                <a:pt x="732" y="603"/>
              </a:lnTo>
              <a:lnTo>
                <a:pt x="739" y="603"/>
              </a:lnTo>
              <a:lnTo>
                <a:pt x="748" y="603"/>
              </a:lnTo>
              <a:lnTo>
                <a:pt x="752" y="603"/>
              </a:lnTo>
              <a:lnTo>
                <a:pt x="801" y="603"/>
              </a:lnTo>
              <a:lnTo>
                <a:pt x="802" y="603"/>
              </a:lnTo>
              <a:lnTo>
                <a:pt x="820" y="603"/>
              </a:lnTo>
              <a:lnTo>
                <a:pt x="849" y="603"/>
              </a:lnTo>
              <a:lnTo>
                <a:pt x="868" y="602"/>
              </a:lnTo>
              <a:lnTo>
                <a:pt x="885" y="602"/>
              </a:lnTo>
              <a:lnTo>
                <a:pt x="888" y="602"/>
              </a:lnTo>
              <a:lnTo>
                <a:pt x="891" y="595"/>
              </a:lnTo>
              <a:lnTo>
                <a:pt x="921" y="575"/>
              </a:lnTo>
              <a:lnTo>
                <a:pt x="924" y="575"/>
              </a:lnTo>
              <a:lnTo>
                <a:pt x="939" y="576"/>
              </a:lnTo>
              <a:lnTo>
                <a:pt x="955" y="584"/>
              </a:lnTo>
              <a:lnTo>
                <a:pt x="963" y="578"/>
              </a:lnTo>
              <a:lnTo>
                <a:pt x="986" y="571"/>
              </a:lnTo>
              <a:lnTo>
                <a:pt x="994" y="569"/>
              </a:lnTo>
              <a:lnTo>
                <a:pt x="995" y="567"/>
              </a:lnTo>
              <a:lnTo>
                <a:pt x="996" y="566"/>
              </a:lnTo>
              <a:lnTo>
                <a:pt x="1006" y="563"/>
              </a:lnTo>
              <a:lnTo>
                <a:pt x="1009" y="560"/>
              </a:lnTo>
              <a:lnTo>
                <a:pt x="1010" y="545"/>
              </a:lnTo>
              <a:lnTo>
                <a:pt x="1021" y="539"/>
              </a:lnTo>
              <a:lnTo>
                <a:pt x="1022" y="536"/>
              </a:lnTo>
              <a:lnTo>
                <a:pt x="1032" y="530"/>
              </a:lnTo>
              <a:lnTo>
                <a:pt x="1037" y="525"/>
              </a:lnTo>
              <a:lnTo>
                <a:pt x="1056" y="517"/>
              </a:lnTo>
              <a:lnTo>
                <a:pt x="1068" y="506"/>
              </a:lnTo>
              <a:lnTo>
                <a:pt x="1085" y="502"/>
              </a:lnTo>
              <a:lnTo>
                <a:pt x="1062" y="478"/>
              </a:lnTo>
              <a:lnTo>
                <a:pt x="1056" y="466"/>
              </a:lnTo>
              <a:lnTo>
                <a:pt x="1043" y="456"/>
              </a:lnTo>
              <a:lnTo>
                <a:pt x="1042" y="448"/>
              </a:lnTo>
              <a:lnTo>
                <a:pt x="1010" y="400"/>
              </a:lnTo>
              <a:lnTo>
                <a:pt x="997" y="396"/>
              </a:lnTo>
              <a:lnTo>
                <a:pt x="997" y="394"/>
              </a:lnTo>
              <a:lnTo>
                <a:pt x="996" y="393"/>
              </a:lnTo>
              <a:lnTo>
                <a:pt x="996" y="360"/>
              </a:lnTo>
              <a:lnTo>
                <a:pt x="1022" y="330"/>
              </a:lnTo>
              <a:lnTo>
                <a:pt x="1010" y="307"/>
              </a:lnTo>
              <a:lnTo>
                <a:pt x="1007" y="303"/>
              </a:lnTo>
              <a:lnTo>
                <a:pt x="1032" y="283"/>
              </a:lnTo>
              <a:lnTo>
                <a:pt x="1039" y="277"/>
              </a:lnTo>
              <a:lnTo>
                <a:pt x="1034" y="278"/>
              </a:lnTo>
              <a:lnTo>
                <a:pt x="1053" y="258"/>
              </a:lnTo>
              <a:lnTo>
                <a:pt x="1060" y="241"/>
              </a:lnTo>
              <a:lnTo>
                <a:pt x="1078" y="219"/>
              </a:lnTo>
              <a:lnTo>
                <a:pt x="1090" y="216"/>
              </a:lnTo>
              <a:lnTo>
                <a:pt x="1088" y="212"/>
              </a:lnTo>
              <a:lnTo>
                <a:pt x="1079" y="199"/>
              </a:lnTo>
              <a:lnTo>
                <a:pt x="1078" y="200"/>
              </a:lnTo>
              <a:lnTo>
                <a:pt x="1056" y="196"/>
              </a:lnTo>
              <a:lnTo>
                <a:pt x="1032" y="180"/>
              </a:lnTo>
              <a:lnTo>
                <a:pt x="1019" y="158"/>
              </a:lnTo>
              <a:lnTo>
                <a:pt x="1024" y="152"/>
              </a:lnTo>
              <a:lnTo>
                <a:pt x="1022" y="123"/>
              </a:lnTo>
              <a:lnTo>
                <a:pt x="1005" y="100"/>
              </a:lnTo>
              <a:lnTo>
                <a:pt x="1001" y="95"/>
              </a:lnTo>
              <a:lnTo>
                <a:pt x="986" y="97"/>
              </a:lnTo>
              <a:lnTo>
                <a:pt x="965" y="64"/>
              </a:lnTo>
              <a:lnTo>
                <a:pt x="963" y="63"/>
              </a:lnTo>
              <a:lnTo>
                <a:pt x="942" y="64"/>
              </a:lnTo>
              <a:lnTo>
                <a:pt x="883" y="64"/>
              </a:lnTo>
              <a:lnTo>
                <a:pt x="846" y="64"/>
              </a:lnTo>
              <a:lnTo>
                <a:pt x="826" y="64"/>
              </a:lnTo>
              <a:lnTo>
                <a:pt x="822" y="64"/>
              </a:lnTo>
              <a:lnTo>
                <a:pt x="818" y="64"/>
              </a:lnTo>
              <a:lnTo>
                <a:pt x="799" y="64"/>
              </a:lnTo>
              <a:lnTo>
                <a:pt x="775" y="64"/>
              </a:lnTo>
              <a:lnTo>
                <a:pt x="741" y="64"/>
              </a:lnTo>
              <a:lnTo>
                <a:pt x="697" y="63"/>
              </a:lnTo>
              <a:lnTo>
                <a:pt x="682" y="63"/>
              </a:lnTo>
              <a:lnTo>
                <a:pt x="672" y="63"/>
              </a:lnTo>
              <a:lnTo>
                <a:pt x="665" y="63"/>
              </a:lnTo>
              <a:lnTo>
                <a:pt x="643" y="64"/>
              </a:lnTo>
              <a:lnTo>
                <a:pt x="563" y="64"/>
              </a:lnTo>
              <a:lnTo>
                <a:pt x="544" y="64"/>
              </a:lnTo>
              <a:lnTo>
                <a:pt x="542" y="64"/>
              </a:lnTo>
              <a:lnTo>
                <a:pt x="526" y="64"/>
              </a:lnTo>
              <a:lnTo>
                <a:pt x="518" y="64"/>
              </a:lnTo>
              <a:lnTo>
                <a:pt x="489" y="64"/>
              </a:lnTo>
              <a:lnTo>
                <a:pt x="448" y="64"/>
              </a:lnTo>
              <a:lnTo>
                <a:pt x="433" y="64"/>
              </a:lnTo>
              <a:lnTo>
                <a:pt x="424" y="64"/>
              </a:lnTo>
              <a:lnTo>
                <a:pt x="413" y="64"/>
              </a:lnTo>
              <a:lnTo>
                <a:pt x="355" y="64"/>
              </a:lnTo>
              <a:lnTo>
                <a:pt x="311" y="64"/>
              </a:lnTo>
              <a:lnTo>
                <a:pt x="299" y="64"/>
              </a:lnTo>
              <a:lnTo>
                <a:pt x="286" y="64"/>
              </a:lnTo>
              <a:lnTo>
                <a:pt x="284" y="64"/>
              </a:lnTo>
              <a:lnTo>
                <a:pt x="272" y="64"/>
              </a:lnTo>
              <a:lnTo>
                <a:pt x="251" y="64"/>
              </a:lnTo>
              <a:lnTo>
                <a:pt x="196" y="64"/>
              </a:lnTo>
              <a:lnTo>
                <a:pt x="171" y="64"/>
              </a:lnTo>
              <a:lnTo>
                <a:pt x="163" y="64"/>
              </a:lnTo>
              <a:lnTo>
                <a:pt x="142" y="64"/>
              </a:lnTo>
              <a:lnTo>
                <a:pt x="142" y="0"/>
              </a:lnTo>
              <a:lnTo>
                <a:pt x="69" y="34"/>
              </a:lnTo>
              <a:lnTo>
                <a:pt x="13" y="64"/>
              </a:lnTo>
              <a:lnTo>
                <a:pt x="0" y="70"/>
              </a:lnTo>
              <a:lnTo>
                <a:pt x="0" y="93"/>
              </a:lnTo>
              <a:lnTo>
                <a:pt x="0" y="100"/>
              </a:lnTo>
              <a:lnTo>
                <a:pt x="0" y="132"/>
              </a:lnTo>
              <a:lnTo>
                <a:pt x="0" y="152"/>
              </a:lnTo>
              <a:lnTo>
                <a:pt x="0" y="182"/>
              </a:lnTo>
              <a:lnTo>
                <a:pt x="0" y="184"/>
              </a:lnTo>
              <a:lnTo>
                <a:pt x="0" y="212"/>
              </a:lnTo>
              <a:lnTo>
                <a:pt x="0" y="231"/>
              </a:lnTo>
              <a:lnTo>
                <a:pt x="0" y="269"/>
              </a:lnTo>
              <a:lnTo>
                <a:pt x="0" y="271"/>
              </a:lnTo>
              <a:lnTo>
                <a:pt x="0" y="300"/>
              </a:lnTo>
              <a:lnTo>
                <a:pt x="0" y="306"/>
              </a:lnTo>
              <a:lnTo>
                <a:pt x="0" y="323"/>
              </a:lnTo>
              <a:lnTo>
                <a:pt x="0" y="330"/>
              </a:lnTo>
              <a:lnTo>
                <a:pt x="0" y="335"/>
              </a:lnTo>
              <a:lnTo>
                <a:pt x="0" y="349"/>
              </a:lnTo>
              <a:lnTo>
                <a:pt x="0" y="365"/>
              </a:lnTo>
              <a:lnTo>
                <a:pt x="0" y="386"/>
              </a:lnTo>
              <a:lnTo>
                <a:pt x="0" y="389"/>
              </a:lnTo>
              <a:lnTo>
                <a:pt x="0" y="396"/>
              </a:lnTo>
              <a:lnTo>
                <a:pt x="0" y="424"/>
              </a:lnTo>
              <a:lnTo>
                <a:pt x="0" y="428"/>
              </a:lnTo>
              <a:lnTo>
                <a:pt x="0" y="435"/>
              </a:lnTo>
              <a:lnTo>
                <a:pt x="0" y="442"/>
              </a:lnTo>
              <a:lnTo>
                <a:pt x="0" y="478"/>
              </a:lnTo>
              <a:lnTo>
                <a:pt x="0" y="482"/>
              </a:lnTo>
              <a:lnTo>
                <a:pt x="0" y="499"/>
              </a:lnTo>
              <a:lnTo>
                <a:pt x="0" y="503"/>
              </a:lnTo>
              <a:lnTo>
                <a:pt x="0" y="521"/>
              </a:lnTo>
              <a:lnTo>
                <a:pt x="0" y="532"/>
              </a:lnTo>
              <a:lnTo>
                <a:pt x="0" y="536"/>
              </a:lnTo>
              <a:lnTo>
                <a:pt x="0" y="545"/>
              </a:lnTo>
              <a:lnTo>
                <a:pt x="0" y="595"/>
              </a:lnTo>
              <a:lnTo>
                <a:pt x="0" y="598"/>
              </a:lnTo>
              <a:lnTo>
                <a:pt x="0" y="603"/>
              </a:lnTo>
              <a:lnTo>
                <a:pt x="4" y="603"/>
              </a:lnTo>
              <a:lnTo>
                <a:pt x="19" y="603"/>
              </a:lnTo>
              <a:lnTo>
                <a:pt x="25" y="603"/>
              </a:lnTo>
              <a:lnTo>
                <a:pt x="27" y="603"/>
              </a:lnTo>
              <a:lnTo>
                <a:pt x="113" y="603"/>
              </a:lnTo>
              <a:lnTo>
                <a:pt x="120" y="603"/>
              </a:lnTo>
              <a:lnTo>
                <a:pt x="132" y="603"/>
              </a:lnTo>
              <a:lnTo>
                <a:pt x="142" y="603"/>
              </a:lnTo>
              <a:lnTo>
                <a:pt x="175" y="603"/>
              </a:lnTo>
              <a:lnTo>
                <a:pt x="181" y="603"/>
              </a:lnTo>
              <a:lnTo>
                <a:pt x="195" y="603"/>
              </a:lnTo>
              <a:lnTo>
                <a:pt x="201" y="603"/>
              </a:lnTo>
              <a:lnTo>
                <a:pt x="207" y="603"/>
              </a:lnTo>
              <a:lnTo>
                <a:pt x="211" y="603"/>
              </a:lnTo>
              <a:lnTo>
                <a:pt x="268" y="602"/>
              </a:lnTo>
              <a:lnTo>
                <a:pt x="275" y="602"/>
              </a:lnTo>
              <a:lnTo>
                <a:pt x="300" y="602"/>
              </a:lnTo>
              <a:lnTo>
                <a:pt x="308" y="602"/>
              </a:lnTo>
              <a:lnTo>
                <a:pt x="313" y="602"/>
              </a:lnTo>
              <a:lnTo>
                <a:pt x="320" y="602"/>
              </a:lnTo>
              <a:lnTo>
                <a:pt x="371" y="602"/>
              </a:lnTo>
              <a:lnTo>
                <a:pt x="378" y="602"/>
              </a:lnTo>
              <a:lnTo>
                <a:pt x="401" y="602"/>
              </a:lnTo>
              <a:lnTo>
                <a:pt x="407" y="602"/>
              </a:lnTo>
              <a:lnTo>
                <a:pt x="424" y="602"/>
              </a:lnTo>
              <a:lnTo>
                <a:pt x="425" y="602"/>
              </a:lnTo>
              <a:lnTo>
                <a:pt x="453" y="602"/>
              </a:lnTo>
              <a:lnTo>
                <a:pt x="471" y="602"/>
              </a:lnTo>
              <a:lnTo>
                <a:pt x="564" y="603"/>
              </a:lnTo>
              <a:lnTo>
                <a:pt x="571" y="603"/>
              </a:lnTo>
              <a:lnTo>
                <a:pt x="573" y="603"/>
              </a:lnTo>
              <a:lnTo>
                <a:pt x="578" y="603"/>
              </a:lnTo>
              <a:lnTo>
                <a:pt x="599" y="603"/>
              </a:lnTo>
              <a:lnTo>
                <a:pt x="618" y="603"/>
              </a:lnTo>
              <a:lnTo>
                <a:pt x="648" y="603"/>
              </a:lnTo>
              <a:lnTo>
                <a:pt x="659" y="60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447674</xdr:colOff>
      <xdr:row>43</xdr:row>
      <xdr:rowOff>152400</xdr:rowOff>
    </xdr:from>
    <xdr:to>
      <xdr:col>2</xdr:col>
      <xdr:colOff>1885949</xdr:colOff>
      <xdr:row>43</xdr:row>
      <xdr:rowOff>1085850</xdr:rowOff>
    </xdr:to>
    <xdr:sp macro="" textlink="">
      <xdr:nvSpPr>
        <xdr:cNvPr id="134" name="S_SC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/>
        </xdr:cNvSpPr>
      </xdr:nvSpPr>
      <xdr:spPr bwMode="auto">
        <a:xfrm>
          <a:off x="2228849" y="53549550"/>
          <a:ext cx="1438275" cy="933450"/>
        </a:xfrm>
        <a:custGeom>
          <a:avLst/>
          <a:gdLst>
            <a:gd name="T0" fmla="*/ 2147483647 w 900"/>
            <a:gd name="T1" fmla="*/ 2147483647 h 744"/>
            <a:gd name="T2" fmla="*/ 2147483647 w 900"/>
            <a:gd name="T3" fmla="*/ 2147483647 h 744"/>
            <a:gd name="T4" fmla="*/ 2147483647 w 900"/>
            <a:gd name="T5" fmla="*/ 2147483647 h 744"/>
            <a:gd name="T6" fmla="*/ 2147483647 w 900"/>
            <a:gd name="T7" fmla="*/ 2147483647 h 744"/>
            <a:gd name="T8" fmla="*/ 2147483647 w 900"/>
            <a:gd name="T9" fmla="*/ 2147483647 h 744"/>
            <a:gd name="T10" fmla="*/ 2147483647 w 900"/>
            <a:gd name="T11" fmla="*/ 2147483647 h 744"/>
            <a:gd name="T12" fmla="*/ 2147483647 w 900"/>
            <a:gd name="T13" fmla="*/ 2147483647 h 744"/>
            <a:gd name="T14" fmla="*/ 2147483647 w 900"/>
            <a:gd name="T15" fmla="*/ 2147483647 h 744"/>
            <a:gd name="T16" fmla="*/ 2147483647 w 900"/>
            <a:gd name="T17" fmla="*/ 2147483647 h 744"/>
            <a:gd name="T18" fmla="*/ 2147483647 w 900"/>
            <a:gd name="T19" fmla="*/ 2147483647 h 744"/>
            <a:gd name="T20" fmla="*/ 2147483647 w 900"/>
            <a:gd name="T21" fmla="*/ 2147483647 h 744"/>
            <a:gd name="T22" fmla="*/ 2147483647 w 900"/>
            <a:gd name="T23" fmla="*/ 2147483647 h 744"/>
            <a:gd name="T24" fmla="*/ 2147483647 w 900"/>
            <a:gd name="T25" fmla="*/ 2147483647 h 744"/>
            <a:gd name="T26" fmla="*/ 2147483647 w 900"/>
            <a:gd name="T27" fmla="*/ 2147483647 h 744"/>
            <a:gd name="T28" fmla="*/ 2147483647 w 900"/>
            <a:gd name="T29" fmla="*/ 2147483647 h 744"/>
            <a:gd name="T30" fmla="*/ 2147483647 w 900"/>
            <a:gd name="T31" fmla="*/ 2147483647 h 744"/>
            <a:gd name="T32" fmla="*/ 2147483647 w 900"/>
            <a:gd name="T33" fmla="*/ 2147483647 h 744"/>
            <a:gd name="T34" fmla="*/ 2147483647 w 900"/>
            <a:gd name="T35" fmla="*/ 2147483647 h 744"/>
            <a:gd name="T36" fmla="*/ 2147483647 w 900"/>
            <a:gd name="T37" fmla="*/ 2147483647 h 744"/>
            <a:gd name="T38" fmla="*/ 2147483647 w 900"/>
            <a:gd name="T39" fmla="*/ 2147483647 h 744"/>
            <a:gd name="T40" fmla="*/ 2147483647 w 900"/>
            <a:gd name="T41" fmla="*/ 2147483647 h 744"/>
            <a:gd name="T42" fmla="*/ 2147483647 w 900"/>
            <a:gd name="T43" fmla="*/ 2147483647 h 744"/>
            <a:gd name="T44" fmla="*/ 2147483647 w 900"/>
            <a:gd name="T45" fmla="*/ 2147483647 h 744"/>
            <a:gd name="T46" fmla="*/ 2147483647 w 900"/>
            <a:gd name="T47" fmla="*/ 2147483647 h 744"/>
            <a:gd name="T48" fmla="*/ 2147483647 w 900"/>
            <a:gd name="T49" fmla="*/ 2147483647 h 744"/>
            <a:gd name="T50" fmla="*/ 2147483647 w 900"/>
            <a:gd name="T51" fmla="*/ 2147483647 h 744"/>
            <a:gd name="T52" fmla="*/ 2147483647 w 900"/>
            <a:gd name="T53" fmla="*/ 2147483647 h 744"/>
            <a:gd name="T54" fmla="*/ 2147483647 w 900"/>
            <a:gd name="T55" fmla="*/ 2147483647 h 744"/>
            <a:gd name="T56" fmla="*/ 2147483647 w 900"/>
            <a:gd name="T57" fmla="*/ 2147483647 h 744"/>
            <a:gd name="T58" fmla="*/ 2147483647 w 900"/>
            <a:gd name="T59" fmla="*/ 2147483647 h 744"/>
            <a:gd name="T60" fmla="*/ 2147483647 w 900"/>
            <a:gd name="T61" fmla="*/ 2147483647 h 744"/>
            <a:gd name="T62" fmla="*/ 2147483647 w 900"/>
            <a:gd name="T63" fmla="*/ 2147483647 h 744"/>
            <a:gd name="T64" fmla="*/ 2147483647 w 900"/>
            <a:gd name="T65" fmla="*/ 2147483647 h 744"/>
            <a:gd name="T66" fmla="*/ 2147483647 w 900"/>
            <a:gd name="T67" fmla="*/ 2147483647 h 744"/>
            <a:gd name="T68" fmla="*/ 2147483647 w 900"/>
            <a:gd name="T69" fmla="*/ 2147483647 h 744"/>
            <a:gd name="T70" fmla="*/ 2147483647 w 900"/>
            <a:gd name="T71" fmla="*/ 2147483647 h 744"/>
            <a:gd name="T72" fmla="*/ 2147483647 w 900"/>
            <a:gd name="T73" fmla="*/ 0 h 744"/>
            <a:gd name="T74" fmla="*/ 2147483647 w 900"/>
            <a:gd name="T75" fmla="*/ 2147483647 h 744"/>
            <a:gd name="T76" fmla="*/ 2147483647 w 900"/>
            <a:gd name="T77" fmla="*/ 2147483647 h 744"/>
            <a:gd name="T78" fmla="*/ 2147483647 w 900"/>
            <a:gd name="T79" fmla="*/ 2147483647 h 744"/>
            <a:gd name="T80" fmla="*/ 2147483647 w 900"/>
            <a:gd name="T81" fmla="*/ 2147483647 h 744"/>
            <a:gd name="T82" fmla="*/ 0 w 900"/>
            <a:gd name="T83" fmla="*/ 2147483647 h 744"/>
            <a:gd name="T84" fmla="*/ 2147483647 w 900"/>
            <a:gd name="T85" fmla="*/ 2147483647 h 744"/>
            <a:gd name="T86" fmla="*/ 2147483647 w 900"/>
            <a:gd name="T87" fmla="*/ 2147483647 h 744"/>
            <a:gd name="T88" fmla="*/ 2147483647 w 900"/>
            <a:gd name="T89" fmla="*/ 2147483647 h 744"/>
            <a:gd name="T90" fmla="*/ 2147483647 w 900"/>
            <a:gd name="T91" fmla="*/ 2147483647 h 744"/>
            <a:gd name="T92" fmla="*/ 2147483647 w 900"/>
            <a:gd name="T93" fmla="*/ 2147483647 h 744"/>
            <a:gd name="T94" fmla="*/ 2147483647 w 900"/>
            <a:gd name="T95" fmla="*/ 2147483647 h 74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00"/>
            <a:gd name="T145" fmla="*/ 0 h 744"/>
            <a:gd name="T146" fmla="*/ 900 w 900"/>
            <a:gd name="T147" fmla="*/ 744 h 74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00" h="744">
              <a:moveTo>
                <a:pt x="142" y="279"/>
              </a:moveTo>
              <a:lnTo>
                <a:pt x="142" y="281"/>
              </a:lnTo>
              <a:lnTo>
                <a:pt x="143" y="282"/>
              </a:lnTo>
              <a:lnTo>
                <a:pt x="147" y="293"/>
              </a:lnTo>
              <a:lnTo>
                <a:pt x="183" y="319"/>
              </a:lnTo>
              <a:lnTo>
                <a:pt x="206" y="341"/>
              </a:lnTo>
              <a:lnTo>
                <a:pt x="213" y="357"/>
              </a:lnTo>
              <a:lnTo>
                <a:pt x="218" y="371"/>
              </a:lnTo>
              <a:lnTo>
                <a:pt x="230" y="380"/>
              </a:lnTo>
              <a:lnTo>
                <a:pt x="232" y="378"/>
              </a:lnTo>
              <a:lnTo>
                <a:pt x="247" y="389"/>
              </a:lnTo>
              <a:lnTo>
                <a:pt x="247" y="390"/>
              </a:lnTo>
              <a:lnTo>
                <a:pt x="248" y="390"/>
              </a:lnTo>
              <a:lnTo>
                <a:pt x="249" y="392"/>
              </a:lnTo>
              <a:lnTo>
                <a:pt x="267" y="430"/>
              </a:lnTo>
              <a:lnTo>
                <a:pt x="277" y="445"/>
              </a:lnTo>
              <a:lnTo>
                <a:pt x="281" y="461"/>
              </a:lnTo>
              <a:lnTo>
                <a:pt x="298" y="472"/>
              </a:lnTo>
              <a:lnTo>
                <a:pt x="300" y="485"/>
              </a:lnTo>
              <a:lnTo>
                <a:pt x="306" y="490"/>
              </a:lnTo>
              <a:lnTo>
                <a:pt x="325" y="496"/>
              </a:lnTo>
              <a:lnTo>
                <a:pt x="339" y="508"/>
              </a:lnTo>
              <a:lnTo>
                <a:pt x="348" y="517"/>
              </a:lnTo>
              <a:lnTo>
                <a:pt x="346" y="535"/>
              </a:lnTo>
              <a:lnTo>
                <a:pt x="364" y="580"/>
              </a:lnTo>
              <a:lnTo>
                <a:pt x="362" y="608"/>
              </a:lnTo>
              <a:lnTo>
                <a:pt x="368" y="615"/>
              </a:lnTo>
              <a:lnTo>
                <a:pt x="370" y="616"/>
              </a:lnTo>
              <a:lnTo>
                <a:pt x="370" y="615"/>
              </a:lnTo>
              <a:lnTo>
                <a:pt x="387" y="624"/>
              </a:lnTo>
              <a:lnTo>
                <a:pt x="417" y="683"/>
              </a:lnTo>
              <a:lnTo>
                <a:pt x="413" y="697"/>
              </a:lnTo>
              <a:lnTo>
                <a:pt x="413" y="702"/>
              </a:lnTo>
              <a:lnTo>
                <a:pt x="418" y="727"/>
              </a:lnTo>
              <a:lnTo>
                <a:pt x="440" y="732"/>
              </a:lnTo>
              <a:lnTo>
                <a:pt x="460" y="744"/>
              </a:lnTo>
              <a:lnTo>
                <a:pt x="462" y="736"/>
              </a:lnTo>
              <a:lnTo>
                <a:pt x="463" y="736"/>
              </a:lnTo>
              <a:lnTo>
                <a:pt x="486" y="722"/>
              </a:lnTo>
              <a:lnTo>
                <a:pt x="501" y="703"/>
              </a:lnTo>
              <a:lnTo>
                <a:pt x="486" y="692"/>
              </a:lnTo>
              <a:lnTo>
                <a:pt x="479" y="667"/>
              </a:lnTo>
              <a:lnTo>
                <a:pt x="510" y="694"/>
              </a:lnTo>
              <a:lnTo>
                <a:pt x="534" y="684"/>
              </a:lnTo>
              <a:lnTo>
                <a:pt x="546" y="662"/>
              </a:lnTo>
              <a:lnTo>
                <a:pt x="531" y="634"/>
              </a:lnTo>
              <a:lnTo>
                <a:pt x="546" y="638"/>
              </a:lnTo>
              <a:lnTo>
                <a:pt x="554" y="643"/>
              </a:lnTo>
              <a:lnTo>
                <a:pt x="561" y="639"/>
              </a:lnTo>
              <a:lnTo>
                <a:pt x="562" y="639"/>
              </a:lnTo>
              <a:lnTo>
                <a:pt x="565" y="643"/>
              </a:lnTo>
              <a:lnTo>
                <a:pt x="572" y="637"/>
              </a:lnTo>
              <a:lnTo>
                <a:pt x="602" y="617"/>
              </a:lnTo>
              <a:lnTo>
                <a:pt x="629" y="609"/>
              </a:lnTo>
              <a:lnTo>
                <a:pt x="650" y="578"/>
              </a:lnTo>
              <a:lnTo>
                <a:pt x="677" y="566"/>
              </a:lnTo>
              <a:lnTo>
                <a:pt x="707" y="536"/>
              </a:lnTo>
              <a:lnTo>
                <a:pt x="705" y="519"/>
              </a:lnTo>
              <a:lnTo>
                <a:pt x="743" y="518"/>
              </a:lnTo>
              <a:lnTo>
                <a:pt x="763" y="491"/>
              </a:lnTo>
              <a:lnTo>
                <a:pt x="767" y="490"/>
              </a:lnTo>
              <a:lnTo>
                <a:pt x="786" y="433"/>
              </a:lnTo>
              <a:lnTo>
                <a:pt x="814" y="384"/>
              </a:lnTo>
              <a:lnTo>
                <a:pt x="851" y="342"/>
              </a:lnTo>
              <a:lnTo>
                <a:pt x="861" y="334"/>
              </a:lnTo>
              <a:lnTo>
                <a:pt x="900" y="318"/>
              </a:lnTo>
              <a:lnTo>
                <a:pt x="894" y="312"/>
              </a:lnTo>
              <a:lnTo>
                <a:pt x="881" y="298"/>
              </a:lnTo>
              <a:lnTo>
                <a:pt x="879" y="296"/>
              </a:lnTo>
              <a:lnTo>
                <a:pt x="838" y="251"/>
              </a:lnTo>
              <a:lnTo>
                <a:pt x="812" y="224"/>
              </a:lnTo>
              <a:lnTo>
                <a:pt x="801" y="212"/>
              </a:lnTo>
              <a:lnTo>
                <a:pt x="765" y="173"/>
              </a:lnTo>
              <a:lnTo>
                <a:pt x="751" y="158"/>
              </a:lnTo>
              <a:lnTo>
                <a:pt x="729" y="136"/>
              </a:lnTo>
              <a:lnTo>
                <a:pt x="728" y="135"/>
              </a:lnTo>
              <a:lnTo>
                <a:pt x="728" y="134"/>
              </a:lnTo>
              <a:lnTo>
                <a:pt x="701" y="106"/>
              </a:lnTo>
              <a:lnTo>
                <a:pt x="688" y="93"/>
              </a:lnTo>
              <a:lnTo>
                <a:pt x="686" y="93"/>
              </a:lnTo>
              <a:lnTo>
                <a:pt x="674" y="93"/>
              </a:lnTo>
              <a:lnTo>
                <a:pt x="650" y="93"/>
              </a:lnTo>
              <a:lnTo>
                <a:pt x="641" y="92"/>
              </a:lnTo>
              <a:lnTo>
                <a:pt x="627" y="92"/>
              </a:lnTo>
              <a:lnTo>
                <a:pt x="577" y="91"/>
              </a:lnTo>
              <a:lnTo>
                <a:pt x="567" y="91"/>
              </a:lnTo>
              <a:lnTo>
                <a:pt x="566" y="91"/>
              </a:lnTo>
              <a:lnTo>
                <a:pt x="541" y="90"/>
              </a:lnTo>
              <a:lnTo>
                <a:pt x="522" y="90"/>
              </a:lnTo>
              <a:lnTo>
                <a:pt x="478" y="90"/>
              </a:lnTo>
              <a:lnTo>
                <a:pt x="481" y="62"/>
              </a:lnTo>
              <a:lnTo>
                <a:pt x="470" y="46"/>
              </a:lnTo>
              <a:lnTo>
                <a:pt x="467" y="43"/>
              </a:lnTo>
              <a:lnTo>
                <a:pt x="464" y="37"/>
              </a:lnTo>
              <a:lnTo>
                <a:pt x="458" y="29"/>
              </a:lnTo>
              <a:lnTo>
                <a:pt x="440" y="31"/>
              </a:lnTo>
              <a:lnTo>
                <a:pt x="431" y="14"/>
              </a:lnTo>
              <a:lnTo>
                <a:pt x="434" y="12"/>
              </a:lnTo>
              <a:lnTo>
                <a:pt x="414" y="9"/>
              </a:lnTo>
              <a:lnTo>
                <a:pt x="393" y="8"/>
              </a:lnTo>
              <a:lnTo>
                <a:pt x="378" y="8"/>
              </a:lnTo>
              <a:lnTo>
                <a:pt x="371" y="7"/>
              </a:lnTo>
              <a:lnTo>
                <a:pt x="346" y="6"/>
              </a:lnTo>
              <a:lnTo>
                <a:pt x="300" y="4"/>
              </a:lnTo>
              <a:lnTo>
                <a:pt x="296" y="4"/>
              </a:lnTo>
              <a:lnTo>
                <a:pt x="277" y="3"/>
              </a:lnTo>
              <a:lnTo>
                <a:pt x="259" y="2"/>
              </a:lnTo>
              <a:lnTo>
                <a:pt x="241" y="2"/>
              </a:lnTo>
              <a:lnTo>
                <a:pt x="228" y="1"/>
              </a:lnTo>
              <a:lnTo>
                <a:pt x="213" y="0"/>
              </a:lnTo>
              <a:lnTo>
                <a:pt x="208" y="0"/>
              </a:lnTo>
              <a:lnTo>
                <a:pt x="206" y="0"/>
              </a:lnTo>
              <a:lnTo>
                <a:pt x="187" y="2"/>
              </a:lnTo>
              <a:lnTo>
                <a:pt x="159" y="8"/>
              </a:lnTo>
              <a:lnTo>
                <a:pt x="145" y="13"/>
              </a:lnTo>
              <a:lnTo>
                <a:pt x="131" y="17"/>
              </a:lnTo>
              <a:lnTo>
                <a:pt x="125" y="17"/>
              </a:lnTo>
              <a:lnTo>
                <a:pt x="110" y="31"/>
              </a:lnTo>
              <a:lnTo>
                <a:pt x="89" y="32"/>
              </a:lnTo>
              <a:lnTo>
                <a:pt x="85" y="33"/>
              </a:lnTo>
              <a:lnTo>
                <a:pt x="66" y="39"/>
              </a:lnTo>
              <a:lnTo>
                <a:pt x="65" y="41"/>
              </a:lnTo>
              <a:lnTo>
                <a:pt x="46" y="47"/>
              </a:lnTo>
              <a:lnTo>
                <a:pt x="42" y="62"/>
              </a:lnTo>
              <a:lnTo>
                <a:pt x="19" y="81"/>
              </a:lnTo>
              <a:lnTo>
                <a:pt x="0" y="113"/>
              </a:lnTo>
              <a:lnTo>
                <a:pt x="0" y="114"/>
              </a:lnTo>
              <a:lnTo>
                <a:pt x="3" y="121"/>
              </a:lnTo>
              <a:lnTo>
                <a:pt x="21" y="136"/>
              </a:lnTo>
              <a:lnTo>
                <a:pt x="42" y="151"/>
              </a:lnTo>
              <a:lnTo>
                <a:pt x="47" y="156"/>
              </a:lnTo>
              <a:lnTo>
                <a:pt x="56" y="165"/>
              </a:lnTo>
              <a:lnTo>
                <a:pt x="56" y="166"/>
              </a:lnTo>
              <a:lnTo>
                <a:pt x="59" y="169"/>
              </a:lnTo>
              <a:lnTo>
                <a:pt x="67" y="171"/>
              </a:lnTo>
              <a:lnTo>
                <a:pt x="67" y="170"/>
              </a:lnTo>
              <a:lnTo>
                <a:pt x="89" y="173"/>
              </a:lnTo>
              <a:lnTo>
                <a:pt x="97" y="195"/>
              </a:lnTo>
              <a:lnTo>
                <a:pt x="109" y="215"/>
              </a:lnTo>
              <a:lnTo>
                <a:pt x="113" y="219"/>
              </a:lnTo>
              <a:lnTo>
                <a:pt x="114" y="224"/>
              </a:lnTo>
              <a:lnTo>
                <a:pt x="114" y="233"/>
              </a:lnTo>
              <a:lnTo>
                <a:pt x="127" y="253"/>
              </a:lnTo>
              <a:lnTo>
                <a:pt x="137" y="268"/>
              </a:lnTo>
              <a:lnTo>
                <a:pt x="142" y="27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152399</xdr:colOff>
      <xdr:row>45</xdr:row>
      <xdr:rowOff>152400</xdr:rowOff>
    </xdr:from>
    <xdr:to>
      <xdr:col>2</xdr:col>
      <xdr:colOff>2181224</xdr:colOff>
      <xdr:row>45</xdr:row>
      <xdr:rowOff>1009650</xdr:rowOff>
    </xdr:to>
    <xdr:sp macro="" textlink="">
      <xdr:nvSpPr>
        <xdr:cNvPr id="135" name="S_TN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/>
        </xdr:cNvSpPr>
      </xdr:nvSpPr>
      <xdr:spPr bwMode="auto">
        <a:xfrm>
          <a:off x="1933574" y="56083200"/>
          <a:ext cx="2028825" cy="857250"/>
        </a:xfrm>
        <a:custGeom>
          <a:avLst/>
          <a:gdLst>
            <a:gd name="T0" fmla="*/ 2147483647 w 1621"/>
            <a:gd name="T1" fmla="*/ 2147483647 h 401"/>
            <a:gd name="T2" fmla="*/ 2147483647 w 1621"/>
            <a:gd name="T3" fmla="*/ 2147483647 h 401"/>
            <a:gd name="T4" fmla="*/ 2147483647 w 1621"/>
            <a:gd name="T5" fmla="*/ 2147483647 h 401"/>
            <a:gd name="T6" fmla="*/ 2147483647 w 1621"/>
            <a:gd name="T7" fmla="*/ 2147483647 h 401"/>
            <a:gd name="T8" fmla="*/ 2147483647 w 1621"/>
            <a:gd name="T9" fmla="*/ 2147483647 h 401"/>
            <a:gd name="T10" fmla="*/ 2147483647 w 1621"/>
            <a:gd name="T11" fmla="*/ 2147483647 h 401"/>
            <a:gd name="T12" fmla="*/ 2147483647 w 1621"/>
            <a:gd name="T13" fmla="*/ 2147483647 h 401"/>
            <a:gd name="T14" fmla="*/ 2147483647 w 1621"/>
            <a:gd name="T15" fmla="*/ 2147483647 h 401"/>
            <a:gd name="T16" fmla="*/ 2147483647 w 1621"/>
            <a:gd name="T17" fmla="*/ 2147483647 h 401"/>
            <a:gd name="T18" fmla="*/ 2147483647 w 1621"/>
            <a:gd name="T19" fmla="*/ 2147483647 h 401"/>
            <a:gd name="T20" fmla="*/ 2147483647 w 1621"/>
            <a:gd name="T21" fmla="*/ 2147483647 h 401"/>
            <a:gd name="T22" fmla="*/ 2147483647 w 1621"/>
            <a:gd name="T23" fmla="*/ 2147483647 h 401"/>
            <a:gd name="T24" fmla="*/ 2147483647 w 1621"/>
            <a:gd name="T25" fmla="*/ 2147483647 h 401"/>
            <a:gd name="T26" fmla="*/ 2147483647 w 1621"/>
            <a:gd name="T27" fmla="*/ 2147483647 h 401"/>
            <a:gd name="T28" fmla="*/ 2147483647 w 1621"/>
            <a:gd name="T29" fmla="*/ 2147483647 h 401"/>
            <a:gd name="T30" fmla="*/ 2147483647 w 1621"/>
            <a:gd name="T31" fmla="*/ 2147483647 h 401"/>
            <a:gd name="T32" fmla="*/ 2147483647 w 1621"/>
            <a:gd name="T33" fmla="*/ 2147483647 h 401"/>
            <a:gd name="T34" fmla="*/ 2147483647 w 1621"/>
            <a:gd name="T35" fmla="*/ 2147483647 h 401"/>
            <a:gd name="T36" fmla="*/ 2147483647 w 1621"/>
            <a:gd name="T37" fmla="*/ 2147483647 h 401"/>
            <a:gd name="T38" fmla="*/ 2147483647 w 1621"/>
            <a:gd name="T39" fmla="*/ 2147483647 h 401"/>
            <a:gd name="T40" fmla="*/ 2147483647 w 1621"/>
            <a:gd name="T41" fmla="*/ 2147483647 h 401"/>
            <a:gd name="T42" fmla="*/ 2147483647 w 1621"/>
            <a:gd name="T43" fmla="*/ 2147483647 h 401"/>
            <a:gd name="T44" fmla="*/ 2147483647 w 1621"/>
            <a:gd name="T45" fmla="*/ 2147483647 h 401"/>
            <a:gd name="T46" fmla="*/ 2147483647 w 1621"/>
            <a:gd name="T47" fmla="*/ 2147483647 h 401"/>
            <a:gd name="T48" fmla="*/ 2147483647 w 1621"/>
            <a:gd name="T49" fmla="*/ 2147483647 h 401"/>
            <a:gd name="T50" fmla="*/ 2147483647 w 1621"/>
            <a:gd name="T51" fmla="*/ 2147483647 h 401"/>
            <a:gd name="T52" fmla="*/ 2147483647 w 1621"/>
            <a:gd name="T53" fmla="*/ 2147483647 h 401"/>
            <a:gd name="T54" fmla="*/ 2147483647 w 1621"/>
            <a:gd name="T55" fmla="*/ 2147483647 h 401"/>
            <a:gd name="T56" fmla="*/ 2147483647 w 1621"/>
            <a:gd name="T57" fmla="*/ 2147483647 h 401"/>
            <a:gd name="T58" fmla="*/ 2147483647 w 1621"/>
            <a:gd name="T59" fmla="*/ 2147483647 h 401"/>
            <a:gd name="T60" fmla="*/ 2147483647 w 1621"/>
            <a:gd name="T61" fmla="*/ 2147483647 h 401"/>
            <a:gd name="T62" fmla="*/ 2147483647 w 1621"/>
            <a:gd name="T63" fmla="*/ 2147483647 h 401"/>
            <a:gd name="T64" fmla="*/ 2147483647 w 1621"/>
            <a:gd name="T65" fmla="*/ 2147483647 h 401"/>
            <a:gd name="T66" fmla="*/ 2147483647 w 1621"/>
            <a:gd name="T67" fmla="*/ 2147483647 h 401"/>
            <a:gd name="T68" fmla="*/ 2147483647 w 1621"/>
            <a:gd name="T69" fmla="*/ 2147483647 h 401"/>
            <a:gd name="T70" fmla="*/ 2147483647 w 1621"/>
            <a:gd name="T71" fmla="*/ 2147483647 h 401"/>
            <a:gd name="T72" fmla="*/ 2147483647 w 1621"/>
            <a:gd name="T73" fmla="*/ 2147483647 h 401"/>
            <a:gd name="T74" fmla="*/ 2147483647 w 1621"/>
            <a:gd name="T75" fmla="*/ 2147483647 h 401"/>
            <a:gd name="T76" fmla="*/ 2147483647 w 1621"/>
            <a:gd name="T77" fmla="*/ 2147483647 h 401"/>
            <a:gd name="T78" fmla="*/ 2147483647 w 1621"/>
            <a:gd name="T79" fmla="*/ 2147483647 h 401"/>
            <a:gd name="T80" fmla="*/ 2147483647 w 1621"/>
            <a:gd name="T81" fmla="*/ 2147483647 h 401"/>
            <a:gd name="T82" fmla="*/ 2147483647 w 1621"/>
            <a:gd name="T83" fmla="*/ 2147483647 h 401"/>
            <a:gd name="T84" fmla="*/ 2147483647 w 1621"/>
            <a:gd name="T85" fmla="*/ 2147483647 h 401"/>
            <a:gd name="T86" fmla="*/ 2147483647 w 1621"/>
            <a:gd name="T87" fmla="*/ 2147483647 h 401"/>
            <a:gd name="T88" fmla="*/ 2147483647 w 1621"/>
            <a:gd name="T89" fmla="*/ 2147483647 h 401"/>
            <a:gd name="T90" fmla="*/ 2147483647 w 1621"/>
            <a:gd name="T91" fmla="*/ 2147483647 h 401"/>
            <a:gd name="T92" fmla="*/ 2147483647 w 1621"/>
            <a:gd name="T93" fmla="*/ 2147483647 h 401"/>
            <a:gd name="T94" fmla="*/ 2147483647 w 1621"/>
            <a:gd name="T95" fmla="*/ 2147483647 h 401"/>
            <a:gd name="T96" fmla="*/ 2147483647 w 1621"/>
            <a:gd name="T97" fmla="*/ 2147483647 h 401"/>
            <a:gd name="T98" fmla="*/ 2147483647 w 1621"/>
            <a:gd name="T99" fmla="*/ 2147483647 h 401"/>
            <a:gd name="T100" fmla="*/ 2147483647 w 1621"/>
            <a:gd name="T101" fmla="*/ 2147483647 h 401"/>
            <a:gd name="T102" fmla="*/ 2147483647 w 1621"/>
            <a:gd name="T103" fmla="*/ 2147483647 h 401"/>
            <a:gd name="T104" fmla="*/ 2147483647 w 1621"/>
            <a:gd name="T105" fmla="*/ 2147483647 h 401"/>
            <a:gd name="T106" fmla="*/ 2147483647 w 1621"/>
            <a:gd name="T107" fmla="*/ 2147483647 h 401"/>
            <a:gd name="T108" fmla="*/ 2147483647 w 1621"/>
            <a:gd name="T109" fmla="*/ 2147483647 h 401"/>
            <a:gd name="T110" fmla="*/ 2147483647 w 1621"/>
            <a:gd name="T111" fmla="*/ 2147483647 h 401"/>
            <a:gd name="T112" fmla="*/ 2147483647 w 1621"/>
            <a:gd name="T113" fmla="*/ 2147483647 h 401"/>
            <a:gd name="T114" fmla="*/ 2147483647 w 1621"/>
            <a:gd name="T115" fmla="*/ 2147483647 h 401"/>
            <a:gd name="T116" fmla="*/ 2147483647 w 1621"/>
            <a:gd name="T117" fmla="*/ 2147483647 h 40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621"/>
            <a:gd name="T178" fmla="*/ 0 h 401"/>
            <a:gd name="T179" fmla="*/ 1621 w 1621"/>
            <a:gd name="T180" fmla="*/ 401 h 40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621" h="401">
              <a:moveTo>
                <a:pt x="277" y="42"/>
              </a:moveTo>
              <a:lnTo>
                <a:pt x="275" y="42"/>
              </a:lnTo>
              <a:lnTo>
                <a:pt x="250" y="42"/>
              </a:lnTo>
              <a:lnTo>
                <a:pt x="189" y="41"/>
              </a:lnTo>
              <a:lnTo>
                <a:pt x="180" y="42"/>
              </a:lnTo>
              <a:lnTo>
                <a:pt x="166" y="43"/>
              </a:lnTo>
              <a:lnTo>
                <a:pt x="153" y="43"/>
              </a:lnTo>
              <a:lnTo>
                <a:pt x="144" y="43"/>
              </a:lnTo>
              <a:lnTo>
                <a:pt x="149" y="72"/>
              </a:lnTo>
              <a:lnTo>
                <a:pt x="143" y="81"/>
              </a:lnTo>
              <a:lnTo>
                <a:pt x="144" y="102"/>
              </a:lnTo>
              <a:lnTo>
                <a:pt x="114" y="102"/>
              </a:lnTo>
              <a:lnTo>
                <a:pt x="126" y="117"/>
              </a:lnTo>
              <a:lnTo>
                <a:pt x="133" y="130"/>
              </a:lnTo>
              <a:lnTo>
                <a:pt x="128" y="135"/>
              </a:lnTo>
              <a:lnTo>
                <a:pt x="107" y="160"/>
              </a:lnTo>
              <a:lnTo>
                <a:pt x="124" y="183"/>
              </a:lnTo>
              <a:lnTo>
                <a:pt x="104" y="183"/>
              </a:lnTo>
              <a:lnTo>
                <a:pt x="80" y="218"/>
              </a:lnTo>
              <a:lnTo>
                <a:pt x="74" y="270"/>
              </a:lnTo>
              <a:lnTo>
                <a:pt x="58" y="264"/>
              </a:lnTo>
              <a:lnTo>
                <a:pt x="48" y="278"/>
              </a:lnTo>
              <a:lnTo>
                <a:pt x="31" y="293"/>
              </a:lnTo>
              <a:lnTo>
                <a:pt x="24" y="306"/>
              </a:lnTo>
              <a:lnTo>
                <a:pt x="31" y="308"/>
              </a:lnTo>
              <a:lnTo>
                <a:pt x="34" y="300"/>
              </a:lnTo>
              <a:lnTo>
                <a:pt x="40" y="311"/>
              </a:lnTo>
              <a:lnTo>
                <a:pt x="42" y="367"/>
              </a:lnTo>
              <a:lnTo>
                <a:pt x="31" y="366"/>
              </a:lnTo>
              <a:lnTo>
                <a:pt x="0" y="398"/>
              </a:lnTo>
              <a:lnTo>
                <a:pt x="58" y="398"/>
              </a:lnTo>
              <a:lnTo>
                <a:pt x="85" y="398"/>
              </a:lnTo>
              <a:lnTo>
                <a:pt x="109" y="398"/>
              </a:lnTo>
              <a:lnTo>
                <a:pt x="124" y="398"/>
              </a:lnTo>
              <a:lnTo>
                <a:pt x="144" y="398"/>
              </a:lnTo>
              <a:lnTo>
                <a:pt x="160" y="398"/>
              </a:lnTo>
              <a:lnTo>
                <a:pt x="179" y="398"/>
              </a:lnTo>
              <a:lnTo>
                <a:pt x="189" y="398"/>
              </a:lnTo>
              <a:lnTo>
                <a:pt x="198" y="398"/>
              </a:lnTo>
              <a:lnTo>
                <a:pt x="208" y="398"/>
              </a:lnTo>
              <a:lnTo>
                <a:pt x="225" y="398"/>
              </a:lnTo>
              <a:lnTo>
                <a:pt x="235" y="398"/>
              </a:lnTo>
              <a:lnTo>
                <a:pt x="242" y="398"/>
              </a:lnTo>
              <a:lnTo>
                <a:pt x="244" y="398"/>
              </a:lnTo>
              <a:lnTo>
                <a:pt x="260" y="398"/>
              </a:lnTo>
              <a:lnTo>
                <a:pt x="277" y="398"/>
              </a:lnTo>
              <a:lnTo>
                <a:pt x="285" y="398"/>
              </a:lnTo>
              <a:lnTo>
                <a:pt x="302" y="398"/>
              </a:lnTo>
              <a:lnTo>
                <a:pt x="319" y="398"/>
              </a:lnTo>
              <a:lnTo>
                <a:pt x="361" y="398"/>
              </a:lnTo>
              <a:lnTo>
                <a:pt x="362" y="398"/>
              </a:lnTo>
              <a:lnTo>
                <a:pt x="364" y="398"/>
              </a:lnTo>
              <a:lnTo>
                <a:pt x="384" y="398"/>
              </a:lnTo>
              <a:lnTo>
                <a:pt x="394" y="398"/>
              </a:lnTo>
              <a:lnTo>
                <a:pt x="394" y="396"/>
              </a:lnTo>
              <a:lnTo>
                <a:pt x="394" y="395"/>
              </a:lnTo>
              <a:lnTo>
                <a:pt x="435" y="395"/>
              </a:lnTo>
              <a:lnTo>
                <a:pt x="450" y="395"/>
              </a:lnTo>
              <a:lnTo>
                <a:pt x="491" y="396"/>
              </a:lnTo>
              <a:lnTo>
                <a:pt x="505" y="396"/>
              </a:lnTo>
              <a:lnTo>
                <a:pt x="548" y="396"/>
              </a:lnTo>
              <a:lnTo>
                <a:pt x="572" y="397"/>
              </a:lnTo>
              <a:lnTo>
                <a:pt x="577" y="397"/>
              </a:lnTo>
              <a:lnTo>
                <a:pt x="578" y="397"/>
              </a:lnTo>
              <a:lnTo>
                <a:pt x="579" y="397"/>
              </a:lnTo>
              <a:lnTo>
                <a:pt x="633" y="398"/>
              </a:lnTo>
              <a:lnTo>
                <a:pt x="646" y="399"/>
              </a:lnTo>
              <a:lnTo>
                <a:pt x="650" y="399"/>
              </a:lnTo>
              <a:lnTo>
                <a:pt x="659" y="399"/>
              </a:lnTo>
              <a:lnTo>
                <a:pt x="712" y="399"/>
              </a:lnTo>
              <a:lnTo>
                <a:pt x="735" y="399"/>
              </a:lnTo>
              <a:lnTo>
                <a:pt x="746" y="399"/>
              </a:lnTo>
              <a:lnTo>
                <a:pt x="747" y="399"/>
              </a:lnTo>
              <a:lnTo>
                <a:pt x="755" y="399"/>
              </a:lnTo>
              <a:lnTo>
                <a:pt x="794" y="399"/>
              </a:lnTo>
              <a:lnTo>
                <a:pt x="830" y="399"/>
              </a:lnTo>
              <a:lnTo>
                <a:pt x="835" y="399"/>
              </a:lnTo>
              <a:lnTo>
                <a:pt x="876" y="400"/>
              </a:lnTo>
              <a:lnTo>
                <a:pt x="880" y="400"/>
              </a:lnTo>
              <a:lnTo>
                <a:pt x="899" y="400"/>
              </a:lnTo>
              <a:lnTo>
                <a:pt x="905" y="401"/>
              </a:lnTo>
              <a:lnTo>
                <a:pt x="923" y="400"/>
              </a:lnTo>
              <a:lnTo>
                <a:pt x="925" y="400"/>
              </a:lnTo>
              <a:lnTo>
                <a:pt x="935" y="400"/>
              </a:lnTo>
              <a:lnTo>
                <a:pt x="943" y="400"/>
              </a:lnTo>
              <a:lnTo>
                <a:pt x="946" y="400"/>
              </a:lnTo>
              <a:lnTo>
                <a:pt x="947" y="400"/>
              </a:lnTo>
              <a:lnTo>
                <a:pt x="997" y="399"/>
              </a:lnTo>
              <a:lnTo>
                <a:pt x="998" y="399"/>
              </a:lnTo>
              <a:lnTo>
                <a:pt x="1008" y="399"/>
              </a:lnTo>
              <a:lnTo>
                <a:pt x="1022" y="400"/>
              </a:lnTo>
              <a:lnTo>
                <a:pt x="1029" y="399"/>
              </a:lnTo>
              <a:lnTo>
                <a:pt x="1035" y="399"/>
              </a:lnTo>
              <a:lnTo>
                <a:pt x="1039" y="399"/>
              </a:lnTo>
              <a:lnTo>
                <a:pt x="1047" y="399"/>
              </a:lnTo>
              <a:lnTo>
                <a:pt x="1064" y="399"/>
              </a:lnTo>
              <a:lnTo>
                <a:pt x="1090" y="399"/>
              </a:lnTo>
              <a:lnTo>
                <a:pt x="1110" y="399"/>
              </a:lnTo>
              <a:lnTo>
                <a:pt x="1120" y="399"/>
              </a:lnTo>
              <a:lnTo>
                <a:pt x="1120" y="397"/>
              </a:lnTo>
              <a:lnTo>
                <a:pt x="1123" y="367"/>
              </a:lnTo>
              <a:lnTo>
                <a:pt x="1125" y="348"/>
              </a:lnTo>
              <a:lnTo>
                <a:pt x="1134" y="337"/>
              </a:lnTo>
              <a:lnTo>
                <a:pt x="1162" y="338"/>
              </a:lnTo>
              <a:lnTo>
                <a:pt x="1174" y="327"/>
              </a:lnTo>
              <a:lnTo>
                <a:pt x="1179" y="308"/>
              </a:lnTo>
              <a:lnTo>
                <a:pt x="1180" y="296"/>
              </a:lnTo>
              <a:lnTo>
                <a:pt x="1187" y="287"/>
              </a:lnTo>
              <a:lnTo>
                <a:pt x="1188" y="288"/>
              </a:lnTo>
              <a:lnTo>
                <a:pt x="1203" y="274"/>
              </a:lnTo>
              <a:lnTo>
                <a:pt x="1227" y="264"/>
              </a:lnTo>
              <a:lnTo>
                <a:pt x="1243" y="262"/>
              </a:lnTo>
              <a:lnTo>
                <a:pt x="1249" y="262"/>
              </a:lnTo>
              <a:lnTo>
                <a:pt x="1274" y="264"/>
              </a:lnTo>
              <a:lnTo>
                <a:pt x="1320" y="232"/>
              </a:lnTo>
              <a:lnTo>
                <a:pt x="1319" y="228"/>
              </a:lnTo>
              <a:lnTo>
                <a:pt x="1343" y="215"/>
              </a:lnTo>
              <a:lnTo>
                <a:pt x="1367" y="214"/>
              </a:lnTo>
              <a:lnTo>
                <a:pt x="1374" y="210"/>
              </a:lnTo>
              <a:lnTo>
                <a:pt x="1385" y="188"/>
              </a:lnTo>
              <a:lnTo>
                <a:pt x="1385" y="186"/>
              </a:lnTo>
              <a:lnTo>
                <a:pt x="1386" y="173"/>
              </a:lnTo>
              <a:lnTo>
                <a:pt x="1409" y="160"/>
              </a:lnTo>
              <a:lnTo>
                <a:pt x="1438" y="147"/>
              </a:lnTo>
              <a:lnTo>
                <a:pt x="1441" y="151"/>
              </a:lnTo>
              <a:lnTo>
                <a:pt x="1439" y="160"/>
              </a:lnTo>
              <a:lnTo>
                <a:pt x="1459" y="166"/>
              </a:lnTo>
              <a:lnTo>
                <a:pt x="1460" y="165"/>
              </a:lnTo>
              <a:lnTo>
                <a:pt x="1467" y="158"/>
              </a:lnTo>
              <a:lnTo>
                <a:pt x="1476" y="143"/>
              </a:lnTo>
              <a:lnTo>
                <a:pt x="1484" y="136"/>
              </a:lnTo>
              <a:lnTo>
                <a:pt x="1507" y="129"/>
              </a:lnTo>
              <a:lnTo>
                <a:pt x="1512" y="123"/>
              </a:lnTo>
              <a:lnTo>
                <a:pt x="1529" y="130"/>
              </a:lnTo>
              <a:lnTo>
                <a:pt x="1531" y="136"/>
              </a:lnTo>
              <a:lnTo>
                <a:pt x="1539" y="136"/>
              </a:lnTo>
              <a:lnTo>
                <a:pt x="1543" y="130"/>
              </a:lnTo>
              <a:lnTo>
                <a:pt x="1549" y="130"/>
              </a:lnTo>
              <a:lnTo>
                <a:pt x="1567" y="98"/>
              </a:lnTo>
              <a:lnTo>
                <a:pt x="1569" y="93"/>
              </a:lnTo>
              <a:lnTo>
                <a:pt x="1578" y="86"/>
              </a:lnTo>
              <a:lnTo>
                <a:pt x="1601" y="81"/>
              </a:lnTo>
              <a:lnTo>
                <a:pt x="1604" y="68"/>
              </a:lnTo>
              <a:lnTo>
                <a:pt x="1610" y="43"/>
              </a:lnTo>
              <a:lnTo>
                <a:pt x="1614" y="21"/>
              </a:lnTo>
              <a:lnTo>
                <a:pt x="1621" y="16"/>
              </a:lnTo>
              <a:lnTo>
                <a:pt x="1601" y="16"/>
              </a:lnTo>
              <a:lnTo>
                <a:pt x="1586" y="15"/>
              </a:lnTo>
              <a:lnTo>
                <a:pt x="1568" y="15"/>
              </a:lnTo>
              <a:lnTo>
                <a:pt x="1566" y="20"/>
              </a:lnTo>
              <a:lnTo>
                <a:pt x="1526" y="20"/>
              </a:lnTo>
              <a:lnTo>
                <a:pt x="1521" y="20"/>
              </a:lnTo>
              <a:lnTo>
                <a:pt x="1515" y="19"/>
              </a:lnTo>
              <a:lnTo>
                <a:pt x="1508" y="20"/>
              </a:lnTo>
              <a:lnTo>
                <a:pt x="1507" y="20"/>
              </a:lnTo>
              <a:lnTo>
                <a:pt x="1499" y="19"/>
              </a:lnTo>
              <a:lnTo>
                <a:pt x="1484" y="20"/>
              </a:lnTo>
              <a:lnTo>
                <a:pt x="1460" y="20"/>
              </a:lnTo>
              <a:lnTo>
                <a:pt x="1440" y="20"/>
              </a:lnTo>
              <a:lnTo>
                <a:pt x="1438" y="20"/>
              </a:lnTo>
              <a:lnTo>
                <a:pt x="1430" y="20"/>
              </a:lnTo>
              <a:lnTo>
                <a:pt x="1399" y="20"/>
              </a:lnTo>
              <a:lnTo>
                <a:pt x="1390" y="20"/>
              </a:lnTo>
              <a:lnTo>
                <a:pt x="1370" y="20"/>
              </a:lnTo>
              <a:lnTo>
                <a:pt x="1318" y="20"/>
              </a:lnTo>
              <a:lnTo>
                <a:pt x="1316" y="19"/>
              </a:lnTo>
              <a:lnTo>
                <a:pt x="1279" y="19"/>
              </a:lnTo>
              <a:lnTo>
                <a:pt x="1250" y="19"/>
              </a:lnTo>
              <a:lnTo>
                <a:pt x="1246" y="19"/>
              </a:lnTo>
              <a:lnTo>
                <a:pt x="1241" y="18"/>
              </a:lnTo>
              <a:lnTo>
                <a:pt x="1237" y="22"/>
              </a:lnTo>
              <a:lnTo>
                <a:pt x="1219" y="22"/>
              </a:lnTo>
              <a:lnTo>
                <a:pt x="1192" y="21"/>
              </a:lnTo>
              <a:lnTo>
                <a:pt x="1180" y="21"/>
              </a:lnTo>
              <a:lnTo>
                <a:pt x="1177" y="21"/>
              </a:lnTo>
              <a:lnTo>
                <a:pt x="1164" y="21"/>
              </a:lnTo>
              <a:lnTo>
                <a:pt x="1140" y="20"/>
              </a:lnTo>
              <a:lnTo>
                <a:pt x="1138" y="20"/>
              </a:lnTo>
              <a:lnTo>
                <a:pt x="1135" y="20"/>
              </a:lnTo>
              <a:lnTo>
                <a:pt x="1131" y="20"/>
              </a:lnTo>
              <a:lnTo>
                <a:pt x="1097" y="19"/>
              </a:lnTo>
              <a:lnTo>
                <a:pt x="1078" y="19"/>
              </a:lnTo>
              <a:lnTo>
                <a:pt x="1034" y="18"/>
              </a:lnTo>
              <a:lnTo>
                <a:pt x="1033" y="18"/>
              </a:lnTo>
              <a:lnTo>
                <a:pt x="1016" y="17"/>
              </a:lnTo>
              <a:lnTo>
                <a:pt x="1003" y="16"/>
              </a:lnTo>
              <a:lnTo>
                <a:pt x="998" y="15"/>
              </a:lnTo>
              <a:lnTo>
                <a:pt x="992" y="15"/>
              </a:lnTo>
              <a:lnTo>
                <a:pt x="970" y="13"/>
              </a:lnTo>
              <a:lnTo>
                <a:pt x="941" y="13"/>
              </a:lnTo>
              <a:lnTo>
                <a:pt x="938" y="13"/>
              </a:lnTo>
              <a:lnTo>
                <a:pt x="937" y="13"/>
              </a:lnTo>
              <a:lnTo>
                <a:pt x="930" y="14"/>
              </a:lnTo>
              <a:lnTo>
                <a:pt x="911" y="14"/>
              </a:lnTo>
              <a:lnTo>
                <a:pt x="899" y="15"/>
              </a:lnTo>
              <a:lnTo>
                <a:pt x="876" y="15"/>
              </a:lnTo>
              <a:lnTo>
                <a:pt x="846" y="14"/>
              </a:lnTo>
              <a:lnTo>
                <a:pt x="838" y="14"/>
              </a:lnTo>
              <a:lnTo>
                <a:pt x="824" y="13"/>
              </a:lnTo>
              <a:lnTo>
                <a:pt x="810" y="12"/>
              </a:lnTo>
              <a:lnTo>
                <a:pt x="806" y="12"/>
              </a:lnTo>
              <a:lnTo>
                <a:pt x="783" y="11"/>
              </a:lnTo>
              <a:lnTo>
                <a:pt x="768" y="10"/>
              </a:lnTo>
              <a:lnTo>
                <a:pt x="750" y="8"/>
              </a:lnTo>
              <a:lnTo>
                <a:pt x="743" y="7"/>
              </a:lnTo>
              <a:lnTo>
                <a:pt x="729" y="6"/>
              </a:lnTo>
              <a:lnTo>
                <a:pt x="712" y="6"/>
              </a:lnTo>
              <a:lnTo>
                <a:pt x="703" y="8"/>
              </a:lnTo>
              <a:lnTo>
                <a:pt x="700" y="11"/>
              </a:lnTo>
              <a:lnTo>
                <a:pt x="696" y="6"/>
              </a:lnTo>
              <a:lnTo>
                <a:pt x="676" y="7"/>
              </a:lnTo>
              <a:lnTo>
                <a:pt x="663" y="7"/>
              </a:lnTo>
              <a:lnTo>
                <a:pt x="650" y="7"/>
              </a:lnTo>
              <a:lnTo>
                <a:pt x="642" y="7"/>
              </a:lnTo>
              <a:lnTo>
                <a:pt x="607" y="8"/>
              </a:lnTo>
              <a:lnTo>
                <a:pt x="597" y="8"/>
              </a:lnTo>
              <a:lnTo>
                <a:pt x="595" y="8"/>
              </a:lnTo>
              <a:lnTo>
                <a:pt x="572" y="8"/>
              </a:lnTo>
              <a:lnTo>
                <a:pt x="556" y="8"/>
              </a:lnTo>
              <a:lnTo>
                <a:pt x="532" y="10"/>
              </a:lnTo>
              <a:lnTo>
                <a:pt x="514" y="10"/>
              </a:lnTo>
              <a:lnTo>
                <a:pt x="499" y="10"/>
              </a:lnTo>
              <a:lnTo>
                <a:pt x="489" y="10"/>
              </a:lnTo>
              <a:lnTo>
                <a:pt x="459" y="11"/>
              </a:lnTo>
              <a:lnTo>
                <a:pt x="459" y="4"/>
              </a:lnTo>
              <a:lnTo>
                <a:pt x="419" y="0"/>
              </a:lnTo>
              <a:lnTo>
                <a:pt x="420" y="6"/>
              </a:lnTo>
              <a:lnTo>
                <a:pt x="422" y="13"/>
              </a:lnTo>
              <a:lnTo>
                <a:pt x="422" y="43"/>
              </a:lnTo>
              <a:lnTo>
                <a:pt x="379" y="43"/>
              </a:lnTo>
              <a:lnTo>
                <a:pt x="362" y="43"/>
              </a:lnTo>
              <a:lnTo>
                <a:pt x="341" y="42"/>
              </a:lnTo>
              <a:lnTo>
                <a:pt x="338" y="42"/>
              </a:lnTo>
              <a:lnTo>
                <a:pt x="335" y="42"/>
              </a:lnTo>
              <a:lnTo>
                <a:pt x="330" y="42"/>
              </a:lnTo>
              <a:lnTo>
                <a:pt x="289" y="42"/>
              </a:lnTo>
              <a:lnTo>
                <a:pt x="278" y="42"/>
              </a:lnTo>
              <a:lnTo>
                <a:pt x="277" y="4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36</xdr:row>
      <xdr:rowOff>152400</xdr:rowOff>
    </xdr:from>
    <xdr:to>
      <xdr:col>2</xdr:col>
      <xdr:colOff>2057400</xdr:colOff>
      <xdr:row>36</xdr:row>
      <xdr:rowOff>1133475</xdr:rowOff>
    </xdr:to>
    <xdr:sp macro="" textlink="">
      <xdr:nvSpPr>
        <xdr:cNvPr id="136" name="S_ND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/>
        </xdr:cNvSpPr>
      </xdr:nvSpPr>
      <xdr:spPr bwMode="auto">
        <a:xfrm>
          <a:off x="2124075" y="44681775"/>
          <a:ext cx="1714500" cy="981075"/>
        </a:xfrm>
        <a:custGeom>
          <a:avLst/>
          <a:gdLst>
            <a:gd name="T0" fmla="*/ 2147483647 w 1400"/>
            <a:gd name="T1" fmla="*/ 2147483647 h 724"/>
            <a:gd name="T2" fmla="*/ 2147483647 w 1400"/>
            <a:gd name="T3" fmla="*/ 2147483647 h 724"/>
            <a:gd name="T4" fmla="*/ 2147483647 w 1400"/>
            <a:gd name="T5" fmla="*/ 2147483647 h 724"/>
            <a:gd name="T6" fmla="*/ 2147483647 w 1400"/>
            <a:gd name="T7" fmla="*/ 2147483647 h 724"/>
            <a:gd name="T8" fmla="*/ 2147483647 w 1400"/>
            <a:gd name="T9" fmla="*/ 2147483647 h 724"/>
            <a:gd name="T10" fmla="*/ 2147483647 w 1400"/>
            <a:gd name="T11" fmla="*/ 2147483647 h 724"/>
            <a:gd name="T12" fmla="*/ 2147483647 w 1400"/>
            <a:gd name="T13" fmla="*/ 2147483647 h 724"/>
            <a:gd name="T14" fmla="*/ 2147483647 w 1400"/>
            <a:gd name="T15" fmla="*/ 2147483647 h 724"/>
            <a:gd name="T16" fmla="*/ 2147483647 w 1400"/>
            <a:gd name="T17" fmla="*/ 2147483647 h 724"/>
            <a:gd name="T18" fmla="*/ 2147483647 w 1400"/>
            <a:gd name="T19" fmla="*/ 2147483647 h 724"/>
            <a:gd name="T20" fmla="*/ 2147483647 w 1400"/>
            <a:gd name="T21" fmla="*/ 2147483647 h 724"/>
            <a:gd name="T22" fmla="*/ 2147483647 w 1400"/>
            <a:gd name="T23" fmla="*/ 2147483647 h 724"/>
            <a:gd name="T24" fmla="*/ 2147483647 w 1400"/>
            <a:gd name="T25" fmla="*/ 2147483647 h 724"/>
            <a:gd name="T26" fmla="*/ 2147483647 w 1400"/>
            <a:gd name="T27" fmla="*/ 2147483647 h 724"/>
            <a:gd name="T28" fmla="*/ 2147483647 w 1400"/>
            <a:gd name="T29" fmla="*/ 2147483647 h 724"/>
            <a:gd name="T30" fmla="*/ 2147483647 w 1400"/>
            <a:gd name="T31" fmla="*/ 2147483647 h 724"/>
            <a:gd name="T32" fmla="*/ 2147483647 w 1400"/>
            <a:gd name="T33" fmla="*/ 2147483647 h 724"/>
            <a:gd name="T34" fmla="*/ 2147483647 w 1400"/>
            <a:gd name="T35" fmla="*/ 2147483647 h 724"/>
            <a:gd name="T36" fmla="*/ 2147483647 w 1400"/>
            <a:gd name="T37" fmla="*/ 2147483647 h 724"/>
            <a:gd name="T38" fmla="*/ 2147483647 w 1400"/>
            <a:gd name="T39" fmla="*/ 2147483647 h 724"/>
            <a:gd name="T40" fmla="*/ 2147483647 w 1400"/>
            <a:gd name="T41" fmla="*/ 2147483647 h 724"/>
            <a:gd name="T42" fmla="*/ 2147483647 w 1400"/>
            <a:gd name="T43" fmla="*/ 2147483647 h 724"/>
            <a:gd name="T44" fmla="*/ 2147483647 w 1400"/>
            <a:gd name="T45" fmla="*/ 2147483647 h 724"/>
            <a:gd name="T46" fmla="*/ 2147483647 w 1400"/>
            <a:gd name="T47" fmla="*/ 2147483647 h 724"/>
            <a:gd name="T48" fmla="*/ 2147483647 w 1400"/>
            <a:gd name="T49" fmla="*/ 2147483647 h 724"/>
            <a:gd name="T50" fmla="*/ 2147483647 w 1400"/>
            <a:gd name="T51" fmla="*/ 2147483647 h 724"/>
            <a:gd name="T52" fmla="*/ 2147483647 w 1400"/>
            <a:gd name="T53" fmla="*/ 2147483647 h 724"/>
            <a:gd name="T54" fmla="*/ 2147483647 w 1400"/>
            <a:gd name="T55" fmla="*/ 2147483647 h 724"/>
            <a:gd name="T56" fmla="*/ 2147483647 w 1400"/>
            <a:gd name="T57" fmla="*/ 0 h 724"/>
            <a:gd name="T58" fmla="*/ 2147483647 w 1400"/>
            <a:gd name="T59" fmla="*/ 2147483647 h 724"/>
            <a:gd name="T60" fmla="*/ 2147483647 w 1400"/>
            <a:gd name="T61" fmla="*/ 2147483647 h 724"/>
            <a:gd name="T62" fmla="*/ 2147483647 w 1400"/>
            <a:gd name="T63" fmla="*/ 2147483647 h 724"/>
            <a:gd name="T64" fmla="*/ 0 w 1400"/>
            <a:gd name="T65" fmla="*/ 2147483647 h 724"/>
            <a:gd name="T66" fmla="*/ 0 w 1400"/>
            <a:gd name="T67" fmla="*/ 2147483647 h 724"/>
            <a:gd name="T68" fmla="*/ 0 w 1400"/>
            <a:gd name="T69" fmla="*/ 2147483647 h 724"/>
            <a:gd name="T70" fmla="*/ 0 w 1400"/>
            <a:gd name="T71" fmla="*/ 2147483647 h 724"/>
            <a:gd name="T72" fmla="*/ 2147483647 w 1400"/>
            <a:gd name="T73" fmla="*/ 2147483647 h 724"/>
            <a:gd name="T74" fmla="*/ 2147483647 w 1400"/>
            <a:gd name="T75" fmla="*/ 2147483647 h 724"/>
            <a:gd name="T76" fmla="*/ 2147483647 w 1400"/>
            <a:gd name="T77" fmla="*/ 2147483647 h 724"/>
            <a:gd name="T78" fmla="*/ 2147483647 w 1400"/>
            <a:gd name="T79" fmla="*/ 2147483647 h 724"/>
            <a:gd name="T80" fmla="*/ 2147483647 w 1400"/>
            <a:gd name="T81" fmla="*/ 2147483647 h 724"/>
            <a:gd name="T82" fmla="*/ 2147483647 w 1400"/>
            <a:gd name="T83" fmla="*/ 2147483647 h 724"/>
            <a:gd name="T84" fmla="*/ 2147483647 w 1400"/>
            <a:gd name="T85" fmla="*/ 2147483647 h 724"/>
            <a:gd name="T86" fmla="*/ 2147483647 w 1400"/>
            <a:gd name="T87" fmla="*/ 2147483647 h 724"/>
            <a:gd name="T88" fmla="*/ 2147483647 w 1400"/>
            <a:gd name="T89" fmla="*/ 2147483647 h 724"/>
            <a:gd name="T90" fmla="*/ 2147483647 w 1400"/>
            <a:gd name="T91" fmla="*/ 2147483647 h 724"/>
            <a:gd name="T92" fmla="*/ 2147483647 w 1400"/>
            <a:gd name="T93" fmla="*/ 2147483647 h 724"/>
            <a:gd name="T94" fmla="*/ 2147483647 w 1400"/>
            <a:gd name="T95" fmla="*/ 2147483647 h 72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400"/>
            <a:gd name="T145" fmla="*/ 0 h 724"/>
            <a:gd name="T146" fmla="*/ 1400 w 1400"/>
            <a:gd name="T147" fmla="*/ 724 h 72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400" h="724">
              <a:moveTo>
                <a:pt x="383" y="722"/>
              </a:moveTo>
              <a:lnTo>
                <a:pt x="523" y="722"/>
              </a:lnTo>
              <a:lnTo>
                <a:pt x="546" y="722"/>
              </a:lnTo>
              <a:lnTo>
                <a:pt x="661" y="722"/>
              </a:lnTo>
              <a:lnTo>
                <a:pt x="663" y="722"/>
              </a:lnTo>
              <a:lnTo>
                <a:pt x="664" y="722"/>
              </a:lnTo>
              <a:lnTo>
                <a:pt x="756" y="723"/>
              </a:lnTo>
              <a:lnTo>
                <a:pt x="757" y="723"/>
              </a:lnTo>
              <a:lnTo>
                <a:pt x="780" y="723"/>
              </a:lnTo>
              <a:lnTo>
                <a:pt x="810" y="723"/>
              </a:lnTo>
              <a:lnTo>
                <a:pt x="827" y="723"/>
              </a:lnTo>
              <a:lnTo>
                <a:pt x="897" y="723"/>
              </a:lnTo>
              <a:lnTo>
                <a:pt x="943" y="723"/>
              </a:lnTo>
              <a:lnTo>
                <a:pt x="991" y="723"/>
              </a:lnTo>
              <a:lnTo>
                <a:pt x="996" y="723"/>
              </a:lnTo>
              <a:lnTo>
                <a:pt x="1061" y="724"/>
              </a:lnTo>
              <a:lnTo>
                <a:pt x="1085" y="724"/>
              </a:lnTo>
              <a:lnTo>
                <a:pt x="1130" y="724"/>
              </a:lnTo>
              <a:lnTo>
                <a:pt x="1131" y="724"/>
              </a:lnTo>
              <a:lnTo>
                <a:pt x="1135" y="724"/>
              </a:lnTo>
              <a:lnTo>
                <a:pt x="1225" y="724"/>
              </a:lnTo>
              <a:lnTo>
                <a:pt x="1271" y="724"/>
              </a:lnTo>
              <a:lnTo>
                <a:pt x="1275" y="724"/>
              </a:lnTo>
              <a:lnTo>
                <a:pt x="1318" y="724"/>
              </a:lnTo>
              <a:lnTo>
                <a:pt x="1365" y="724"/>
              </a:lnTo>
              <a:lnTo>
                <a:pt x="1400" y="724"/>
              </a:lnTo>
              <a:lnTo>
                <a:pt x="1397" y="709"/>
              </a:lnTo>
              <a:lnTo>
                <a:pt x="1397" y="704"/>
              </a:lnTo>
              <a:lnTo>
                <a:pt x="1389" y="627"/>
              </a:lnTo>
              <a:lnTo>
                <a:pt x="1366" y="591"/>
              </a:lnTo>
              <a:lnTo>
                <a:pt x="1360" y="562"/>
              </a:lnTo>
              <a:lnTo>
                <a:pt x="1359" y="561"/>
              </a:lnTo>
              <a:lnTo>
                <a:pt x="1355" y="561"/>
              </a:lnTo>
              <a:lnTo>
                <a:pt x="1360" y="503"/>
              </a:lnTo>
              <a:lnTo>
                <a:pt x="1351" y="473"/>
              </a:lnTo>
              <a:lnTo>
                <a:pt x="1348" y="438"/>
              </a:lnTo>
              <a:lnTo>
                <a:pt x="1349" y="429"/>
              </a:lnTo>
              <a:lnTo>
                <a:pt x="1349" y="417"/>
              </a:lnTo>
              <a:lnTo>
                <a:pt x="1347" y="395"/>
              </a:lnTo>
              <a:lnTo>
                <a:pt x="1350" y="394"/>
              </a:lnTo>
              <a:lnTo>
                <a:pt x="1345" y="386"/>
              </a:lnTo>
              <a:lnTo>
                <a:pt x="1347" y="384"/>
              </a:lnTo>
              <a:lnTo>
                <a:pt x="1347" y="355"/>
              </a:lnTo>
              <a:lnTo>
                <a:pt x="1346" y="354"/>
              </a:lnTo>
              <a:lnTo>
                <a:pt x="1342" y="326"/>
              </a:lnTo>
              <a:lnTo>
                <a:pt x="1339" y="315"/>
              </a:lnTo>
              <a:lnTo>
                <a:pt x="1314" y="266"/>
              </a:lnTo>
              <a:lnTo>
                <a:pt x="1296" y="198"/>
              </a:lnTo>
              <a:lnTo>
                <a:pt x="1290" y="196"/>
              </a:lnTo>
              <a:lnTo>
                <a:pt x="1291" y="190"/>
              </a:lnTo>
              <a:lnTo>
                <a:pt x="1296" y="187"/>
              </a:lnTo>
              <a:lnTo>
                <a:pt x="1293" y="137"/>
              </a:lnTo>
              <a:lnTo>
                <a:pt x="1288" y="109"/>
              </a:lnTo>
              <a:lnTo>
                <a:pt x="1288" y="108"/>
              </a:lnTo>
              <a:lnTo>
                <a:pt x="1283" y="33"/>
              </a:lnTo>
              <a:lnTo>
                <a:pt x="1285" y="30"/>
              </a:lnTo>
              <a:lnTo>
                <a:pt x="1275" y="0"/>
              </a:lnTo>
              <a:lnTo>
                <a:pt x="1140" y="0"/>
              </a:lnTo>
              <a:lnTo>
                <a:pt x="945" y="0"/>
              </a:lnTo>
              <a:lnTo>
                <a:pt x="846" y="1"/>
              </a:lnTo>
              <a:lnTo>
                <a:pt x="723" y="1"/>
              </a:lnTo>
              <a:lnTo>
                <a:pt x="503" y="1"/>
              </a:lnTo>
              <a:lnTo>
                <a:pt x="477" y="1"/>
              </a:lnTo>
              <a:lnTo>
                <a:pt x="379" y="1"/>
              </a:lnTo>
              <a:lnTo>
                <a:pt x="207" y="1"/>
              </a:lnTo>
              <a:lnTo>
                <a:pt x="0" y="1"/>
              </a:lnTo>
              <a:lnTo>
                <a:pt x="0" y="60"/>
              </a:lnTo>
              <a:lnTo>
                <a:pt x="0" y="79"/>
              </a:lnTo>
              <a:lnTo>
                <a:pt x="0" y="87"/>
              </a:lnTo>
              <a:lnTo>
                <a:pt x="0" y="89"/>
              </a:lnTo>
              <a:lnTo>
                <a:pt x="0" y="119"/>
              </a:lnTo>
              <a:lnTo>
                <a:pt x="0" y="144"/>
              </a:lnTo>
              <a:lnTo>
                <a:pt x="1" y="207"/>
              </a:lnTo>
              <a:lnTo>
                <a:pt x="1" y="236"/>
              </a:lnTo>
              <a:lnTo>
                <a:pt x="1" y="237"/>
              </a:lnTo>
              <a:lnTo>
                <a:pt x="1" y="266"/>
              </a:lnTo>
              <a:lnTo>
                <a:pt x="1" y="295"/>
              </a:lnTo>
              <a:lnTo>
                <a:pt x="1" y="379"/>
              </a:lnTo>
              <a:lnTo>
                <a:pt x="1" y="384"/>
              </a:lnTo>
              <a:lnTo>
                <a:pt x="1" y="395"/>
              </a:lnTo>
              <a:lnTo>
                <a:pt x="1" y="443"/>
              </a:lnTo>
              <a:lnTo>
                <a:pt x="1" y="532"/>
              </a:lnTo>
              <a:lnTo>
                <a:pt x="0" y="557"/>
              </a:lnTo>
              <a:lnTo>
                <a:pt x="1" y="581"/>
              </a:lnTo>
              <a:lnTo>
                <a:pt x="1" y="591"/>
              </a:lnTo>
              <a:lnTo>
                <a:pt x="1" y="643"/>
              </a:lnTo>
              <a:lnTo>
                <a:pt x="0" y="651"/>
              </a:lnTo>
              <a:lnTo>
                <a:pt x="1" y="686"/>
              </a:lnTo>
              <a:lnTo>
                <a:pt x="1" y="722"/>
              </a:lnTo>
              <a:lnTo>
                <a:pt x="9" y="722"/>
              </a:lnTo>
              <a:lnTo>
                <a:pt x="79" y="722"/>
              </a:lnTo>
              <a:lnTo>
                <a:pt x="196" y="722"/>
              </a:lnTo>
              <a:lnTo>
                <a:pt x="207" y="722"/>
              </a:lnTo>
              <a:lnTo>
                <a:pt x="290" y="722"/>
              </a:lnTo>
              <a:lnTo>
                <a:pt x="359" y="722"/>
              </a:lnTo>
              <a:lnTo>
                <a:pt x="383" y="72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200024</xdr:colOff>
      <xdr:row>44</xdr:row>
      <xdr:rowOff>152399</xdr:rowOff>
    </xdr:from>
    <xdr:to>
      <xdr:col>2</xdr:col>
      <xdr:colOff>2171699</xdr:colOff>
      <xdr:row>44</xdr:row>
      <xdr:rowOff>1152524</xdr:rowOff>
    </xdr:to>
    <xdr:sp macro="" textlink="">
      <xdr:nvSpPr>
        <xdr:cNvPr id="137" name="S_SD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/>
        </xdr:cNvSpPr>
      </xdr:nvSpPr>
      <xdr:spPr bwMode="auto">
        <a:xfrm>
          <a:off x="1981199" y="54816374"/>
          <a:ext cx="1971675" cy="1000125"/>
        </a:xfrm>
        <a:custGeom>
          <a:avLst/>
          <a:gdLst>
            <a:gd name="T0" fmla="*/ 2147483647 w 1425"/>
            <a:gd name="T1" fmla="*/ 2147483647 h 817"/>
            <a:gd name="T2" fmla="*/ 2147483647 w 1425"/>
            <a:gd name="T3" fmla="*/ 2147483647 h 817"/>
            <a:gd name="T4" fmla="*/ 2147483647 w 1425"/>
            <a:gd name="T5" fmla="*/ 2147483647 h 817"/>
            <a:gd name="T6" fmla="*/ 2147483647 w 1425"/>
            <a:gd name="T7" fmla="*/ 2147483647 h 817"/>
            <a:gd name="T8" fmla="*/ 2147483647 w 1425"/>
            <a:gd name="T9" fmla="*/ 2147483647 h 817"/>
            <a:gd name="T10" fmla="*/ 2147483647 w 1425"/>
            <a:gd name="T11" fmla="*/ 2147483647 h 817"/>
            <a:gd name="T12" fmla="*/ 2147483647 w 1425"/>
            <a:gd name="T13" fmla="*/ 2147483647 h 817"/>
            <a:gd name="T14" fmla="*/ 2147483647 w 1425"/>
            <a:gd name="T15" fmla="*/ 2147483647 h 817"/>
            <a:gd name="T16" fmla="*/ 2147483647 w 1425"/>
            <a:gd name="T17" fmla="*/ 2147483647 h 817"/>
            <a:gd name="T18" fmla="*/ 2147483647 w 1425"/>
            <a:gd name="T19" fmla="*/ 2147483647 h 817"/>
            <a:gd name="T20" fmla="*/ 2147483647 w 1425"/>
            <a:gd name="T21" fmla="*/ 2147483647 h 817"/>
            <a:gd name="T22" fmla="*/ 2147483647 w 1425"/>
            <a:gd name="T23" fmla="*/ 2147483647 h 817"/>
            <a:gd name="T24" fmla="*/ 2147483647 w 1425"/>
            <a:gd name="T25" fmla="*/ 2147483647 h 817"/>
            <a:gd name="T26" fmla="*/ 2147483647 w 1425"/>
            <a:gd name="T27" fmla="*/ 2147483647 h 817"/>
            <a:gd name="T28" fmla="*/ 2147483647 w 1425"/>
            <a:gd name="T29" fmla="*/ 0 h 817"/>
            <a:gd name="T30" fmla="*/ 2147483647 w 1425"/>
            <a:gd name="T31" fmla="*/ 0 h 817"/>
            <a:gd name="T32" fmla="*/ 2147483647 w 1425"/>
            <a:gd name="T33" fmla="*/ 0 h 817"/>
            <a:gd name="T34" fmla="*/ 2147483647 w 1425"/>
            <a:gd name="T35" fmla="*/ 0 h 817"/>
            <a:gd name="T36" fmla="*/ 2147483647 w 1425"/>
            <a:gd name="T37" fmla="*/ 0 h 817"/>
            <a:gd name="T38" fmla="*/ 2147483647 w 1425"/>
            <a:gd name="T39" fmla="*/ 0 h 817"/>
            <a:gd name="T40" fmla="*/ 2147483647 w 1425"/>
            <a:gd name="T41" fmla="*/ 0 h 817"/>
            <a:gd name="T42" fmla="*/ 2147483647 w 1425"/>
            <a:gd name="T43" fmla="*/ 0 h 817"/>
            <a:gd name="T44" fmla="*/ 2147483647 w 1425"/>
            <a:gd name="T45" fmla="*/ 0 h 817"/>
            <a:gd name="T46" fmla="*/ 2147483647 w 1425"/>
            <a:gd name="T47" fmla="*/ 0 h 817"/>
            <a:gd name="T48" fmla="*/ 0 w 1425"/>
            <a:gd name="T49" fmla="*/ 0 h 817"/>
            <a:gd name="T50" fmla="*/ 0 w 1425"/>
            <a:gd name="T51" fmla="*/ 2147483647 h 817"/>
            <a:gd name="T52" fmla="*/ 0 w 1425"/>
            <a:gd name="T53" fmla="*/ 2147483647 h 817"/>
            <a:gd name="T54" fmla="*/ 0 w 1425"/>
            <a:gd name="T55" fmla="*/ 2147483647 h 817"/>
            <a:gd name="T56" fmla="*/ 0 w 1425"/>
            <a:gd name="T57" fmla="*/ 2147483647 h 817"/>
            <a:gd name="T58" fmla="*/ 0 w 1425"/>
            <a:gd name="T59" fmla="*/ 2147483647 h 817"/>
            <a:gd name="T60" fmla="*/ 0 w 1425"/>
            <a:gd name="T61" fmla="*/ 2147483647 h 817"/>
            <a:gd name="T62" fmla="*/ 0 w 1425"/>
            <a:gd name="T63" fmla="*/ 2147483647 h 817"/>
            <a:gd name="T64" fmla="*/ 2147483647 w 1425"/>
            <a:gd name="T65" fmla="*/ 2147483647 h 817"/>
            <a:gd name="T66" fmla="*/ 2147483647 w 1425"/>
            <a:gd name="T67" fmla="*/ 2147483647 h 817"/>
            <a:gd name="T68" fmla="*/ 2147483647 w 1425"/>
            <a:gd name="T69" fmla="*/ 2147483647 h 817"/>
            <a:gd name="T70" fmla="*/ 2147483647 w 1425"/>
            <a:gd name="T71" fmla="*/ 2147483647 h 817"/>
            <a:gd name="T72" fmla="*/ 2147483647 w 1425"/>
            <a:gd name="T73" fmla="*/ 2147483647 h 817"/>
            <a:gd name="T74" fmla="*/ 2147483647 w 1425"/>
            <a:gd name="T75" fmla="*/ 2147483647 h 817"/>
            <a:gd name="T76" fmla="*/ 2147483647 w 1425"/>
            <a:gd name="T77" fmla="*/ 2147483647 h 817"/>
            <a:gd name="T78" fmla="*/ 2147483647 w 1425"/>
            <a:gd name="T79" fmla="*/ 2147483647 h 817"/>
            <a:gd name="T80" fmla="*/ 2147483647 w 1425"/>
            <a:gd name="T81" fmla="*/ 2147483647 h 817"/>
            <a:gd name="T82" fmla="*/ 2147483647 w 1425"/>
            <a:gd name="T83" fmla="*/ 2147483647 h 817"/>
            <a:gd name="T84" fmla="*/ 2147483647 w 1425"/>
            <a:gd name="T85" fmla="*/ 2147483647 h 817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w 1425"/>
            <a:gd name="T130" fmla="*/ 0 h 817"/>
            <a:gd name="T131" fmla="*/ 1425 w 1425"/>
            <a:gd name="T132" fmla="*/ 817 h 817"/>
          </a:gdLst>
          <a:ahLst/>
          <a:cxnLst>
            <a:cxn ang="T86">
              <a:pos x="T0" y="T1"/>
            </a:cxn>
            <a:cxn ang="T87">
              <a:pos x="T2" y="T3"/>
            </a:cxn>
            <a:cxn ang="T88">
              <a:pos x="T4" y="T5"/>
            </a:cxn>
            <a:cxn ang="T89">
              <a:pos x="T6" y="T7"/>
            </a:cxn>
            <a:cxn ang="T90">
              <a:pos x="T8" y="T9"/>
            </a:cxn>
            <a:cxn ang="T91">
              <a:pos x="T10" y="T11"/>
            </a:cxn>
            <a:cxn ang="T92">
              <a:pos x="T12" y="T13"/>
            </a:cxn>
            <a:cxn ang="T93">
              <a:pos x="T14" y="T15"/>
            </a:cxn>
            <a:cxn ang="T94">
              <a:pos x="T16" y="T17"/>
            </a:cxn>
            <a:cxn ang="T95">
              <a:pos x="T18" y="T19"/>
            </a:cxn>
            <a:cxn ang="T96">
              <a:pos x="T20" y="T21"/>
            </a:cxn>
            <a:cxn ang="T97">
              <a:pos x="T22" y="T23"/>
            </a:cxn>
            <a:cxn ang="T98">
              <a:pos x="T24" y="T25"/>
            </a:cxn>
            <a:cxn ang="T99">
              <a:pos x="T26" y="T27"/>
            </a:cxn>
            <a:cxn ang="T100">
              <a:pos x="T28" y="T29"/>
            </a:cxn>
            <a:cxn ang="T101">
              <a:pos x="T30" y="T31"/>
            </a:cxn>
            <a:cxn ang="T102">
              <a:pos x="T32" y="T33"/>
            </a:cxn>
            <a:cxn ang="T103">
              <a:pos x="T34" y="T35"/>
            </a:cxn>
            <a:cxn ang="T104">
              <a:pos x="T36" y="T37"/>
            </a:cxn>
            <a:cxn ang="T105">
              <a:pos x="T38" y="T39"/>
            </a:cxn>
            <a:cxn ang="T106">
              <a:pos x="T40" y="T41"/>
            </a:cxn>
            <a:cxn ang="T107">
              <a:pos x="T42" y="T43"/>
            </a:cxn>
            <a:cxn ang="T108">
              <a:pos x="T44" y="T45"/>
            </a:cxn>
            <a:cxn ang="T109">
              <a:pos x="T46" y="T47"/>
            </a:cxn>
            <a:cxn ang="T110">
              <a:pos x="T48" y="T49"/>
            </a:cxn>
            <a:cxn ang="T111">
              <a:pos x="T50" y="T51"/>
            </a:cxn>
            <a:cxn ang="T112">
              <a:pos x="T52" y="T53"/>
            </a:cxn>
            <a:cxn ang="T113">
              <a:pos x="T54" y="T55"/>
            </a:cxn>
            <a:cxn ang="T114">
              <a:pos x="T56" y="T57"/>
            </a:cxn>
            <a:cxn ang="T115">
              <a:pos x="T58" y="T59"/>
            </a:cxn>
            <a:cxn ang="T116">
              <a:pos x="T60" y="T61"/>
            </a:cxn>
            <a:cxn ang="T117">
              <a:pos x="T62" y="T63"/>
            </a:cxn>
            <a:cxn ang="T118">
              <a:pos x="T64" y="T65"/>
            </a:cxn>
            <a:cxn ang="T119">
              <a:pos x="T66" y="T67"/>
            </a:cxn>
            <a:cxn ang="T120">
              <a:pos x="T68" y="T69"/>
            </a:cxn>
            <a:cxn ang="T121">
              <a:pos x="T70" y="T71"/>
            </a:cxn>
            <a:cxn ang="T122">
              <a:pos x="T72" y="T73"/>
            </a:cxn>
            <a:cxn ang="T123">
              <a:pos x="T74" y="T75"/>
            </a:cxn>
            <a:cxn ang="T124">
              <a:pos x="T76" y="T77"/>
            </a:cxn>
            <a:cxn ang="T125">
              <a:pos x="T78" y="T79"/>
            </a:cxn>
            <a:cxn ang="T126">
              <a:pos x="T80" y="T81"/>
            </a:cxn>
            <a:cxn ang="T127">
              <a:pos x="T82" y="T83"/>
            </a:cxn>
            <a:cxn ang="T128">
              <a:pos x="T84" y="T85"/>
            </a:cxn>
          </a:cxnLst>
          <a:rect l="T129" t="T130" r="T131" b="T132"/>
          <a:pathLst>
            <a:path w="1425" h="817">
              <a:moveTo>
                <a:pt x="1290" y="743"/>
              </a:moveTo>
              <a:lnTo>
                <a:pt x="1296" y="749"/>
              </a:lnTo>
              <a:lnTo>
                <a:pt x="1317" y="753"/>
              </a:lnTo>
              <a:lnTo>
                <a:pt x="1356" y="765"/>
              </a:lnTo>
              <a:lnTo>
                <a:pt x="1375" y="785"/>
              </a:lnTo>
              <a:lnTo>
                <a:pt x="1390" y="808"/>
              </a:lnTo>
              <a:lnTo>
                <a:pt x="1410" y="814"/>
              </a:lnTo>
              <a:lnTo>
                <a:pt x="1424" y="817"/>
              </a:lnTo>
              <a:lnTo>
                <a:pt x="1418" y="814"/>
              </a:lnTo>
              <a:lnTo>
                <a:pt x="1414" y="800"/>
              </a:lnTo>
              <a:lnTo>
                <a:pt x="1413" y="791"/>
              </a:lnTo>
              <a:lnTo>
                <a:pt x="1391" y="765"/>
              </a:lnTo>
              <a:lnTo>
                <a:pt x="1407" y="717"/>
              </a:lnTo>
              <a:lnTo>
                <a:pt x="1413" y="706"/>
              </a:lnTo>
              <a:lnTo>
                <a:pt x="1413" y="684"/>
              </a:lnTo>
              <a:lnTo>
                <a:pt x="1422" y="676"/>
              </a:lnTo>
              <a:lnTo>
                <a:pt x="1425" y="666"/>
              </a:lnTo>
              <a:lnTo>
                <a:pt x="1413" y="643"/>
              </a:lnTo>
              <a:lnTo>
                <a:pt x="1404" y="635"/>
              </a:lnTo>
              <a:lnTo>
                <a:pt x="1410" y="607"/>
              </a:lnTo>
              <a:lnTo>
                <a:pt x="1395" y="578"/>
              </a:lnTo>
              <a:lnTo>
                <a:pt x="1395" y="577"/>
              </a:lnTo>
              <a:lnTo>
                <a:pt x="1413" y="577"/>
              </a:lnTo>
              <a:lnTo>
                <a:pt x="1423" y="577"/>
              </a:lnTo>
              <a:lnTo>
                <a:pt x="1423" y="548"/>
              </a:lnTo>
              <a:lnTo>
                <a:pt x="1423" y="518"/>
              </a:lnTo>
              <a:lnTo>
                <a:pt x="1423" y="495"/>
              </a:lnTo>
              <a:lnTo>
                <a:pt x="1423" y="459"/>
              </a:lnTo>
              <a:lnTo>
                <a:pt x="1423" y="431"/>
              </a:lnTo>
              <a:lnTo>
                <a:pt x="1423" y="413"/>
              </a:lnTo>
              <a:lnTo>
                <a:pt x="1423" y="331"/>
              </a:lnTo>
              <a:lnTo>
                <a:pt x="1423" y="312"/>
              </a:lnTo>
              <a:lnTo>
                <a:pt x="1423" y="311"/>
              </a:lnTo>
              <a:lnTo>
                <a:pt x="1423" y="269"/>
              </a:lnTo>
              <a:lnTo>
                <a:pt x="1423" y="228"/>
              </a:lnTo>
              <a:lnTo>
                <a:pt x="1423" y="160"/>
              </a:lnTo>
              <a:lnTo>
                <a:pt x="1420" y="146"/>
              </a:lnTo>
              <a:lnTo>
                <a:pt x="1414" y="137"/>
              </a:lnTo>
              <a:lnTo>
                <a:pt x="1391" y="127"/>
              </a:lnTo>
              <a:lnTo>
                <a:pt x="1351" y="85"/>
              </a:lnTo>
              <a:lnTo>
                <a:pt x="1348" y="75"/>
              </a:lnTo>
              <a:lnTo>
                <a:pt x="1385" y="46"/>
              </a:lnTo>
              <a:lnTo>
                <a:pt x="1402" y="2"/>
              </a:lnTo>
              <a:lnTo>
                <a:pt x="1367" y="2"/>
              </a:lnTo>
              <a:lnTo>
                <a:pt x="1320" y="2"/>
              </a:lnTo>
              <a:lnTo>
                <a:pt x="1277" y="2"/>
              </a:lnTo>
              <a:lnTo>
                <a:pt x="1273" y="2"/>
              </a:lnTo>
              <a:lnTo>
                <a:pt x="1227" y="2"/>
              </a:lnTo>
              <a:lnTo>
                <a:pt x="1137" y="2"/>
              </a:lnTo>
              <a:lnTo>
                <a:pt x="1133" y="2"/>
              </a:lnTo>
              <a:lnTo>
                <a:pt x="1132" y="2"/>
              </a:lnTo>
              <a:lnTo>
                <a:pt x="1087" y="2"/>
              </a:lnTo>
              <a:lnTo>
                <a:pt x="1063" y="2"/>
              </a:lnTo>
              <a:lnTo>
                <a:pt x="998" y="1"/>
              </a:lnTo>
              <a:lnTo>
                <a:pt x="993" y="1"/>
              </a:lnTo>
              <a:lnTo>
                <a:pt x="945" y="1"/>
              </a:lnTo>
              <a:lnTo>
                <a:pt x="899" y="1"/>
              </a:lnTo>
              <a:lnTo>
                <a:pt x="829" y="1"/>
              </a:lnTo>
              <a:lnTo>
                <a:pt x="812" y="1"/>
              </a:lnTo>
              <a:lnTo>
                <a:pt x="782" y="1"/>
              </a:lnTo>
              <a:lnTo>
                <a:pt x="759" y="1"/>
              </a:lnTo>
              <a:lnTo>
                <a:pt x="758" y="1"/>
              </a:lnTo>
              <a:lnTo>
                <a:pt x="666" y="0"/>
              </a:lnTo>
              <a:lnTo>
                <a:pt x="665" y="0"/>
              </a:lnTo>
              <a:lnTo>
                <a:pt x="663" y="0"/>
              </a:lnTo>
              <a:lnTo>
                <a:pt x="548" y="0"/>
              </a:lnTo>
              <a:lnTo>
                <a:pt x="525" y="0"/>
              </a:lnTo>
              <a:lnTo>
                <a:pt x="385" y="0"/>
              </a:lnTo>
              <a:lnTo>
                <a:pt x="361" y="0"/>
              </a:lnTo>
              <a:lnTo>
                <a:pt x="292" y="0"/>
              </a:lnTo>
              <a:lnTo>
                <a:pt x="209" y="0"/>
              </a:lnTo>
              <a:lnTo>
                <a:pt x="198" y="0"/>
              </a:lnTo>
              <a:lnTo>
                <a:pt x="81" y="0"/>
              </a:lnTo>
              <a:lnTo>
                <a:pt x="11" y="0"/>
              </a:lnTo>
              <a:lnTo>
                <a:pt x="3" y="0"/>
              </a:lnTo>
              <a:lnTo>
                <a:pt x="3" y="15"/>
              </a:lnTo>
              <a:lnTo>
                <a:pt x="3" y="46"/>
              </a:lnTo>
              <a:lnTo>
                <a:pt x="3" y="164"/>
              </a:lnTo>
              <a:lnTo>
                <a:pt x="4" y="173"/>
              </a:lnTo>
              <a:lnTo>
                <a:pt x="4" y="223"/>
              </a:lnTo>
              <a:lnTo>
                <a:pt x="4" y="224"/>
              </a:lnTo>
              <a:lnTo>
                <a:pt x="0" y="224"/>
              </a:lnTo>
              <a:lnTo>
                <a:pt x="0" y="283"/>
              </a:lnTo>
              <a:lnTo>
                <a:pt x="0" y="325"/>
              </a:lnTo>
              <a:lnTo>
                <a:pt x="0" y="342"/>
              </a:lnTo>
              <a:lnTo>
                <a:pt x="0" y="401"/>
              </a:lnTo>
              <a:lnTo>
                <a:pt x="0" y="417"/>
              </a:lnTo>
              <a:lnTo>
                <a:pt x="0" y="426"/>
              </a:lnTo>
              <a:lnTo>
                <a:pt x="0" y="459"/>
              </a:lnTo>
              <a:lnTo>
                <a:pt x="0" y="495"/>
              </a:lnTo>
              <a:lnTo>
                <a:pt x="0" y="518"/>
              </a:lnTo>
              <a:lnTo>
                <a:pt x="0" y="548"/>
              </a:lnTo>
              <a:lnTo>
                <a:pt x="0" y="577"/>
              </a:lnTo>
              <a:lnTo>
                <a:pt x="0" y="578"/>
              </a:lnTo>
              <a:lnTo>
                <a:pt x="0" y="582"/>
              </a:lnTo>
              <a:lnTo>
                <a:pt x="0" y="607"/>
              </a:lnTo>
              <a:lnTo>
                <a:pt x="0" y="666"/>
              </a:lnTo>
              <a:lnTo>
                <a:pt x="0" y="696"/>
              </a:lnTo>
              <a:lnTo>
                <a:pt x="8" y="696"/>
              </a:lnTo>
              <a:lnTo>
                <a:pt x="11" y="695"/>
              </a:lnTo>
              <a:lnTo>
                <a:pt x="103" y="695"/>
              </a:lnTo>
              <a:lnTo>
                <a:pt x="151" y="695"/>
              </a:lnTo>
              <a:lnTo>
                <a:pt x="158" y="696"/>
              </a:lnTo>
              <a:lnTo>
                <a:pt x="197" y="696"/>
              </a:lnTo>
              <a:lnTo>
                <a:pt x="221" y="696"/>
              </a:lnTo>
              <a:lnTo>
                <a:pt x="225" y="696"/>
              </a:lnTo>
              <a:lnTo>
                <a:pt x="237" y="696"/>
              </a:lnTo>
              <a:lnTo>
                <a:pt x="296" y="696"/>
              </a:lnTo>
              <a:lnTo>
                <a:pt x="338" y="696"/>
              </a:lnTo>
              <a:lnTo>
                <a:pt x="370" y="696"/>
              </a:lnTo>
              <a:lnTo>
                <a:pt x="432" y="696"/>
              </a:lnTo>
              <a:lnTo>
                <a:pt x="446" y="697"/>
              </a:lnTo>
              <a:lnTo>
                <a:pt x="529" y="696"/>
              </a:lnTo>
              <a:lnTo>
                <a:pt x="604" y="696"/>
              </a:lnTo>
              <a:lnTo>
                <a:pt x="665" y="696"/>
              </a:lnTo>
              <a:lnTo>
                <a:pt x="722" y="696"/>
              </a:lnTo>
              <a:lnTo>
                <a:pt x="846" y="696"/>
              </a:lnTo>
              <a:lnTo>
                <a:pt x="898" y="696"/>
              </a:lnTo>
              <a:lnTo>
                <a:pt x="1040" y="696"/>
              </a:lnTo>
              <a:lnTo>
                <a:pt x="1063" y="717"/>
              </a:lnTo>
              <a:lnTo>
                <a:pt x="1075" y="724"/>
              </a:lnTo>
              <a:lnTo>
                <a:pt x="1087" y="726"/>
              </a:lnTo>
              <a:lnTo>
                <a:pt x="1105" y="733"/>
              </a:lnTo>
              <a:lnTo>
                <a:pt x="1133" y="752"/>
              </a:lnTo>
              <a:lnTo>
                <a:pt x="1158" y="729"/>
              </a:lnTo>
              <a:lnTo>
                <a:pt x="1201" y="731"/>
              </a:lnTo>
              <a:lnTo>
                <a:pt x="1206" y="732"/>
              </a:lnTo>
              <a:lnTo>
                <a:pt x="1227" y="729"/>
              </a:lnTo>
              <a:lnTo>
                <a:pt x="1229" y="730"/>
              </a:lnTo>
              <a:lnTo>
                <a:pt x="1273" y="730"/>
              </a:lnTo>
              <a:lnTo>
                <a:pt x="1290" y="743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46</xdr:row>
      <xdr:rowOff>57151</xdr:rowOff>
    </xdr:from>
    <xdr:to>
      <xdr:col>2</xdr:col>
      <xdr:colOff>1676400</xdr:colOff>
      <xdr:row>46</xdr:row>
      <xdr:rowOff>1200151</xdr:rowOff>
    </xdr:to>
    <xdr:sp macro="" textlink="">
      <xdr:nvSpPr>
        <xdr:cNvPr id="138" name="S_TX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/>
        </xdr:cNvSpPr>
      </xdr:nvSpPr>
      <xdr:spPr bwMode="auto">
        <a:xfrm>
          <a:off x="2171700" y="57254776"/>
          <a:ext cx="1285875" cy="1143000"/>
        </a:xfrm>
        <a:custGeom>
          <a:avLst/>
          <a:gdLst>
            <a:gd name="T0" fmla="*/ 2147483647 w 2449"/>
            <a:gd name="T1" fmla="*/ 2147483647 h 2510"/>
            <a:gd name="T2" fmla="*/ 2147483647 w 2449"/>
            <a:gd name="T3" fmla="*/ 2147483647 h 2510"/>
            <a:gd name="T4" fmla="*/ 2147483647 w 2449"/>
            <a:gd name="T5" fmla="*/ 2147483647 h 2510"/>
            <a:gd name="T6" fmla="*/ 2147483647 w 2449"/>
            <a:gd name="T7" fmla="*/ 2147483647 h 2510"/>
            <a:gd name="T8" fmla="*/ 2147483647 w 2449"/>
            <a:gd name="T9" fmla="*/ 2147483647 h 2510"/>
            <a:gd name="T10" fmla="*/ 2147483647 w 2449"/>
            <a:gd name="T11" fmla="*/ 2147483647 h 2510"/>
            <a:gd name="T12" fmla="*/ 2147483647 w 2449"/>
            <a:gd name="T13" fmla="*/ 2147483647 h 2510"/>
            <a:gd name="T14" fmla="*/ 2147483647 w 2449"/>
            <a:gd name="T15" fmla="*/ 2147483647 h 2510"/>
            <a:gd name="T16" fmla="*/ 2147483647 w 2449"/>
            <a:gd name="T17" fmla="*/ 2147483647 h 2510"/>
            <a:gd name="T18" fmla="*/ 2147483647 w 2449"/>
            <a:gd name="T19" fmla="*/ 2147483647 h 2510"/>
            <a:gd name="T20" fmla="*/ 2147483647 w 2449"/>
            <a:gd name="T21" fmla="*/ 2147483647 h 2510"/>
            <a:gd name="T22" fmla="*/ 2147483647 w 2449"/>
            <a:gd name="T23" fmla="*/ 2147483647 h 2510"/>
            <a:gd name="T24" fmla="*/ 2147483647 w 2449"/>
            <a:gd name="T25" fmla="*/ 2147483647 h 2510"/>
            <a:gd name="T26" fmla="*/ 2147483647 w 2449"/>
            <a:gd name="T27" fmla="*/ 2147483647 h 2510"/>
            <a:gd name="T28" fmla="*/ 2147483647 w 2449"/>
            <a:gd name="T29" fmla="*/ 2147483647 h 2510"/>
            <a:gd name="T30" fmla="*/ 2147483647 w 2449"/>
            <a:gd name="T31" fmla="*/ 2147483647 h 2510"/>
            <a:gd name="T32" fmla="*/ 2147483647 w 2449"/>
            <a:gd name="T33" fmla="*/ 2147483647 h 2510"/>
            <a:gd name="T34" fmla="*/ 2147483647 w 2449"/>
            <a:gd name="T35" fmla="*/ 2147483647 h 2510"/>
            <a:gd name="T36" fmla="*/ 2147483647 w 2449"/>
            <a:gd name="T37" fmla="*/ 2147483647 h 2510"/>
            <a:gd name="T38" fmla="*/ 2147483647 w 2449"/>
            <a:gd name="T39" fmla="*/ 2147483647 h 2510"/>
            <a:gd name="T40" fmla="*/ 2147483647 w 2449"/>
            <a:gd name="T41" fmla="*/ 2147483647 h 2510"/>
            <a:gd name="T42" fmla="*/ 2147483647 w 2449"/>
            <a:gd name="T43" fmla="*/ 2147483647 h 2510"/>
            <a:gd name="T44" fmla="*/ 2147483647 w 2449"/>
            <a:gd name="T45" fmla="*/ 2147483647 h 2510"/>
            <a:gd name="T46" fmla="*/ 2147483647 w 2449"/>
            <a:gd name="T47" fmla="*/ 2147483647 h 2510"/>
            <a:gd name="T48" fmla="*/ 2147483647 w 2449"/>
            <a:gd name="T49" fmla="*/ 2147483647 h 2510"/>
            <a:gd name="T50" fmla="*/ 2147483647 w 2449"/>
            <a:gd name="T51" fmla="*/ 2147483647 h 2510"/>
            <a:gd name="T52" fmla="*/ 2147483647 w 2449"/>
            <a:gd name="T53" fmla="*/ 2147483647 h 2510"/>
            <a:gd name="T54" fmla="*/ 2147483647 w 2449"/>
            <a:gd name="T55" fmla="*/ 2147483647 h 2510"/>
            <a:gd name="T56" fmla="*/ 2147483647 w 2449"/>
            <a:gd name="T57" fmla="*/ 2147483647 h 2510"/>
            <a:gd name="T58" fmla="*/ 2147483647 w 2449"/>
            <a:gd name="T59" fmla="*/ 2147483647 h 2510"/>
            <a:gd name="T60" fmla="*/ 2147483647 w 2449"/>
            <a:gd name="T61" fmla="*/ 2147483647 h 2510"/>
            <a:gd name="T62" fmla="*/ 2147483647 w 2449"/>
            <a:gd name="T63" fmla="*/ 2147483647 h 2510"/>
            <a:gd name="T64" fmla="*/ 2147483647 w 2449"/>
            <a:gd name="T65" fmla="*/ 2147483647 h 2510"/>
            <a:gd name="T66" fmla="*/ 2147483647 w 2449"/>
            <a:gd name="T67" fmla="*/ 2147483647 h 2510"/>
            <a:gd name="T68" fmla="*/ 2147483647 w 2449"/>
            <a:gd name="T69" fmla="*/ 2147483647 h 2510"/>
            <a:gd name="T70" fmla="*/ 2147483647 w 2449"/>
            <a:gd name="T71" fmla="*/ 2147483647 h 2510"/>
            <a:gd name="T72" fmla="*/ 2147483647 w 2449"/>
            <a:gd name="T73" fmla="*/ 2147483647 h 2510"/>
            <a:gd name="T74" fmla="*/ 2147483647 w 2449"/>
            <a:gd name="T75" fmla="*/ 2147483647 h 2510"/>
            <a:gd name="T76" fmla="*/ 2147483647 w 2449"/>
            <a:gd name="T77" fmla="*/ 2147483647 h 2510"/>
            <a:gd name="T78" fmla="*/ 2147483647 w 2449"/>
            <a:gd name="T79" fmla="*/ 2147483647 h 2510"/>
            <a:gd name="T80" fmla="*/ 2147483647 w 2449"/>
            <a:gd name="T81" fmla="*/ 2147483647 h 2510"/>
            <a:gd name="T82" fmla="*/ 2147483647 w 2449"/>
            <a:gd name="T83" fmla="*/ 2147483647 h 2510"/>
            <a:gd name="T84" fmla="*/ 2147483647 w 2449"/>
            <a:gd name="T85" fmla="*/ 2147483647 h 2510"/>
            <a:gd name="T86" fmla="*/ 2147483647 w 2449"/>
            <a:gd name="T87" fmla="*/ 2147483647 h 2510"/>
            <a:gd name="T88" fmla="*/ 2147483647 w 2449"/>
            <a:gd name="T89" fmla="*/ 2147483647 h 2510"/>
            <a:gd name="T90" fmla="*/ 2147483647 w 2449"/>
            <a:gd name="T91" fmla="*/ 2147483647 h 2510"/>
            <a:gd name="T92" fmla="*/ 2147483647 w 2449"/>
            <a:gd name="T93" fmla="*/ 2147483647 h 2510"/>
            <a:gd name="T94" fmla="*/ 2147483647 w 2449"/>
            <a:gd name="T95" fmla="*/ 2147483647 h 2510"/>
            <a:gd name="T96" fmla="*/ 2147483647 w 2449"/>
            <a:gd name="T97" fmla="*/ 2147483647 h 2510"/>
            <a:gd name="T98" fmla="*/ 2147483647 w 2449"/>
            <a:gd name="T99" fmla="*/ 2147483647 h 2510"/>
            <a:gd name="T100" fmla="*/ 2147483647 w 2449"/>
            <a:gd name="T101" fmla="*/ 2147483647 h 2510"/>
            <a:gd name="T102" fmla="*/ 2147483647 w 2449"/>
            <a:gd name="T103" fmla="*/ 2147483647 h 2510"/>
            <a:gd name="T104" fmla="*/ 2147483647 w 2449"/>
            <a:gd name="T105" fmla="*/ 2147483647 h 2510"/>
            <a:gd name="T106" fmla="*/ 2147483647 w 2449"/>
            <a:gd name="T107" fmla="*/ 2147483647 h 2510"/>
            <a:gd name="T108" fmla="*/ 2147483647 w 2449"/>
            <a:gd name="T109" fmla="*/ 2147483647 h 2510"/>
            <a:gd name="T110" fmla="*/ 2147483647 w 2449"/>
            <a:gd name="T111" fmla="*/ 2147483647 h 2510"/>
            <a:gd name="T112" fmla="*/ 2147483647 w 2449"/>
            <a:gd name="T113" fmla="*/ 2147483647 h 2510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2449"/>
            <a:gd name="T172" fmla="*/ 0 h 2510"/>
            <a:gd name="T173" fmla="*/ 2449 w 2449"/>
            <a:gd name="T174" fmla="*/ 2510 h 2510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2449" h="2510">
              <a:moveTo>
                <a:pt x="1286" y="2072"/>
              </a:moveTo>
              <a:lnTo>
                <a:pt x="1267" y="2044"/>
              </a:lnTo>
              <a:lnTo>
                <a:pt x="1243" y="2006"/>
              </a:lnTo>
              <a:lnTo>
                <a:pt x="1204" y="1961"/>
              </a:lnTo>
              <a:lnTo>
                <a:pt x="1193" y="1950"/>
              </a:lnTo>
              <a:lnTo>
                <a:pt x="1176" y="1894"/>
              </a:lnTo>
              <a:lnTo>
                <a:pt x="1180" y="1890"/>
              </a:lnTo>
              <a:lnTo>
                <a:pt x="1130" y="1797"/>
              </a:lnTo>
              <a:lnTo>
                <a:pt x="1118" y="1753"/>
              </a:lnTo>
              <a:lnTo>
                <a:pt x="1099" y="1732"/>
              </a:lnTo>
              <a:lnTo>
                <a:pt x="1094" y="1715"/>
              </a:lnTo>
              <a:lnTo>
                <a:pt x="1053" y="1683"/>
              </a:lnTo>
              <a:lnTo>
                <a:pt x="1044" y="1664"/>
              </a:lnTo>
              <a:lnTo>
                <a:pt x="1029" y="1661"/>
              </a:lnTo>
              <a:lnTo>
                <a:pt x="1023" y="1651"/>
              </a:lnTo>
              <a:lnTo>
                <a:pt x="1009" y="1649"/>
              </a:lnTo>
              <a:lnTo>
                <a:pt x="1005" y="1624"/>
              </a:lnTo>
              <a:lnTo>
                <a:pt x="998" y="1624"/>
              </a:lnTo>
              <a:lnTo>
                <a:pt x="975" y="1594"/>
              </a:lnTo>
              <a:lnTo>
                <a:pt x="955" y="1592"/>
              </a:lnTo>
              <a:lnTo>
                <a:pt x="955" y="1588"/>
              </a:lnTo>
              <a:lnTo>
                <a:pt x="914" y="1588"/>
              </a:lnTo>
              <a:lnTo>
                <a:pt x="872" y="1579"/>
              </a:lnTo>
              <a:lnTo>
                <a:pt x="871" y="1585"/>
              </a:lnTo>
              <a:lnTo>
                <a:pt x="861" y="1581"/>
              </a:lnTo>
              <a:lnTo>
                <a:pt x="859" y="1587"/>
              </a:lnTo>
              <a:lnTo>
                <a:pt x="809" y="1564"/>
              </a:lnTo>
              <a:lnTo>
                <a:pt x="768" y="1595"/>
              </a:lnTo>
              <a:lnTo>
                <a:pt x="755" y="1595"/>
              </a:lnTo>
              <a:lnTo>
                <a:pt x="725" y="1631"/>
              </a:lnTo>
              <a:lnTo>
                <a:pt x="702" y="1713"/>
              </a:lnTo>
              <a:lnTo>
                <a:pt x="664" y="1757"/>
              </a:lnTo>
              <a:lnTo>
                <a:pt x="654" y="1779"/>
              </a:lnTo>
              <a:lnTo>
                <a:pt x="624" y="1770"/>
              </a:lnTo>
              <a:lnTo>
                <a:pt x="612" y="1767"/>
              </a:lnTo>
              <a:lnTo>
                <a:pt x="584" y="1742"/>
              </a:lnTo>
              <a:lnTo>
                <a:pt x="541" y="1721"/>
              </a:lnTo>
              <a:lnTo>
                <a:pt x="534" y="1710"/>
              </a:lnTo>
              <a:lnTo>
                <a:pt x="495" y="1700"/>
              </a:lnTo>
              <a:lnTo>
                <a:pt x="472" y="1683"/>
              </a:lnTo>
              <a:lnTo>
                <a:pt x="448" y="1653"/>
              </a:lnTo>
              <a:lnTo>
                <a:pt x="401" y="1622"/>
              </a:lnTo>
              <a:lnTo>
                <a:pt x="366" y="1536"/>
              </a:lnTo>
              <a:lnTo>
                <a:pt x="359" y="1477"/>
              </a:lnTo>
              <a:lnTo>
                <a:pt x="329" y="1412"/>
              </a:lnTo>
              <a:lnTo>
                <a:pt x="311" y="1387"/>
              </a:lnTo>
              <a:lnTo>
                <a:pt x="308" y="1377"/>
              </a:lnTo>
              <a:lnTo>
                <a:pt x="237" y="1335"/>
              </a:lnTo>
              <a:lnTo>
                <a:pt x="190" y="1276"/>
              </a:lnTo>
              <a:lnTo>
                <a:pt x="166" y="1260"/>
              </a:lnTo>
              <a:lnTo>
                <a:pt x="122" y="1208"/>
              </a:lnTo>
              <a:lnTo>
                <a:pt x="97" y="1199"/>
              </a:lnTo>
              <a:lnTo>
                <a:pt x="79" y="1181"/>
              </a:lnTo>
              <a:lnTo>
                <a:pt x="43" y="1122"/>
              </a:lnTo>
              <a:lnTo>
                <a:pt x="27" y="1121"/>
              </a:lnTo>
              <a:lnTo>
                <a:pt x="22" y="1115"/>
              </a:lnTo>
              <a:lnTo>
                <a:pt x="0" y="1088"/>
              </a:lnTo>
              <a:lnTo>
                <a:pt x="6" y="1083"/>
              </a:lnTo>
              <a:lnTo>
                <a:pt x="1" y="1069"/>
              </a:lnTo>
              <a:lnTo>
                <a:pt x="5" y="1063"/>
              </a:lnTo>
              <a:lnTo>
                <a:pt x="50" y="1063"/>
              </a:lnTo>
              <a:lnTo>
                <a:pt x="73" y="1063"/>
              </a:lnTo>
              <a:lnTo>
                <a:pt x="97" y="1062"/>
              </a:lnTo>
              <a:lnTo>
                <a:pt x="121" y="1062"/>
              </a:lnTo>
              <a:lnTo>
                <a:pt x="237" y="1063"/>
              </a:lnTo>
              <a:lnTo>
                <a:pt x="290" y="1063"/>
              </a:lnTo>
              <a:lnTo>
                <a:pt x="323" y="1063"/>
              </a:lnTo>
              <a:lnTo>
                <a:pt x="336" y="1063"/>
              </a:lnTo>
              <a:lnTo>
                <a:pt x="428" y="1063"/>
              </a:lnTo>
              <a:lnTo>
                <a:pt x="446" y="1063"/>
              </a:lnTo>
              <a:lnTo>
                <a:pt x="490" y="1063"/>
              </a:lnTo>
              <a:lnTo>
                <a:pt x="498" y="1063"/>
              </a:lnTo>
              <a:lnTo>
                <a:pt x="541" y="1063"/>
              </a:lnTo>
              <a:lnTo>
                <a:pt x="544" y="1063"/>
              </a:lnTo>
              <a:lnTo>
                <a:pt x="547" y="1063"/>
              </a:lnTo>
              <a:lnTo>
                <a:pt x="565" y="1063"/>
              </a:lnTo>
              <a:lnTo>
                <a:pt x="613" y="1063"/>
              </a:lnTo>
              <a:lnTo>
                <a:pt x="620" y="1063"/>
              </a:lnTo>
              <a:lnTo>
                <a:pt x="658" y="1063"/>
              </a:lnTo>
              <a:lnTo>
                <a:pt x="670" y="1063"/>
              </a:lnTo>
              <a:lnTo>
                <a:pt x="670" y="1043"/>
              </a:lnTo>
              <a:lnTo>
                <a:pt x="670" y="1005"/>
              </a:lnTo>
              <a:lnTo>
                <a:pt x="670" y="951"/>
              </a:lnTo>
              <a:lnTo>
                <a:pt x="670" y="940"/>
              </a:lnTo>
              <a:lnTo>
                <a:pt x="670" y="916"/>
              </a:lnTo>
              <a:lnTo>
                <a:pt x="670" y="870"/>
              </a:lnTo>
              <a:lnTo>
                <a:pt x="670" y="837"/>
              </a:lnTo>
              <a:lnTo>
                <a:pt x="671" y="798"/>
              </a:lnTo>
              <a:lnTo>
                <a:pt x="672" y="738"/>
              </a:lnTo>
              <a:lnTo>
                <a:pt x="672" y="736"/>
              </a:lnTo>
              <a:lnTo>
                <a:pt x="672" y="709"/>
              </a:lnTo>
              <a:lnTo>
                <a:pt x="672" y="702"/>
              </a:lnTo>
              <a:lnTo>
                <a:pt x="672" y="692"/>
              </a:lnTo>
              <a:lnTo>
                <a:pt x="673" y="669"/>
              </a:lnTo>
              <a:lnTo>
                <a:pt x="673" y="660"/>
              </a:lnTo>
              <a:lnTo>
                <a:pt x="673" y="632"/>
              </a:lnTo>
              <a:lnTo>
                <a:pt x="674" y="590"/>
              </a:lnTo>
              <a:lnTo>
                <a:pt x="674" y="532"/>
              </a:lnTo>
              <a:lnTo>
                <a:pt x="674" y="520"/>
              </a:lnTo>
              <a:lnTo>
                <a:pt x="674" y="517"/>
              </a:lnTo>
              <a:lnTo>
                <a:pt x="674" y="490"/>
              </a:lnTo>
              <a:lnTo>
                <a:pt x="674" y="473"/>
              </a:lnTo>
              <a:lnTo>
                <a:pt x="674" y="414"/>
              </a:lnTo>
              <a:lnTo>
                <a:pt x="674" y="387"/>
              </a:lnTo>
              <a:lnTo>
                <a:pt x="674" y="384"/>
              </a:lnTo>
              <a:lnTo>
                <a:pt x="674" y="366"/>
              </a:lnTo>
              <a:lnTo>
                <a:pt x="674" y="355"/>
              </a:lnTo>
              <a:lnTo>
                <a:pt x="674" y="325"/>
              </a:lnTo>
              <a:lnTo>
                <a:pt x="674" y="311"/>
              </a:lnTo>
              <a:lnTo>
                <a:pt x="674" y="291"/>
              </a:lnTo>
              <a:lnTo>
                <a:pt x="674" y="277"/>
              </a:lnTo>
              <a:lnTo>
                <a:pt x="674" y="207"/>
              </a:lnTo>
              <a:lnTo>
                <a:pt x="674" y="180"/>
              </a:lnTo>
              <a:lnTo>
                <a:pt x="674" y="177"/>
              </a:lnTo>
              <a:lnTo>
                <a:pt x="674" y="172"/>
              </a:lnTo>
              <a:lnTo>
                <a:pt x="674" y="106"/>
              </a:lnTo>
              <a:lnTo>
                <a:pt x="674" y="1"/>
              </a:lnTo>
              <a:lnTo>
                <a:pt x="681" y="1"/>
              </a:lnTo>
              <a:lnTo>
                <a:pt x="753" y="0"/>
              </a:lnTo>
              <a:lnTo>
                <a:pt x="799" y="1"/>
              </a:lnTo>
              <a:lnTo>
                <a:pt x="839" y="1"/>
              </a:lnTo>
              <a:lnTo>
                <a:pt x="845" y="1"/>
              </a:lnTo>
              <a:lnTo>
                <a:pt x="848" y="1"/>
              </a:lnTo>
              <a:lnTo>
                <a:pt x="863" y="1"/>
              </a:lnTo>
              <a:lnTo>
                <a:pt x="888" y="1"/>
              </a:lnTo>
              <a:lnTo>
                <a:pt x="895" y="1"/>
              </a:lnTo>
              <a:lnTo>
                <a:pt x="939" y="1"/>
              </a:lnTo>
              <a:lnTo>
                <a:pt x="985" y="1"/>
              </a:lnTo>
              <a:lnTo>
                <a:pt x="1009" y="1"/>
              </a:lnTo>
              <a:lnTo>
                <a:pt x="1040" y="1"/>
              </a:lnTo>
              <a:lnTo>
                <a:pt x="1056" y="1"/>
              </a:lnTo>
              <a:lnTo>
                <a:pt x="1065" y="1"/>
              </a:lnTo>
              <a:lnTo>
                <a:pt x="1079" y="1"/>
              </a:lnTo>
              <a:lnTo>
                <a:pt x="1126" y="1"/>
              </a:lnTo>
              <a:lnTo>
                <a:pt x="1140" y="1"/>
              </a:lnTo>
              <a:lnTo>
                <a:pt x="1173" y="1"/>
              </a:lnTo>
              <a:lnTo>
                <a:pt x="1175" y="1"/>
              </a:lnTo>
              <a:lnTo>
                <a:pt x="1242" y="1"/>
              </a:lnTo>
              <a:lnTo>
                <a:pt x="1243" y="1"/>
              </a:lnTo>
              <a:lnTo>
                <a:pt x="1243" y="30"/>
              </a:lnTo>
              <a:lnTo>
                <a:pt x="1243" y="106"/>
              </a:lnTo>
              <a:lnTo>
                <a:pt x="1243" y="118"/>
              </a:lnTo>
              <a:lnTo>
                <a:pt x="1243" y="138"/>
              </a:lnTo>
              <a:lnTo>
                <a:pt x="1243" y="147"/>
              </a:lnTo>
              <a:lnTo>
                <a:pt x="1243" y="159"/>
              </a:lnTo>
              <a:lnTo>
                <a:pt x="1243" y="177"/>
              </a:lnTo>
              <a:lnTo>
                <a:pt x="1243" y="208"/>
              </a:lnTo>
              <a:lnTo>
                <a:pt x="1243" y="236"/>
              </a:lnTo>
              <a:lnTo>
                <a:pt x="1243" y="244"/>
              </a:lnTo>
              <a:lnTo>
                <a:pt x="1243" y="254"/>
              </a:lnTo>
              <a:lnTo>
                <a:pt x="1243" y="286"/>
              </a:lnTo>
              <a:lnTo>
                <a:pt x="1243" y="296"/>
              </a:lnTo>
              <a:lnTo>
                <a:pt x="1243" y="311"/>
              </a:lnTo>
              <a:lnTo>
                <a:pt x="1243" y="325"/>
              </a:lnTo>
              <a:lnTo>
                <a:pt x="1243" y="347"/>
              </a:lnTo>
              <a:lnTo>
                <a:pt x="1243" y="384"/>
              </a:lnTo>
              <a:lnTo>
                <a:pt x="1243" y="400"/>
              </a:lnTo>
              <a:lnTo>
                <a:pt x="1243" y="414"/>
              </a:lnTo>
              <a:lnTo>
                <a:pt x="1243" y="459"/>
              </a:lnTo>
              <a:lnTo>
                <a:pt x="1250" y="457"/>
              </a:lnTo>
              <a:lnTo>
                <a:pt x="1251" y="457"/>
              </a:lnTo>
              <a:lnTo>
                <a:pt x="1272" y="471"/>
              </a:lnTo>
              <a:lnTo>
                <a:pt x="1290" y="492"/>
              </a:lnTo>
              <a:lnTo>
                <a:pt x="1336" y="495"/>
              </a:lnTo>
              <a:lnTo>
                <a:pt x="1341" y="498"/>
              </a:lnTo>
              <a:lnTo>
                <a:pt x="1383" y="506"/>
              </a:lnTo>
              <a:lnTo>
                <a:pt x="1391" y="512"/>
              </a:lnTo>
              <a:lnTo>
                <a:pt x="1393" y="539"/>
              </a:lnTo>
              <a:lnTo>
                <a:pt x="1407" y="545"/>
              </a:lnTo>
              <a:lnTo>
                <a:pt x="1419" y="543"/>
              </a:lnTo>
              <a:lnTo>
                <a:pt x="1439" y="545"/>
              </a:lnTo>
              <a:lnTo>
                <a:pt x="1477" y="563"/>
              </a:lnTo>
              <a:lnTo>
                <a:pt x="1500" y="554"/>
              </a:lnTo>
              <a:lnTo>
                <a:pt x="1503" y="555"/>
              </a:lnTo>
              <a:lnTo>
                <a:pt x="1513" y="561"/>
              </a:lnTo>
              <a:lnTo>
                <a:pt x="1524" y="573"/>
              </a:lnTo>
              <a:lnTo>
                <a:pt x="1538" y="574"/>
              </a:lnTo>
              <a:lnTo>
                <a:pt x="1572" y="561"/>
              </a:lnTo>
              <a:lnTo>
                <a:pt x="1585" y="564"/>
              </a:lnTo>
              <a:lnTo>
                <a:pt x="1591" y="559"/>
              </a:lnTo>
              <a:lnTo>
                <a:pt x="1600" y="558"/>
              </a:lnTo>
              <a:lnTo>
                <a:pt x="1604" y="590"/>
              </a:lnTo>
              <a:lnTo>
                <a:pt x="1621" y="590"/>
              </a:lnTo>
              <a:lnTo>
                <a:pt x="1621" y="617"/>
              </a:lnTo>
              <a:lnTo>
                <a:pt x="1640" y="627"/>
              </a:lnTo>
              <a:lnTo>
                <a:pt x="1687" y="598"/>
              </a:lnTo>
              <a:lnTo>
                <a:pt x="1699" y="615"/>
              </a:lnTo>
              <a:lnTo>
                <a:pt x="1706" y="613"/>
              </a:lnTo>
              <a:lnTo>
                <a:pt x="1711" y="611"/>
              </a:lnTo>
              <a:lnTo>
                <a:pt x="1714" y="611"/>
              </a:lnTo>
              <a:lnTo>
                <a:pt x="1733" y="634"/>
              </a:lnTo>
              <a:lnTo>
                <a:pt x="1771" y="620"/>
              </a:lnTo>
              <a:lnTo>
                <a:pt x="1769" y="648"/>
              </a:lnTo>
              <a:lnTo>
                <a:pt x="1780" y="658"/>
              </a:lnTo>
              <a:lnTo>
                <a:pt x="1815" y="603"/>
              </a:lnTo>
              <a:lnTo>
                <a:pt x="1817" y="601"/>
              </a:lnTo>
              <a:lnTo>
                <a:pt x="1851" y="632"/>
              </a:lnTo>
              <a:lnTo>
                <a:pt x="1880" y="616"/>
              </a:lnTo>
              <a:lnTo>
                <a:pt x="1881" y="616"/>
              </a:lnTo>
              <a:lnTo>
                <a:pt x="1877" y="621"/>
              </a:lnTo>
              <a:lnTo>
                <a:pt x="1897" y="645"/>
              </a:lnTo>
              <a:lnTo>
                <a:pt x="1912" y="644"/>
              </a:lnTo>
              <a:lnTo>
                <a:pt x="1921" y="656"/>
              </a:lnTo>
              <a:lnTo>
                <a:pt x="1944" y="647"/>
              </a:lnTo>
              <a:lnTo>
                <a:pt x="1991" y="621"/>
              </a:lnTo>
              <a:lnTo>
                <a:pt x="2020" y="629"/>
              </a:lnTo>
              <a:lnTo>
                <a:pt x="2036" y="620"/>
              </a:lnTo>
              <a:lnTo>
                <a:pt x="2038" y="616"/>
              </a:lnTo>
              <a:lnTo>
                <a:pt x="2065" y="611"/>
              </a:lnTo>
              <a:lnTo>
                <a:pt x="2065" y="605"/>
              </a:lnTo>
              <a:lnTo>
                <a:pt x="2073" y="606"/>
              </a:lnTo>
              <a:lnTo>
                <a:pt x="2078" y="616"/>
              </a:lnTo>
              <a:lnTo>
                <a:pt x="2076" y="618"/>
              </a:lnTo>
              <a:lnTo>
                <a:pt x="2120" y="619"/>
              </a:lnTo>
              <a:lnTo>
                <a:pt x="2126" y="620"/>
              </a:lnTo>
              <a:lnTo>
                <a:pt x="2132" y="606"/>
              </a:lnTo>
              <a:lnTo>
                <a:pt x="2149" y="605"/>
              </a:lnTo>
              <a:lnTo>
                <a:pt x="2155" y="606"/>
              </a:lnTo>
              <a:lnTo>
                <a:pt x="2155" y="613"/>
              </a:lnTo>
              <a:lnTo>
                <a:pt x="2179" y="624"/>
              </a:lnTo>
              <a:lnTo>
                <a:pt x="2201" y="650"/>
              </a:lnTo>
              <a:lnTo>
                <a:pt x="2212" y="654"/>
              </a:lnTo>
              <a:lnTo>
                <a:pt x="2211" y="646"/>
              </a:lnTo>
              <a:lnTo>
                <a:pt x="2224" y="650"/>
              </a:lnTo>
              <a:lnTo>
                <a:pt x="2224" y="659"/>
              </a:lnTo>
              <a:lnTo>
                <a:pt x="2228" y="658"/>
              </a:lnTo>
              <a:lnTo>
                <a:pt x="2226" y="661"/>
              </a:lnTo>
              <a:lnTo>
                <a:pt x="2248" y="666"/>
              </a:lnTo>
              <a:lnTo>
                <a:pt x="2267" y="681"/>
              </a:lnTo>
              <a:lnTo>
                <a:pt x="2275" y="676"/>
              </a:lnTo>
              <a:lnTo>
                <a:pt x="2295" y="698"/>
              </a:lnTo>
              <a:lnTo>
                <a:pt x="2319" y="689"/>
              </a:lnTo>
              <a:lnTo>
                <a:pt x="2357" y="696"/>
              </a:lnTo>
              <a:lnTo>
                <a:pt x="2357" y="704"/>
              </a:lnTo>
              <a:lnTo>
                <a:pt x="2357" y="738"/>
              </a:lnTo>
              <a:lnTo>
                <a:pt x="2357" y="763"/>
              </a:lnTo>
              <a:lnTo>
                <a:pt x="2357" y="768"/>
              </a:lnTo>
              <a:lnTo>
                <a:pt x="2357" y="798"/>
              </a:lnTo>
              <a:lnTo>
                <a:pt x="2357" y="823"/>
              </a:lnTo>
              <a:lnTo>
                <a:pt x="2357" y="827"/>
              </a:lnTo>
              <a:lnTo>
                <a:pt x="2357" y="856"/>
              </a:lnTo>
              <a:lnTo>
                <a:pt x="2357" y="886"/>
              </a:lnTo>
              <a:lnTo>
                <a:pt x="2357" y="890"/>
              </a:lnTo>
              <a:lnTo>
                <a:pt x="2357" y="900"/>
              </a:lnTo>
              <a:lnTo>
                <a:pt x="2357" y="916"/>
              </a:lnTo>
              <a:lnTo>
                <a:pt x="2357" y="946"/>
              </a:lnTo>
              <a:lnTo>
                <a:pt x="2357" y="970"/>
              </a:lnTo>
              <a:lnTo>
                <a:pt x="2357" y="975"/>
              </a:lnTo>
              <a:lnTo>
                <a:pt x="2357" y="1005"/>
              </a:lnTo>
              <a:lnTo>
                <a:pt x="2357" y="1017"/>
              </a:lnTo>
              <a:lnTo>
                <a:pt x="2357" y="1063"/>
              </a:lnTo>
              <a:lnTo>
                <a:pt x="2362" y="1066"/>
              </a:lnTo>
              <a:lnTo>
                <a:pt x="2363" y="1069"/>
              </a:lnTo>
              <a:lnTo>
                <a:pt x="2364" y="1070"/>
              </a:lnTo>
              <a:lnTo>
                <a:pt x="2365" y="1073"/>
              </a:lnTo>
              <a:lnTo>
                <a:pt x="2388" y="1100"/>
              </a:lnTo>
              <a:lnTo>
                <a:pt x="2387" y="1100"/>
              </a:lnTo>
              <a:lnTo>
                <a:pt x="2396" y="1122"/>
              </a:lnTo>
              <a:lnTo>
                <a:pt x="2396" y="1161"/>
              </a:lnTo>
              <a:lnTo>
                <a:pt x="2417" y="1181"/>
              </a:lnTo>
              <a:lnTo>
                <a:pt x="2412" y="1185"/>
              </a:lnTo>
              <a:lnTo>
                <a:pt x="2440" y="1258"/>
              </a:lnTo>
              <a:lnTo>
                <a:pt x="2449" y="1256"/>
              </a:lnTo>
              <a:lnTo>
                <a:pt x="2444" y="1300"/>
              </a:lnTo>
              <a:lnTo>
                <a:pt x="2448" y="1330"/>
              </a:lnTo>
              <a:lnTo>
                <a:pt x="2448" y="1331"/>
              </a:lnTo>
              <a:lnTo>
                <a:pt x="2439" y="1359"/>
              </a:lnTo>
              <a:lnTo>
                <a:pt x="2419" y="1418"/>
              </a:lnTo>
              <a:lnTo>
                <a:pt x="2414" y="1441"/>
              </a:lnTo>
              <a:lnTo>
                <a:pt x="2412" y="1442"/>
              </a:lnTo>
              <a:lnTo>
                <a:pt x="2412" y="1460"/>
              </a:lnTo>
              <a:lnTo>
                <a:pt x="2420" y="1478"/>
              </a:lnTo>
              <a:lnTo>
                <a:pt x="2422" y="1507"/>
              </a:lnTo>
              <a:lnTo>
                <a:pt x="2417" y="1524"/>
              </a:lnTo>
              <a:lnTo>
                <a:pt x="2414" y="1529"/>
              </a:lnTo>
              <a:lnTo>
                <a:pt x="2409" y="1535"/>
              </a:lnTo>
              <a:lnTo>
                <a:pt x="2393" y="1568"/>
              </a:lnTo>
              <a:lnTo>
                <a:pt x="2386" y="1573"/>
              </a:lnTo>
              <a:lnTo>
                <a:pt x="2388" y="1597"/>
              </a:lnTo>
              <a:lnTo>
                <a:pt x="2398" y="1620"/>
              </a:lnTo>
              <a:lnTo>
                <a:pt x="2387" y="1614"/>
              </a:lnTo>
              <a:lnTo>
                <a:pt x="2357" y="1612"/>
              </a:lnTo>
              <a:lnTo>
                <a:pt x="2300" y="1639"/>
              </a:lnTo>
              <a:lnTo>
                <a:pt x="2296" y="1641"/>
              </a:lnTo>
              <a:lnTo>
                <a:pt x="2229" y="1687"/>
              </a:lnTo>
              <a:lnTo>
                <a:pt x="2219" y="1683"/>
              </a:lnTo>
              <a:lnTo>
                <a:pt x="2254" y="1654"/>
              </a:lnTo>
              <a:lnTo>
                <a:pt x="2272" y="1648"/>
              </a:lnTo>
              <a:lnTo>
                <a:pt x="2272" y="1643"/>
              </a:lnTo>
              <a:lnTo>
                <a:pt x="2248" y="1641"/>
              </a:lnTo>
              <a:lnTo>
                <a:pt x="2225" y="1648"/>
              </a:lnTo>
              <a:lnTo>
                <a:pt x="2225" y="1589"/>
              </a:lnTo>
              <a:lnTo>
                <a:pt x="2212" y="1593"/>
              </a:lnTo>
              <a:lnTo>
                <a:pt x="2202" y="1615"/>
              </a:lnTo>
              <a:lnTo>
                <a:pt x="2190" y="1612"/>
              </a:lnTo>
              <a:lnTo>
                <a:pt x="2186" y="1611"/>
              </a:lnTo>
              <a:lnTo>
                <a:pt x="2184" y="1610"/>
              </a:lnTo>
              <a:lnTo>
                <a:pt x="2182" y="1612"/>
              </a:lnTo>
              <a:lnTo>
                <a:pt x="2176" y="1624"/>
              </a:lnTo>
              <a:lnTo>
                <a:pt x="2179" y="1635"/>
              </a:lnTo>
              <a:lnTo>
                <a:pt x="2174" y="1641"/>
              </a:lnTo>
              <a:lnTo>
                <a:pt x="2179" y="1648"/>
              </a:lnTo>
              <a:lnTo>
                <a:pt x="2195" y="1655"/>
              </a:lnTo>
              <a:lnTo>
                <a:pt x="2201" y="1681"/>
              </a:lnTo>
              <a:lnTo>
                <a:pt x="2229" y="1694"/>
              </a:lnTo>
              <a:lnTo>
                <a:pt x="2156" y="1754"/>
              </a:lnTo>
              <a:lnTo>
                <a:pt x="2107" y="1802"/>
              </a:lnTo>
              <a:lnTo>
                <a:pt x="2084" y="1813"/>
              </a:lnTo>
              <a:lnTo>
                <a:pt x="2083" y="1814"/>
              </a:lnTo>
              <a:lnTo>
                <a:pt x="2010" y="1861"/>
              </a:lnTo>
              <a:lnTo>
                <a:pt x="1944" y="1897"/>
              </a:lnTo>
              <a:lnTo>
                <a:pt x="1920" y="1917"/>
              </a:lnTo>
              <a:lnTo>
                <a:pt x="1897" y="1939"/>
              </a:lnTo>
              <a:lnTo>
                <a:pt x="1875" y="1955"/>
              </a:lnTo>
              <a:lnTo>
                <a:pt x="1832" y="1993"/>
              </a:lnTo>
              <a:lnTo>
                <a:pt x="1798" y="2042"/>
              </a:lnTo>
              <a:lnTo>
                <a:pt x="1797" y="2047"/>
              </a:lnTo>
              <a:lnTo>
                <a:pt x="1798" y="2048"/>
              </a:lnTo>
              <a:lnTo>
                <a:pt x="1779" y="2073"/>
              </a:lnTo>
              <a:lnTo>
                <a:pt x="1762" y="2108"/>
              </a:lnTo>
              <a:lnTo>
                <a:pt x="1739" y="2179"/>
              </a:lnTo>
              <a:lnTo>
                <a:pt x="1738" y="2185"/>
              </a:lnTo>
              <a:lnTo>
                <a:pt x="1733" y="2244"/>
              </a:lnTo>
              <a:lnTo>
                <a:pt x="1751" y="2339"/>
              </a:lnTo>
              <a:lnTo>
                <a:pt x="1762" y="2384"/>
              </a:lnTo>
              <a:lnTo>
                <a:pt x="1776" y="2480"/>
              </a:lnTo>
              <a:lnTo>
                <a:pt x="1737" y="2510"/>
              </a:lnTo>
              <a:lnTo>
                <a:pt x="1711" y="2505"/>
              </a:lnTo>
              <a:lnTo>
                <a:pt x="1688" y="2480"/>
              </a:lnTo>
              <a:lnTo>
                <a:pt x="1642" y="2464"/>
              </a:lnTo>
              <a:lnTo>
                <a:pt x="1571" y="2463"/>
              </a:lnTo>
              <a:lnTo>
                <a:pt x="1564" y="2452"/>
              </a:lnTo>
              <a:lnTo>
                <a:pt x="1556" y="2452"/>
              </a:lnTo>
              <a:lnTo>
                <a:pt x="1508" y="2419"/>
              </a:lnTo>
              <a:lnTo>
                <a:pt x="1490" y="2422"/>
              </a:lnTo>
              <a:lnTo>
                <a:pt x="1477" y="2410"/>
              </a:lnTo>
              <a:lnTo>
                <a:pt x="1477" y="2402"/>
              </a:lnTo>
              <a:lnTo>
                <a:pt x="1429" y="2387"/>
              </a:lnTo>
              <a:lnTo>
                <a:pt x="1398" y="2346"/>
              </a:lnTo>
              <a:lnTo>
                <a:pt x="1380" y="2282"/>
              </a:lnTo>
              <a:lnTo>
                <a:pt x="1355" y="2245"/>
              </a:lnTo>
              <a:lnTo>
                <a:pt x="1345" y="2182"/>
              </a:lnTo>
              <a:lnTo>
                <a:pt x="1336" y="2126"/>
              </a:lnTo>
              <a:lnTo>
                <a:pt x="1313" y="2093"/>
              </a:lnTo>
              <a:lnTo>
                <a:pt x="1289" y="2078"/>
              </a:lnTo>
              <a:lnTo>
                <a:pt x="1286" y="207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49</xdr:row>
      <xdr:rowOff>66675</xdr:rowOff>
    </xdr:from>
    <xdr:to>
      <xdr:col>2</xdr:col>
      <xdr:colOff>2219325</xdr:colOff>
      <xdr:row>49</xdr:row>
      <xdr:rowOff>1152525</xdr:rowOff>
    </xdr:to>
    <xdr:sp macro="" textlink="">
      <xdr:nvSpPr>
        <xdr:cNvPr id="139" name="S_VA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/>
        </xdr:cNvSpPr>
      </xdr:nvSpPr>
      <xdr:spPr bwMode="auto">
        <a:xfrm>
          <a:off x="1924050" y="61064775"/>
          <a:ext cx="2076450" cy="1085850"/>
        </a:xfrm>
        <a:custGeom>
          <a:avLst/>
          <a:gdLst>
            <a:gd name="T0" fmla="*/ 2147483647 w 1460"/>
            <a:gd name="T1" fmla="*/ 2147483647 h 691"/>
            <a:gd name="T2" fmla="*/ 2147483647 w 1460"/>
            <a:gd name="T3" fmla="*/ 2147483647 h 691"/>
            <a:gd name="T4" fmla="*/ 2147483647 w 1460"/>
            <a:gd name="T5" fmla="*/ 2147483647 h 691"/>
            <a:gd name="T6" fmla="*/ 2147483647 w 1460"/>
            <a:gd name="T7" fmla="*/ 2147483647 h 691"/>
            <a:gd name="T8" fmla="*/ 2147483647 w 1460"/>
            <a:gd name="T9" fmla="*/ 2147483647 h 691"/>
            <a:gd name="T10" fmla="*/ 2147483647 w 1460"/>
            <a:gd name="T11" fmla="*/ 2147483647 h 691"/>
            <a:gd name="T12" fmla="*/ 2147483647 w 1460"/>
            <a:gd name="T13" fmla="*/ 2147483647 h 691"/>
            <a:gd name="T14" fmla="*/ 2147483647 w 1460"/>
            <a:gd name="T15" fmla="*/ 2147483647 h 691"/>
            <a:gd name="T16" fmla="*/ 2147483647 w 1460"/>
            <a:gd name="T17" fmla="*/ 2147483647 h 691"/>
            <a:gd name="T18" fmla="*/ 2147483647 w 1460"/>
            <a:gd name="T19" fmla="*/ 2147483647 h 691"/>
            <a:gd name="T20" fmla="*/ 2147483647 w 1460"/>
            <a:gd name="T21" fmla="*/ 2147483647 h 691"/>
            <a:gd name="T22" fmla="*/ 2147483647 w 1460"/>
            <a:gd name="T23" fmla="*/ 2147483647 h 691"/>
            <a:gd name="T24" fmla="*/ 2147483647 w 1460"/>
            <a:gd name="T25" fmla="*/ 2147483647 h 691"/>
            <a:gd name="T26" fmla="*/ 2147483647 w 1460"/>
            <a:gd name="T27" fmla="*/ 2147483647 h 691"/>
            <a:gd name="T28" fmla="*/ 2147483647 w 1460"/>
            <a:gd name="T29" fmla="*/ 2147483647 h 691"/>
            <a:gd name="T30" fmla="*/ 2147483647 w 1460"/>
            <a:gd name="T31" fmla="*/ 2147483647 h 691"/>
            <a:gd name="T32" fmla="*/ 2147483647 w 1460"/>
            <a:gd name="T33" fmla="*/ 2147483647 h 691"/>
            <a:gd name="T34" fmla="*/ 2147483647 w 1460"/>
            <a:gd name="T35" fmla="*/ 2147483647 h 691"/>
            <a:gd name="T36" fmla="*/ 2147483647 w 1460"/>
            <a:gd name="T37" fmla="*/ 2147483647 h 691"/>
            <a:gd name="T38" fmla="*/ 2147483647 w 1460"/>
            <a:gd name="T39" fmla="*/ 2147483647 h 691"/>
            <a:gd name="T40" fmla="*/ 2147483647 w 1460"/>
            <a:gd name="T41" fmla="*/ 2147483647 h 691"/>
            <a:gd name="T42" fmla="*/ 2147483647 w 1460"/>
            <a:gd name="T43" fmla="*/ 2147483647 h 691"/>
            <a:gd name="T44" fmla="*/ 2147483647 w 1460"/>
            <a:gd name="T45" fmla="*/ 2147483647 h 691"/>
            <a:gd name="T46" fmla="*/ 2147483647 w 1460"/>
            <a:gd name="T47" fmla="*/ 2147483647 h 691"/>
            <a:gd name="T48" fmla="*/ 2147483647 w 1460"/>
            <a:gd name="T49" fmla="*/ 2147483647 h 691"/>
            <a:gd name="T50" fmla="*/ 2147483647 w 1460"/>
            <a:gd name="T51" fmla="*/ 2147483647 h 691"/>
            <a:gd name="T52" fmla="*/ 2147483647 w 1460"/>
            <a:gd name="T53" fmla="*/ 2147483647 h 691"/>
            <a:gd name="T54" fmla="*/ 2147483647 w 1460"/>
            <a:gd name="T55" fmla="*/ 2147483647 h 691"/>
            <a:gd name="T56" fmla="*/ 2147483647 w 1460"/>
            <a:gd name="T57" fmla="*/ 2147483647 h 691"/>
            <a:gd name="T58" fmla="*/ 2147483647 w 1460"/>
            <a:gd name="T59" fmla="*/ 2147483647 h 691"/>
            <a:gd name="T60" fmla="*/ 2147483647 w 1460"/>
            <a:gd name="T61" fmla="*/ 2147483647 h 691"/>
            <a:gd name="T62" fmla="*/ 2147483647 w 1460"/>
            <a:gd name="T63" fmla="*/ 2147483647 h 691"/>
            <a:gd name="T64" fmla="*/ 2147483647 w 1460"/>
            <a:gd name="T65" fmla="*/ 2147483647 h 691"/>
            <a:gd name="T66" fmla="*/ 2147483647 w 1460"/>
            <a:gd name="T67" fmla="*/ 2147483647 h 691"/>
            <a:gd name="T68" fmla="*/ 2147483647 w 1460"/>
            <a:gd name="T69" fmla="*/ 2147483647 h 691"/>
            <a:gd name="T70" fmla="*/ 2147483647 w 1460"/>
            <a:gd name="T71" fmla="*/ 2147483647 h 691"/>
            <a:gd name="T72" fmla="*/ 2147483647 w 1460"/>
            <a:gd name="T73" fmla="*/ 2147483647 h 691"/>
            <a:gd name="T74" fmla="*/ 2147483647 w 1460"/>
            <a:gd name="T75" fmla="*/ 2147483647 h 691"/>
            <a:gd name="T76" fmla="*/ 2147483647 w 1460"/>
            <a:gd name="T77" fmla="*/ 2147483647 h 691"/>
            <a:gd name="T78" fmla="*/ 2147483647 w 1460"/>
            <a:gd name="T79" fmla="*/ 2147483647 h 691"/>
            <a:gd name="T80" fmla="*/ 2147483647 w 1460"/>
            <a:gd name="T81" fmla="*/ 2147483647 h 691"/>
            <a:gd name="T82" fmla="*/ 2147483647 w 1460"/>
            <a:gd name="T83" fmla="*/ 2147483647 h 691"/>
            <a:gd name="T84" fmla="*/ 2147483647 w 1460"/>
            <a:gd name="T85" fmla="*/ 2147483647 h 691"/>
            <a:gd name="T86" fmla="*/ 2147483647 w 1460"/>
            <a:gd name="T87" fmla="*/ 2147483647 h 691"/>
            <a:gd name="T88" fmla="*/ 2147483647 w 1460"/>
            <a:gd name="T89" fmla="*/ 2147483647 h 691"/>
            <a:gd name="T90" fmla="*/ 2147483647 w 1460"/>
            <a:gd name="T91" fmla="*/ 2147483647 h 691"/>
            <a:gd name="T92" fmla="*/ 2147483647 w 1460"/>
            <a:gd name="T93" fmla="*/ 2147483647 h 691"/>
            <a:gd name="T94" fmla="*/ 2147483647 w 1460"/>
            <a:gd name="T95" fmla="*/ 2147483647 h 691"/>
            <a:gd name="T96" fmla="*/ 2147483647 w 1460"/>
            <a:gd name="T97" fmla="*/ 2147483647 h 691"/>
            <a:gd name="T98" fmla="*/ 2147483647 w 1460"/>
            <a:gd name="T99" fmla="*/ 2147483647 h 691"/>
            <a:gd name="T100" fmla="*/ 2147483647 w 1460"/>
            <a:gd name="T101" fmla="*/ 2147483647 h 691"/>
            <a:gd name="T102" fmla="*/ 2147483647 w 1460"/>
            <a:gd name="T103" fmla="*/ 2147483647 h 691"/>
            <a:gd name="T104" fmla="*/ 2147483647 w 1460"/>
            <a:gd name="T105" fmla="*/ 2147483647 h 691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460"/>
            <a:gd name="T160" fmla="*/ 0 h 691"/>
            <a:gd name="T161" fmla="*/ 1460 w 1460"/>
            <a:gd name="T162" fmla="*/ 691 h 691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460" h="691">
              <a:moveTo>
                <a:pt x="1362" y="542"/>
              </a:moveTo>
              <a:lnTo>
                <a:pt x="1364" y="546"/>
              </a:lnTo>
              <a:lnTo>
                <a:pt x="1365" y="544"/>
              </a:lnTo>
              <a:lnTo>
                <a:pt x="1380" y="555"/>
              </a:lnTo>
              <a:lnTo>
                <a:pt x="1380" y="556"/>
              </a:lnTo>
              <a:lnTo>
                <a:pt x="1378" y="582"/>
              </a:lnTo>
              <a:lnTo>
                <a:pt x="1379" y="587"/>
              </a:lnTo>
              <a:lnTo>
                <a:pt x="1380" y="589"/>
              </a:lnTo>
              <a:lnTo>
                <a:pt x="1389" y="593"/>
              </a:lnTo>
              <a:lnTo>
                <a:pt x="1402" y="599"/>
              </a:lnTo>
              <a:lnTo>
                <a:pt x="1412" y="602"/>
              </a:lnTo>
              <a:lnTo>
                <a:pt x="1435" y="599"/>
              </a:lnTo>
              <a:lnTo>
                <a:pt x="1460" y="689"/>
              </a:lnTo>
              <a:lnTo>
                <a:pt x="1436" y="689"/>
              </a:lnTo>
              <a:lnTo>
                <a:pt x="1412" y="688"/>
              </a:lnTo>
              <a:lnTo>
                <a:pt x="1389" y="689"/>
              </a:lnTo>
              <a:lnTo>
                <a:pt x="1384" y="689"/>
              </a:lnTo>
              <a:lnTo>
                <a:pt x="1377" y="689"/>
              </a:lnTo>
              <a:lnTo>
                <a:pt x="1372" y="689"/>
              </a:lnTo>
              <a:lnTo>
                <a:pt x="1365" y="688"/>
              </a:lnTo>
              <a:lnTo>
                <a:pt x="1344" y="688"/>
              </a:lnTo>
              <a:lnTo>
                <a:pt x="1342" y="688"/>
              </a:lnTo>
              <a:lnTo>
                <a:pt x="1335" y="688"/>
              </a:lnTo>
              <a:lnTo>
                <a:pt x="1334" y="688"/>
              </a:lnTo>
              <a:lnTo>
                <a:pt x="1295" y="688"/>
              </a:lnTo>
              <a:lnTo>
                <a:pt x="1272" y="688"/>
              </a:lnTo>
              <a:lnTo>
                <a:pt x="1265" y="688"/>
              </a:lnTo>
              <a:lnTo>
                <a:pt x="1264" y="690"/>
              </a:lnTo>
              <a:lnTo>
                <a:pt x="1230" y="690"/>
              </a:lnTo>
              <a:lnTo>
                <a:pt x="1225" y="690"/>
              </a:lnTo>
              <a:lnTo>
                <a:pt x="1218" y="689"/>
              </a:lnTo>
              <a:lnTo>
                <a:pt x="1201" y="690"/>
              </a:lnTo>
              <a:lnTo>
                <a:pt x="1193" y="690"/>
              </a:lnTo>
              <a:lnTo>
                <a:pt x="1146" y="690"/>
              </a:lnTo>
              <a:lnTo>
                <a:pt x="1142" y="690"/>
              </a:lnTo>
              <a:lnTo>
                <a:pt x="1105" y="690"/>
              </a:lnTo>
              <a:lnTo>
                <a:pt x="1098" y="690"/>
              </a:lnTo>
              <a:lnTo>
                <a:pt x="1090" y="690"/>
              </a:lnTo>
              <a:lnTo>
                <a:pt x="1079" y="690"/>
              </a:lnTo>
              <a:lnTo>
                <a:pt x="1070" y="690"/>
              </a:lnTo>
              <a:lnTo>
                <a:pt x="1061" y="690"/>
              </a:lnTo>
              <a:lnTo>
                <a:pt x="1053" y="690"/>
              </a:lnTo>
              <a:lnTo>
                <a:pt x="1020" y="690"/>
              </a:lnTo>
              <a:lnTo>
                <a:pt x="1014" y="690"/>
              </a:lnTo>
              <a:lnTo>
                <a:pt x="1000" y="690"/>
              </a:lnTo>
              <a:lnTo>
                <a:pt x="991" y="690"/>
              </a:lnTo>
              <a:lnTo>
                <a:pt x="984" y="690"/>
              </a:lnTo>
              <a:lnTo>
                <a:pt x="976" y="690"/>
              </a:lnTo>
              <a:lnTo>
                <a:pt x="968" y="691"/>
              </a:lnTo>
              <a:lnTo>
                <a:pt x="945" y="691"/>
              </a:lnTo>
              <a:lnTo>
                <a:pt x="924" y="690"/>
              </a:lnTo>
              <a:lnTo>
                <a:pt x="921" y="690"/>
              </a:lnTo>
              <a:lnTo>
                <a:pt x="916" y="690"/>
              </a:lnTo>
              <a:lnTo>
                <a:pt x="913" y="690"/>
              </a:lnTo>
              <a:lnTo>
                <a:pt x="909" y="690"/>
              </a:lnTo>
              <a:lnTo>
                <a:pt x="906" y="690"/>
              </a:lnTo>
              <a:lnTo>
                <a:pt x="848" y="690"/>
              </a:lnTo>
              <a:lnTo>
                <a:pt x="833" y="690"/>
              </a:lnTo>
              <a:lnTo>
                <a:pt x="828" y="691"/>
              </a:lnTo>
              <a:lnTo>
                <a:pt x="804" y="691"/>
              </a:lnTo>
              <a:lnTo>
                <a:pt x="779" y="691"/>
              </a:lnTo>
              <a:lnTo>
                <a:pt x="769" y="691"/>
              </a:lnTo>
              <a:lnTo>
                <a:pt x="757" y="690"/>
              </a:lnTo>
              <a:lnTo>
                <a:pt x="740" y="690"/>
              </a:lnTo>
              <a:lnTo>
                <a:pt x="710" y="690"/>
              </a:lnTo>
              <a:lnTo>
                <a:pt x="687" y="690"/>
              </a:lnTo>
              <a:lnTo>
                <a:pt x="682" y="690"/>
              </a:lnTo>
              <a:lnTo>
                <a:pt x="677" y="690"/>
              </a:lnTo>
              <a:lnTo>
                <a:pt x="664" y="690"/>
              </a:lnTo>
              <a:lnTo>
                <a:pt x="632" y="690"/>
              </a:lnTo>
              <a:lnTo>
                <a:pt x="604" y="688"/>
              </a:lnTo>
              <a:lnTo>
                <a:pt x="594" y="688"/>
              </a:lnTo>
              <a:lnTo>
                <a:pt x="582" y="687"/>
              </a:lnTo>
              <a:lnTo>
                <a:pt x="572" y="687"/>
              </a:lnTo>
              <a:lnTo>
                <a:pt x="555" y="686"/>
              </a:lnTo>
              <a:lnTo>
                <a:pt x="542" y="686"/>
              </a:lnTo>
              <a:lnTo>
                <a:pt x="534" y="686"/>
              </a:lnTo>
              <a:lnTo>
                <a:pt x="530" y="687"/>
              </a:lnTo>
              <a:lnTo>
                <a:pt x="527" y="687"/>
              </a:lnTo>
              <a:lnTo>
                <a:pt x="525" y="686"/>
              </a:lnTo>
              <a:lnTo>
                <a:pt x="524" y="686"/>
              </a:lnTo>
              <a:lnTo>
                <a:pt x="519" y="686"/>
              </a:lnTo>
              <a:lnTo>
                <a:pt x="490" y="685"/>
              </a:lnTo>
              <a:lnTo>
                <a:pt x="443" y="683"/>
              </a:lnTo>
              <a:lnTo>
                <a:pt x="434" y="683"/>
              </a:lnTo>
              <a:lnTo>
                <a:pt x="417" y="683"/>
              </a:lnTo>
              <a:lnTo>
                <a:pt x="411" y="681"/>
              </a:lnTo>
              <a:lnTo>
                <a:pt x="383" y="679"/>
              </a:lnTo>
              <a:lnTo>
                <a:pt x="373" y="679"/>
              </a:lnTo>
              <a:lnTo>
                <a:pt x="380" y="674"/>
              </a:lnTo>
              <a:lnTo>
                <a:pt x="360" y="674"/>
              </a:lnTo>
              <a:lnTo>
                <a:pt x="345" y="673"/>
              </a:lnTo>
              <a:lnTo>
                <a:pt x="327" y="673"/>
              </a:lnTo>
              <a:lnTo>
                <a:pt x="325" y="678"/>
              </a:lnTo>
              <a:lnTo>
                <a:pt x="285" y="678"/>
              </a:lnTo>
              <a:lnTo>
                <a:pt x="280" y="678"/>
              </a:lnTo>
              <a:lnTo>
                <a:pt x="274" y="677"/>
              </a:lnTo>
              <a:lnTo>
                <a:pt x="267" y="678"/>
              </a:lnTo>
              <a:lnTo>
                <a:pt x="266" y="678"/>
              </a:lnTo>
              <a:lnTo>
                <a:pt x="258" y="677"/>
              </a:lnTo>
              <a:lnTo>
                <a:pt x="243" y="678"/>
              </a:lnTo>
              <a:lnTo>
                <a:pt x="219" y="678"/>
              </a:lnTo>
              <a:lnTo>
                <a:pt x="199" y="678"/>
              </a:lnTo>
              <a:lnTo>
                <a:pt x="197" y="678"/>
              </a:lnTo>
              <a:lnTo>
                <a:pt x="189" y="678"/>
              </a:lnTo>
              <a:lnTo>
                <a:pt x="158" y="678"/>
              </a:lnTo>
              <a:lnTo>
                <a:pt x="149" y="678"/>
              </a:lnTo>
              <a:lnTo>
                <a:pt x="129" y="678"/>
              </a:lnTo>
              <a:lnTo>
                <a:pt x="77" y="678"/>
              </a:lnTo>
              <a:lnTo>
                <a:pt x="75" y="677"/>
              </a:lnTo>
              <a:lnTo>
                <a:pt x="38" y="677"/>
              </a:lnTo>
              <a:lnTo>
                <a:pt x="9" y="677"/>
              </a:lnTo>
              <a:lnTo>
                <a:pt x="5" y="677"/>
              </a:lnTo>
              <a:lnTo>
                <a:pt x="0" y="676"/>
              </a:lnTo>
              <a:lnTo>
                <a:pt x="8" y="671"/>
              </a:lnTo>
              <a:lnTo>
                <a:pt x="33" y="660"/>
              </a:lnTo>
              <a:lnTo>
                <a:pt x="39" y="661"/>
              </a:lnTo>
              <a:lnTo>
                <a:pt x="101" y="641"/>
              </a:lnTo>
              <a:lnTo>
                <a:pt x="102" y="632"/>
              </a:lnTo>
              <a:lnTo>
                <a:pt x="148" y="608"/>
              </a:lnTo>
              <a:lnTo>
                <a:pt x="149" y="607"/>
              </a:lnTo>
              <a:lnTo>
                <a:pt x="151" y="588"/>
              </a:lnTo>
              <a:lnTo>
                <a:pt x="173" y="577"/>
              </a:lnTo>
              <a:lnTo>
                <a:pt x="180" y="553"/>
              </a:lnTo>
              <a:lnTo>
                <a:pt x="207" y="536"/>
              </a:lnTo>
              <a:lnTo>
                <a:pt x="209" y="535"/>
              </a:lnTo>
              <a:lnTo>
                <a:pt x="231" y="524"/>
              </a:lnTo>
              <a:lnTo>
                <a:pt x="243" y="521"/>
              </a:lnTo>
              <a:lnTo>
                <a:pt x="254" y="512"/>
              </a:lnTo>
              <a:lnTo>
                <a:pt x="276" y="493"/>
              </a:lnTo>
              <a:lnTo>
                <a:pt x="298" y="474"/>
              </a:lnTo>
              <a:lnTo>
                <a:pt x="319" y="456"/>
              </a:lnTo>
              <a:lnTo>
                <a:pt x="327" y="461"/>
              </a:lnTo>
              <a:lnTo>
                <a:pt x="322" y="464"/>
              </a:lnTo>
              <a:lnTo>
                <a:pt x="326" y="493"/>
              </a:lnTo>
              <a:lnTo>
                <a:pt x="361" y="526"/>
              </a:lnTo>
              <a:lnTo>
                <a:pt x="373" y="535"/>
              </a:lnTo>
              <a:lnTo>
                <a:pt x="417" y="518"/>
              </a:lnTo>
              <a:lnTo>
                <a:pt x="432" y="503"/>
              </a:lnTo>
              <a:lnTo>
                <a:pt x="441" y="511"/>
              </a:lnTo>
              <a:lnTo>
                <a:pt x="453" y="523"/>
              </a:lnTo>
              <a:lnTo>
                <a:pt x="458" y="526"/>
              </a:lnTo>
              <a:lnTo>
                <a:pt x="477" y="518"/>
              </a:lnTo>
              <a:lnTo>
                <a:pt x="504" y="511"/>
              </a:lnTo>
              <a:lnTo>
                <a:pt x="504" y="513"/>
              </a:lnTo>
              <a:lnTo>
                <a:pt x="528" y="501"/>
              </a:lnTo>
              <a:lnTo>
                <a:pt x="522" y="492"/>
              </a:lnTo>
              <a:lnTo>
                <a:pt x="526" y="481"/>
              </a:lnTo>
              <a:lnTo>
                <a:pt x="543" y="494"/>
              </a:lnTo>
              <a:lnTo>
                <a:pt x="594" y="472"/>
              </a:lnTo>
              <a:lnTo>
                <a:pt x="599" y="482"/>
              </a:lnTo>
              <a:lnTo>
                <a:pt x="628" y="464"/>
              </a:lnTo>
              <a:lnTo>
                <a:pt x="641" y="440"/>
              </a:lnTo>
              <a:lnTo>
                <a:pt x="646" y="434"/>
              </a:lnTo>
              <a:lnTo>
                <a:pt x="641" y="430"/>
              </a:lnTo>
              <a:lnTo>
                <a:pt x="634" y="426"/>
              </a:lnTo>
              <a:lnTo>
                <a:pt x="630" y="419"/>
              </a:lnTo>
              <a:lnTo>
                <a:pt x="644" y="398"/>
              </a:lnTo>
              <a:lnTo>
                <a:pt x="657" y="375"/>
              </a:lnTo>
              <a:lnTo>
                <a:pt x="676" y="357"/>
              </a:lnTo>
              <a:lnTo>
                <a:pt x="687" y="348"/>
              </a:lnTo>
              <a:lnTo>
                <a:pt x="688" y="346"/>
              </a:lnTo>
              <a:lnTo>
                <a:pt x="694" y="330"/>
              </a:lnTo>
              <a:lnTo>
                <a:pt x="698" y="316"/>
              </a:lnTo>
              <a:lnTo>
                <a:pt x="710" y="296"/>
              </a:lnTo>
              <a:lnTo>
                <a:pt x="725" y="283"/>
              </a:lnTo>
              <a:lnTo>
                <a:pt x="734" y="262"/>
              </a:lnTo>
              <a:lnTo>
                <a:pt x="737" y="258"/>
              </a:lnTo>
              <a:lnTo>
                <a:pt x="753" y="206"/>
              </a:lnTo>
              <a:lnTo>
                <a:pt x="767" y="213"/>
              </a:lnTo>
              <a:lnTo>
                <a:pt x="785" y="238"/>
              </a:lnTo>
              <a:lnTo>
                <a:pt x="816" y="249"/>
              </a:lnTo>
              <a:lnTo>
                <a:pt x="828" y="238"/>
              </a:lnTo>
              <a:lnTo>
                <a:pt x="832" y="233"/>
              </a:lnTo>
              <a:lnTo>
                <a:pt x="835" y="228"/>
              </a:lnTo>
              <a:lnTo>
                <a:pt x="835" y="226"/>
              </a:lnTo>
              <a:lnTo>
                <a:pt x="863" y="166"/>
              </a:lnTo>
              <a:lnTo>
                <a:pt x="874" y="147"/>
              </a:lnTo>
              <a:lnTo>
                <a:pt x="875" y="145"/>
              </a:lnTo>
              <a:lnTo>
                <a:pt x="899" y="166"/>
              </a:lnTo>
              <a:lnTo>
                <a:pt x="921" y="129"/>
              </a:lnTo>
              <a:lnTo>
                <a:pt x="954" y="110"/>
              </a:lnTo>
              <a:lnTo>
                <a:pt x="960" y="96"/>
              </a:lnTo>
              <a:lnTo>
                <a:pt x="966" y="89"/>
              </a:lnTo>
              <a:lnTo>
                <a:pt x="978" y="80"/>
              </a:lnTo>
              <a:lnTo>
                <a:pt x="991" y="38"/>
              </a:lnTo>
              <a:lnTo>
                <a:pt x="996" y="0"/>
              </a:lnTo>
              <a:lnTo>
                <a:pt x="1007" y="8"/>
              </a:lnTo>
              <a:lnTo>
                <a:pt x="1012" y="11"/>
              </a:lnTo>
              <a:lnTo>
                <a:pt x="1018" y="18"/>
              </a:lnTo>
              <a:lnTo>
                <a:pt x="1031" y="29"/>
              </a:lnTo>
              <a:lnTo>
                <a:pt x="1038" y="33"/>
              </a:lnTo>
              <a:lnTo>
                <a:pt x="1055" y="47"/>
              </a:lnTo>
              <a:lnTo>
                <a:pt x="1059" y="51"/>
              </a:lnTo>
              <a:lnTo>
                <a:pt x="1061" y="52"/>
              </a:lnTo>
              <a:lnTo>
                <a:pt x="1093" y="79"/>
              </a:lnTo>
              <a:lnTo>
                <a:pt x="1104" y="51"/>
              </a:lnTo>
              <a:lnTo>
                <a:pt x="1108" y="40"/>
              </a:lnTo>
              <a:lnTo>
                <a:pt x="1114" y="34"/>
              </a:lnTo>
              <a:lnTo>
                <a:pt x="1121" y="33"/>
              </a:lnTo>
              <a:lnTo>
                <a:pt x="1128" y="37"/>
              </a:lnTo>
              <a:lnTo>
                <a:pt x="1157" y="51"/>
              </a:lnTo>
              <a:lnTo>
                <a:pt x="1163" y="57"/>
              </a:lnTo>
              <a:lnTo>
                <a:pt x="1150" y="80"/>
              </a:lnTo>
              <a:lnTo>
                <a:pt x="1178" y="95"/>
              </a:lnTo>
              <a:lnTo>
                <a:pt x="1186" y="96"/>
              </a:lnTo>
              <a:lnTo>
                <a:pt x="1201" y="104"/>
              </a:lnTo>
              <a:lnTo>
                <a:pt x="1201" y="111"/>
              </a:lnTo>
              <a:lnTo>
                <a:pt x="1221" y="118"/>
              </a:lnTo>
              <a:lnTo>
                <a:pt x="1226" y="125"/>
              </a:lnTo>
              <a:lnTo>
                <a:pt x="1239" y="140"/>
              </a:lnTo>
              <a:lnTo>
                <a:pt x="1240" y="139"/>
              </a:lnTo>
              <a:lnTo>
                <a:pt x="1239" y="147"/>
              </a:lnTo>
              <a:lnTo>
                <a:pt x="1241" y="159"/>
              </a:lnTo>
              <a:lnTo>
                <a:pt x="1241" y="160"/>
              </a:lnTo>
              <a:lnTo>
                <a:pt x="1241" y="163"/>
              </a:lnTo>
              <a:lnTo>
                <a:pt x="1240" y="169"/>
              </a:lnTo>
              <a:lnTo>
                <a:pt x="1233" y="179"/>
              </a:lnTo>
              <a:lnTo>
                <a:pt x="1225" y="185"/>
              </a:lnTo>
              <a:lnTo>
                <a:pt x="1224" y="187"/>
              </a:lnTo>
              <a:lnTo>
                <a:pt x="1224" y="196"/>
              </a:lnTo>
              <a:lnTo>
                <a:pt x="1210" y="200"/>
              </a:lnTo>
              <a:lnTo>
                <a:pt x="1208" y="197"/>
              </a:lnTo>
              <a:lnTo>
                <a:pt x="1207" y="196"/>
              </a:lnTo>
              <a:lnTo>
                <a:pt x="1201" y="198"/>
              </a:lnTo>
              <a:lnTo>
                <a:pt x="1199" y="214"/>
              </a:lnTo>
              <a:lnTo>
                <a:pt x="1192" y="227"/>
              </a:lnTo>
              <a:lnTo>
                <a:pt x="1192" y="228"/>
              </a:lnTo>
              <a:lnTo>
                <a:pt x="1189" y="244"/>
              </a:lnTo>
              <a:lnTo>
                <a:pt x="1195" y="264"/>
              </a:lnTo>
              <a:lnTo>
                <a:pt x="1201" y="267"/>
              </a:lnTo>
              <a:lnTo>
                <a:pt x="1245" y="257"/>
              </a:lnTo>
              <a:lnTo>
                <a:pt x="1249" y="281"/>
              </a:lnTo>
              <a:lnTo>
                <a:pt x="1256" y="287"/>
              </a:lnTo>
              <a:lnTo>
                <a:pt x="1258" y="297"/>
              </a:lnTo>
              <a:lnTo>
                <a:pt x="1272" y="306"/>
              </a:lnTo>
              <a:lnTo>
                <a:pt x="1318" y="310"/>
              </a:lnTo>
              <a:lnTo>
                <a:pt x="1338" y="338"/>
              </a:lnTo>
              <a:lnTo>
                <a:pt x="1391" y="372"/>
              </a:lnTo>
              <a:lnTo>
                <a:pt x="1377" y="405"/>
              </a:lnTo>
              <a:lnTo>
                <a:pt x="1376" y="421"/>
              </a:lnTo>
              <a:lnTo>
                <a:pt x="1382" y="434"/>
              </a:lnTo>
              <a:lnTo>
                <a:pt x="1342" y="430"/>
              </a:lnTo>
              <a:lnTo>
                <a:pt x="1328" y="405"/>
              </a:lnTo>
              <a:lnTo>
                <a:pt x="1315" y="395"/>
              </a:lnTo>
              <a:lnTo>
                <a:pt x="1296" y="375"/>
              </a:lnTo>
              <a:lnTo>
                <a:pt x="1290" y="375"/>
              </a:lnTo>
              <a:lnTo>
                <a:pt x="1289" y="375"/>
              </a:lnTo>
              <a:lnTo>
                <a:pt x="1296" y="388"/>
              </a:lnTo>
              <a:lnTo>
                <a:pt x="1307" y="400"/>
              </a:lnTo>
              <a:lnTo>
                <a:pt x="1318" y="406"/>
              </a:lnTo>
              <a:lnTo>
                <a:pt x="1332" y="434"/>
              </a:lnTo>
              <a:lnTo>
                <a:pt x="1368" y="447"/>
              </a:lnTo>
              <a:lnTo>
                <a:pt x="1368" y="458"/>
              </a:lnTo>
              <a:lnTo>
                <a:pt x="1373" y="464"/>
              </a:lnTo>
              <a:lnTo>
                <a:pt x="1383" y="464"/>
              </a:lnTo>
              <a:lnTo>
                <a:pt x="1389" y="494"/>
              </a:lnTo>
              <a:lnTo>
                <a:pt x="1366" y="493"/>
              </a:lnTo>
              <a:lnTo>
                <a:pt x="1360" y="489"/>
              </a:lnTo>
              <a:lnTo>
                <a:pt x="1352" y="495"/>
              </a:lnTo>
              <a:lnTo>
                <a:pt x="1365" y="519"/>
              </a:lnTo>
              <a:lnTo>
                <a:pt x="1341" y="525"/>
              </a:lnTo>
              <a:lnTo>
                <a:pt x="1342" y="527"/>
              </a:lnTo>
              <a:lnTo>
                <a:pt x="1363" y="528"/>
              </a:lnTo>
              <a:lnTo>
                <a:pt x="1362" y="542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123825</xdr:colOff>
      <xdr:row>50</xdr:row>
      <xdr:rowOff>133349</xdr:rowOff>
    </xdr:from>
    <xdr:to>
      <xdr:col>2</xdr:col>
      <xdr:colOff>2295525</xdr:colOff>
      <xdr:row>50</xdr:row>
      <xdr:rowOff>1047750</xdr:rowOff>
    </xdr:to>
    <xdr:grpSp>
      <xdr:nvGrpSpPr>
        <xdr:cNvPr id="140" name="S_WA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pSpPr>
          <a:grpSpLocks/>
        </xdr:cNvGrpSpPr>
      </xdr:nvGrpSpPr>
      <xdr:grpSpPr bwMode="auto">
        <a:xfrm>
          <a:off x="2162175" y="62398274"/>
          <a:ext cx="2171700" cy="914401"/>
          <a:chOff x="809619" y="1298580"/>
          <a:chExt cx="1162042" cy="647703"/>
        </a:xfrm>
        <a:solidFill>
          <a:srgbClr val="87CEFA"/>
        </a:solidFill>
      </xdr:grpSpPr>
      <xdr:sp macro="" textlink="">
        <xdr:nvSpPr>
          <xdr:cNvPr id="141" name="myShape_WA2">
            <a:extLst>
              <a:ext uri="{FF2B5EF4-FFF2-40B4-BE49-F238E27FC236}">
                <a16:creationId xmlns:a16="http://schemas.microsoft.com/office/drawing/2014/main" id="{00000000-0008-0000-0500-00008D000000}"/>
              </a:ext>
            </a:extLst>
          </xdr:cNvPr>
          <xdr:cNvSpPr>
            <a:spLocks/>
          </xdr:cNvSpPr>
        </xdr:nvSpPr>
        <xdr:spPr bwMode="auto">
          <a:xfrm>
            <a:off x="809619" y="1298580"/>
            <a:ext cx="1162042" cy="647703"/>
          </a:xfrm>
          <a:custGeom>
            <a:avLst/>
            <a:gdLst>
              <a:gd name="T0" fmla="*/ 2147483647 w 1466"/>
              <a:gd name="T1" fmla="*/ 2147483647 h 815"/>
              <a:gd name="T2" fmla="*/ 2147483647 w 1466"/>
              <a:gd name="T3" fmla="*/ 2147483647 h 815"/>
              <a:gd name="T4" fmla="*/ 2147483647 w 1466"/>
              <a:gd name="T5" fmla="*/ 2147483647 h 815"/>
              <a:gd name="T6" fmla="*/ 2147483647 w 1466"/>
              <a:gd name="T7" fmla="*/ 2147483647 h 815"/>
              <a:gd name="T8" fmla="*/ 2147483647 w 1466"/>
              <a:gd name="T9" fmla="*/ 2147483647 h 815"/>
              <a:gd name="T10" fmla="*/ 2147483647 w 1466"/>
              <a:gd name="T11" fmla="*/ 2147483647 h 815"/>
              <a:gd name="T12" fmla="*/ 2147483647 w 1466"/>
              <a:gd name="T13" fmla="*/ 2147483647 h 815"/>
              <a:gd name="T14" fmla="*/ 2147483647 w 1466"/>
              <a:gd name="T15" fmla="*/ 2147483647 h 815"/>
              <a:gd name="T16" fmla="*/ 2147483647 w 1466"/>
              <a:gd name="T17" fmla="*/ 2147483647 h 815"/>
              <a:gd name="T18" fmla="*/ 2147483647 w 1466"/>
              <a:gd name="T19" fmla="*/ 2147483647 h 815"/>
              <a:gd name="T20" fmla="*/ 2147483647 w 1466"/>
              <a:gd name="T21" fmla="*/ 2147483647 h 815"/>
              <a:gd name="T22" fmla="*/ 2147483647 w 1466"/>
              <a:gd name="T23" fmla="*/ 2147483647 h 815"/>
              <a:gd name="T24" fmla="*/ 2147483647 w 1466"/>
              <a:gd name="T25" fmla="*/ 2147483647 h 815"/>
              <a:gd name="T26" fmla="*/ 2147483647 w 1466"/>
              <a:gd name="T27" fmla="*/ 2147483647 h 815"/>
              <a:gd name="T28" fmla="*/ 2147483647 w 1466"/>
              <a:gd name="T29" fmla="*/ 2147483647 h 815"/>
              <a:gd name="T30" fmla="*/ 2147483647 w 1466"/>
              <a:gd name="T31" fmla="*/ 2147483647 h 815"/>
              <a:gd name="T32" fmla="*/ 2147483647 w 1466"/>
              <a:gd name="T33" fmla="*/ 2147483647 h 815"/>
              <a:gd name="T34" fmla="*/ 2147483647 w 1466"/>
              <a:gd name="T35" fmla="*/ 2147483647 h 815"/>
              <a:gd name="T36" fmla="*/ 2147483647 w 1466"/>
              <a:gd name="T37" fmla="*/ 2147483647 h 815"/>
              <a:gd name="T38" fmla="*/ 2147483647 w 1466"/>
              <a:gd name="T39" fmla="*/ 2147483647 h 815"/>
              <a:gd name="T40" fmla="*/ 2147483647 w 1466"/>
              <a:gd name="T41" fmla="*/ 2147483647 h 815"/>
              <a:gd name="T42" fmla="*/ 2147483647 w 1466"/>
              <a:gd name="T43" fmla="*/ 2147483647 h 815"/>
              <a:gd name="T44" fmla="*/ 2147483647 w 1466"/>
              <a:gd name="T45" fmla="*/ 2147483647 h 815"/>
              <a:gd name="T46" fmla="*/ 2147483647 w 1466"/>
              <a:gd name="T47" fmla="*/ 2147483647 h 815"/>
              <a:gd name="T48" fmla="*/ 2147483647 w 1466"/>
              <a:gd name="T49" fmla="*/ 2147483647 h 815"/>
              <a:gd name="T50" fmla="*/ 2147483647 w 1466"/>
              <a:gd name="T51" fmla="*/ 2147483647 h 815"/>
              <a:gd name="T52" fmla="*/ 2147483647 w 1466"/>
              <a:gd name="T53" fmla="*/ 2147483647 h 815"/>
              <a:gd name="T54" fmla="*/ 2147483647 w 1466"/>
              <a:gd name="T55" fmla="*/ 2147483647 h 815"/>
              <a:gd name="T56" fmla="*/ 2147483647 w 1466"/>
              <a:gd name="T57" fmla="*/ 2147483647 h 815"/>
              <a:gd name="T58" fmla="*/ 2147483647 w 1466"/>
              <a:gd name="T59" fmla="*/ 2147483647 h 815"/>
              <a:gd name="T60" fmla="*/ 0 w 1466"/>
              <a:gd name="T61" fmla="*/ 2147483647 h 815"/>
              <a:gd name="T62" fmla="*/ 2147483647 w 1466"/>
              <a:gd name="T63" fmla="*/ 2147483647 h 815"/>
              <a:gd name="T64" fmla="*/ 2147483647 w 1466"/>
              <a:gd name="T65" fmla="*/ 2147483647 h 815"/>
              <a:gd name="T66" fmla="*/ 2147483647 w 1466"/>
              <a:gd name="T67" fmla="*/ 2147483647 h 815"/>
              <a:gd name="T68" fmla="*/ 2147483647 w 1466"/>
              <a:gd name="T69" fmla="*/ 2147483647 h 815"/>
              <a:gd name="T70" fmla="*/ 2147483647 w 1466"/>
              <a:gd name="T71" fmla="*/ 2147483647 h 815"/>
              <a:gd name="T72" fmla="*/ 2147483647 w 1466"/>
              <a:gd name="T73" fmla="*/ 2147483647 h 815"/>
              <a:gd name="T74" fmla="*/ 2147483647 w 1466"/>
              <a:gd name="T75" fmla="*/ 2147483647 h 815"/>
              <a:gd name="T76" fmla="*/ 2147483647 w 1466"/>
              <a:gd name="T77" fmla="*/ 2147483647 h 815"/>
              <a:gd name="T78" fmla="*/ 2147483647 w 1466"/>
              <a:gd name="T79" fmla="*/ 2147483647 h 815"/>
              <a:gd name="T80" fmla="*/ 2147483647 w 1466"/>
              <a:gd name="T81" fmla="*/ 2147483647 h 815"/>
              <a:gd name="T82" fmla="*/ 2147483647 w 1466"/>
              <a:gd name="T83" fmla="*/ 2147483647 h 815"/>
              <a:gd name="T84" fmla="*/ 2147483647 w 1466"/>
              <a:gd name="T85" fmla="*/ 2147483647 h 815"/>
              <a:gd name="T86" fmla="*/ 2147483647 w 1466"/>
              <a:gd name="T87" fmla="*/ 2147483647 h 815"/>
              <a:gd name="T88" fmla="*/ 2147483647 w 1466"/>
              <a:gd name="T89" fmla="*/ 2147483647 h 815"/>
              <a:gd name="T90" fmla="*/ 2147483647 w 1466"/>
              <a:gd name="T91" fmla="*/ 2147483647 h 815"/>
              <a:gd name="T92" fmla="*/ 2147483647 w 1466"/>
              <a:gd name="T93" fmla="*/ 2147483647 h 815"/>
              <a:gd name="T94" fmla="*/ 2147483647 w 1466"/>
              <a:gd name="T95" fmla="*/ 2147483647 h 815"/>
              <a:gd name="T96" fmla="*/ 2147483647 w 1466"/>
              <a:gd name="T97" fmla="*/ 2147483647 h 815"/>
              <a:gd name="T98" fmla="*/ 2147483647 w 1466"/>
              <a:gd name="T99" fmla="*/ 2147483647 h 815"/>
              <a:gd name="T100" fmla="*/ 2147483647 w 1466"/>
              <a:gd name="T101" fmla="*/ 2147483647 h 815"/>
              <a:gd name="T102" fmla="*/ 2147483647 w 1466"/>
              <a:gd name="T103" fmla="*/ 2147483647 h 815"/>
              <a:gd name="T104" fmla="*/ 2147483647 w 1466"/>
              <a:gd name="T105" fmla="*/ 2147483647 h 815"/>
              <a:gd name="T106" fmla="*/ 2147483647 w 1466"/>
              <a:gd name="T107" fmla="*/ 0 h 815"/>
              <a:gd name="T108" fmla="*/ 2147483647 w 1466"/>
              <a:gd name="T109" fmla="*/ 2147483647 h 815"/>
              <a:gd name="T110" fmla="*/ 2147483647 w 1466"/>
              <a:gd name="T111" fmla="*/ 2147483647 h 815"/>
              <a:gd name="T112" fmla="*/ 2147483647 w 1466"/>
              <a:gd name="T113" fmla="*/ 2147483647 h 815"/>
              <a:gd name="T114" fmla="*/ 2147483647 w 1466"/>
              <a:gd name="T115" fmla="*/ 2147483647 h 815"/>
              <a:gd name="T116" fmla="*/ 2147483647 w 1466"/>
              <a:gd name="T117" fmla="*/ 2147483647 h 815"/>
              <a:gd name="T118" fmla="*/ 2147483647 w 1466"/>
              <a:gd name="T119" fmla="*/ 2147483647 h 815"/>
              <a:gd name="T120" fmla="*/ 2147483647 w 1466"/>
              <a:gd name="T121" fmla="*/ 2147483647 h 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466"/>
              <a:gd name="T184" fmla="*/ 0 h 815"/>
              <a:gd name="T185" fmla="*/ 1466 w 1466"/>
              <a:gd name="T186" fmla="*/ 815 h 81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466" h="815">
                <a:moveTo>
                  <a:pt x="1442" y="609"/>
                </a:moveTo>
                <a:lnTo>
                  <a:pt x="1440" y="621"/>
                </a:lnTo>
                <a:lnTo>
                  <a:pt x="1457" y="649"/>
                </a:lnTo>
                <a:lnTo>
                  <a:pt x="1466" y="711"/>
                </a:lnTo>
                <a:lnTo>
                  <a:pt x="1386" y="709"/>
                </a:lnTo>
                <a:lnTo>
                  <a:pt x="1384" y="709"/>
                </a:lnTo>
                <a:lnTo>
                  <a:pt x="1361" y="709"/>
                </a:lnTo>
                <a:lnTo>
                  <a:pt x="1359" y="709"/>
                </a:lnTo>
                <a:lnTo>
                  <a:pt x="1356" y="709"/>
                </a:lnTo>
                <a:lnTo>
                  <a:pt x="1337" y="709"/>
                </a:lnTo>
                <a:lnTo>
                  <a:pt x="1333" y="709"/>
                </a:lnTo>
                <a:lnTo>
                  <a:pt x="1317" y="709"/>
                </a:lnTo>
                <a:lnTo>
                  <a:pt x="1268" y="709"/>
                </a:lnTo>
                <a:lnTo>
                  <a:pt x="1263" y="709"/>
                </a:lnTo>
                <a:lnTo>
                  <a:pt x="1216" y="709"/>
                </a:lnTo>
                <a:lnTo>
                  <a:pt x="1117" y="708"/>
                </a:lnTo>
                <a:lnTo>
                  <a:pt x="1078" y="709"/>
                </a:lnTo>
                <a:lnTo>
                  <a:pt x="1052" y="724"/>
                </a:lnTo>
                <a:lnTo>
                  <a:pt x="1028" y="723"/>
                </a:lnTo>
                <a:lnTo>
                  <a:pt x="995" y="729"/>
                </a:lnTo>
                <a:lnTo>
                  <a:pt x="969" y="727"/>
                </a:lnTo>
                <a:lnTo>
                  <a:pt x="951" y="743"/>
                </a:lnTo>
                <a:lnTo>
                  <a:pt x="913" y="748"/>
                </a:lnTo>
                <a:lnTo>
                  <a:pt x="906" y="750"/>
                </a:lnTo>
                <a:lnTo>
                  <a:pt x="895" y="750"/>
                </a:lnTo>
                <a:lnTo>
                  <a:pt x="889" y="753"/>
                </a:lnTo>
                <a:lnTo>
                  <a:pt x="849" y="774"/>
                </a:lnTo>
                <a:lnTo>
                  <a:pt x="799" y="781"/>
                </a:lnTo>
                <a:lnTo>
                  <a:pt x="767" y="772"/>
                </a:lnTo>
                <a:lnTo>
                  <a:pt x="760" y="776"/>
                </a:lnTo>
                <a:lnTo>
                  <a:pt x="729" y="786"/>
                </a:lnTo>
                <a:lnTo>
                  <a:pt x="717" y="794"/>
                </a:lnTo>
                <a:lnTo>
                  <a:pt x="667" y="801"/>
                </a:lnTo>
                <a:lnTo>
                  <a:pt x="662" y="786"/>
                </a:lnTo>
                <a:lnTo>
                  <a:pt x="619" y="780"/>
                </a:lnTo>
                <a:lnTo>
                  <a:pt x="615" y="780"/>
                </a:lnTo>
                <a:lnTo>
                  <a:pt x="608" y="775"/>
                </a:lnTo>
                <a:lnTo>
                  <a:pt x="604" y="774"/>
                </a:lnTo>
                <a:lnTo>
                  <a:pt x="564" y="781"/>
                </a:lnTo>
                <a:lnTo>
                  <a:pt x="550" y="778"/>
                </a:lnTo>
                <a:lnTo>
                  <a:pt x="529" y="792"/>
                </a:lnTo>
                <a:lnTo>
                  <a:pt x="496" y="808"/>
                </a:lnTo>
                <a:lnTo>
                  <a:pt x="481" y="809"/>
                </a:lnTo>
                <a:lnTo>
                  <a:pt x="468" y="815"/>
                </a:lnTo>
                <a:lnTo>
                  <a:pt x="433" y="812"/>
                </a:lnTo>
                <a:lnTo>
                  <a:pt x="372" y="790"/>
                </a:lnTo>
                <a:lnTo>
                  <a:pt x="372" y="774"/>
                </a:lnTo>
                <a:lnTo>
                  <a:pt x="373" y="772"/>
                </a:lnTo>
                <a:lnTo>
                  <a:pt x="373" y="768"/>
                </a:lnTo>
                <a:lnTo>
                  <a:pt x="367" y="745"/>
                </a:lnTo>
                <a:lnTo>
                  <a:pt x="362" y="718"/>
                </a:lnTo>
                <a:lnTo>
                  <a:pt x="328" y="678"/>
                </a:lnTo>
                <a:lnTo>
                  <a:pt x="288" y="669"/>
                </a:lnTo>
                <a:lnTo>
                  <a:pt x="281" y="673"/>
                </a:lnTo>
                <a:lnTo>
                  <a:pt x="259" y="674"/>
                </a:lnTo>
                <a:lnTo>
                  <a:pt x="244" y="649"/>
                </a:lnTo>
                <a:lnTo>
                  <a:pt x="238" y="645"/>
                </a:lnTo>
                <a:lnTo>
                  <a:pt x="203" y="647"/>
                </a:lnTo>
                <a:lnTo>
                  <a:pt x="192" y="641"/>
                </a:lnTo>
                <a:lnTo>
                  <a:pt x="163" y="652"/>
                </a:lnTo>
                <a:lnTo>
                  <a:pt x="146" y="646"/>
                </a:lnTo>
                <a:lnTo>
                  <a:pt x="141" y="635"/>
                </a:lnTo>
                <a:lnTo>
                  <a:pt x="134" y="646"/>
                </a:lnTo>
                <a:lnTo>
                  <a:pt x="126" y="646"/>
                </a:lnTo>
                <a:lnTo>
                  <a:pt x="129" y="557"/>
                </a:lnTo>
                <a:lnTo>
                  <a:pt x="135" y="600"/>
                </a:lnTo>
                <a:lnTo>
                  <a:pt x="143" y="592"/>
                </a:lnTo>
                <a:lnTo>
                  <a:pt x="156" y="588"/>
                </a:lnTo>
                <a:lnTo>
                  <a:pt x="148" y="562"/>
                </a:lnTo>
                <a:lnTo>
                  <a:pt x="164" y="546"/>
                </a:lnTo>
                <a:lnTo>
                  <a:pt x="164" y="536"/>
                </a:lnTo>
                <a:lnTo>
                  <a:pt x="141" y="544"/>
                </a:lnTo>
                <a:lnTo>
                  <a:pt x="122" y="535"/>
                </a:lnTo>
                <a:lnTo>
                  <a:pt x="122" y="521"/>
                </a:lnTo>
                <a:lnTo>
                  <a:pt x="118" y="503"/>
                </a:lnTo>
                <a:lnTo>
                  <a:pt x="112" y="495"/>
                </a:lnTo>
                <a:lnTo>
                  <a:pt x="123" y="503"/>
                </a:lnTo>
                <a:lnTo>
                  <a:pt x="164" y="487"/>
                </a:lnTo>
                <a:lnTo>
                  <a:pt x="164" y="483"/>
                </a:lnTo>
                <a:lnTo>
                  <a:pt x="137" y="475"/>
                </a:lnTo>
                <a:lnTo>
                  <a:pt x="117" y="463"/>
                </a:lnTo>
                <a:lnTo>
                  <a:pt x="117" y="486"/>
                </a:lnTo>
                <a:lnTo>
                  <a:pt x="106" y="490"/>
                </a:lnTo>
                <a:lnTo>
                  <a:pt x="102" y="425"/>
                </a:lnTo>
                <a:lnTo>
                  <a:pt x="95" y="402"/>
                </a:lnTo>
                <a:lnTo>
                  <a:pt x="80" y="389"/>
                </a:lnTo>
                <a:lnTo>
                  <a:pt x="74" y="347"/>
                </a:lnTo>
                <a:lnTo>
                  <a:pt x="51" y="291"/>
                </a:lnTo>
                <a:lnTo>
                  <a:pt x="50" y="286"/>
                </a:lnTo>
                <a:lnTo>
                  <a:pt x="22" y="264"/>
                </a:lnTo>
                <a:lnTo>
                  <a:pt x="10" y="236"/>
                </a:lnTo>
                <a:lnTo>
                  <a:pt x="12" y="226"/>
                </a:lnTo>
                <a:lnTo>
                  <a:pt x="0" y="200"/>
                </a:lnTo>
                <a:lnTo>
                  <a:pt x="12" y="156"/>
                </a:lnTo>
                <a:lnTo>
                  <a:pt x="1" y="144"/>
                </a:lnTo>
                <a:lnTo>
                  <a:pt x="14" y="143"/>
                </a:lnTo>
                <a:lnTo>
                  <a:pt x="141" y="196"/>
                </a:lnTo>
                <a:lnTo>
                  <a:pt x="244" y="203"/>
                </a:lnTo>
                <a:lnTo>
                  <a:pt x="245" y="207"/>
                </a:lnTo>
                <a:lnTo>
                  <a:pt x="313" y="207"/>
                </a:lnTo>
                <a:lnTo>
                  <a:pt x="341" y="221"/>
                </a:lnTo>
                <a:lnTo>
                  <a:pt x="356" y="222"/>
                </a:lnTo>
                <a:lnTo>
                  <a:pt x="356" y="207"/>
                </a:lnTo>
                <a:lnTo>
                  <a:pt x="374" y="209"/>
                </a:lnTo>
                <a:lnTo>
                  <a:pt x="365" y="216"/>
                </a:lnTo>
                <a:lnTo>
                  <a:pt x="373" y="228"/>
                </a:lnTo>
                <a:lnTo>
                  <a:pt x="376" y="225"/>
                </a:lnTo>
                <a:lnTo>
                  <a:pt x="395" y="268"/>
                </a:lnTo>
                <a:lnTo>
                  <a:pt x="374" y="292"/>
                </a:lnTo>
                <a:lnTo>
                  <a:pt x="375" y="297"/>
                </a:lnTo>
                <a:lnTo>
                  <a:pt x="407" y="266"/>
                </a:lnTo>
                <a:lnTo>
                  <a:pt x="419" y="266"/>
                </a:lnTo>
                <a:lnTo>
                  <a:pt x="425" y="296"/>
                </a:lnTo>
                <a:lnTo>
                  <a:pt x="421" y="297"/>
                </a:lnTo>
                <a:lnTo>
                  <a:pt x="421" y="351"/>
                </a:lnTo>
                <a:lnTo>
                  <a:pt x="424" y="352"/>
                </a:lnTo>
                <a:lnTo>
                  <a:pt x="434" y="371"/>
                </a:lnTo>
                <a:lnTo>
                  <a:pt x="443" y="382"/>
                </a:lnTo>
                <a:lnTo>
                  <a:pt x="421" y="395"/>
                </a:lnTo>
                <a:lnTo>
                  <a:pt x="414" y="387"/>
                </a:lnTo>
                <a:lnTo>
                  <a:pt x="411" y="387"/>
                </a:lnTo>
                <a:lnTo>
                  <a:pt x="421" y="402"/>
                </a:lnTo>
                <a:lnTo>
                  <a:pt x="437" y="397"/>
                </a:lnTo>
                <a:lnTo>
                  <a:pt x="454" y="384"/>
                </a:lnTo>
                <a:lnTo>
                  <a:pt x="445" y="367"/>
                </a:lnTo>
                <a:lnTo>
                  <a:pt x="441" y="289"/>
                </a:lnTo>
                <a:lnTo>
                  <a:pt x="462" y="247"/>
                </a:lnTo>
                <a:lnTo>
                  <a:pt x="470" y="245"/>
                </a:lnTo>
                <a:lnTo>
                  <a:pt x="472" y="233"/>
                </a:lnTo>
                <a:lnTo>
                  <a:pt x="447" y="207"/>
                </a:lnTo>
                <a:lnTo>
                  <a:pt x="440" y="184"/>
                </a:lnTo>
                <a:lnTo>
                  <a:pt x="435" y="207"/>
                </a:lnTo>
                <a:lnTo>
                  <a:pt x="445" y="222"/>
                </a:lnTo>
                <a:lnTo>
                  <a:pt x="428" y="207"/>
                </a:lnTo>
                <a:lnTo>
                  <a:pt x="421" y="206"/>
                </a:lnTo>
                <a:lnTo>
                  <a:pt x="416" y="178"/>
                </a:lnTo>
                <a:lnTo>
                  <a:pt x="438" y="176"/>
                </a:lnTo>
                <a:lnTo>
                  <a:pt x="443" y="167"/>
                </a:lnTo>
                <a:lnTo>
                  <a:pt x="443" y="166"/>
                </a:lnTo>
                <a:lnTo>
                  <a:pt x="421" y="152"/>
                </a:lnTo>
                <a:lnTo>
                  <a:pt x="406" y="143"/>
                </a:lnTo>
                <a:lnTo>
                  <a:pt x="392" y="178"/>
                </a:lnTo>
                <a:lnTo>
                  <a:pt x="412" y="224"/>
                </a:lnTo>
                <a:lnTo>
                  <a:pt x="419" y="224"/>
                </a:lnTo>
                <a:lnTo>
                  <a:pt x="418" y="214"/>
                </a:lnTo>
                <a:lnTo>
                  <a:pt x="445" y="229"/>
                </a:lnTo>
                <a:lnTo>
                  <a:pt x="445" y="259"/>
                </a:lnTo>
                <a:lnTo>
                  <a:pt x="422" y="240"/>
                </a:lnTo>
                <a:lnTo>
                  <a:pt x="401" y="229"/>
                </a:lnTo>
                <a:lnTo>
                  <a:pt x="397" y="198"/>
                </a:lnTo>
                <a:lnTo>
                  <a:pt x="374" y="186"/>
                </a:lnTo>
                <a:lnTo>
                  <a:pt x="390" y="139"/>
                </a:lnTo>
                <a:lnTo>
                  <a:pt x="389" y="89"/>
                </a:lnTo>
                <a:lnTo>
                  <a:pt x="421" y="128"/>
                </a:lnTo>
                <a:lnTo>
                  <a:pt x="423" y="84"/>
                </a:lnTo>
                <a:lnTo>
                  <a:pt x="421" y="61"/>
                </a:lnTo>
                <a:lnTo>
                  <a:pt x="399" y="60"/>
                </a:lnTo>
                <a:lnTo>
                  <a:pt x="401" y="84"/>
                </a:lnTo>
                <a:lnTo>
                  <a:pt x="374" y="32"/>
                </a:lnTo>
                <a:lnTo>
                  <a:pt x="373" y="1"/>
                </a:lnTo>
                <a:lnTo>
                  <a:pt x="729" y="0"/>
                </a:lnTo>
                <a:lnTo>
                  <a:pt x="1106" y="0"/>
                </a:lnTo>
                <a:lnTo>
                  <a:pt x="1226" y="0"/>
                </a:lnTo>
                <a:lnTo>
                  <a:pt x="1369" y="0"/>
                </a:lnTo>
                <a:lnTo>
                  <a:pt x="1444" y="1"/>
                </a:lnTo>
                <a:lnTo>
                  <a:pt x="1444" y="10"/>
                </a:lnTo>
                <a:lnTo>
                  <a:pt x="1444" y="20"/>
                </a:lnTo>
                <a:lnTo>
                  <a:pt x="1444" y="36"/>
                </a:lnTo>
                <a:lnTo>
                  <a:pt x="1443" y="170"/>
                </a:lnTo>
                <a:lnTo>
                  <a:pt x="1442" y="207"/>
                </a:lnTo>
                <a:lnTo>
                  <a:pt x="1442" y="226"/>
                </a:lnTo>
                <a:lnTo>
                  <a:pt x="1442" y="233"/>
                </a:lnTo>
                <a:lnTo>
                  <a:pt x="1442" y="236"/>
                </a:lnTo>
                <a:lnTo>
                  <a:pt x="1442" y="242"/>
                </a:lnTo>
                <a:lnTo>
                  <a:pt x="1442" y="295"/>
                </a:lnTo>
                <a:lnTo>
                  <a:pt x="1442" y="325"/>
                </a:lnTo>
                <a:lnTo>
                  <a:pt x="1442" y="386"/>
                </a:lnTo>
                <a:lnTo>
                  <a:pt x="1443" y="412"/>
                </a:lnTo>
                <a:lnTo>
                  <a:pt x="1443" y="414"/>
                </a:lnTo>
                <a:lnTo>
                  <a:pt x="1443" y="443"/>
                </a:lnTo>
                <a:lnTo>
                  <a:pt x="1442" y="532"/>
                </a:lnTo>
                <a:lnTo>
                  <a:pt x="1443" y="544"/>
                </a:lnTo>
                <a:lnTo>
                  <a:pt x="1443" y="581"/>
                </a:lnTo>
                <a:lnTo>
                  <a:pt x="1443" y="591"/>
                </a:lnTo>
                <a:lnTo>
                  <a:pt x="1442" y="60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42" name="myShape_WA1">
            <a:extLst>
              <a:ext uri="{FF2B5EF4-FFF2-40B4-BE49-F238E27FC236}">
                <a16:creationId xmlns:a16="http://schemas.microsoft.com/office/drawing/2014/main" id="{00000000-0008-0000-0500-00008E000000}"/>
              </a:ext>
            </a:extLst>
          </xdr:cNvPr>
          <xdr:cNvSpPr>
            <a:spLocks/>
          </xdr:cNvSpPr>
        </xdr:nvSpPr>
        <xdr:spPr bwMode="auto">
          <a:xfrm>
            <a:off x="1046770" y="1361009"/>
            <a:ext cx="63240" cy="39018"/>
          </a:xfrm>
          <a:custGeom>
            <a:avLst/>
            <a:gdLst>
              <a:gd name="T0" fmla="*/ 0 w 74"/>
              <a:gd name="T1" fmla="*/ 0 h 49"/>
              <a:gd name="T2" fmla="*/ 2147483647 w 74"/>
              <a:gd name="T3" fmla="*/ 2147483647 h 49"/>
              <a:gd name="T4" fmla="*/ 2147483647 w 74"/>
              <a:gd name="T5" fmla="*/ 2147483647 h 49"/>
              <a:gd name="T6" fmla="*/ 2147483647 w 74"/>
              <a:gd name="T7" fmla="*/ 2147483647 h 49"/>
              <a:gd name="T8" fmla="*/ 2147483647 w 74"/>
              <a:gd name="T9" fmla="*/ 0 h 49"/>
              <a:gd name="T10" fmla="*/ 2147483647 w 74"/>
              <a:gd name="T11" fmla="*/ 2147483647 h 49"/>
              <a:gd name="T12" fmla="*/ 2147483647 w 74"/>
              <a:gd name="T13" fmla="*/ 2147483647 h 49"/>
              <a:gd name="T14" fmla="*/ 2147483647 w 74"/>
              <a:gd name="T15" fmla="*/ 2147483647 h 49"/>
              <a:gd name="T16" fmla="*/ 0 w 74"/>
              <a:gd name="T17" fmla="*/ 0 h 4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74"/>
              <a:gd name="T28" fmla="*/ 0 h 49"/>
              <a:gd name="T29" fmla="*/ 74 w 74"/>
              <a:gd name="T30" fmla="*/ 49 h 4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74" h="49">
                <a:moveTo>
                  <a:pt x="0" y="0"/>
                </a:moveTo>
                <a:lnTo>
                  <a:pt x="16" y="22"/>
                </a:lnTo>
                <a:lnTo>
                  <a:pt x="26" y="25"/>
                </a:lnTo>
                <a:lnTo>
                  <a:pt x="26" y="1"/>
                </a:lnTo>
                <a:lnTo>
                  <a:pt x="74" y="0"/>
                </a:lnTo>
                <a:lnTo>
                  <a:pt x="59" y="44"/>
                </a:lnTo>
                <a:lnTo>
                  <a:pt x="26" y="49"/>
                </a:lnTo>
                <a:lnTo>
                  <a:pt x="2" y="39"/>
                </a:lnTo>
                <a:lnTo>
                  <a:pt x="0" y="0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51</xdr:row>
      <xdr:rowOff>47625</xdr:rowOff>
    </xdr:from>
    <xdr:to>
      <xdr:col>2</xdr:col>
      <xdr:colOff>1895475</xdr:colOff>
      <xdr:row>51</xdr:row>
      <xdr:rowOff>1143000</xdr:rowOff>
    </xdr:to>
    <xdr:sp macro="" textlink="">
      <xdr:nvSpPr>
        <xdr:cNvPr id="143" name="S_WV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/>
        </xdr:cNvSpPr>
      </xdr:nvSpPr>
      <xdr:spPr bwMode="auto">
        <a:xfrm>
          <a:off x="2486025" y="63579375"/>
          <a:ext cx="1190625" cy="1095375"/>
        </a:xfrm>
        <a:custGeom>
          <a:avLst/>
          <a:gdLst>
            <a:gd name="T0" fmla="*/ 2147483647 w 917"/>
            <a:gd name="T1" fmla="*/ 2147483647 h 812"/>
            <a:gd name="T2" fmla="*/ 2147483647 w 917"/>
            <a:gd name="T3" fmla="*/ 2147483647 h 812"/>
            <a:gd name="T4" fmla="*/ 2147483647 w 917"/>
            <a:gd name="T5" fmla="*/ 2147483647 h 812"/>
            <a:gd name="T6" fmla="*/ 2147483647 w 917"/>
            <a:gd name="T7" fmla="*/ 2147483647 h 812"/>
            <a:gd name="T8" fmla="*/ 2147483647 w 917"/>
            <a:gd name="T9" fmla="*/ 2147483647 h 812"/>
            <a:gd name="T10" fmla="*/ 2147483647 w 917"/>
            <a:gd name="T11" fmla="*/ 2147483647 h 812"/>
            <a:gd name="T12" fmla="*/ 2147483647 w 917"/>
            <a:gd name="T13" fmla="*/ 2147483647 h 812"/>
            <a:gd name="T14" fmla="*/ 2147483647 w 917"/>
            <a:gd name="T15" fmla="*/ 2147483647 h 812"/>
            <a:gd name="T16" fmla="*/ 2147483647 w 917"/>
            <a:gd name="T17" fmla="*/ 2147483647 h 812"/>
            <a:gd name="T18" fmla="*/ 2147483647 w 917"/>
            <a:gd name="T19" fmla="*/ 2147483647 h 812"/>
            <a:gd name="T20" fmla="*/ 2147483647 w 917"/>
            <a:gd name="T21" fmla="*/ 2147483647 h 812"/>
            <a:gd name="T22" fmla="*/ 2147483647 w 917"/>
            <a:gd name="T23" fmla="*/ 2147483647 h 812"/>
            <a:gd name="T24" fmla="*/ 2147483647 w 917"/>
            <a:gd name="T25" fmla="*/ 2147483647 h 812"/>
            <a:gd name="T26" fmla="*/ 2147483647 w 917"/>
            <a:gd name="T27" fmla="*/ 2147483647 h 812"/>
            <a:gd name="T28" fmla="*/ 2147483647 w 917"/>
            <a:gd name="T29" fmla="*/ 2147483647 h 812"/>
            <a:gd name="T30" fmla="*/ 2147483647 w 917"/>
            <a:gd name="T31" fmla="*/ 2147483647 h 812"/>
            <a:gd name="T32" fmla="*/ 2147483647 w 917"/>
            <a:gd name="T33" fmla="*/ 2147483647 h 812"/>
            <a:gd name="T34" fmla="*/ 2147483647 w 917"/>
            <a:gd name="T35" fmla="*/ 2147483647 h 812"/>
            <a:gd name="T36" fmla="*/ 2147483647 w 917"/>
            <a:gd name="T37" fmla="*/ 2147483647 h 812"/>
            <a:gd name="T38" fmla="*/ 2147483647 w 917"/>
            <a:gd name="T39" fmla="*/ 2147483647 h 812"/>
            <a:gd name="T40" fmla="*/ 2147483647 w 917"/>
            <a:gd name="T41" fmla="*/ 2147483647 h 812"/>
            <a:gd name="T42" fmla="*/ 2147483647 w 917"/>
            <a:gd name="T43" fmla="*/ 2147483647 h 812"/>
            <a:gd name="T44" fmla="*/ 2147483647 w 917"/>
            <a:gd name="T45" fmla="*/ 2147483647 h 812"/>
            <a:gd name="T46" fmla="*/ 2147483647 w 917"/>
            <a:gd name="T47" fmla="*/ 2147483647 h 812"/>
            <a:gd name="T48" fmla="*/ 2147483647 w 917"/>
            <a:gd name="T49" fmla="*/ 2147483647 h 812"/>
            <a:gd name="T50" fmla="*/ 2147483647 w 917"/>
            <a:gd name="T51" fmla="*/ 2147483647 h 812"/>
            <a:gd name="T52" fmla="*/ 2147483647 w 917"/>
            <a:gd name="T53" fmla="*/ 2147483647 h 812"/>
            <a:gd name="T54" fmla="*/ 2147483647 w 917"/>
            <a:gd name="T55" fmla="*/ 2147483647 h 812"/>
            <a:gd name="T56" fmla="*/ 2147483647 w 917"/>
            <a:gd name="T57" fmla="*/ 2147483647 h 812"/>
            <a:gd name="T58" fmla="*/ 2147483647 w 917"/>
            <a:gd name="T59" fmla="*/ 2147483647 h 812"/>
            <a:gd name="T60" fmla="*/ 2147483647 w 917"/>
            <a:gd name="T61" fmla="*/ 2147483647 h 812"/>
            <a:gd name="T62" fmla="*/ 2147483647 w 917"/>
            <a:gd name="T63" fmla="*/ 2147483647 h 812"/>
            <a:gd name="T64" fmla="*/ 2147483647 w 917"/>
            <a:gd name="T65" fmla="*/ 2147483647 h 812"/>
            <a:gd name="T66" fmla="*/ 2147483647 w 917"/>
            <a:gd name="T67" fmla="*/ 2147483647 h 812"/>
            <a:gd name="T68" fmla="*/ 2147483647 w 917"/>
            <a:gd name="T69" fmla="*/ 2147483647 h 812"/>
            <a:gd name="T70" fmla="*/ 2147483647 w 917"/>
            <a:gd name="T71" fmla="*/ 2147483647 h 812"/>
            <a:gd name="T72" fmla="*/ 2147483647 w 917"/>
            <a:gd name="T73" fmla="*/ 2147483647 h 812"/>
            <a:gd name="T74" fmla="*/ 2147483647 w 917"/>
            <a:gd name="T75" fmla="*/ 2147483647 h 812"/>
            <a:gd name="T76" fmla="*/ 2147483647 w 917"/>
            <a:gd name="T77" fmla="*/ 2147483647 h 812"/>
            <a:gd name="T78" fmla="*/ 2147483647 w 917"/>
            <a:gd name="T79" fmla="*/ 2147483647 h 812"/>
            <a:gd name="T80" fmla="*/ 2147483647 w 917"/>
            <a:gd name="T81" fmla="*/ 2147483647 h 812"/>
            <a:gd name="T82" fmla="*/ 2147483647 w 917"/>
            <a:gd name="T83" fmla="*/ 2147483647 h 812"/>
            <a:gd name="T84" fmla="*/ 2147483647 w 917"/>
            <a:gd name="T85" fmla="*/ 2147483647 h 812"/>
            <a:gd name="T86" fmla="*/ 2147483647 w 917"/>
            <a:gd name="T87" fmla="*/ 2147483647 h 812"/>
            <a:gd name="T88" fmla="*/ 2147483647 w 917"/>
            <a:gd name="T89" fmla="*/ 2147483647 h 812"/>
            <a:gd name="T90" fmla="*/ 2147483647 w 917"/>
            <a:gd name="T91" fmla="*/ 2147483647 h 812"/>
            <a:gd name="T92" fmla="*/ 2147483647 w 917"/>
            <a:gd name="T93" fmla="*/ 2147483647 h 812"/>
            <a:gd name="T94" fmla="*/ 2147483647 w 917"/>
            <a:gd name="T95" fmla="*/ 2147483647 h 812"/>
            <a:gd name="T96" fmla="*/ 2147483647 w 917"/>
            <a:gd name="T97" fmla="*/ 2147483647 h 812"/>
            <a:gd name="T98" fmla="*/ 2147483647 w 917"/>
            <a:gd name="T99" fmla="*/ 2147483647 h 812"/>
            <a:gd name="T100" fmla="*/ 2147483647 w 917"/>
            <a:gd name="T101" fmla="*/ 2147483647 h 812"/>
            <a:gd name="T102" fmla="*/ 2147483647 w 917"/>
            <a:gd name="T103" fmla="*/ 2147483647 h 812"/>
            <a:gd name="T104" fmla="*/ 2147483647 w 917"/>
            <a:gd name="T105" fmla="*/ 2147483647 h 812"/>
            <a:gd name="T106" fmla="*/ 0 w 917"/>
            <a:gd name="T107" fmla="*/ 2147483647 h 812"/>
            <a:gd name="T108" fmla="*/ 0 w 917"/>
            <a:gd name="T109" fmla="*/ 2147483647 h 812"/>
            <a:gd name="T110" fmla="*/ 2147483647 w 917"/>
            <a:gd name="T111" fmla="*/ 2147483647 h 812"/>
            <a:gd name="T112" fmla="*/ 2147483647 w 917"/>
            <a:gd name="T113" fmla="*/ 2147483647 h 812"/>
            <a:gd name="T114" fmla="*/ 2147483647 w 917"/>
            <a:gd name="T115" fmla="*/ 2147483647 h 812"/>
            <a:gd name="T116" fmla="*/ 2147483647 w 917"/>
            <a:gd name="T117" fmla="*/ 2147483647 h 812"/>
            <a:gd name="T118" fmla="*/ 2147483647 w 917"/>
            <a:gd name="T119" fmla="*/ 2147483647 h 812"/>
            <a:gd name="T120" fmla="*/ 2147483647 w 917"/>
            <a:gd name="T121" fmla="*/ 2147483647 h 812"/>
            <a:gd name="T122" fmla="*/ 2147483647 w 917"/>
            <a:gd name="T123" fmla="*/ 2147483647 h 812"/>
            <a:gd name="T124" fmla="*/ 2147483647 w 917"/>
            <a:gd name="T125" fmla="*/ 2147483647 h 812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917"/>
            <a:gd name="T190" fmla="*/ 0 h 812"/>
            <a:gd name="T191" fmla="*/ 917 w 917"/>
            <a:gd name="T192" fmla="*/ 812 h 812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917" h="812">
              <a:moveTo>
                <a:pt x="234" y="306"/>
              </a:moveTo>
              <a:lnTo>
                <a:pt x="248" y="298"/>
              </a:lnTo>
              <a:lnTo>
                <a:pt x="256" y="295"/>
              </a:lnTo>
              <a:lnTo>
                <a:pt x="280" y="279"/>
              </a:lnTo>
              <a:lnTo>
                <a:pt x="286" y="269"/>
              </a:lnTo>
              <a:lnTo>
                <a:pt x="286" y="268"/>
              </a:lnTo>
              <a:lnTo>
                <a:pt x="296" y="260"/>
              </a:lnTo>
              <a:lnTo>
                <a:pt x="303" y="253"/>
              </a:lnTo>
              <a:lnTo>
                <a:pt x="313" y="244"/>
              </a:lnTo>
              <a:lnTo>
                <a:pt x="326" y="239"/>
              </a:lnTo>
              <a:lnTo>
                <a:pt x="326" y="238"/>
              </a:lnTo>
              <a:lnTo>
                <a:pt x="335" y="217"/>
              </a:lnTo>
              <a:lnTo>
                <a:pt x="329" y="209"/>
              </a:lnTo>
              <a:lnTo>
                <a:pt x="337" y="186"/>
              </a:lnTo>
              <a:lnTo>
                <a:pt x="341" y="170"/>
              </a:lnTo>
              <a:lnTo>
                <a:pt x="351" y="158"/>
              </a:lnTo>
              <a:lnTo>
                <a:pt x="353" y="143"/>
              </a:lnTo>
              <a:lnTo>
                <a:pt x="357" y="120"/>
              </a:lnTo>
              <a:lnTo>
                <a:pt x="359" y="113"/>
              </a:lnTo>
              <a:lnTo>
                <a:pt x="363" y="107"/>
              </a:lnTo>
              <a:lnTo>
                <a:pt x="373" y="88"/>
              </a:lnTo>
              <a:lnTo>
                <a:pt x="376" y="62"/>
              </a:lnTo>
              <a:lnTo>
                <a:pt x="372" y="57"/>
              </a:lnTo>
              <a:lnTo>
                <a:pt x="373" y="56"/>
              </a:lnTo>
              <a:lnTo>
                <a:pt x="375" y="33"/>
              </a:lnTo>
              <a:lnTo>
                <a:pt x="366" y="13"/>
              </a:lnTo>
              <a:lnTo>
                <a:pt x="373" y="4"/>
              </a:lnTo>
              <a:lnTo>
                <a:pt x="386" y="3"/>
              </a:lnTo>
              <a:lnTo>
                <a:pt x="393" y="0"/>
              </a:lnTo>
              <a:lnTo>
                <a:pt x="393" y="3"/>
              </a:lnTo>
              <a:lnTo>
                <a:pt x="393" y="10"/>
              </a:lnTo>
              <a:lnTo>
                <a:pt x="393" y="38"/>
              </a:lnTo>
              <a:lnTo>
                <a:pt x="393" y="42"/>
              </a:lnTo>
              <a:lnTo>
                <a:pt x="393" y="49"/>
              </a:lnTo>
              <a:lnTo>
                <a:pt x="393" y="56"/>
              </a:lnTo>
              <a:lnTo>
                <a:pt x="393" y="92"/>
              </a:lnTo>
              <a:lnTo>
                <a:pt x="393" y="96"/>
              </a:lnTo>
              <a:lnTo>
                <a:pt x="393" y="113"/>
              </a:lnTo>
              <a:lnTo>
                <a:pt x="393" y="117"/>
              </a:lnTo>
              <a:lnTo>
                <a:pt x="393" y="135"/>
              </a:lnTo>
              <a:lnTo>
                <a:pt x="393" y="146"/>
              </a:lnTo>
              <a:lnTo>
                <a:pt x="393" y="150"/>
              </a:lnTo>
              <a:lnTo>
                <a:pt x="393" y="159"/>
              </a:lnTo>
              <a:lnTo>
                <a:pt x="393" y="209"/>
              </a:lnTo>
              <a:lnTo>
                <a:pt x="393" y="212"/>
              </a:lnTo>
              <a:lnTo>
                <a:pt x="393" y="217"/>
              </a:lnTo>
              <a:lnTo>
                <a:pt x="397" y="217"/>
              </a:lnTo>
              <a:lnTo>
                <a:pt x="412" y="217"/>
              </a:lnTo>
              <a:lnTo>
                <a:pt x="418" y="217"/>
              </a:lnTo>
              <a:lnTo>
                <a:pt x="420" y="217"/>
              </a:lnTo>
              <a:lnTo>
                <a:pt x="506" y="217"/>
              </a:lnTo>
              <a:lnTo>
                <a:pt x="513" y="217"/>
              </a:lnTo>
              <a:lnTo>
                <a:pt x="525" y="217"/>
              </a:lnTo>
              <a:lnTo>
                <a:pt x="535" y="217"/>
              </a:lnTo>
              <a:lnTo>
                <a:pt x="568" y="217"/>
              </a:lnTo>
              <a:lnTo>
                <a:pt x="574" y="217"/>
              </a:lnTo>
              <a:lnTo>
                <a:pt x="588" y="217"/>
              </a:lnTo>
              <a:lnTo>
                <a:pt x="587" y="261"/>
              </a:lnTo>
              <a:lnTo>
                <a:pt x="586" y="338"/>
              </a:lnTo>
              <a:lnTo>
                <a:pt x="589" y="339"/>
              </a:lnTo>
              <a:lnTo>
                <a:pt x="606" y="323"/>
              </a:lnTo>
              <a:lnTo>
                <a:pt x="627" y="309"/>
              </a:lnTo>
              <a:lnTo>
                <a:pt x="630" y="302"/>
              </a:lnTo>
              <a:lnTo>
                <a:pt x="638" y="298"/>
              </a:lnTo>
              <a:lnTo>
                <a:pt x="664" y="273"/>
              </a:lnTo>
              <a:lnTo>
                <a:pt x="677" y="279"/>
              </a:lnTo>
              <a:lnTo>
                <a:pt x="714" y="238"/>
              </a:lnTo>
              <a:lnTo>
                <a:pt x="741" y="261"/>
              </a:lnTo>
              <a:lnTo>
                <a:pt x="748" y="260"/>
              </a:lnTo>
              <a:lnTo>
                <a:pt x="771" y="264"/>
              </a:lnTo>
              <a:lnTo>
                <a:pt x="777" y="265"/>
              </a:lnTo>
              <a:lnTo>
                <a:pt x="794" y="244"/>
              </a:lnTo>
              <a:lnTo>
                <a:pt x="794" y="238"/>
              </a:lnTo>
              <a:lnTo>
                <a:pt x="802" y="236"/>
              </a:lnTo>
              <a:lnTo>
                <a:pt x="815" y="239"/>
              </a:lnTo>
              <a:lnTo>
                <a:pt x="841" y="224"/>
              </a:lnTo>
              <a:lnTo>
                <a:pt x="860" y="240"/>
              </a:lnTo>
              <a:lnTo>
                <a:pt x="864" y="245"/>
              </a:lnTo>
              <a:lnTo>
                <a:pt x="888" y="241"/>
              </a:lnTo>
              <a:lnTo>
                <a:pt x="897" y="270"/>
              </a:lnTo>
              <a:lnTo>
                <a:pt x="911" y="288"/>
              </a:lnTo>
              <a:lnTo>
                <a:pt x="911" y="308"/>
              </a:lnTo>
              <a:lnTo>
                <a:pt x="917" y="311"/>
              </a:lnTo>
              <a:lnTo>
                <a:pt x="911" y="317"/>
              </a:lnTo>
              <a:lnTo>
                <a:pt x="907" y="328"/>
              </a:lnTo>
              <a:lnTo>
                <a:pt x="896" y="356"/>
              </a:lnTo>
              <a:lnTo>
                <a:pt x="864" y="329"/>
              </a:lnTo>
              <a:lnTo>
                <a:pt x="862" y="328"/>
              </a:lnTo>
              <a:lnTo>
                <a:pt x="858" y="324"/>
              </a:lnTo>
              <a:lnTo>
                <a:pt x="841" y="310"/>
              </a:lnTo>
              <a:lnTo>
                <a:pt x="834" y="306"/>
              </a:lnTo>
              <a:lnTo>
                <a:pt x="821" y="295"/>
              </a:lnTo>
              <a:lnTo>
                <a:pt x="815" y="288"/>
              </a:lnTo>
              <a:lnTo>
                <a:pt x="810" y="285"/>
              </a:lnTo>
              <a:lnTo>
                <a:pt x="799" y="277"/>
              </a:lnTo>
              <a:lnTo>
                <a:pt x="794" y="315"/>
              </a:lnTo>
              <a:lnTo>
                <a:pt x="781" y="357"/>
              </a:lnTo>
              <a:lnTo>
                <a:pt x="769" y="366"/>
              </a:lnTo>
              <a:lnTo>
                <a:pt x="763" y="373"/>
              </a:lnTo>
              <a:lnTo>
                <a:pt x="757" y="387"/>
              </a:lnTo>
              <a:lnTo>
                <a:pt x="724" y="406"/>
              </a:lnTo>
              <a:lnTo>
                <a:pt x="702" y="443"/>
              </a:lnTo>
              <a:lnTo>
                <a:pt x="678" y="422"/>
              </a:lnTo>
              <a:lnTo>
                <a:pt x="677" y="424"/>
              </a:lnTo>
              <a:lnTo>
                <a:pt x="666" y="443"/>
              </a:lnTo>
              <a:lnTo>
                <a:pt x="638" y="503"/>
              </a:lnTo>
              <a:lnTo>
                <a:pt x="638" y="505"/>
              </a:lnTo>
              <a:lnTo>
                <a:pt x="635" y="510"/>
              </a:lnTo>
              <a:lnTo>
                <a:pt x="631" y="515"/>
              </a:lnTo>
              <a:lnTo>
                <a:pt x="619" y="526"/>
              </a:lnTo>
              <a:lnTo>
                <a:pt x="588" y="515"/>
              </a:lnTo>
              <a:lnTo>
                <a:pt x="570" y="490"/>
              </a:lnTo>
              <a:lnTo>
                <a:pt x="556" y="483"/>
              </a:lnTo>
              <a:lnTo>
                <a:pt x="540" y="535"/>
              </a:lnTo>
              <a:lnTo>
                <a:pt x="537" y="539"/>
              </a:lnTo>
              <a:lnTo>
                <a:pt x="528" y="560"/>
              </a:lnTo>
              <a:lnTo>
                <a:pt x="513" y="573"/>
              </a:lnTo>
              <a:lnTo>
                <a:pt x="501" y="593"/>
              </a:lnTo>
              <a:lnTo>
                <a:pt x="497" y="607"/>
              </a:lnTo>
              <a:lnTo>
                <a:pt x="491" y="623"/>
              </a:lnTo>
              <a:lnTo>
                <a:pt x="490" y="625"/>
              </a:lnTo>
              <a:lnTo>
                <a:pt x="479" y="634"/>
              </a:lnTo>
              <a:lnTo>
                <a:pt x="460" y="652"/>
              </a:lnTo>
              <a:lnTo>
                <a:pt x="447" y="675"/>
              </a:lnTo>
              <a:lnTo>
                <a:pt x="433" y="696"/>
              </a:lnTo>
              <a:lnTo>
                <a:pt x="437" y="703"/>
              </a:lnTo>
              <a:lnTo>
                <a:pt x="444" y="707"/>
              </a:lnTo>
              <a:lnTo>
                <a:pt x="449" y="711"/>
              </a:lnTo>
              <a:lnTo>
                <a:pt x="444" y="717"/>
              </a:lnTo>
              <a:lnTo>
                <a:pt x="431" y="741"/>
              </a:lnTo>
              <a:lnTo>
                <a:pt x="402" y="759"/>
              </a:lnTo>
              <a:lnTo>
                <a:pt x="397" y="749"/>
              </a:lnTo>
              <a:lnTo>
                <a:pt x="346" y="771"/>
              </a:lnTo>
              <a:lnTo>
                <a:pt x="329" y="758"/>
              </a:lnTo>
              <a:lnTo>
                <a:pt x="325" y="769"/>
              </a:lnTo>
              <a:lnTo>
                <a:pt x="331" y="778"/>
              </a:lnTo>
              <a:lnTo>
                <a:pt x="307" y="790"/>
              </a:lnTo>
              <a:lnTo>
                <a:pt x="307" y="788"/>
              </a:lnTo>
              <a:lnTo>
                <a:pt x="280" y="795"/>
              </a:lnTo>
              <a:lnTo>
                <a:pt x="261" y="803"/>
              </a:lnTo>
              <a:lnTo>
                <a:pt x="256" y="800"/>
              </a:lnTo>
              <a:lnTo>
                <a:pt x="244" y="788"/>
              </a:lnTo>
              <a:lnTo>
                <a:pt x="235" y="780"/>
              </a:lnTo>
              <a:lnTo>
                <a:pt x="220" y="795"/>
              </a:lnTo>
              <a:lnTo>
                <a:pt x="176" y="812"/>
              </a:lnTo>
              <a:lnTo>
                <a:pt x="164" y="803"/>
              </a:lnTo>
              <a:lnTo>
                <a:pt x="129" y="770"/>
              </a:lnTo>
              <a:lnTo>
                <a:pt x="125" y="741"/>
              </a:lnTo>
              <a:lnTo>
                <a:pt x="130" y="738"/>
              </a:lnTo>
              <a:lnTo>
                <a:pt x="122" y="733"/>
              </a:lnTo>
              <a:lnTo>
                <a:pt x="93" y="729"/>
              </a:lnTo>
              <a:lnTo>
                <a:pt x="93" y="723"/>
              </a:lnTo>
              <a:lnTo>
                <a:pt x="54" y="684"/>
              </a:lnTo>
              <a:lnTo>
                <a:pt x="55" y="682"/>
              </a:lnTo>
              <a:lnTo>
                <a:pt x="46" y="669"/>
              </a:lnTo>
              <a:lnTo>
                <a:pt x="38" y="657"/>
              </a:lnTo>
              <a:lnTo>
                <a:pt x="38" y="652"/>
              </a:lnTo>
              <a:lnTo>
                <a:pt x="22" y="640"/>
              </a:lnTo>
              <a:lnTo>
                <a:pt x="23" y="636"/>
              </a:lnTo>
              <a:lnTo>
                <a:pt x="24" y="623"/>
              </a:lnTo>
              <a:lnTo>
                <a:pt x="0" y="591"/>
              </a:lnTo>
              <a:lnTo>
                <a:pt x="3" y="565"/>
              </a:lnTo>
              <a:lnTo>
                <a:pt x="7" y="564"/>
              </a:lnTo>
              <a:lnTo>
                <a:pt x="5" y="535"/>
              </a:lnTo>
              <a:lnTo>
                <a:pt x="5" y="523"/>
              </a:lnTo>
              <a:lnTo>
                <a:pt x="22" y="525"/>
              </a:lnTo>
              <a:lnTo>
                <a:pt x="46" y="520"/>
              </a:lnTo>
              <a:lnTo>
                <a:pt x="59" y="505"/>
              </a:lnTo>
              <a:lnTo>
                <a:pt x="63" y="485"/>
              </a:lnTo>
              <a:lnTo>
                <a:pt x="68" y="481"/>
              </a:lnTo>
              <a:lnTo>
                <a:pt x="69" y="481"/>
              </a:lnTo>
              <a:lnTo>
                <a:pt x="76" y="483"/>
              </a:lnTo>
              <a:lnTo>
                <a:pt x="84" y="476"/>
              </a:lnTo>
              <a:lnTo>
                <a:pt x="80" y="446"/>
              </a:lnTo>
              <a:lnTo>
                <a:pt x="98" y="397"/>
              </a:lnTo>
              <a:lnTo>
                <a:pt x="107" y="387"/>
              </a:lnTo>
              <a:lnTo>
                <a:pt x="116" y="381"/>
              </a:lnTo>
              <a:lnTo>
                <a:pt x="133" y="416"/>
              </a:lnTo>
              <a:lnTo>
                <a:pt x="140" y="415"/>
              </a:lnTo>
              <a:lnTo>
                <a:pt x="153" y="401"/>
              </a:lnTo>
              <a:lnTo>
                <a:pt x="163" y="364"/>
              </a:lnTo>
              <a:lnTo>
                <a:pt x="164" y="357"/>
              </a:lnTo>
              <a:lnTo>
                <a:pt x="163" y="348"/>
              </a:lnTo>
              <a:lnTo>
                <a:pt x="161" y="344"/>
              </a:lnTo>
              <a:lnTo>
                <a:pt x="163" y="343"/>
              </a:lnTo>
              <a:lnTo>
                <a:pt x="168" y="336"/>
              </a:lnTo>
              <a:lnTo>
                <a:pt x="173" y="328"/>
              </a:lnTo>
              <a:lnTo>
                <a:pt x="196" y="324"/>
              </a:lnTo>
              <a:lnTo>
                <a:pt x="209" y="298"/>
              </a:lnTo>
              <a:lnTo>
                <a:pt x="234" y="306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52</xdr:row>
      <xdr:rowOff>114300</xdr:rowOff>
    </xdr:from>
    <xdr:to>
      <xdr:col>2</xdr:col>
      <xdr:colOff>1590675</xdr:colOff>
      <xdr:row>52</xdr:row>
      <xdr:rowOff>1141319</xdr:rowOff>
    </xdr:to>
    <xdr:sp macro="" textlink="">
      <xdr:nvSpPr>
        <xdr:cNvPr id="144" name="S_WI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/>
        </xdr:cNvSpPr>
      </xdr:nvSpPr>
      <xdr:spPr bwMode="auto">
        <a:xfrm>
          <a:off x="2247900" y="64912875"/>
          <a:ext cx="1123950" cy="1027019"/>
        </a:xfrm>
        <a:custGeom>
          <a:avLst/>
          <a:gdLst>
            <a:gd name="T0" fmla="*/ 2147483647 w 1106"/>
            <a:gd name="T1" fmla="*/ 2147483647 h 1055"/>
            <a:gd name="T2" fmla="*/ 2147483647 w 1106"/>
            <a:gd name="T3" fmla="*/ 2147483647 h 1055"/>
            <a:gd name="T4" fmla="*/ 2147483647 w 1106"/>
            <a:gd name="T5" fmla="*/ 2147483647 h 1055"/>
            <a:gd name="T6" fmla="*/ 2147483647 w 1106"/>
            <a:gd name="T7" fmla="*/ 2147483647 h 1055"/>
            <a:gd name="T8" fmla="*/ 2147483647 w 1106"/>
            <a:gd name="T9" fmla="*/ 2147483647 h 1055"/>
            <a:gd name="T10" fmla="*/ 2147483647 w 1106"/>
            <a:gd name="T11" fmla="*/ 2147483647 h 1055"/>
            <a:gd name="T12" fmla="*/ 2147483647 w 1106"/>
            <a:gd name="T13" fmla="*/ 2147483647 h 1055"/>
            <a:gd name="T14" fmla="*/ 2147483647 w 1106"/>
            <a:gd name="T15" fmla="*/ 2147483647 h 1055"/>
            <a:gd name="T16" fmla="*/ 2147483647 w 1106"/>
            <a:gd name="T17" fmla="*/ 2147483647 h 1055"/>
            <a:gd name="T18" fmla="*/ 2147483647 w 1106"/>
            <a:gd name="T19" fmla="*/ 2147483647 h 1055"/>
            <a:gd name="T20" fmla="*/ 2147483647 w 1106"/>
            <a:gd name="T21" fmla="*/ 2147483647 h 1055"/>
            <a:gd name="T22" fmla="*/ 2147483647 w 1106"/>
            <a:gd name="T23" fmla="*/ 2147483647 h 1055"/>
            <a:gd name="T24" fmla="*/ 2147483647 w 1106"/>
            <a:gd name="T25" fmla="*/ 2147483647 h 1055"/>
            <a:gd name="T26" fmla="*/ 2147483647 w 1106"/>
            <a:gd name="T27" fmla="*/ 2147483647 h 1055"/>
            <a:gd name="T28" fmla="*/ 2147483647 w 1106"/>
            <a:gd name="T29" fmla="*/ 2147483647 h 1055"/>
            <a:gd name="T30" fmla="*/ 2147483647 w 1106"/>
            <a:gd name="T31" fmla="*/ 2147483647 h 1055"/>
            <a:gd name="T32" fmla="*/ 2147483647 w 1106"/>
            <a:gd name="T33" fmla="*/ 2147483647 h 1055"/>
            <a:gd name="T34" fmla="*/ 2147483647 w 1106"/>
            <a:gd name="T35" fmla="*/ 2147483647 h 1055"/>
            <a:gd name="T36" fmla="*/ 2147483647 w 1106"/>
            <a:gd name="T37" fmla="*/ 2147483647 h 1055"/>
            <a:gd name="T38" fmla="*/ 2147483647 w 1106"/>
            <a:gd name="T39" fmla="*/ 2147483647 h 1055"/>
            <a:gd name="T40" fmla="*/ 2147483647 w 1106"/>
            <a:gd name="T41" fmla="*/ 2147483647 h 1055"/>
            <a:gd name="T42" fmla="*/ 2147483647 w 1106"/>
            <a:gd name="T43" fmla="*/ 2147483647 h 1055"/>
            <a:gd name="T44" fmla="*/ 2147483647 w 1106"/>
            <a:gd name="T45" fmla="*/ 2147483647 h 1055"/>
            <a:gd name="T46" fmla="*/ 2147483647 w 1106"/>
            <a:gd name="T47" fmla="*/ 2147483647 h 1055"/>
            <a:gd name="T48" fmla="*/ 2147483647 w 1106"/>
            <a:gd name="T49" fmla="*/ 2147483647 h 1055"/>
            <a:gd name="T50" fmla="*/ 2147483647 w 1106"/>
            <a:gd name="T51" fmla="*/ 2147483647 h 1055"/>
            <a:gd name="T52" fmla="*/ 2147483647 w 1106"/>
            <a:gd name="T53" fmla="*/ 2147483647 h 1055"/>
            <a:gd name="T54" fmla="*/ 2147483647 w 1106"/>
            <a:gd name="T55" fmla="*/ 2147483647 h 1055"/>
            <a:gd name="T56" fmla="*/ 2147483647 w 1106"/>
            <a:gd name="T57" fmla="*/ 2147483647 h 1055"/>
            <a:gd name="T58" fmla="*/ 2147483647 w 1106"/>
            <a:gd name="T59" fmla="*/ 2147483647 h 1055"/>
            <a:gd name="T60" fmla="*/ 2147483647 w 1106"/>
            <a:gd name="T61" fmla="*/ 2147483647 h 1055"/>
            <a:gd name="T62" fmla="*/ 2147483647 w 1106"/>
            <a:gd name="T63" fmla="*/ 2147483647 h 1055"/>
            <a:gd name="T64" fmla="*/ 2147483647 w 1106"/>
            <a:gd name="T65" fmla="*/ 2147483647 h 1055"/>
            <a:gd name="T66" fmla="*/ 2147483647 w 1106"/>
            <a:gd name="T67" fmla="*/ 2147483647 h 1055"/>
            <a:gd name="T68" fmla="*/ 2147483647 w 1106"/>
            <a:gd name="T69" fmla="*/ 2147483647 h 1055"/>
            <a:gd name="T70" fmla="*/ 2147483647 w 1106"/>
            <a:gd name="T71" fmla="*/ 2147483647 h 1055"/>
            <a:gd name="T72" fmla="*/ 2147483647 w 1106"/>
            <a:gd name="T73" fmla="*/ 2147483647 h 1055"/>
            <a:gd name="T74" fmla="*/ 2147483647 w 1106"/>
            <a:gd name="T75" fmla="*/ 2147483647 h 1055"/>
            <a:gd name="T76" fmla="*/ 2147483647 w 1106"/>
            <a:gd name="T77" fmla="*/ 2147483647 h 1055"/>
            <a:gd name="T78" fmla="*/ 2147483647 w 1106"/>
            <a:gd name="T79" fmla="*/ 2147483647 h 1055"/>
            <a:gd name="T80" fmla="*/ 2147483647 w 1106"/>
            <a:gd name="T81" fmla="*/ 2147483647 h 1055"/>
            <a:gd name="T82" fmla="*/ 2147483647 w 1106"/>
            <a:gd name="T83" fmla="*/ 2147483647 h 1055"/>
            <a:gd name="T84" fmla="*/ 2147483647 w 1106"/>
            <a:gd name="T85" fmla="*/ 2147483647 h 1055"/>
            <a:gd name="T86" fmla="*/ 2147483647 w 1106"/>
            <a:gd name="T87" fmla="*/ 2147483647 h 1055"/>
            <a:gd name="T88" fmla="*/ 2147483647 w 1106"/>
            <a:gd name="T89" fmla="*/ 2147483647 h 1055"/>
            <a:gd name="T90" fmla="*/ 2147483647 w 1106"/>
            <a:gd name="T91" fmla="*/ 2147483647 h 1055"/>
            <a:gd name="T92" fmla="*/ 2147483647 w 1106"/>
            <a:gd name="T93" fmla="*/ 2147483647 h 1055"/>
            <a:gd name="T94" fmla="*/ 2147483647 w 1106"/>
            <a:gd name="T95" fmla="*/ 2147483647 h 1055"/>
            <a:gd name="T96" fmla="*/ 2147483647 w 1106"/>
            <a:gd name="T97" fmla="*/ 2147483647 h 1055"/>
            <a:gd name="T98" fmla="*/ 2147483647 w 1106"/>
            <a:gd name="T99" fmla="*/ 2147483647 h 1055"/>
            <a:gd name="T100" fmla="*/ 2147483647 w 1106"/>
            <a:gd name="T101" fmla="*/ 2147483647 h 1055"/>
            <a:gd name="T102" fmla="*/ 2147483647 w 1106"/>
            <a:gd name="T103" fmla="*/ 2147483647 h 1055"/>
            <a:gd name="T104" fmla="*/ 2147483647 w 1106"/>
            <a:gd name="T105" fmla="*/ 2147483647 h 1055"/>
            <a:gd name="T106" fmla="*/ 2147483647 w 1106"/>
            <a:gd name="T107" fmla="*/ 2147483647 h 1055"/>
            <a:gd name="T108" fmla="*/ 2147483647 w 1106"/>
            <a:gd name="T109" fmla="*/ 2147483647 h 1055"/>
            <a:gd name="T110" fmla="*/ 2147483647 w 1106"/>
            <a:gd name="T111" fmla="*/ 2147483647 h 1055"/>
            <a:gd name="T112" fmla="*/ 2147483647 w 1106"/>
            <a:gd name="T113" fmla="*/ 2147483647 h 1055"/>
            <a:gd name="T114" fmla="*/ 2147483647 w 1106"/>
            <a:gd name="T115" fmla="*/ 2147483647 h 1055"/>
            <a:gd name="T116" fmla="*/ 2147483647 w 1106"/>
            <a:gd name="T117" fmla="*/ 2147483647 h 1055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06"/>
            <a:gd name="T178" fmla="*/ 0 h 1055"/>
            <a:gd name="T179" fmla="*/ 1106 w 1106"/>
            <a:gd name="T180" fmla="*/ 1055 h 1055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06" h="1055">
              <a:moveTo>
                <a:pt x="768" y="1055"/>
              </a:moveTo>
              <a:lnTo>
                <a:pt x="764" y="1055"/>
              </a:lnTo>
              <a:lnTo>
                <a:pt x="750" y="1055"/>
              </a:lnTo>
              <a:lnTo>
                <a:pt x="738" y="1054"/>
              </a:lnTo>
              <a:lnTo>
                <a:pt x="719" y="1054"/>
              </a:lnTo>
              <a:lnTo>
                <a:pt x="680" y="1054"/>
              </a:lnTo>
              <a:lnTo>
                <a:pt x="658" y="1053"/>
              </a:lnTo>
              <a:lnTo>
                <a:pt x="657" y="1053"/>
              </a:lnTo>
              <a:lnTo>
                <a:pt x="652" y="1053"/>
              </a:lnTo>
              <a:lnTo>
                <a:pt x="651" y="1053"/>
              </a:lnTo>
              <a:lnTo>
                <a:pt x="633" y="1053"/>
              </a:lnTo>
              <a:lnTo>
                <a:pt x="610" y="1052"/>
              </a:lnTo>
              <a:lnTo>
                <a:pt x="570" y="1052"/>
              </a:lnTo>
              <a:lnTo>
                <a:pt x="562" y="1052"/>
              </a:lnTo>
              <a:lnTo>
                <a:pt x="553" y="1052"/>
              </a:lnTo>
              <a:lnTo>
                <a:pt x="530" y="1052"/>
              </a:lnTo>
              <a:lnTo>
                <a:pt x="514" y="1051"/>
              </a:lnTo>
              <a:lnTo>
                <a:pt x="460" y="1052"/>
              </a:lnTo>
              <a:lnTo>
                <a:pt x="450" y="1052"/>
              </a:lnTo>
              <a:lnTo>
                <a:pt x="430" y="1052"/>
              </a:lnTo>
              <a:lnTo>
                <a:pt x="420" y="1052"/>
              </a:lnTo>
              <a:lnTo>
                <a:pt x="408" y="1024"/>
              </a:lnTo>
              <a:lnTo>
                <a:pt x="399" y="1018"/>
              </a:lnTo>
              <a:lnTo>
                <a:pt x="372" y="1012"/>
              </a:lnTo>
              <a:lnTo>
                <a:pt x="341" y="994"/>
              </a:lnTo>
              <a:lnTo>
                <a:pt x="337" y="964"/>
              </a:lnTo>
              <a:lnTo>
                <a:pt x="323" y="938"/>
              </a:lnTo>
              <a:lnTo>
                <a:pt x="323" y="935"/>
              </a:lnTo>
              <a:lnTo>
                <a:pt x="320" y="917"/>
              </a:lnTo>
              <a:lnTo>
                <a:pt x="320" y="916"/>
              </a:lnTo>
              <a:lnTo>
                <a:pt x="342" y="876"/>
              </a:lnTo>
              <a:lnTo>
                <a:pt x="315" y="839"/>
              </a:lnTo>
              <a:lnTo>
                <a:pt x="314" y="835"/>
              </a:lnTo>
              <a:lnTo>
                <a:pt x="312" y="817"/>
              </a:lnTo>
              <a:lnTo>
                <a:pt x="312" y="816"/>
              </a:lnTo>
              <a:lnTo>
                <a:pt x="309" y="797"/>
              </a:lnTo>
              <a:lnTo>
                <a:pt x="302" y="789"/>
              </a:lnTo>
              <a:lnTo>
                <a:pt x="305" y="764"/>
              </a:lnTo>
              <a:lnTo>
                <a:pt x="306" y="755"/>
              </a:lnTo>
              <a:lnTo>
                <a:pt x="306" y="751"/>
              </a:lnTo>
              <a:lnTo>
                <a:pt x="299" y="735"/>
              </a:lnTo>
              <a:lnTo>
                <a:pt x="297" y="733"/>
              </a:lnTo>
              <a:lnTo>
                <a:pt x="282" y="711"/>
              </a:lnTo>
              <a:lnTo>
                <a:pt x="272" y="703"/>
              </a:lnTo>
              <a:lnTo>
                <a:pt x="270" y="698"/>
              </a:lnTo>
              <a:lnTo>
                <a:pt x="259" y="695"/>
              </a:lnTo>
              <a:lnTo>
                <a:pt x="248" y="693"/>
              </a:lnTo>
              <a:lnTo>
                <a:pt x="236" y="686"/>
              </a:lnTo>
              <a:lnTo>
                <a:pt x="219" y="670"/>
              </a:lnTo>
              <a:lnTo>
                <a:pt x="192" y="653"/>
              </a:lnTo>
              <a:lnTo>
                <a:pt x="187" y="640"/>
              </a:lnTo>
              <a:lnTo>
                <a:pt x="165" y="610"/>
              </a:lnTo>
              <a:lnTo>
                <a:pt x="149" y="602"/>
              </a:lnTo>
              <a:lnTo>
                <a:pt x="142" y="599"/>
              </a:lnTo>
              <a:lnTo>
                <a:pt x="124" y="595"/>
              </a:lnTo>
              <a:lnTo>
                <a:pt x="119" y="591"/>
              </a:lnTo>
              <a:lnTo>
                <a:pt x="109" y="581"/>
              </a:lnTo>
              <a:lnTo>
                <a:pt x="107" y="572"/>
              </a:lnTo>
              <a:lnTo>
                <a:pt x="107" y="571"/>
              </a:lnTo>
              <a:lnTo>
                <a:pt x="72" y="565"/>
              </a:lnTo>
              <a:lnTo>
                <a:pt x="35" y="536"/>
              </a:lnTo>
              <a:lnTo>
                <a:pt x="28" y="530"/>
              </a:lnTo>
              <a:lnTo>
                <a:pt x="16" y="522"/>
              </a:lnTo>
              <a:lnTo>
                <a:pt x="22" y="495"/>
              </a:lnTo>
              <a:lnTo>
                <a:pt x="21" y="462"/>
              </a:lnTo>
              <a:lnTo>
                <a:pt x="26" y="433"/>
              </a:lnTo>
              <a:lnTo>
                <a:pt x="24" y="413"/>
              </a:lnTo>
              <a:lnTo>
                <a:pt x="25" y="411"/>
              </a:lnTo>
              <a:lnTo>
                <a:pt x="23" y="403"/>
              </a:lnTo>
              <a:lnTo>
                <a:pt x="25" y="393"/>
              </a:lnTo>
              <a:lnTo>
                <a:pt x="33" y="344"/>
              </a:lnTo>
              <a:lnTo>
                <a:pt x="25" y="331"/>
              </a:lnTo>
              <a:lnTo>
                <a:pt x="0" y="310"/>
              </a:lnTo>
              <a:lnTo>
                <a:pt x="7" y="291"/>
              </a:lnTo>
              <a:lnTo>
                <a:pt x="8" y="290"/>
              </a:lnTo>
              <a:lnTo>
                <a:pt x="25" y="264"/>
              </a:lnTo>
              <a:lnTo>
                <a:pt x="111" y="208"/>
              </a:lnTo>
              <a:lnTo>
                <a:pt x="111" y="189"/>
              </a:lnTo>
              <a:lnTo>
                <a:pt x="111" y="128"/>
              </a:lnTo>
              <a:lnTo>
                <a:pt x="111" y="108"/>
              </a:lnTo>
              <a:lnTo>
                <a:pt x="111" y="79"/>
              </a:lnTo>
              <a:lnTo>
                <a:pt x="111" y="69"/>
              </a:lnTo>
              <a:lnTo>
                <a:pt x="118" y="71"/>
              </a:lnTo>
              <a:lnTo>
                <a:pt x="148" y="49"/>
              </a:lnTo>
              <a:lnTo>
                <a:pt x="164" y="58"/>
              </a:lnTo>
              <a:lnTo>
                <a:pt x="165" y="61"/>
              </a:lnTo>
              <a:lnTo>
                <a:pt x="203" y="63"/>
              </a:lnTo>
              <a:lnTo>
                <a:pt x="249" y="48"/>
              </a:lnTo>
              <a:lnTo>
                <a:pt x="282" y="39"/>
              </a:lnTo>
              <a:lnTo>
                <a:pt x="315" y="20"/>
              </a:lnTo>
              <a:lnTo>
                <a:pt x="329" y="24"/>
              </a:lnTo>
              <a:lnTo>
                <a:pt x="376" y="0"/>
              </a:lnTo>
              <a:lnTo>
                <a:pt x="396" y="20"/>
              </a:lnTo>
              <a:lnTo>
                <a:pt x="374" y="49"/>
              </a:lnTo>
              <a:lnTo>
                <a:pt x="376" y="66"/>
              </a:lnTo>
              <a:lnTo>
                <a:pt x="367" y="79"/>
              </a:lnTo>
              <a:lnTo>
                <a:pt x="367" y="87"/>
              </a:lnTo>
              <a:lnTo>
                <a:pt x="391" y="79"/>
              </a:lnTo>
              <a:lnTo>
                <a:pt x="399" y="61"/>
              </a:lnTo>
              <a:lnTo>
                <a:pt x="436" y="88"/>
              </a:lnTo>
              <a:lnTo>
                <a:pt x="446" y="87"/>
              </a:lnTo>
              <a:lnTo>
                <a:pt x="458" y="94"/>
              </a:lnTo>
              <a:lnTo>
                <a:pt x="462" y="93"/>
              </a:lnTo>
              <a:lnTo>
                <a:pt x="499" y="108"/>
              </a:lnTo>
              <a:lnTo>
                <a:pt x="516" y="140"/>
              </a:lnTo>
              <a:lnTo>
                <a:pt x="553" y="155"/>
              </a:lnTo>
              <a:lnTo>
                <a:pt x="567" y="158"/>
              </a:lnTo>
              <a:lnTo>
                <a:pt x="709" y="193"/>
              </a:lnTo>
              <a:lnTo>
                <a:pt x="728" y="203"/>
              </a:lnTo>
              <a:lnTo>
                <a:pt x="739" y="208"/>
              </a:lnTo>
              <a:lnTo>
                <a:pt x="756" y="218"/>
              </a:lnTo>
              <a:lnTo>
                <a:pt x="775" y="220"/>
              </a:lnTo>
              <a:lnTo>
                <a:pt x="786" y="223"/>
              </a:lnTo>
              <a:lnTo>
                <a:pt x="797" y="229"/>
              </a:lnTo>
              <a:lnTo>
                <a:pt x="820" y="228"/>
              </a:lnTo>
              <a:lnTo>
                <a:pt x="866" y="235"/>
              </a:lnTo>
              <a:lnTo>
                <a:pt x="892" y="245"/>
              </a:lnTo>
              <a:lnTo>
                <a:pt x="901" y="255"/>
              </a:lnTo>
              <a:lnTo>
                <a:pt x="890" y="271"/>
              </a:lnTo>
              <a:lnTo>
                <a:pt x="903" y="278"/>
              </a:lnTo>
              <a:lnTo>
                <a:pt x="916" y="275"/>
              </a:lnTo>
              <a:lnTo>
                <a:pt x="916" y="280"/>
              </a:lnTo>
              <a:lnTo>
                <a:pt x="938" y="285"/>
              </a:lnTo>
              <a:lnTo>
                <a:pt x="942" y="292"/>
              </a:lnTo>
              <a:lnTo>
                <a:pt x="975" y="433"/>
              </a:lnTo>
              <a:lnTo>
                <a:pt x="992" y="439"/>
              </a:lnTo>
              <a:lnTo>
                <a:pt x="984" y="457"/>
              </a:lnTo>
              <a:lnTo>
                <a:pt x="983" y="462"/>
              </a:lnTo>
              <a:lnTo>
                <a:pt x="958" y="470"/>
              </a:lnTo>
              <a:lnTo>
                <a:pt x="919" y="525"/>
              </a:lnTo>
              <a:lnTo>
                <a:pt x="916" y="539"/>
              </a:lnTo>
              <a:lnTo>
                <a:pt x="914" y="553"/>
              </a:lnTo>
              <a:lnTo>
                <a:pt x="936" y="556"/>
              </a:lnTo>
              <a:lnTo>
                <a:pt x="958" y="546"/>
              </a:lnTo>
              <a:lnTo>
                <a:pt x="961" y="543"/>
              </a:lnTo>
              <a:lnTo>
                <a:pt x="963" y="539"/>
              </a:lnTo>
              <a:lnTo>
                <a:pt x="970" y="522"/>
              </a:lnTo>
              <a:lnTo>
                <a:pt x="1007" y="494"/>
              </a:lnTo>
              <a:lnTo>
                <a:pt x="1048" y="447"/>
              </a:lnTo>
              <a:lnTo>
                <a:pt x="1054" y="431"/>
              </a:lnTo>
              <a:lnTo>
                <a:pt x="1078" y="412"/>
              </a:lnTo>
              <a:lnTo>
                <a:pt x="1080" y="403"/>
              </a:lnTo>
              <a:lnTo>
                <a:pt x="1102" y="392"/>
              </a:lnTo>
              <a:lnTo>
                <a:pt x="1106" y="405"/>
              </a:lnTo>
              <a:lnTo>
                <a:pt x="1030" y="539"/>
              </a:lnTo>
              <a:lnTo>
                <a:pt x="1030" y="540"/>
              </a:lnTo>
              <a:lnTo>
                <a:pt x="1010" y="581"/>
              </a:lnTo>
              <a:lnTo>
                <a:pt x="999" y="621"/>
              </a:lnTo>
              <a:lnTo>
                <a:pt x="1004" y="640"/>
              </a:lnTo>
              <a:lnTo>
                <a:pt x="971" y="698"/>
              </a:lnTo>
              <a:lnTo>
                <a:pt x="964" y="724"/>
              </a:lnTo>
              <a:lnTo>
                <a:pt x="969" y="758"/>
              </a:lnTo>
              <a:lnTo>
                <a:pt x="961" y="788"/>
              </a:lnTo>
              <a:lnTo>
                <a:pt x="952" y="806"/>
              </a:lnTo>
              <a:lnTo>
                <a:pt x="952" y="817"/>
              </a:lnTo>
              <a:lnTo>
                <a:pt x="937" y="846"/>
              </a:lnTo>
              <a:lnTo>
                <a:pt x="931" y="876"/>
              </a:lnTo>
              <a:lnTo>
                <a:pt x="934" y="890"/>
              </a:lnTo>
              <a:lnTo>
                <a:pt x="933" y="905"/>
              </a:lnTo>
              <a:lnTo>
                <a:pt x="936" y="935"/>
              </a:lnTo>
              <a:lnTo>
                <a:pt x="946" y="972"/>
              </a:lnTo>
              <a:lnTo>
                <a:pt x="954" y="994"/>
              </a:lnTo>
              <a:lnTo>
                <a:pt x="950" y="1013"/>
              </a:lnTo>
              <a:lnTo>
                <a:pt x="948" y="1024"/>
              </a:lnTo>
              <a:lnTo>
                <a:pt x="951" y="1055"/>
              </a:lnTo>
              <a:lnTo>
                <a:pt x="914" y="1054"/>
              </a:lnTo>
              <a:lnTo>
                <a:pt x="890" y="1054"/>
              </a:lnTo>
              <a:lnTo>
                <a:pt x="876" y="1054"/>
              </a:lnTo>
              <a:lnTo>
                <a:pt x="866" y="1054"/>
              </a:lnTo>
              <a:lnTo>
                <a:pt x="864" y="1054"/>
              </a:lnTo>
              <a:lnTo>
                <a:pt x="857" y="1054"/>
              </a:lnTo>
              <a:lnTo>
                <a:pt x="797" y="1054"/>
              </a:lnTo>
              <a:lnTo>
                <a:pt x="787" y="1055"/>
              </a:lnTo>
              <a:lnTo>
                <a:pt x="781" y="1055"/>
              </a:lnTo>
              <a:lnTo>
                <a:pt x="773" y="1055"/>
              </a:lnTo>
              <a:lnTo>
                <a:pt x="771" y="1055"/>
              </a:lnTo>
              <a:lnTo>
                <a:pt x="768" y="105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466725</xdr:colOff>
      <xdr:row>53</xdr:row>
      <xdr:rowOff>114299</xdr:rowOff>
    </xdr:from>
    <xdr:to>
      <xdr:col>2</xdr:col>
      <xdr:colOff>1962150</xdr:colOff>
      <xdr:row>53</xdr:row>
      <xdr:rowOff>1171574</xdr:rowOff>
    </xdr:to>
    <xdr:sp macro="" textlink="">
      <xdr:nvSpPr>
        <xdr:cNvPr id="145" name="S_WY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/>
        </xdr:cNvSpPr>
      </xdr:nvSpPr>
      <xdr:spPr bwMode="auto">
        <a:xfrm>
          <a:off x="2247900" y="66179699"/>
          <a:ext cx="1495425" cy="1057275"/>
        </a:xfrm>
        <a:custGeom>
          <a:avLst/>
          <a:gdLst>
            <a:gd name="T0" fmla="*/ 2147483647 w 1310"/>
            <a:gd name="T1" fmla="*/ 2147483647 h 947"/>
            <a:gd name="T2" fmla="*/ 2147483647 w 1310"/>
            <a:gd name="T3" fmla="*/ 2147483647 h 947"/>
            <a:gd name="T4" fmla="*/ 2147483647 w 1310"/>
            <a:gd name="T5" fmla="*/ 2147483647 h 947"/>
            <a:gd name="T6" fmla="*/ 2147483647 w 1310"/>
            <a:gd name="T7" fmla="*/ 2147483647 h 947"/>
            <a:gd name="T8" fmla="*/ 2147483647 w 1310"/>
            <a:gd name="T9" fmla="*/ 2147483647 h 947"/>
            <a:gd name="T10" fmla="*/ 2147483647 w 1310"/>
            <a:gd name="T11" fmla="*/ 2147483647 h 947"/>
            <a:gd name="T12" fmla="*/ 2147483647 w 1310"/>
            <a:gd name="T13" fmla="*/ 2147483647 h 947"/>
            <a:gd name="T14" fmla="*/ 2147483647 w 1310"/>
            <a:gd name="T15" fmla="*/ 2147483647 h 947"/>
            <a:gd name="T16" fmla="*/ 2147483647 w 1310"/>
            <a:gd name="T17" fmla="*/ 2147483647 h 947"/>
            <a:gd name="T18" fmla="*/ 2147483647 w 1310"/>
            <a:gd name="T19" fmla="*/ 2147483647 h 947"/>
            <a:gd name="T20" fmla="*/ 2147483647 w 1310"/>
            <a:gd name="T21" fmla="*/ 2147483647 h 947"/>
            <a:gd name="T22" fmla="*/ 2147483647 w 1310"/>
            <a:gd name="T23" fmla="*/ 2147483647 h 947"/>
            <a:gd name="T24" fmla="*/ 2147483647 w 1310"/>
            <a:gd name="T25" fmla="*/ 2147483647 h 947"/>
            <a:gd name="T26" fmla="*/ 2147483647 w 1310"/>
            <a:gd name="T27" fmla="*/ 2147483647 h 947"/>
            <a:gd name="T28" fmla="*/ 2147483647 w 1310"/>
            <a:gd name="T29" fmla="*/ 2147483647 h 947"/>
            <a:gd name="T30" fmla="*/ 2147483647 w 1310"/>
            <a:gd name="T31" fmla="*/ 2147483647 h 947"/>
            <a:gd name="T32" fmla="*/ 2147483647 w 1310"/>
            <a:gd name="T33" fmla="*/ 2147483647 h 947"/>
            <a:gd name="T34" fmla="*/ 2147483647 w 1310"/>
            <a:gd name="T35" fmla="*/ 2147483647 h 947"/>
            <a:gd name="T36" fmla="*/ 2147483647 w 1310"/>
            <a:gd name="T37" fmla="*/ 2147483647 h 947"/>
            <a:gd name="T38" fmla="*/ 2147483647 w 1310"/>
            <a:gd name="T39" fmla="*/ 2147483647 h 947"/>
            <a:gd name="T40" fmla="*/ 2147483647 w 1310"/>
            <a:gd name="T41" fmla="*/ 2147483647 h 947"/>
            <a:gd name="T42" fmla="*/ 2147483647 w 1310"/>
            <a:gd name="T43" fmla="*/ 2147483647 h 947"/>
            <a:gd name="T44" fmla="*/ 2147483647 w 1310"/>
            <a:gd name="T45" fmla="*/ 0 h 947"/>
            <a:gd name="T46" fmla="*/ 2147483647 w 1310"/>
            <a:gd name="T47" fmla="*/ 0 h 947"/>
            <a:gd name="T48" fmla="*/ 2147483647 w 1310"/>
            <a:gd name="T49" fmla="*/ 0 h 947"/>
            <a:gd name="T50" fmla="*/ 2147483647 w 1310"/>
            <a:gd name="T51" fmla="*/ 0 h 947"/>
            <a:gd name="T52" fmla="*/ 2147483647 w 1310"/>
            <a:gd name="T53" fmla="*/ 0 h 947"/>
            <a:gd name="T54" fmla="*/ 2147483647 w 1310"/>
            <a:gd name="T55" fmla="*/ 0 h 947"/>
            <a:gd name="T56" fmla="*/ 2147483647 w 1310"/>
            <a:gd name="T57" fmla="*/ 0 h 947"/>
            <a:gd name="T58" fmla="*/ 2147483647 w 1310"/>
            <a:gd name="T59" fmla="*/ 0 h 947"/>
            <a:gd name="T60" fmla="*/ 2147483647 w 1310"/>
            <a:gd name="T61" fmla="*/ 0 h 947"/>
            <a:gd name="T62" fmla="*/ 2147483647 w 1310"/>
            <a:gd name="T63" fmla="*/ 0 h 947"/>
            <a:gd name="T64" fmla="*/ 2147483647 w 1310"/>
            <a:gd name="T65" fmla="*/ 0 h 947"/>
            <a:gd name="T66" fmla="*/ 2147483647 w 1310"/>
            <a:gd name="T67" fmla="*/ 0 h 947"/>
            <a:gd name="T68" fmla="*/ 2147483647 w 1310"/>
            <a:gd name="T69" fmla="*/ 0 h 947"/>
            <a:gd name="T70" fmla="*/ 2147483647 w 1310"/>
            <a:gd name="T71" fmla="*/ 2147483647 h 947"/>
            <a:gd name="T72" fmla="*/ 2147483647 w 1310"/>
            <a:gd name="T73" fmla="*/ 2147483647 h 947"/>
            <a:gd name="T74" fmla="*/ 2147483647 w 1310"/>
            <a:gd name="T75" fmla="*/ 2147483647 h 947"/>
            <a:gd name="T76" fmla="*/ 2147483647 w 1310"/>
            <a:gd name="T77" fmla="*/ 2147483647 h 947"/>
            <a:gd name="T78" fmla="*/ 2147483647 w 1310"/>
            <a:gd name="T79" fmla="*/ 2147483647 h 947"/>
            <a:gd name="T80" fmla="*/ 2147483647 w 1310"/>
            <a:gd name="T81" fmla="*/ 2147483647 h 947"/>
            <a:gd name="T82" fmla="*/ 2147483647 w 1310"/>
            <a:gd name="T83" fmla="*/ 2147483647 h 947"/>
            <a:gd name="T84" fmla="*/ 2147483647 w 1310"/>
            <a:gd name="T85" fmla="*/ 2147483647 h 947"/>
            <a:gd name="T86" fmla="*/ 2147483647 w 1310"/>
            <a:gd name="T87" fmla="*/ 2147483647 h 947"/>
            <a:gd name="T88" fmla="*/ 2147483647 w 1310"/>
            <a:gd name="T89" fmla="*/ 2147483647 h 947"/>
            <a:gd name="T90" fmla="*/ 2147483647 w 1310"/>
            <a:gd name="T91" fmla="*/ 2147483647 h 947"/>
            <a:gd name="T92" fmla="*/ 2147483647 w 1310"/>
            <a:gd name="T93" fmla="*/ 2147483647 h 947"/>
            <a:gd name="T94" fmla="*/ 2147483647 w 1310"/>
            <a:gd name="T95" fmla="*/ 2147483647 h 947"/>
            <a:gd name="T96" fmla="*/ 2147483647 w 1310"/>
            <a:gd name="T97" fmla="*/ 2147483647 h 947"/>
            <a:gd name="T98" fmla="*/ 2147483647 w 1310"/>
            <a:gd name="T99" fmla="*/ 2147483647 h 947"/>
            <a:gd name="T100" fmla="*/ 2147483647 w 1310"/>
            <a:gd name="T101" fmla="*/ 2147483647 h 947"/>
            <a:gd name="T102" fmla="*/ 2147483647 w 1310"/>
            <a:gd name="T103" fmla="*/ 2147483647 h 947"/>
            <a:gd name="T104" fmla="*/ 2147483647 w 1310"/>
            <a:gd name="T105" fmla="*/ 2147483647 h 947"/>
            <a:gd name="T106" fmla="*/ 2147483647 w 1310"/>
            <a:gd name="T107" fmla="*/ 2147483647 h 947"/>
            <a:gd name="T108" fmla="*/ 2147483647 w 1310"/>
            <a:gd name="T109" fmla="*/ 2147483647 h 947"/>
            <a:gd name="T110" fmla="*/ 2147483647 w 1310"/>
            <a:gd name="T111" fmla="*/ 2147483647 h 947"/>
            <a:gd name="T112" fmla="*/ 2147483647 w 1310"/>
            <a:gd name="T113" fmla="*/ 2147483647 h 947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310"/>
            <a:gd name="T172" fmla="*/ 0 h 947"/>
            <a:gd name="T173" fmla="*/ 1310 w 1310"/>
            <a:gd name="T174" fmla="*/ 947 h 947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310" h="947">
              <a:moveTo>
                <a:pt x="887" y="947"/>
              </a:moveTo>
              <a:lnTo>
                <a:pt x="876" y="946"/>
              </a:lnTo>
              <a:lnTo>
                <a:pt x="853" y="946"/>
              </a:lnTo>
              <a:lnTo>
                <a:pt x="786" y="946"/>
              </a:lnTo>
              <a:lnTo>
                <a:pt x="780" y="946"/>
              </a:lnTo>
              <a:lnTo>
                <a:pt x="700" y="946"/>
              </a:lnTo>
              <a:lnTo>
                <a:pt x="690" y="946"/>
              </a:lnTo>
              <a:lnTo>
                <a:pt x="642" y="946"/>
              </a:lnTo>
              <a:lnTo>
                <a:pt x="588" y="946"/>
              </a:lnTo>
              <a:lnTo>
                <a:pt x="539" y="946"/>
              </a:lnTo>
              <a:lnTo>
                <a:pt x="423" y="946"/>
              </a:lnTo>
              <a:lnTo>
                <a:pt x="376" y="946"/>
              </a:lnTo>
              <a:lnTo>
                <a:pt x="292" y="946"/>
              </a:lnTo>
              <a:lnTo>
                <a:pt x="285" y="947"/>
              </a:lnTo>
              <a:lnTo>
                <a:pt x="198" y="947"/>
              </a:lnTo>
              <a:lnTo>
                <a:pt x="189" y="947"/>
              </a:lnTo>
              <a:lnTo>
                <a:pt x="147" y="947"/>
              </a:lnTo>
              <a:lnTo>
                <a:pt x="3" y="946"/>
              </a:lnTo>
              <a:lnTo>
                <a:pt x="3" y="887"/>
              </a:lnTo>
              <a:lnTo>
                <a:pt x="3" y="841"/>
              </a:lnTo>
              <a:lnTo>
                <a:pt x="3" y="828"/>
              </a:lnTo>
              <a:lnTo>
                <a:pt x="3" y="809"/>
              </a:lnTo>
              <a:lnTo>
                <a:pt x="3" y="769"/>
              </a:lnTo>
              <a:lnTo>
                <a:pt x="3" y="749"/>
              </a:lnTo>
              <a:lnTo>
                <a:pt x="3" y="709"/>
              </a:lnTo>
              <a:lnTo>
                <a:pt x="3" y="680"/>
              </a:lnTo>
              <a:lnTo>
                <a:pt x="3" y="598"/>
              </a:lnTo>
              <a:lnTo>
                <a:pt x="3" y="590"/>
              </a:lnTo>
              <a:lnTo>
                <a:pt x="4" y="533"/>
              </a:lnTo>
              <a:lnTo>
                <a:pt x="3" y="474"/>
              </a:lnTo>
              <a:lnTo>
                <a:pt x="3" y="470"/>
              </a:lnTo>
              <a:lnTo>
                <a:pt x="3" y="459"/>
              </a:lnTo>
              <a:lnTo>
                <a:pt x="3" y="415"/>
              </a:lnTo>
              <a:lnTo>
                <a:pt x="3" y="399"/>
              </a:lnTo>
              <a:lnTo>
                <a:pt x="3" y="367"/>
              </a:lnTo>
              <a:lnTo>
                <a:pt x="3" y="356"/>
              </a:lnTo>
              <a:lnTo>
                <a:pt x="3" y="355"/>
              </a:lnTo>
              <a:lnTo>
                <a:pt x="3" y="296"/>
              </a:lnTo>
              <a:lnTo>
                <a:pt x="3" y="267"/>
              </a:lnTo>
              <a:lnTo>
                <a:pt x="3" y="242"/>
              </a:lnTo>
              <a:lnTo>
                <a:pt x="3" y="206"/>
              </a:lnTo>
              <a:lnTo>
                <a:pt x="3" y="179"/>
              </a:lnTo>
              <a:lnTo>
                <a:pt x="2" y="125"/>
              </a:lnTo>
              <a:lnTo>
                <a:pt x="2" y="120"/>
              </a:lnTo>
              <a:lnTo>
                <a:pt x="0" y="80"/>
              </a:lnTo>
              <a:lnTo>
                <a:pt x="2" y="1"/>
              </a:lnTo>
              <a:lnTo>
                <a:pt x="122" y="3"/>
              </a:lnTo>
              <a:lnTo>
                <a:pt x="198" y="1"/>
              </a:lnTo>
              <a:lnTo>
                <a:pt x="225" y="1"/>
              </a:lnTo>
              <a:lnTo>
                <a:pt x="236" y="1"/>
              </a:lnTo>
              <a:lnTo>
                <a:pt x="362" y="0"/>
              </a:lnTo>
              <a:lnTo>
                <a:pt x="386" y="1"/>
              </a:lnTo>
              <a:lnTo>
                <a:pt x="456" y="1"/>
              </a:lnTo>
              <a:lnTo>
                <a:pt x="479" y="1"/>
              </a:lnTo>
              <a:lnTo>
                <a:pt x="502" y="1"/>
              </a:lnTo>
              <a:lnTo>
                <a:pt x="526" y="1"/>
              </a:lnTo>
              <a:lnTo>
                <a:pt x="589" y="1"/>
              </a:lnTo>
              <a:lnTo>
                <a:pt x="736" y="1"/>
              </a:lnTo>
              <a:lnTo>
                <a:pt x="759" y="2"/>
              </a:lnTo>
              <a:lnTo>
                <a:pt x="897" y="3"/>
              </a:lnTo>
              <a:lnTo>
                <a:pt x="899" y="3"/>
              </a:lnTo>
              <a:lnTo>
                <a:pt x="923" y="3"/>
              </a:lnTo>
              <a:lnTo>
                <a:pt x="944" y="3"/>
              </a:lnTo>
              <a:lnTo>
                <a:pt x="947" y="3"/>
              </a:lnTo>
              <a:lnTo>
                <a:pt x="963" y="1"/>
              </a:lnTo>
              <a:lnTo>
                <a:pt x="1117" y="1"/>
              </a:lnTo>
              <a:lnTo>
                <a:pt x="1126" y="1"/>
              </a:lnTo>
              <a:lnTo>
                <a:pt x="1165" y="1"/>
              </a:lnTo>
              <a:lnTo>
                <a:pt x="1184" y="2"/>
              </a:lnTo>
              <a:lnTo>
                <a:pt x="1310" y="2"/>
              </a:lnTo>
              <a:lnTo>
                <a:pt x="1310" y="61"/>
              </a:lnTo>
              <a:lnTo>
                <a:pt x="1310" y="103"/>
              </a:lnTo>
              <a:lnTo>
                <a:pt x="1310" y="120"/>
              </a:lnTo>
              <a:lnTo>
                <a:pt x="1310" y="179"/>
              </a:lnTo>
              <a:lnTo>
                <a:pt x="1310" y="195"/>
              </a:lnTo>
              <a:lnTo>
                <a:pt x="1310" y="204"/>
              </a:lnTo>
              <a:lnTo>
                <a:pt x="1310" y="237"/>
              </a:lnTo>
              <a:lnTo>
                <a:pt x="1310" y="273"/>
              </a:lnTo>
              <a:lnTo>
                <a:pt x="1310" y="296"/>
              </a:lnTo>
              <a:lnTo>
                <a:pt x="1310" y="326"/>
              </a:lnTo>
              <a:lnTo>
                <a:pt x="1310" y="355"/>
              </a:lnTo>
              <a:lnTo>
                <a:pt x="1310" y="356"/>
              </a:lnTo>
              <a:lnTo>
                <a:pt x="1310" y="360"/>
              </a:lnTo>
              <a:lnTo>
                <a:pt x="1310" y="385"/>
              </a:lnTo>
              <a:lnTo>
                <a:pt x="1310" y="444"/>
              </a:lnTo>
              <a:lnTo>
                <a:pt x="1310" y="474"/>
              </a:lnTo>
              <a:lnTo>
                <a:pt x="1310" y="485"/>
              </a:lnTo>
              <a:lnTo>
                <a:pt x="1310" y="517"/>
              </a:lnTo>
              <a:lnTo>
                <a:pt x="1310" y="570"/>
              </a:lnTo>
              <a:lnTo>
                <a:pt x="1310" y="651"/>
              </a:lnTo>
              <a:lnTo>
                <a:pt x="1310" y="680"/>
              </a:lnTo>
              <a:lnTo>
                <a:pt x="1310" y="709"/>
              </a:lnTo>
              <a:lnTo>
                <a:pt x="1310" y="739"/>
              </a:lnTo>
              <a:lnTo>
                <a:pt x="1310" y="769"/>
              </a:lnTo>
              <a:lnTo>
                <a:pt x="1310" y="781"/>
              </a:lnTo>
              <a:lnTo>
                <a:pt x="1310" y="798"/>
              </a:lnTo>
              <a:lnTo>
                <a:pt x="1310" y="813"/>
              </a:lnTo>
              <a:lnTo>
                <a:pt x="1310" y="828"/>
              </a:lnTo>
              <a:lnTo>
                <a:pt x="1310" y="854"/>
              </a:lnTo>
              <a:lnTo>
                <a:pt x="1310" y="874"/>
              </a:lnTo>
              <a:lnTo>
                <a:pt x="1310" y="917"/>
              </a:lnTo>
              <a:lnTo>
                <a:pt x="1310" y="946"/>
              </a:lnTo>
              <a:lnTo>
                <a:pt x="1201" y="946"/>
              </a:lnTo>
              <a:lnTo>
                <a:pt x="1157" y="947"/>
              </a:lnTo>
              <a:lnTo>
                <a:pt x="1145" y="947"/>
              </a:lnTo>
              <a:lnTo>
                <a:pt x="1110" y="947"/>
              </a:lnTo>
              <a:lnTo>
                <a:pt x="1087" y="947"/>
              </a:lnTo>
              <a:lnTo>
                <a:pt x="1081" y="947"/>
              </a:lnTo>
              <a:lnTo>
                <a:pt x="1050" y="947"/>
              </a:lnTo>
              <a:lnTo>
                <a:pt x="934" y="947"/>
              </a:lnTo>
              <a:lnTo>
                <a:pt x="911" y="947"/>
              </a:lnTo>
              <a:lnTo>
                <a:pt x="908" y="947"/>
              </a:lnTo>
              <a:lnTo>
                <a:pt x="893" y="947"/>
              </a:lnTo>
              <a:lnTo>
                <a:pt x="887" y="947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876300</xdr:colOff>
      <xdr:row>47</xdr:row>
      <xdr:rowOff>104775</xdr:rowOff>
    </xdr:from>
    <xdr:to>
      <xdr:col>2</xdr:col>
      <xdr:colOff>1774452</xdr:colOff>
      <xdr:row>47</xdr:row>
      <xdr:rowOff>1212476</xdr:rowOff>
    </xdr:to>
    <xdr:sp macro="" textlink="">
      <xdr:nvSpPr>
        <xdr:cNvPr id="146" name="S_UT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/>
        </xdr:cNvSpPr>
      </xdr:nvSpPr>
      <xdr:spPr bwMode="auto">
        <a:xfrm>
          <a:off x="2657475" y="58569225"/>
          <a:ext cx="898152" cy="1107701"/>
        </a:xfrm>
        <a:custGeom>
          <a:avLst/>
          <a:gdLst>
            <a:gd name="T0" fmla="*/ 0 w 936"/>
            <a:gd name="T1" fmla="*/ 2147483647 h 1183"/>
            <a:gd name="T2" fmla="*/ 0 w 936"/>
            <a:gd name="T3" fmla="*/ 2147483647 h 1183"/>
            <a:gd name="T4" fmla="*/ 0 w 936"/>
            <a:gd name="T5" fmla="*/ 2147483647 h 1183"/>
            <a:gd name="T6" fmla="*/ 2147483647 w 936"/>
            <a:gd name="T7" fmla="*/ 2147483647 h 1183"/>
            <a:gd name="T8" fmla="*/ 2147483647 w 936"/>
            <a:gd name="T9" fmla="*/ 2147483647 h 1183"/>
            <a:gd name="T10" fmla="*/ 2147483647 w 936"/>
            <a:gd name="T11" fmla="*/ 2147483647 h 1183"/>
            <a:gd name="T12" fmla="*/ 2147483647 w 936"/>
            <a:gd name="T13" fmla="*/ 2147483647 h 1183"/>
            <a:gd name="T14" fmla="*/ 2147483647 w 936"/>
            <a:gd name="T15" fmla="*/ 2147483647 h 1183"/>
            <a:gd name="T16" fmla="*/ 2147483647 w 936"/>
            <a:gd name="T17" fmla="*/ 2147483647 h 1183"/>
            <a:gd name="T18" fmla="*/ 2147483647 w 936"/>
            <a:gd name="T19" fmla="*/ 2147483647 h 1183"/>
            <a:gd name="T20" fmla="*/ 2147483647 w 936"/>
            <a:gd name="T21" fmla="*/ 2147483647 h 1183"/>
            <a:gd name="T22" fmla="*/ 2147483647 w 936"/>
            <a:gd name="T23" fmla="*/ 2147483647 h 1183"/>
            <a:gd name="T24" fmla="*/ 2147483647 w 936"/>
            <a:gd name="T25" fmla="*/ 2147483647 h 1183"/>
            <a:gd name="T26" fmla="*/ 2147483647 w 936"/>
            <a:gd name="T27" fmla="*/ 2147483647 h 1183"/>
            <a:gd name="T28" fmla="*/ 2147483647 w 936"/>
            <a:gd name="T29" fmla="*/ 2147483647 h 1183"/>
            <a:gd name="T30" fmla="*/ 2147483647 w 936"/>
            <a:gd name="T31" fmla="*/ 2147483647 h 1183"/>
            <a:gd name="T32" fmla="*/ 2147483647 w 936"/>
            <a:gd name="T33" fmla="*/ 2147483647 h 1183"/>
            <a:gd name="T34" fmla="*/ 2147483647 w 936"/>
            <a:gd name="T35" fmla="*/ 2147483647 h 1183"/>
            <a:gd name="T36" fmla="*/ 2147483647 w 936"/>
            <a:gd name="T37" fmla="*/ 2147483647 h 1183"/>
            <a:gd name="T38" fmla="*/ 2147483647 w 936"/>
            <a:gd name="T39" fmla="*/ 2147483647 h 1183"/>
            <a:gd name="T40" fmla="*/ 2147483647 w 936"/>
            <a:gd name="T41" fmla="*/ 2147483647 h 1183"/>
            <a:gd name="T42" fmla="*/ 2147483647 w 936"/>
            <a:gd name="T43" fmla="*/ 2147483647 h 1183"/>
            <a:gd name="T44" fmla="*/ 2147483647 w 936"/>
            <a:gd name="T45" fmla="*/ 2147483647 h 1183"/>
            <a:gd name="T46" fmla="*/ 2147483647 w 936"/>
            <a:gd name="T47" fmla="*/ 2147483647 h 1183"/>
            <a:gd name="T48" fmla="*/ 2147483647 w 936"/>
            <a:gd name="T49" fmla="*/ 2147483647 h 1183"/>
            <a:gd name="T50" fmla="*/ 2147483647 w 936"/>
            <a:gd name="T51" fmla="*/ 2147483647 h 1183"/>
            <a:gd name="T52" fmla="*/ 2147483647 w 936"/>
            <a:gd name="T53" fmla="*/ 2147483647 h 1183"/>
            <a:gd name="T54" fmla="*/ 2147483647 w 936"/>
            <a:gd name="T55" fmla="*/ 2147483647 h 1183"/>
            <a:gd name="T56" fmla="*/ 2147483647 w 936"/>
            <a:gd name="T57" fmla="*/ 2147483647 h 1183"/>
            <a:gd name="T58" fmla="*/ 2147483647 w 936"/>
            <a:gd name="T59" fmla="*/ 2147483647 h 1183"/>
            <a:gd name="T60" fmla="*/ 2147483647 w 936"/>
            <a:gd name="T61" fmla="*/ 2147483647 h 1183"/>
            <a:gd name="T62" fmla="*/ 2147483647 w 936"/>
            <a:gd name="T63" fmla="*/ 0 h 1183"/>
            <a:gd name="T64" fmla="*/ 2147483647 w 936"/>
            <a:gd name="T65" fmla="*/ 0 h 1183"/>
            <a:gd name="T66" fmla="*/ 2147483647 w 936"/>
            <a:gd name="T67" fmla="*/ 0 h 1183"/>
            <a:gd name="T68" fmla="*/ 2147483647 w 936"/>
            <a:gd name="T69" fmla="*/ 0 h 1183"/>
            <a:gd name="T70" fmla="*/ 2147483647 w 936"/>
            <a:gd name="T71" fmla="*/ 0 h 1183"/>
            <a:gd name="T72" fmla="*/ 2147483647 w 936"/>
            <a:gd name="T73" fmla="*/ 0 h 1183"/>
            <a:gd name="T74" fmla="*/ 2147483647 w 936"/>
            <a:gd name="T75" fmla="*/ 0 h 1183"/>
            <a:gd name="T76" fmla="*/ 2147483647 w 936"/>
            <a:gd name="T77" fmla="*/ 0 h 1183"/>
            <a:gd name="T78" fmla="*/ 2147483647 w 936"/>
            <a:gd name="T79" fmla="*/ 2147483647 h 1183"/>
            <a:gd name="T80" fmla="*/ 2147483647 w 936"/>
            <a:gd name="T81" fmla="*/ 2147483647 h 1183"/>
            <a:gd name="T82" fmla="*/ 2147483647 w 936"/>
            <a:gd name="T83" fmla="*/ 2147483647 h 1183"/>
            <a:gd name="T84" fmla="*/ 2147483647 w 936"/>
            <a:gd name="T85" fmla="*/ 2147483647 h 1183"/>
            <a:gd name="T86" fmla="*/ 0 w 936"/>
            <a:gd name="T87" fmla="*/ 2147483647 h 1183"/>
            <a:gd name="T88" fmla="*/ 0 w 936"/>
            <a:gd name="T89" fmla="*/ 2147483647 h 1183"/>
            <a:gd name="T90" fmla="*/ 0 w 936"/>
            <a:gd name="T91" fmla="*/ 2147483647 h 1183"/>
            <a:gd name="T92" fmla="*/ 0 w 936"/>
            <a:gd name="T93" fmla="*/ 2147483647 h 1183"/>
            <a:gd name="T94" fmla="*/ 0 w 936"/>
            <a:gd name="T95" fmla="*/ 2147483647 h 1183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36"/>
            <a:gd name="T145" fmla="*/ 0 h 1183"/>
            <a:gd name="T146" fmla="*/ 936 w 936"/>
            <a:gd name="T147" fmla="*/ 1183 h 1183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36" h="1183">
              <a:moveTo>
                <a:pt x="0" y="911"/>
              </a:moveTo>
              <a:lnTo>
                <a:pt x="0" y="1000"/>
              </a:lnTo>
              <a:lnTo>
                <a:pt x="0" y="1005"/>
              </a:lnTo>
              <a:lnTo>
                <a:pt x="0" y="1040"/>
              </a:lnTo>
              <a:lnTo>
                <a:pt x="0" y="1080"/>
              </a:lnTo>
              <a:lnTo>
                <a:pt x="0" y="1157"/>
              </a:lnTo>
              <a:lnTo>
                <a:pt x="0" y="1182"/>
              </a:lnTo>
              <a:lnTo>
                <a:pt x="61" y="1182"/>
              </a:lnTo>
              <a:lnTo>
                <a:pt x="123" y="1182"/>
              </a:lnTo>
              <a:lnTo>
                <a:pt x="215" y="1182"/>
              </a:lnTo>
              <a:lnTo>
                <a:pt x="219" y="1182"/>
              </a:lnTo>
              <a:lnTo>
                <a:pt x="243" y="1182"/>
              </a:lnTo>
              <a:lnTo>
                <a:pt x="282" y="1182"/>
              </a:lnTo>
              <a:lnTo>
                <a:pt x="430" y="1182"/>
              </a:lnTo>
              <a:lnTo>
                <a:pt x="477" y="1182"/>
              </a:lnTo>
              <a:lnTo>
                <a:pt x="493" y="1182"/>
              </a:lnTo>
              <a:lnTo>
                <a:pt x="523" y="1182"/>
              </a:lnTo>
              <a:lnTo>
                <a:pt x="570" y="1182"/>
              </a:lnTo>
              <a:lnTo>
                <a:pt x="617" y="1182"/>
              </a:lnTo>
              <a:lnTo>
                <a:pt x="665" y="1181"/>
              </a:lnTo>
              <a:lnTo>
                <a:pt x="670" y="1183"/>
              </a:lnTo>
              <a:lnTo>
                <a:pt x="757" y="1183"/>
              </a:lnTo>
              <a:lnTo>
                <a:pt x="827" y="1183"/>
              </a:lnTo>
              <a:lnTo>
                <a:pt x="851" y="1182"/>
              </a:lnTo>
              <a:lnTo>
                <a:pt x="936" y="1183"/>
              </a:lnTo>
              <a:lnTo>
                <a:pt x="936" y="1068"/>
              </a:lnTo>
              <a:lnTo>
                <a:pt x="936" y="1064"/>
              </a:lnTo>
              <a:lnTo>
                <a:pt x="936" y="1005"/>
              </a:lnTo>
              <a:lnTo>
                <a:pt x="936" y="974"/>
              </a:lnTo>
              <a:lnTo>
                <a:pt x="936" y="946"/>
              </a:lnTo>
              <a:lnTo>
                <a:pt x="936" y="909"/>
              </a:lnTo>
              <a:lnTo>
                <a:pt x="936" y="907"/>
              </a:lnTo>
              <a:lnTo>
                <a:pt x="933" y="881"/>
              </a:lnTo>
              <a:lnTo>
                <a:pt x="933" y="828"/>
              </a:lnTo>
              <a:lnTo>
                <a:pt x="933" y="769"/>
              </a:lnTo>
              <a:lnTo>
                <a:pt x="935" y="710"/>
              </a:lnTo>
              <a:lnTo>
                <a:pt x="935" y="623"/>
              </a:lnTo>
              <a:lnTo>
                <a:pt x="935" y="621"/>
              </a:lnTo>
              <a:lnTo>
                <a:pt x="935" y="592"/>
              </a:lnTo>
              <a:lnTo>
                <a:pt x="935" y="591"/>
              </a:lnTo>
              <a:lnTo>
                <a:pt x="935" y="562"/>
              </a:lnTo>
              <a:lnTo>
                <a:pt x="935" y="554"/>
              </a:lnTo>
              <a:lnTo>
                <a:pt x="935" y="503"/>
              </a:lnTo>
              <a:lnTo>
                <a:pt x="935" y="473"/>
              </a:lnTo>
              <a:lnTo>
                <a:pt x="935" y="421"/>
              </a:lnTo>
              <a:lnTo>
                <a:pt x="935" y="370"/>
              </a:lnTo>
              <a:lnTo>
                <a:pt x="935" y="326"/>
              </a:lnTo>
              <a:lnTo>
                <a:pt x="935" y="319"/>
              </a:lnTo>
              <a:lnTo>
                <a:pt x="935" y="297"/>
              </a:lnTo>
              <a:lnTo>
                <a:pt x="935" y="267"/>
              </a:lnTo>
              <a:lnTo>
                <a:pt x="935" y="237"/>
              </a:lnTo>
              <a:lnTo>
                <a:pt x="851" y="237"/>
              </a:lnTo>
              <a:lnTo>
                <a:pt x="844" y="238"/>
              </a:lnTo>
              <a:lnTo>
                <a:pt x="757" y="238"/>
              </a:lnTo>
              <a:lnTo>
                <a:pt x="748" y="238"/>
              </a:lnTo>
              <a:lnTo>
                <a:pt x="706" y="238"/>
              </a:lnTo>
              <a:lnTo>
                <a:pt x="562" y="237"/>
              </a:lnTo>
              <a:lnTo>
                <a:pt x="562" y="178"/>
              </a:lnTo>
              <a:lnTo>
                <a:pt x="562" y="132"/>
              </a:lnTo>
              <a:lnTo>
                <a:pt x="562" y="119"/>
              </a:lnTo>
              <a:lnTo>
                <a:pt x="562" y="100"/>
              </a:lnTo>
              <a:lnTo>
                <a:pt x="562" y="60"/>
              </a:lnTo>
              <a:lnTo>
                <a:pt x="562" y="40"/>
              </a:lnTo>
              <a:lnTo>
                <a:pt x="562" y="0"/>
              </a:lnTo>
              <a:lnTo>
                <a:pt x="491" y="0"/>
              </a:lnTo>
              <a:lnTo>
                <a:pt x="485" y="1"/>
              </a:lnTo>
              <a:lnTo>
                <a:pt x="475" y="1"/>
              </a:lnTo>
              <a:lnTo>
                <a:pt x="430" y="1"/>
              </a:lnTo>
              <a:lnTo>
                <a:pt x="383" y="1"/>
              </a:lnTo>
              <a:lnTo>
                <a:pt x="363" y="1"/>
              </a:lnTo>
              <a:lnTo>
                <a:pt x="359" y="1"/>
              </a:lnTo>
              <a:lnTo>
                <a:pt x="353" y="1"/>
              </a:lnTo>
              <a:lnTo>
                <a:pt x="351" y="1"/>
              </a:lnTo>
              <a:lnTo>
                <a:pt x="348" y="0"/>
              </a:lnTo>
              <a:lnTo>
                <a:pt x="196" y="1"/>
              </a:lnTo>
              <a:lnTo>
                <a:pt x="150" y="1"/>
              </a:lnTo>
              <a:lnTo>
                <a:pt x="55" y="4"/>
              </a:lnTo>
              <a:lnTo>
                <a:pt x="2" y="3"/>
              </a:lnTo>
              <a:lnTo>
                <a:pt x="2" y="28"/>
              </a:lnTo>
              <a:lnTo>
                <a:pt x="2" y="160"/>
              </a:lnTo>
              <a:lnTo>
                <a:pt x="1" y="237"/>
              </a:lnTo>
              <a:lnTo>
                <a:pt x="1" y="326"/>
              </a:lnTo>
              <a:lnTo>
                <a:pt x="1" y="391"/>
              </a:lnTo>
              <a:lnTo>
                <a:pt x="1" y="446"/>
              </a:lnTo>
              <a:lnTo>
                <a:pt x="1" y="473"/>
              </a:lnTo>
              <a:lnTo>
                <a:pt x="1" y="496"/>
              </a:lnTo>
              <a:lnTo>
                <a:pt x="1" y="532"/>
              </a:lnTo>
              <a:lnTo>
                <a:pt x="0" y="582"/>
              </a:lnTo>
              <a:lnTo>
                <a:pt x="1" y="591"/>
              </a:lnTo>
              <a:lnTo>
                <a:pt x="0" y="742"/>
              </a:lnTo>
              <a:lnTo>
                <a:pt x="0" y="786"/>
              </a:lnTo>
              <a:lnTo>
                <a:pt x="0" y="799"/>
              </a:lnTo>
              <a:lnTo>
                <a:pt x="0" y="811"/>
              </a:lnTo>
              <a:lnTo>
                <a:pt x="0" y="828"/>
              </a:lnTo>
              <a:lnTo>
                <a:pt x="0" y="877"/>
              </a:lnTo>
              <a:lnTo>
                <a:pt x="0" y="911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4</xdr:row>
      <xdr:rowOff>85725</xdr:rowOff>
    </xdr:from>
    <xdr:to>
      <xdr:col>2</xdr:col>
      <xdr:colOff>1400175</xdr:colOff>
      <xdr:row>4</xdr:row>
      <xdr:rowOff>1188384</xdr:rowOff>
    </xdr:to>
    <xdr:sp macro="" textlink="">
      <xdr:nvSpPr>
        <xdr:cNvPr id="147" name="S_AZ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/>
        </xdr:cNvSpPr>
      </xdr:nvSpPr>
      <xdr:spPr bwMode="auto">
        <a:xfrm>
          <a:off x="2438400" y="4076700"/>
          <a:ext cx="742950" cy="1102659"/>
        </a:xfrm>
        <a:custGeom>
          <a:avLst/>
          <a:gdLst>
            <a:gd name="T0" fmla="*/ 2147483647 w 1079"/>
            <a:gd name="T1" fmla="*/ 2147483647 h 1340"/>
            <a:gd name="T2" fmla="*/ 2147483647 w 1079"/>
            <a:gd name="T3" fmla="*/ 2147483647 h 1340"/>
            <a:gd name="T4" fmla="*/ 2147483647 w 1079"/>
            <a:gd name="T5" fmla="*/ 2147483647 h 1340"/>
            <a:gd name="T6" fmla="*/ 2147483647 w 1079"/>
            <a:gd name="T7" fmla="*/ 2147483647 h 1340"/>
            <a:gd name="T8" fmla="*/ 2147483647 w 1079"/>
            <a:gd name="T9" fmla="*/ 2147483647 h 1340"/>
            <a:gd name="T10" fmla="*/ 2147483647 w 1079"/>
            <a:gd name="T11" fmla="*/ 2147483647 h 1340"/>
            <a:gd name="T12" fmla="*/ 2147483647 w 1079"/>
            <a:gd name="T13" fmla="*/ 2147483647 h 1340"/>
            <a:gd name="T14" fmla="*/ 2147483647 w 1079"/>
            <a:gd name="T15" fmla="*/ 2147483647 h 1340"/>
            <a:gd name="T16" fmla="*/ 2147483647 w 1079"/>
            <a:gd name="T17" fmla="*/ 2147483647 h 1340"/>
            <a:gd name="T18" fmla="*/ 2147483647 w 1079"/>
            <a:gd name="T19" fmla="*/ 2147483647 h 1340"/>
            <a:gd name="T20" fmla="*/ 2147483647 w 1079"/>
            <a:gd name="T21" fmla="*/ 2147483647 h 1340"/>
            <a:gd name="T22" fmla="*/ 2147483647 w 1079"/>
            <a:gd name="T23" fmla="*/ 2147483647 h 1340"/>
            <a:gd name="T24" fmla="*/ 2147483647 w 1079"/>
            <a:gd name="T25" fmla="*/ 2147483647 h 1340"/>
            <a:gd name="T26" fmla="*/ 2147483647 w 1079"/>
            <a:gd name="T27" fmla="*/ 2147483647 h 1340"/>
            <a:gd name="T28" fmla="*/ 2147483647 w 1079"/>
            <a:gd name="T29" fmla="*/ 2147483647 h 1340"/>
            <a:gd name="T30" fmla="*/ 2147483647 w 1079"/>
            <a:gd name="T31" fmla="*/ 2147483647 h 1340"/>
            <a:gd name="T32" fmla="*/ 2147483647 w 1079"/>
            <a:gd name="T33" fmla="*/ 2147483647 h 1340"/>
            <a:gd name="T34" fmla="*/ 2147483647 w 1079"/>
            <a:gd name="T35" fmla="*/ 2147483647 h 1340"/>
            <a:gd name="T36" fmla="*/ 2147483647 w 1079"/>
            <a:gd name="T37" fmla="*/ 2147483647 h 1340"/>
            <a:gd name="T38" fmla="*/ 2147483647 w 1079"/>
            <a:gd name="T39" fmla="*/ 2147483647 h 1340"/>
            <a:gd name="T40" fmla="*/ 2147483647 w 1079"/>
            <a:gd name="T41" fmla="*/ 0 h 1340"/>
            <a:gd name="T42" fmla="*/ 2147483647 w 1079"/>
            <a:gd name="T43" fmla="*/ 2147483647 h 1340"/>
            <a:gd name="T44" fmla="*/ 2147483647 w 1079"/>
            <a:gd name="T45" fmla="*/ 2147483647 h 1340"/>
            <a:gd name="T46" fmla="*/ 2147483647 w 1079"/>
            <a:gd name="T47" fmla="*/ 2147483647 h 1340"/>
            <a:gd name="T48" fmla="*/ 2147483647 w 1079"/>
            <a:gd name="T49" fmla="*/ 2147483647 h 1340"/>
            <a:gd name="T50" fmla="*/ 2147483647 w 1079"/>
            <a:gd name="T51" fmla="*/ 2147483647 h 1340"/>
            <a:gd name="T52" fmla="*/ 2147483647 w 1079"/>
            <a:gd name="T53" fmla="*/ 2147483647 h 1340"/>
            <a:gd name="T54" fmla="*/ 2147483647 w 1079"/>
            <a:gd name="T55" fmla="*/ 2147483647 h 1340"/>
            <a:gd name="T56" fmla="*/ 2147483647 w 1079"/>
            <a:gd name="T57" fmla="*/ 2147483647 h 1340"/>
            <a:gd name="T58" fmla="*/ 2147483647 w 1079"/>
            <a:gd name="T59" fmla="*/ 2147483647 h 1340"/>
            <a:gd name="T60" fmla="*/ 2147483647 w 1079"/>
            <a:gd name="T61" fmla="*/ 2147483647 h 1340"/>
            <a:gd name="T62" fmla="*/ 2147483647 w 1079"/>
            <a:gd name="T63" fmla="*/ 2147483647 h 1340"/>
            <a:gd name="T64" fmla="*/ 2147483647 w 1079"/>
            <a:gd name="T65" fmla="*/ 2147483647 h 1340"/>
            <a:gd name="T66" fmla="*/ 2147483647 w 1079"/>
            <a:gd name="T67" fmla="*/ 2147483647 h 1340"/>
            <a:gd name="T68" fmla="*/ 2147483647 w 1079"/>
            <a:gd name="T69" fmla="*/ 2147483647 h 1340"/>
            <a:gd name="T70" fmla="*/ 2147483647 w 1079"/>
            <a:gd name="T71" fmla="*/ 2147483647 h 1340"/>
            <a:gd name="T72" fmla="*/ 2147483647 w 1079"/>
            <a:gd name="T73" fmla="*/ 2147483647 h 1340"/>
            <a:gd name="T74" fmla="*/ 2147483647 w 1079"/>
            <a:gd name="T75" fmla="*/ 2147483647 h 1340"/>
            <a:gd name="T76" fmla="*/ 2147483647 w 1079"/>
            <a:gd name="T77" fmla="*/ 2147483647 h 1340"/>
            <a:gd name="T78" fmla="*/ 0 w 1079"/>
            <a:gd name="T79" fmla="*/ 2147483647 h 1340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w 1079"/>
            <a:gd name="T121" fmla="*/ 0 h 1340"/>
            <a:gd name="T122" fmla="*/ 1079 w 1079"/>
            <a:gd name="T123" fmla="*/ 1340 h 1340"/>
          </a:gdLst>
          <a:ahLst/>
          <a:cxnLst>
            <a:cxn ang="T80">
              <a:pos x="T0" y="T1"/>
            </a:cxn>
            <a:cxn ang="T81">
              <a:pos x="T2" y="T3"/>
            </a:cxn>
            <a:cxn ang="T82">
              <a:pos x="T4" y="T5"/>
            </a:cxn>
            <a:cxn ang="T83">
              <a:pos x="T6" y="T7"/>
            </a:cxn>
            <a:cxn ang="T84">
              <a:pos x="T8" y="T9"/>
            </a:cxn>
            <a:cxn ang="T85">
              <a:pos x="T10" y="T11"/>
            </a:cxn>
            <a:cxn ang="T86">
              <a:pos x="T12" y="T13"/>
            </a:cxn>
            <a:cxn ang="T87">
              <a:pos x="T14" y="T15"/>
            </a:cxn>
            <a:cxn ang="T88">
              <a:pos x="T16" y="T17"/>
            </a:cxn>
            <a:cxn ang="T89">
              <a:pos x="T18" y="T19"/>
            </a:cxn>
            <a:cxn ang="T90">
              <a:pos x="T20" y="T21"/>
            </a:cxn>
            <a:cxn ang="T91">
              <a:pos x="T22" y="T23"/>
            </a:cxn>
            <a:cxn ang="T92">
              <a:pos x="T24" y="T25"/>
            </a:cxn>
            <a:cxn ang="T93">
              <a:pos x="T26" y="T27"/>
            </a:cxn>
            <a:cxn ang="T94">
              <a:pos x="T28" y="T29"/>
            </a:cxn>
            <a:cxn ang="T95">
              <a:pos x="T30" y="T31"/>
            </a:cxn>
            <a:cxn ang="T96">
              <a:pos x="T32" y="T33"/>
            </a:cxn>
            <a:cxn ang="T97">
              <a:pos x="T34" y="T35"/>
            </a:cxn>
            <a:cxn ang="T98">
              <a:pos x="T36" y="T37"/>
            </a:cxn>
            <a:cxn ang="T99">
              <a:pos x="T38" y="T39"/>
            </a:cxn>
            <a:cxn ang="T100">
              <a:pos x="T40" y="T41"/>
            </a:cxn>
            <a:cxn ang="T101">
              <a:pos x="T42" y="T43"/>
            </a:cxn>
            <a:cxn ang="T102">
              <a:pos x="T44" y="T45"/>
            </a:cxn>
            <a:cxn ang="T103">
              <a:pos x="T46" y="T47"/>
            </a:cxn>
            <a:cxn ang="T104">
              <a:pos x="T48" y="T49"/>
            </a:cxn>
            <a:cxn ang="T105">
              <a:pos x="T50" y="T51"/>
            </a:cxn>
            <a:cxn ang="T106">
              <a:pos x="T52" y="T53"/>
            </a:cxn>
            <a:cxn ang="T107">
              <a:pos x="T54" y="T55"/>
            </a:cxn>
            <a:cxn ang="T108">
              <a:pos x="T56" y="T57"/>
            </a:cxn>
            <a:cxn ang="T109">
              <a:pos x="T58" y="T59"/>
            </a:cxn>
            <a:cxn ang="T110">
              <a:pos x="T60" y="T61"/>
            </a:cxn>
            <a:cxn ang="T111">
              <a:pos x="T62" y="T63"/>
            </a:cxn>
            <a:cxn ang="T112">
              <a:pos x="T64" y="T65"/>
            </a:cxn>
            <a:cxn ang="T113">
              <a:pos x="T66" y="T67"/>
            </a:cxn>
            <a:cxn ang="T114">
              <a:pos x="T68" y="T69"/>
            </a:cxn>
            <a:cxn ang="T115">
              <a:pos x="T70" y="T71"/>
            </a:cxn>
            <a:cxn ang="T116">
              <a:pos x="T72" y="T73"/>
            </a:cxn>
            <a:cxn ang="T117">
              <a:pos x="T74" y="T75"/>
            </a:cxn>
            <a:cxn ang="T118">
              <a:pos x="T76" y="T77"/>
            </a:cxn>
            <a:cxn ang="T119">
              <a:pos x="T78" y="T79"/>
            </a:cxn>
          </a:cxnLst>
          <a:rect l="T120" t="T121" r="T122" b="T123"/>
          <a:pathLst>
            <a:path w="1079" h="1340">
              <a:moveTo>
                <a:pt x="0" y="1045"/>
              </a:moveTo>
              <a:lnTo>
                <a:pt x="18" y="1012"/>
              </a:lnTo>
              <a:lnTo>
                <a:pt x="52" y="1005"/>
              </a:lnTo>
              <a:lnTo>
                <a:pt x="58" y="945"/>
              </a:lnTo>
              <a:lnTo>
                <a:pt x="41" y="941"/>
              </a:lnTo>
              <a:lnTo>
                <a:pt x="20" y="923"/>
              </a:lnTo>
              <a:lnTo>
                <a:pt x="20" y="857"/>
              </a:lnTo>
              <a:lnTo>
                <a:pt x="35" y="844"/>
              </a:lnTo>
              <a:lnTo>
                <a:pt x="58" y="782"/>
              </a:lnTo>
              <a:lnTo>
                <a:pt x="58" y="719"/>
              </a:lnTo>
              <a:lnTo>
                <a:pt x="66" y="712"/>
              </a:lnTo>
              <a:lnTo>
                <a:pt x="71" y="691"/>
              </a:lnTo>
              <a:lnTo>
                <a:pt x="104" y="669"/>
              </a:lnTo>
              <a:lnTo>
                <a:pt x="121" y="651"/>
              </a:lnTo>
              <a:lnTo>
                <a:pt x="127" y="638"/>
              </a:lnTo>
              <a:lnTo>
                <a:pt x="82" y="603"/>
              </a:lnTo>
              <a:lnTo>
                <a:pt x="81" y="592"/>
              </a:lnTo>
              <a:lnTo>
                <a:pt x="58" y="537"/>
              </a:lnTo>
              <a:lnTo>
                <a:pt x="35" y="506"/>
              </a:lnTo>
              <a:lnTo>
                <a:pt x="34" y="473"/>
              </a:lnTo>
              <a:lnTo>
                <a:pt x="42" y="415"/>
              </a:lnTo>
              <a:lnTo>
                <a:pt x="22" y="296"/>
              </a:lnTo>
              <a:lnTo>
                <a:pt x="27" y="267"/>
              </a:lnTo>
              <a:lnTo>
                <a:pt x="12" y="216"/>
              </a:lnTo>
              <a:lnTo>
                <a:pt x="58" y="203"/>
              </a:lnTo>
              <a:lnTo>
                <a:pt x="105" y="233"/>
              </a:lnTo>
              <a:lnTo>
                <a:pt x="142" y="192"/>
              </a:lnTo>
              <a:lnTo>
                <a:pt x="143" y="38"/>
              </a:lnTo>
              <a:lnTo>
                <a:pt x="143" y="1"/>
              </a:lnTo>
              <a:lnTo>
                <a:pt x="204" y="1"/>
              </a:lnTo>
              <a:lnTo>
                <a:pt x="266" y="1"/>
              </a:lnTo>
              <a:lnTo>
                <a:pt x="358" y="1"/>
              </a:lnTo>
              <a:lnTo>
                <a:pt x="362" y="1"/>
              </a:lnTo>
              <a:lnTo>
                <a:pt x="386" y="1"/>
              </a:lnTo>
              <a:lnTo>
                <a:pt x="425" y="1"/>
              </a:lnTo>
              <a:lnTo>
                <a:pt x="573" y="1"/>
              </a:lnTo>
              <a:lnTo>
                <a:pt x="620" y="1"/>
              </a:lnTo>
              <a:lnTo>
                <a:pt x="636" y="1"/>
              </a:lnTo>
              <a:lnTo>
                <a:pt x="666" y="1"/>
              </a:lnTo>
              <a:lnTo>
                <a:pt x="713" y="1"/>
              </a:lnTo>
              <a:lnTo>
                <a:pt x="760" y="1"/>
              </a:lnTo>
              <a:lnTo>
                <a:pt x="808" y="0"/>
              </a:lnTo>
              <a:lnTo>
                <a:pt x="813" y="2"/>
              </a:lnTo>
              <a:lnTo>
                <a:pt x="900" y="2"/>
              </a:lnTo>
              <a:lnTo>
                <a:pt x="970" y="2"/>
              </a:lnTo>
              <a:lnTo>
                <a:pt x="994" y="1"/>
              </a:lnTo>
              <a:lnTo>
                <a:pt x="1079" y="2"/>
              </a:lnTo>
              <a:lnTo>
                <a:pt x="1079" y="60"/>
              </a:lnTo>
              <a:lnTo>
                <a:pt x="1079" y="120"/>
              </a:lnTo>
              <a:lnTo>
                <a:pt x="1079" y="236"/>
              </a:lnTo>
              <a:lnTo>
                <a:pt x="1079" y="348"/>
              </a:lnTo>
              <a:lnTo>
                <a:pt x="1079" y="355"/>
              </a:lnTo>
              <a:lnTo>
                <a:pt x="1079" y="484"/>
              </a:lnTo>
              <a:lnTo>
                <a:pt x="1079" y="524"/>
              </a:lnTo>
              <a:lnTo>
                <a:pt x="1079" y="529"/>
              </a:lnTo>
              <a:lnTo>
                <a:pt x="1079" y="573"/>
              </a:lnTo>
              <a:lnTo>
                <a:pt x="1079" y="622"/>
              </a:lnTo>
              <a:lnTo>
                <a:pt x="1078" y="709"/>
              </a:lnTo>
              <a:lnTo>
                <a:pt x="1079" y="763"/>
              </a:lnTo>
              <a:lnTo>
                <a:pt x="1079" y="767"/>
              </a:lnTo>
              <a:lnTo>
                <a:pt x="1079" y="769"/>
              </a:lnTo>
              <a:lnTo>
                <a:pt x="1078" y="897"/>
              </a:lnTo>
              <a:lnTo>
                <a:pt x="1078" y="911"/>
              </a:lnTo>
              <a:lnTo>
                <a:pt x="1078" y="946"/>
              </a:lnTo>
              <a:lnTo>
                <a:pt x="1078" y="998"/>
              </a:lnTo>
              <a:lnTo>
                <a:pt x="1078" y="1005"/>
              </a:lnTo>
              <a:lnTo>
                <a:pt x="1078" y="1065"/>
              </a:lnTo>
              <a:lnTo>
                <a:pt x="1078" y="1082"/>
              </a:lnTo>
              <a:lnTo>
                <a:pt x="1078" y="1289"/>
              </a:lnTo>
              <a:lnTo>
                <a:pt x="1078" y="1295"/>
              </a:lnTo>
              <a:lnTo>
                <a:pt x="1078" y="1340"/>
              </a:lnTo>
              <a:lnTo>
                <a:pt x="815" y="1340"/>
              </a:lnTo>
              <a:lnTo>
                <a:pt x="698" y="1340"/>
              </a:lnTo>
              <a:lnTo>
                <a:pt x="650" y="1320"/>
              </a:lnTo>
              <a:lnTo>
                <a:pt x="645" y="1318"/>
              </a:lnTo>
              <a:lnTo>
                <a:pt x="620" y="1308"/>
              </a:lnTo>
              <a:lnTo>
                <a:pt x="619" y="1308"/>
              </a:lnTo>
              <a:lnTo>
                <a:pt x="277" y="1173"/>
              </a:lnTo>
              <a:lnTo>
                <a:pt x="27" y="1076"/>
              </a:lnTo>
              <a:lnTo>
                <a:pt x="0" y="1045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771526</xdr:colOff>
      <xdr:row>33</xdr:row>
      <xdr:rowOff>85725</xdr:rowOff>
    </xdr:from>
    <xdr:to>
      <xdr:col>2</xdr:col>
      <xdr:colOff>1628776</xdr:colOff>
      <xdr:row>33</xdr:row>
      <xdr:rowOff>1226484</xdr:rowOff>
    </xdr:to>
    <xdr:sp macro="" textlink="">
      <xdr:nvSpPr>
        <xdr:cNvPr id="148" name="S_NM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/>
        </xdr:cNvSpPr>
      </xdr:nvSpPr>
      <xdr:spPr bwMode="auto">
        <a:xfrm>
          <a:off x="2552701" y="40814625"/>
          <a:ext cx="857250" cy="1140759"/>
        </a:xfrm>
        <a:custGeom>
          <a:avLst/>
          <a:gdLst>
            <a:gd name="T0" fmla="*/ 2147483647 w 1131"/>
            <a:gd name="T1" fmla="*/ 2147483647 h 1339"/>
            <a:gd name="T2" fmla="*/ 2147483647 w 1131"/>
            <a:gd name="T3" fmla="*/ 2147483647 h 1339"/>
            <a:gd name="T4" fmla="*/ 2147483647 w 1131"/>
            <a:gd name="T5" fmla="*/ 2147483647 h 1339"/>
            <a:gd name="T6" fmla="*/ 2147483647 w 1131"/>
            <a:gd name="T7" fmla="*/ 2147483647 h 1339"/>
            <a:gd name="T8" fmla="*/ 2147483647 w 1131"/>
            <a:gd name="T9" fmla="*/ 2147483647 h 1339"/>
            <a:gd name="T10" fmla="*/ 2147483647 w 1131"/>
            <a:gd name="T11" fmla="*/ 2147483647 h 1339"/>
            <a:gd name="T12" fmla="*/ 2147483647 w 1131"/>
            <a:gd name="T13" fmla="*/ 2147483647 h 1339"/>
            <a:gd name="T14" fmla="*/ 2147483647 w 1131"/>
            <a:gd name="T15" fmla="*/ 2147483647 h 1339"/>
            <a:gd name="T16" fmla="*/ 2147483647 w 1131"/>
            <a:gd name="T17" fmla="*/ 2147483647 h 1339"/>
            <a:gd name="T18" fmla="*/ 2147483647 w 1131"/>
            <a:gd name="T19" fmla="*/ 2147483647 h 1339"/>
            <a:gd name="T20" fmla="*/ 2147483647 w 1131"/>
            <a:gd name="T21" fmla="*/ 2147483647 h 1339"/>
            <a:gd name="T22" fmla="*/ 2147483647 w 1131"/>
            <a:gd name="T23" fmla="*/ 2147483647 h 1339"/>
            <a:gd name="T24" fmla="*/ 2147483647 w 1131"/>
            <a:gd name="T25" fmla="*/ 2147483647 h 1339"/>
            <a:gd name="T26" fmla="*/ 2147483647 w 1131"/>
            <a:gd name="T27" fmla="*/ 2147483647 h 1339"/>
            <a:gd name="T28" fmla="*/ 2147483647 w 1131"/>
            <a:gd name="T29" fmla="*/ 2147483647 h 1339"/>
            <a:gd name="T30" fmla="*/ 2147483647 w 1131"/>
            <a:gd name="T31" fmla="*/ 2147483647 h 1339"/>
            <a:gd name="T32" fmla="*/ 2147483647 w 1131"/>
            <a:gd name="T33" fmla="*/ 2147483647 h 1339"/>
            <a:gd name="T34" fmla="*/ 2147483647 w 1131"/>
            <a:gd name="T35" fmla="*/ 2147483647 h 1339"/>
            <a:gd name="T36" fmla="*/ 2147483647 w 1131"/>
            <a:gd name="T37" fmla="*/ 2147483647 h 1339"/>
            <a:gd name="T38" fmla="*/ 2147483647 w 1131"/>
            <a:gd name="T39" fmla="*/ 2147483647 h 1339"/>
            <a:gd name="T40" fmla="*/ 2147483647 w 1131"/>
            <a:gd name="T41" fmla="*/ 2147483647 h 1339"/>
            <a:gd name="T42" fmla="*/ 2147483647 w 1131"/>
            <a:gd name="T43" fmla="*/ 2147483647 h 1339"/>
            <a:gd name="T44" fmla="*/ 2147483647 w 1131"/>
            <a:gd name="T45" fmla="*/ 2147483647 h 1339"/>
            <a:gd name="T46" fmla="*/ 2147483647 w 1131"/>
            <a:gd name="T47" fmla="*/ 2147483647 h 1339"/>
            <a:gd name="T48" fmla="*/ 2147483647 w 1131"/>
            <a:gd name="T49" fmla="*/ 2147483647 h 1339"/>
            <a:gd name="T50" fmla="*/ 2147483647 w 1131"/>
            <a:gd name="T51" fmla="*/ 2147483647 h 1339"/>
            <a:gd name="T52" fmla="*/ 2147483647 w 1131"/>
            <a:gd name="T53" fmla="*/ 2147483647 h 1339"/>
            <a:gd name="T54" fmla="*/ 2147483647 w 1131"/>
            <a:gd name="T55" fmla="*/ 2147483647 h 1339"/>
            <a:gd name="T56" fmla="*/ 2147483647 w 1131"/>
            <a:gd name="T57" fmla="*/ 2147483647 h 1339"/>
            <a:gd name="T58" fmla="*/ 2147483647 w 1131"/>
            <a:gd name="T59" fmla="*/ 2147483647 h 1339"/>
            <a:gd name="T60" fmla="*/ 2147483647 w 1131"/>
            <a:gd name="T61" fmla="*/ 2147483647 h 1339"/>
            <a:gd name="T62" fmla="*/ 2147483647 w 1131"/>
            <a:gd name="T63" fmla="*/ 2147483647 h 1339"/>
            <a:gd name="T64" fmla="*/ 2147483647 w 1131"/>
            <a:gd name="T65" fmla="*/ 2147483647 h 1339"/>
            <a:gd name="T66" fmla="*/ 2147483647 w 1131"/>
            <a:gd name="T67" fmla="*/ 2147483647 h 1339"/>
            <a:gd name="T68" fmla="*/ 2147483647 w 1131"/>
            <a:gd name="T69" fmla="*/ 0 h 1339"/>
            <a:gd name="T70" fmla="*/ 2147483647 w 1131"/>
            <a:gd name="T71" fmla="*/ 0 h 1339"/>
            <a:gd name="T72" fmla="*/ 2147483647 w 1131"/>
            <a:gd name="T73" fmla="*/ 2147483647 h 1339"/>
            <a:gd name="T74" fmla="*/ 2147483647 w 1131"/>
            <a:gd name="T75" fmla="*/ 2147483647 h 1339"/>
            <a:gd name="T76" fmla="*/ 2147483647 w 1131"/>
            <a:gd name="T77" fmla="*/ 2147483647 h 1339"/>
            <a:gd name="T78" fmla="*/ 2147483647 w 1131"/>
            <a:gd name="T79" fmla="*/ 2147483647 h 1339"/>
            <a:gd name="T80" fmla="*/ 2147483647 w 1131"/>
            <a:gd name="T81" fmla="*/ 2147483647 h 1339"/>
            <a:gd name="T82" fmla="*/ 2147483647 w 1131"/>
            <a:gd name="T83" fmla="*/ 0 h 1339"/>
            <a:gd name="T84" fmla="*/ 2147483647 w 1131"/>
            <a:gd name="T85" fmla="*/ 0 h 1339"/>
            <a:gd name="T86" fmla="*/ 2147483647 w 1131"/>
            <a:gd name="T87" fmla="*/ 0 h 1339"/>
            <a:gd name="T88" fmla="*/ 2147483647 w 1131"/>
            <a:gd name="T89" fmla="*/ 0 h 1339"/>
            <a:gd name="T90" fmla="*/ 2147483647 w 1131"/>
            <a:gd name="T91" fmla="*/ 2147483647 h 1339"/>
            <a:gd name="T92" fmla="*/ 2147483647 w 1131"/>
            <a:gd name="T93" fmla="*/ 2147483647 h 1339"/>
            <a:gd name="T94" fmla="*/ 2147483647 w 1131"/>
            <a:gd name="T95" fmla="*/ 2147483647 h 1339"/>
            <a:gd name="T96" fmla="*/ 2147483647 w 1131"/>
            <a:gd name="T97" fmla="*/ 2147483647 h 1339"/>
            <a:gd name="T98" fmla="*/ 2147483647 w 1131"/>
            <a:gd name="T99" fmla="*/ 2147483647 h 1339"/>
            <a:gd name="T100" fmla="*/ 2147483647 w 1131"/>
            <a:gd name="T101" fmla="*/ 2147483647 h 1339"/>
            <a:gd name="T102" fmla="*/ 2147483647 w 1131"/>
            <a:gd name="T103" fmla="*/ 2147483647 h 1339"/>
            <a:gd name="T104" fmla="*/ 2147483647 w 1131"/>
            <a:gd name="T105" fmla="*/ 2147483647 h 1339"/>
            <a:gd name="T106" fmla="*/ 0 w 1131"/>
            <a:gd name="T107" fmla="*/ 2147483647 h 1339"/>
            <a:gd name="T108" fmla="*/ 0 w 1131"/>
            <a:gd name="T109" fmla="*/ 2147483647 h 1339"/>
            <a:gd name="T110" fmla="*/ 0 w 1131"/>
            <a:gd name="T111" fmla="*/ 2147483647 h 1339"/>
            <a:gd name="T112" fmla="*/ 0 w 1131"/>
            <a:gd name="T113" fmla="*/ 2147483647 h 1339"/>
            <a:gd name="T114" fmla="*/ 0 w 1131"/>
            <a:gd name="T115" fmla="*/ 2147483647 h 1339"/>
            <a:gd name="T116" fmla="*/ 2147483647 w 1131"/>
            <a:gd name="T117" fmla="*/ 2147483647 h 1339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31"/>
            <a:gd name="T178" fmla="*/ 0 h 1339"/>
            <a:gd name="T179" fmla="*/ 1131 w 1131"/>
            <a:gd name="T180" fmla="*/ 1339 h 1339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31" h="1339">
              <a:moveTo>
                <a:pt x="33" y="1339"/>
              </a:moveTo>
              <a:lnTo>
                <a:pt x="157" y="1339"/>
              </a:lnTo>
              <a:lnTo>
                <a:pt x="157" y="1233"/>
              </a:lnTo>
              <a:lnTo>
                <a:pt x="328" y="1233"/>
              </a:lnTo>
              <a:lnTo>
                <a:pt x="472" y="1233"/>
              </a:lnTo>
              <a:lnTo>
                <a:pt x="450" y="1206"/>
              </a:lnTo>
              <a:lnTo>
                <a:pt x="456" y="1201"/>
              </a:lnTo>
              <a:lnTo>
                <a:pt x="451" y="1187"/>
              </a:lnTo>
              <a:lnTo>
                <a:pt x="455" y="1181"/>
              </a:lnTo>
              <a:lnTo>
                <a:pt x="500" y="1181"/>
              </a:lnTo>
              <a:lnTo>
                <a:pt x="523" y="1181"/>
              </a:lnTo>
              <a:lnTo>
                <a:pt x="547" y="1180"/>
              </a:lnTo>
              <a:lnTo>
                <a:pt x="571" y="1180"/>
              </a:lnTo>
              <a:lnTo>
                <a:pt x="687" y="1181"/>
              </a:lnTo>
              <a:lnTo>
                <a:pt x="740" y="1181"/>
              </a:lnTo>
              <a:lnTo>
                <a:pt x="773" y="1181"/>
              </a:lnTo>
              <a:lnTo>
                <a:pt x="786" y="1181"/>
              </a:lnTo>
              <a:lnTo>
                <a:pt x="878" y="1181"/>
              </a:lnTo>
              <a:lnTo>
                <a:pt x="896" y="1181"/>
              </a:lnTo>
              <a:lnTo>
                <a:pt x="940" y="1181"/>
              </a:lnTo>
              <a:lnTo>
                <a:pt x="948" y="1181"/>
              </a:lnTo>
              <a:lnTo>
                <a:pt x="991" y="1181"/>
              </a:lnTo>
              <a:lnTo>
                <a:pt x="994" y="1181"/>
              </a:lnTo>
              <a:lnTo>
                <a:pt x="997" y="1181"/>
              </a:lnTo>
              <a:lnTo>
                <a:pt x="1015" y="1181"/>
              </a:lnTo>
              <a:lnTo>
                <a:pt x="1063" y="1181"/>
              </a:lnTo>
              <a:lnTo>
                <a:pt x="1070" y="1181"/>
              </a:lnTo>
              <a:lnTo>
                <a:pt x="1108" y="1181"/>
              </a:lnTo>
              <a:lnTo>
                <a:pt x="1120" y="1181"/>
              </a:lnTo>
              <a:lnTo>
                <a:pt x="1120" y="1161"/>
              </a:lnTo>
              <a:lnTo>
                <a:pt x="1120" y="1123"/>
              </a:lnTo>
              <a:lnTo>
                <a:pt x="1120" y="1069"/>
              </a:lnTo>
              <a:lnTo>
                <a:pt x="1120" y="1058"/>
              </a:lnTo>
              <a:lnTo>
                <a:pt x="1120" y="1034"/>
              </a:lnTo>
              <a:lnTo>
                <a:pt x="1120" y="988"/>
              </a:lnTo>
              <a:lnTo>
                <a:pt x="1120" y="955"/>
              </a:lnTo>
              <a:lnTo>
                <a:pt x="1121" y="916"/>
              </a:lnTo>
              <a:lnTo>
                <a:pt x="1122" y="856"/>
              </a:lnTo>
              <a:lnTo>
                <a:pt x="1122" y="854"/>
              </a:lnTo>
              <a:lnTo>
                <a:pt x="1122" y="827"/>
              </a:lnTo>
              <a:lnTo>
                <a:pt x="1122" y="820"/>
              </a:lnTo>
              <a:lnTo>
                <a:pt x="1122" y="810"/>
              </a:lnTo>
              <a:lnTo>
                <a:pt x="1123" y="787"/>
              </a:lnTo>
              <a:lnTo>
                <a:pt x="1123" y="778"/>
              </a:lnTo>
              <a:lnTo>
                <a:pt x="1123" y="750"/>
              </a:lnTo>
              <a:lnTo>
                <a:pt x="1124" y="708"/>
              </a:lnTo>
              <a:lnTo>
                <a:pt x="1124" y="650"/>
              </a:lnTo>
              <a:lnTo>
                <a:pt x="1124" y="638"/>
              </a:lnTo>
              <a:lnTo>
                <a:pt x="1124" y="635"/>
              </a:lnTo>
              <a:lnTo>
                <a:pt x="1124" y="608"/>
              </a:lnTo>
              <a:lnTo>
                <a:pt x="1124" y="591"/>
              </a:lnTo>
              <a:lnTo>
                <a:pt x="1124" y="532"/>
              </a:lnTo>
              <a:lnTo>
                <a:pt x="1124" y="505"/>
              </a:lnTo>
              <a:lnTo>
                <a:pt x="1124" y="502"/>
              </a:lnTo>
              <a:lnTo>
                <a:pt x="1124" y="484"/>
              </a:lnTo>
              <a:lnTo>
                <a:pt x="1124" y="473"/>
              </a:lnTo>
              <a:lnTo>
                <a:pt x="1124" y="443"/>
              </a:lnTo>
              <a:lnTo>
                <a:pt x="1124" y="429"/>
              </a:lnTo>
              <a:lnTo>
                <a:pt x="1124" y="409"/>
              </a:lnTo>
              <a:lnTo>
                <a:pt x="1124" y="395"/>
              </a:lnTo>
              <a:lnTo>
                <a:pt x="1124" y="325"/>
              </a:lnTo>
              <a:lnTo>
                <a:pt x="1124" y="298"/>
              </a:lnTo>
              <a:lnTo>
                <a:pt x="1124" y="295"/>
              </a:lnTo>
              <a:lnTo>
                <a:pt x="1124" y="290"/>
              </a:lnTo>
              <a:lnTo>
                <a:pt x="1124" y="224"/>
              </a:lnTo>
              <a:lnTo>
                <a:pt x="1124" y="119"/>
              </a:lnTo>
              <a:lnTo>
                <a:pt x="1131" y="119"/>
              </a:lnTo>
              <a:lnTo>
                <a:pt x="1131" y="66"/>
              </a:lnTo>
              <a:lnTo>
                <a:pt x="1131" y="30"/>
              </a:lnTo>
              <a:lnTo>
                <a:pt x="1131" y="0"/>
              </a:lnTo>
              <a:lnTo>
                <a:pt x="1115" y="0"/>
              </a:lnTo>
              <a:lnTo>
                <a:pt x="1072" y="0"/>
              </a:lnTo>
              <a:lnTo>
                <a:pt x="1062" y="0"/>
              </a:lnTo>
              <a:lnTo>
                <a:pt x="943" y="1"/>
              </a:lnTo>
              <a:lnTo>
                <a:pt x="875" y="2"/>
              </a:lnTo>
              <a:lnTo>
                <a:pt x="770" y="2"/>
              </a:lnTo>
              <a:lnTo>
                <a:pt x="729" y="1"/>
              </a:lnTo>
              <a:lnTo>
                <a:pt x="716" y="1"/>
              </a:lnTo>
              <a:lnTo>
                <a:pt x="623" y="1"/>
              </a:lnTo>
              <a:lnTo>
                <a:pt x="618" y="1"/>
              </a:lnTo>
              <a:lnTo>
                <a:pt x="594" y="1"/>
              </a:lnTo>
              <a:lnTo>
                <a:pt x="569" y="1"/>
              </a:lnTo>
              <a:lnTo>
                <a:pt x="482" y="2"/>
              </a:lnTo>
              <a:lnTo>
                <a:pt x="305" y="0"/>
              </a:lnTo>
              <a:lnTo>
                <a:pt x="300" y="0"/>
              </a:lnTo>
              <a:lnTo>
                <a:pt x="293" y="0"/>
              </a:lnTo>
              <a:lnTo>
                <a:pt x="291" y="0"/>
              </a:lnTo>
              <a:lnTo>
                <a:pt x="173" y="0"/>
              </a:lnTo>
              <a:lnTo>
                <a:pt x="125" y="0"/>
              </a:lnTo>
              <a:lnTo>
                <a:pt x="71" y="0"/>
              </a:lnTo>
              <a:lnTo>
                <a:pt x="56" y="1"/>
              </a:lnTo>
              <a:lnTo>
                <a:pt x="1" y="1"/>
              </a:lnTo>
              <a:lnTo>
                <a:pt x="1" y="59"/>
              </a:lnTo>
              <a:lnTo>
                <a:pt x="1" y="119"/>
              </a:lnTo>
              <a:lnTo>
                <a:pt x="1" y="235"/>
              </a:lnTo>
              <a:lnTo>
                <a:pt x="1" y="347"/>
              </a:lnTo>
              <a:lnTo>
                <a:pt x="1" y="354"/>
              </a:lnTo>
              <a:lnTo>
                <a:pt x="1" y="483"/>
              </a:lnTo>
              <a:lnTo>
                <a:pt x="1" y="523"/>
              </a:lnTo>
              <a:lnTo>
                <a:pt x="1" y="528"/>
              </a:lnTo>
              <a:lnTo>
                <a:pt x="1" y="572"/>
              </a:lnTo>
              <a:lnTo>
                <a:pt x="1" y="621"/>
              </a:lnTo>
              <a:lnTo>
                <a:pt x="0" y="708"/>
              </a:lnTo>
              <a:lnTo>
                <a:pt x="1" y="762"/>
              </a:lnTo>
              <a:lnTo>
                <a:pt x="1" y="766"/>
              </a:lnTo>
              <a:lnTo>
                <a:pt x="1" y="768"/>
              </a:lnTo>
              <a:lnTo>
                <a:pt x="0" y="896"/>
              </a:lnTo>
              <a:lnTo>
                <a:pt x="0" y="910"/>
              </a:lnTo>
              <a:lnTo>
                <a:pt x="0" y="945"/>
              </a:lnTo>
              <a:lnTo>
                <a:pt x="0" y="997"/>
              </a:lnTo>
              <a:lnTo>
                <a:pt x="0" y="1004"/>
              </a:lnTo>
              <a:lnTo>
                <a:pt x="0" y="1064"/>
              </a:lnTo>
              <a:lnTo>
                <a:pt x="0" y="1081"/>
              </a:lnTo>
              <a:lnTo>
                <a:pt x="0" y="1288"/>
              </a:lnTo>
              <a:lnTo>
                <a:pt x="0" y="1294"/>
              </a:lnTo>
              <a:lnTo>
                <a:pt x="0" y="1339"/>
              </a:lnTo>
              <a:lnTo>
                <a:pt x="30" y="1339"/>
              </a:lnTo>
              <a:lnTo>
                <a:pt x="33" y="133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847725</xdr:colOff>
      <xdr:row>48</xdr:row>
      <xdr:rowOff>123824</xdr:rowOff>
    </xdr:from>
    <xdr:to>
      <xdr:col>2</xdr:col>
      <xdr:colOff>1647825</xdr:colOff>
      <xdr:row>48</xdr:row>
      <xdr:rowOff>1142999</xdr:rowOff>
    </xdr:to>
    <xdr:sp macro="" textlink="">
      <xdr:nvSpPr>
        <xdr:cNvPr id="149" name="S_VT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/>
        </xdr:cNvSpPr>
      </xdr:nvSpPr>
      <xdr:spPr bwMode="auto">
        <a:xfrm>
          <a:off x="2628900" y="59855099"/>
          <a:ext cx="800100" cy="1019175"/>
        </a:xfrm>
        <a:custGeom>
          <a:avLst/>
          <a:gdLst>
            <a:gd name="T0" fmla="*/ 2147483647 w 363"/>
            <a:gd name="T1" fmla="*/ 2147483647 h 540"/>
            <a:gd name="T2" fmla="*/ 2147483647 w 363"/>
            <a:gd name="T3" fmla="*/ 2147483647 h 540"/>
            <a:gd name="T4" fmla="*/ 2147483647 w 363"/>
            <a:gd name="T5" fmla="*/ 2147483647 h 540"/>
            <a:gd name="T6" fmla="*/ 2147483647 w 363"/>
            <a:gd name="T7" fmla="*/ 2147483647 h 540"/>
            <a:gd name="T8" fmla="*/ 2147483647 w 363"/>
            <a:gd name="T9" fmla="*/ 2147483647 h 540"/>
            <a:gd name="T10" fmla="*/ 2147483647 w 363"/>
            <a:gd name="T11" fmla="*/ 2147483647 h 540"/>
            <a:gd name="T12" fmla="*/ 2147483647 w 363"/>
            <a:gd name="T13" fmla="*/ 2147483647 h 540"/>
            <a:gd name="T14" fmla="*/ 2147483647 w 363"/>
            <a:gd name="T15" fmla="*/ 2147483647 h 540"/>
            <a:gd name="T16" fmla="*/ 2147483647 w 363"/>
            <a:gd name="T17" fmla="*/ 2147483647 h 540"/>
            <a:gd name="T18" fmla="*/ 2147483647 w 363"/>
            <a:gd name="T19" fmla="*/ 2147483647 h 540"/>
            <a:gd name="T20" fmla="*/ 2147483647 w 363"/>
            <a:gd name="T21" fmla="*/ 2147483647 h 540"/>
            <a:gd name="T22" fmla="*/ 2147483647 w 363"/>
            <a:gd name="T23" fmla="*/ 2147483647 h 540"/>
            <a:gd name="T24" fmla="*/ 2147483647 w 363"/>
            <a:gd name="T25" fmla="*/ 2147483647 h 540"/>
            <a:gd name="T26" fmla="*/ 2147483647 w 363"/>
            <a:gd name="T27" fmla="*/ 2147483647 h 540"/>
            <a:gd name="T28" fmla="*/ 2147483647 w 363"/>
            <a:gd name="T29" fmla="*/ 2147483647 h 540"/>
            <a:gd name="T30" fmla="*/ 2147483647 w 363"/>
            <a:gd name="T31" fmla="*/ 2147483647 h 540"/>
            <a:gd name="T32" fmla="*/ 2147483647 w 363"/>
            <a:gd name="T33" fmla="*/ 2147483647 h 540"/>
            <a:gd name="T34" fmla="*/ 2147483647 w 363"/>
            <a:gd name="T35" fmla="*/ 2147483647 h 540"/>
            <a:gd name="T36" fmla="*/ 2147483647 w 363"/>
            <a:gd name="T37" fmla="*/ 2147483647 h 540"/>
            <a:gd name="T38" fmla="*/ 2147483647 w 363"/>
            <a:gd name="T39" fmla="*/ 2147483647 h 540"/>
            <a:gd name="T40" fmla="*/ 2147483647 w 363"/>
            <a:gd name="T41" fmla="*/ 2147483647 h 540"/>
            <a:gd name="T42" fmla="*/ 2147483647 w 363"/>
            <a:gd name="T43" fmla="*/ 2147483647 h 540"/>
            <a:gd name="T44" fmla="*/ 2147483647 w 363"/>
            <a:gd name="T45" fmla="*/ 2147483647 h 540"/>
            <a:gd name="T46" fmla="*/ 2147483647 w 363"/>
            <a:gd name="T47" fmla="*/ 2147483647 h 540"/>
            <a:gd name="T48" fmla="*/ 2147483647 w 363"/>
            <a:gd name="T49" fmla="*/ 2147483647 h 540"/>
            <a:gd name="T50" fmla="*/ 2147483647 w 363"/>
            <a:gd name="T51" fmla="*/ 2147483647 h 540"/>
            <a:gd name="T52" fmla="*/ 2147483647 w 363"/>
            <a:gd name="T53" fmla="*/ 2147483647 h 540"/>
            <a:gd name="T54" fmla="*/ 2147483647 w 363"/>
            <a:gd name="T55" fmla="*/ 2147483647 h 540"/>
            <a:gd name="T56" fmla="*/ 2147483647 w 363"/>
            <a:gd name="T57" fmla="*/ 2147483647 h 540"/>
            <a:gd name="T58" fmla="*/ 2147483647 w 363"/>
            <a:gd name="T59" fmla="*/ 2147483647 h 540"/>
            <a:gd name="T60" fmla="*/ 2147483647 w 363"/>
            <a:gd name="T61" fmla="*/ 2147483647 h 540"/>
            <a:gd name="T62" fmla="*/ 2147483647 w 363"/>
            <a:gd name="T63" fmla="*/ 2147483647 h 540"/>
            <a:gd name="T64" fmla="*/ 2147483647 w 363"/>
            <a:gd name="T65" fmla="*/ 2147483647 h 540"/>
            <a:gd name="T66" fmla="*/ 2147483647 w 363"/>
            <a:gd name="T67" fmla="*/ 2147483647 h 540"/>
            <a:gd name="T68" fmla="*/ 2147483647 w 363"/>
            <a:gd name="T69" fmla="*/ 2147483647 h 540"/>
            <a:gd name="T70" fmla="*/ 2147483647 w 363"/>
            <a:gd name="T71" fmla="*/ 2147483647 h 540"/>
            <a:gd name="T72" fmla="*/ 2147483647 w 363"/>
            <a:gd name="T73" fmla="*/ 2147483647 h 540"/>
            <a:gd name="T74" fmla="*/ 2147483647 w 363"/>
            <a:gd name="T75" fmla="*/ 2147483647 h 540"/>
            <a:gd name="T76" fmla="*/ 2147483647 w 363"/>
            <a:gd name="T77" fmla="*/ 2147483647 h 540"/>
            <a:gd name="T78" fmla="*/ 2147483647 w 363"/>
            <a:gd name="T79" fmla="*/ 2147483647 h 540"/>
            <a:gd name="T80" fmla="*/ 2147483647 w 363"/>
            <a:gd name="T81" fmla="*/ 2147483647 h 540"/>
            <a:gd name="T82" fmla="*/ 2147483647 w 363"/>
            <a:gd name="T83" fmla="*/ 0 h 540"/>
            <a:gd name="T84" fmla="*/ 2147483647 w 363"/>
            <a:gd name="T85" fmla="*/ 2147483647 h 540"/>
            <a:gd name="T86" fmla="*/ 2147483647 w 363"/>
            <a:gd name="T87" fmla="*/ 2147483647 h 540"/>
            <a:gd name="T88" fmla="*/ 2147483647 w 363"/>
            <a:gd name="T89" fmla="*/ 0 h 540"/>
            <a:gd name="T90" fmla="*/ 2147483647 w 363"/>
            <a:gd name="T91" fmla="*/ 2147483647 h 540"/>
            <a:gd name="T92" fmla="*/ 2147483647 w 363"/>
            <a:gd name="T93" fmla="*/ 2147483647 h 540"/>
            <a:gd name="T94" fmla="*/ 2147483647 w 363"/>
            <a:gd name="T95" fmla="*/ 2147483647 h 540"/>
            <a:gd name="T96" fmla="*/ 2147483647 w 363"/>
            <a:gd name="T97" fmla="*/ 2147483647 h 540"/>
            <a:gd name="T98" fmla="*/ 2147483647 w 363"/>
            <a:gd name="T99" fmla="*/ 2147483647 h 540"/>
            <a:gd name="T100" fmla="*/ 2147483647 w 363"/>
            <a:gd name="T101" fmla="*/ 2147483647 h 540"/>
            <a:gd name="T102" fmla="*/ 2147483647 w 363"/>
            <a:gd name="T103" fmla="*/ 2147483647 h 540"/>
            <a:gd name="T104" fmla="*/ 2147483647 w 363"/>
            <a:gd name="T105" fmla="*/ 2147483647 h 540"/>
            <a:gd name="T106" fmla="*/ 2147483647 w 363"/>
            <a:gd name="T107" fmla="*/ 2147483647 h 540"/>
            <a:gd name="T108" fmla="*/ 2147483647 w 363"/>
            <a:gd name="T109" fmla="*/ 2147483647 h 540"/>
            <a:gd name="T110" fmla="*/ 0 w 363"/>
            <a:gd name="T111" fmla="*/ 2147483647 h 540"/>
            <a:gd name="T112" fmla="*/ 2147483647 w 363"/>
            <a:gd name="T113" fmla="*/ 2147483647 h 540"/>
            <a:gd name="T114" fmla="*/ 2147483647 w 363"/>
            <a:gd name="T115" fmla="*/ 2147483647 h 540"/>
            <a:gd name="T116" fmla="*/ 2147483647 w 363"/>
            <a:gd name="T117" fmla="*/ 2147483647 h 540"/>
            <a:gd name="T118" fmla="*/ 2147483647 w 363"/>
            <a:gd name="T119" fmla="*/ 2147483647 h 540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363"/>
            <a:gd name="T181" fmla="*/ 0 h 540"/>
            <a:gd name="T182" fmla="*/ 363 w 363"/>
            <a:gd name="T183" fmla="*/ 540 h 540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363" h="540">
              <a:moveTo>
                <a:pt x="13" y="298"/>
              </a:moveTo>
              <a:lnTo>
                <a:pt x="2" y="328"/>
              </a:lnTo>
              <a:lnTo>
                <a:pt x="25" y="328"/>
              </a:lnTo>
              <a:lnTo>
                <a:pt x="35" y="402"/>
              </a:lnTo>
              <a:lnTo>
                <a:pt x="34" y="417"/>
              </a:lnTo>
              <a:lnTo>
                <a:pt x="32" y="446"/>
              </a:lnTo>
              <a:lnTo>
                <a:pt x="30" y="489"/>
              </a:lnTo>
              <a:lnTo>
                <a:pt x="29" y="516"/>
              </a:lnTo>
              <a:lnTo>
                <a:pt x="30" y="536"/>
              </a:lnTo>
              <a:lnTo>
                <a:pt x="32" y="536"/>
              </a:lnTo>
              <a:lnTo>
                <a:pt x="68" y="537"/>
              </a:lnTo>
              <a:lnTo>
                <a:pt x="74" y="537"/>
              </a:lnTo>
              <a:lnTo>
                <a:pt x="77" y="537"/>
              </a:lnTo>
              <a:lnTo>
                <a:pt x="80" y="537"/>
              </a:lnTo>
              <a:lnTo>
                <a:pt x="82" y="537"/>
              </a:lnTo>
              <a:lnTo>
                <a:pt x="95" y="537"/>
              </a:lnTo>
              <a:lnTo>
                <a:pt x="129" y="538"/>
              </a:lnTo>
              <a:lnTo>
                <a:pt x="175" y="540"/>
              </a:lnTo>
              <a:lnTo>
                <a:pt x="183" y="540"/>
              </a:lnTo>
              <a:lnTo>
                <a:pt x="168" y="488"/>
              </a:lnTo>
              <a:lnTo>
                <a:pt x="182" y="476"/>
              </a:lnTo>
              <a:lnTo>
                <a:pt x="184" y="437"/>
              </a:lnTo>
              <a:lnTo>
                <a:pt x="188" y="421"/>
              </a:lnTo>
              <a:lnTo>
                <a:pt x="188" y="420"/>
              </a:lnTo>
              <a:lnTo>
                <a:pt x="197" y="359"/>
              </a:lnTo>
              <a:lnTo>
                <a:pt x="198" y="340"/>
              </a:lnTo>
              <a:lnTo>
                <a:pt x="207" y="334"/>
              </a:lnTo>
              <a:lnTo>
                <a:pt x="207" y="328"/>
              </a:lnTo>
              <a:lnTo>
                <a:pt x="221" y="301"/>
              </a:lnTo>
              <a:lnTo>
                <a:pt x="230" y="294"/>
              </a:lnTo>
              <a:lnTo>
                <a:pt x="248" y="240"/>
              </a:lnTo>
              <a:lnTo>
                <a:pt x="261" y="211"/>
              </a:lnTo>
              <a:lnTo>
                <a:pt x="260" y="203"/>
              </a:lnTo>
              <a:lnTo>
                <a:pt x="258" y="181"/>
              </a:lnTo>
              <a:lnTo>
                <a:pt x="269" y="162"/>
              </a:lnTo>
              <a:lnTo>
                <a:pt x="299" y="157"/>
              </a:lnTo>
              <a:lnTo>
                <a:pt x="303" y="151"/>
              </a:lnTo>
              <a:lnTo>
                <a:pt x="313" y="143"/>
              </a:lnTo>
              <a:lnTo>
                <a:pt x="346" y="122"/>
              </a:lnTo>
              <a:lnTo>
                <a:pt x="337" y="63"/>
              </a:lnTo>
              <a:lnTo>
                <a:pt x="363" y="24"/>
              </a:lnTo>
              <a:lnTo>
                <a:pt x="362" y="0"/>
              </a:lnTo>
              <a:lnTo>
                <a:pt x="287" y="2"/>
              </a:lnTo>
              <a:lnTo>
                <a:pt x="165" y="2"/>
              </a:lnTo>
              <a:lnTo>
                <a:pt x="45" y="0"/>
              </a:lnTo>
              <a:lnTo>
                <a:pt x="35" y="1"/>
              </a:lnTo>
              <a:lnTo>
                <a:pt x="17" y="1"/>
              </a:lnTo>
              <a:lnTo>
                <a:pt x="11" y="36"/>
              </a:lnTo>
              <a:lnTo>
                <a:pt x="11" y="103"/>
              </a:lnTo>
              <a:lnTo>
                <a:pt x="14" y="107"/>
              </a:lnTo>
              <a:lnTo>
                <a:pt x="19" y="110"/>
              </a:lnTo>
              <a:lnTo>
                <a:pt x="19" y="111"/>
              </a:lnTo>
              <a:lnTo>
                <a:pt x="24" y="122"/>
              </a:lnTo>
              <a:lnTo>
                <a:pt x="23" y="177"/>
              </a:lnTo>
              <a:lnTo>
                <a:pt x="8" y="194"/>
              </a:lnTo>
              <a:lnTo>
                <a:pt x="0" y="222"/>
              </a:lnTo>
              <a:lnTo>
                <a:pt x="11" y="285"/>
              </a:lnTo>
              <a:lnTo>
                <a:pt x="11" y="288"/>
              </a:lnTo>
              <a:lnTo>
                <a:pt x="12" y="288"/>
              </a:lnTo>
              <a:lnTo>
                <a:pt x="13" y="298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>
    <xdr:from>
      <xdr:col>2</xdr:col>
      <xdr:colOff>504824</xdr:colOff>
      <xdr:row>23</xdr:row>
      <xdr:rowOff>85724</xdr:rowOff>
    </xdr:from>
    <xdr:to>
      <xdr:col>2</xdr:col>
      <xdr:colOff>1809749</xdr:colOff>
      <xdr:row>23</xdr:row>
      <xdr:rowOff>1152525</xdr:rowOff>
    </xdr:to>
    <xdr:sp macro="" textlink="">
      <xdr:nvSpPr>
        <xdr:cNvPr id="150" name="S_MA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/>
        </xdr:cNvSpPr>
      </xdr:nvSpPr>
      <xdr:spPr bwMode="auto">
        <a:xfrm>
          <a:off x="2285999" y="28146374"/>
          <a:ext cx="1304925" cy="1066801"/>
        </a:xfrm>
        <a:custGeom>
          <a:avLst/>
          <a:gdLst>
            <a:gd name="T0" fmla="*/ 2147483647 w 669"/>
            <a:gd name="T1" fmla="*/ 2147483647 h 345"/>
            <a:gd name="T2" fmla="*/ 2147483647 w 669"/>
            <a:gd name="T3" fmla="*/ 2147483647 h 345"/>
            <a:gd name="T4" fmla="*/ 2147483647 w 669"/>
            <a:gd name="T5" fmla="*/ 2147483647 h 345"/>
            <a:gd name="T6" fmla="*/ 2147483647 w 669"/>
            <a:gd name="T7" fmla="*/ 2147483647 h 345"/>
            <a:gd name="T8" fmla="*/ 2147483647 w 669"/>
            <a:gd name="T9" fmla="*/ 2147483647 h 345"/>
            <a:gd name="T10" fmla="*/ 2147483647 w 669"/>
            <a:gd name="T11" fmla="*/ 2147483647 h 345"/>
            <a:gd name="T12" fmla="*/ 2147483647 w 669"/>
            <a:gd name="T13" fmla="*/ 2147483647 h 345"/>
            <a:gd name="T14" fmla="*/ 2147483647 w 669"/>
            <a:gd name="T15" fmla="*/ 2147483647 h 345"/>
            <a:gd name="T16" fmla="*/ 2147483647 w 669"/>
            <a:gd name="T17" fmla="*/ 2147483647 h 345"/>
            <a:gd name="T18" fmla="*/ 2147483647 w 669"/>
            <a:gd name="T19" fmla="*/ 2147483647 h 345"/>
            <a:gd name="T20" fmla="*/ 2147483647 w 669"/>
            <a:gd name="T21" fmla="*/ 2147483647 h 345"/>
            <a:gd name="T22" fmla="*/ 2147483647 w 669"/>
            <a:gd name="T23" fmla="*/ 2147483647 h 345"/>
            <a:gd name="T24" fmla="*/ 2147483647 w 669"/>
            <a:gd name="T25" fmla="*/ 2147483647 h 345"/>
            <a:gd name="T26" fmla="*/ 2147483647 w 669"/>
            <a:gd name="T27" fmla="*/ 2147483647 h 345"/>
            <a:gd name="T28" fmla="*/ 2147483647 w 669"/>
            <a:gd name="T29" fmla="*/ 2147483647 h 345"/>
            <a:gd name="T30" fmla="*/ 2147483647 w 669"/>
            <a:gd name="T31" fmla="*/ 2147483647 h 345"/>
            <a:gd name="T32" fmla="*/ 2147483647 w 669"/>
            <a:gd name="T33" fmla="*/ 2147483647 h 345"/>
            <a:gd name="T34" fmla="*/ 2147483647 w 669"/>
            <a:gd name="T35" fmla="*/ 2147483647 h 345"/>
            <a:gd name="T36" fmla="*/ 2147483647 w 669"/>
            <a:gd name="T37" fmla="*/ 2147483647 h 345"/>
            <a:gd name="T38" fmla="*/ 2147483647 w 669"/>
            <a:gd name="T39" fmla="*/ 2147483647 h 345"/>
            <a:gd name="T40" fmla="*/ 2147483647 w 669"/>
            <a:gd name="T41" fmla="*/ 2147483647 h 345"/>
            <a:gd name="T42" fmla="*/ 2147483647 w 669"/>
            <a:gd name="T43" fmla="*/ 2147483647 h 345"/>
            <a:gd name="T44" fmla="*/ 2147483647 w 669"/>
            <a:gd name="T45" fmla="*/ 2147483647 h 345"/>
            <a:gd name="T46" fmla="*/ 2147483647 w 669"/>
            <a:gd name="T47" fmla="*/ 2147483647 h 345"/>
            <a:gd name="T48" fmla="*/ 2147483647 w 669"/>
            <a:gd name="T49" fmla="*/ 2147483647 h 345"/>
            <a:gd name="T50" fmla="*/ 2147483647 w 669"/>
            <a:gd name="T51" fmla="*/ 2147483647 h 345"/>
            <a:gd name="T52" fmla="*/ 2147483647 w 669"/>
            <a:gd name="T53" fmla="*/ 2147483647 h 345"/>
            <a:gd name="T54" fmla="*/ 2147483647 w 669"/>
            <a:gd name="T55" fmla="*/ 2147483647 h 345"/>
            <a:gd name="T56" fmla="*/ 2147483647 w 669"/>
            <a:gd name="T57" fmla="*/ 2147483647 h 345"/>
            <a:gd name="T58" fmla="*/ 2147483647 w 669"/>
            <a:gd name="T59" fmla="*/ 2147483647 h 345"/>
            <a:gd name="T60" fmla="*/ 2147483647 w 669"/>
            <a:gd name="T61" fmla="*/ 2147483647 h 345"/>
            <a:gd name="T62" fmla="*/ 2147483647 w 669"/>
            <a:gd name="T63" fmla="*/ 2147483647 h 345"/>
            <a:gd name="T64" fmla="*/ 2147483647 w 669"/>
            <a:gd name="T65" fmla="*/ 2147483647 h 345"/>
            <a:gd name="T66" fmla="*/ 2147483647 w 669"/>
            <a:gd name="T67" fmla="*/ 2147483647 h 345"/>
            <a:gd name="T68" fmla="*/ 2147483647 w 669"/>
            <a:gd name="T69" fmla="*/ 0 h 345"/>
            <a:gd name="T70" fmla="*/ 2147483647 w 669"/>
            <a:gd name="T71" fmla="*/ 2147483647 h 345"/>
            <a:gd name="T72" fmla="*/ 2147483647 w 669"/>
            <a:gd name="T73" fmla="*/ 2147483647 h 345"/>
            <a:gd name="T74" fmla="*/ 2147483647 w 669"/>
            <a:gd name="T75" fmla="*/ 2147483647 h 345"/>
            <a:gd name="T76" fmla="*/ 2147483647 w 669"/>
            <a:gd name="T77" fmla="*/ 2147483647 h 345"/>
            <a:gd name="T78" fmla="*/ 2147483647 w 669"/>
            <a:gd name="T79" fmla="*/ 2147483647 h 345"/>
            <a:gd name="T80" fmla="*/ 2147483647 w 669"/>
            <a:gd name="T81" fmla="*/ 2147483647 h 345"/>
            <a:gd name="T82" fmla="*/ 2147483647 w 669"/>
            <a:gd name="T83" fmla="*/ 2147483647 h 345"/>
            <a:gd name="T84" fmla="*/ 2147483647 w 669"/>
            <a:gd name="T85" fmla="*/ 2147483647 h 345"/>
            <a:gd name="T86" fmla="*/ 2147483647 w 669"/>
            <a:gd name="T87" fmla="*/ 2147483647 h 345"/>
            <a:gd name="T88" fmla="*/ 2147483647 w 669"/>
            <a:gd name="T89" fmla="*/ 2147483647 h 345"/>
            <a:gd name="T90" fmla="*/ 2147483647 w 669"/>
            <a:gd name="T91" fmla="*/ 2147483647 h 345"/>
            <a:gd name="T92" fmla="*/ 2147483647 w 669"/>
            <a:gd name="T93" fmla="*/ 2147483647 h 345"/>
            <a:gd name="T94" fmla="*/ 2147483647 w 669"/>
            <a:gd name="T95" fmla="*/ 2147483647 h 345"/>
            <a:gd name="T96" fmla="*/ 2147483647 w 669"/>
            <a:gd name="T97" fmla="*/ 2147483647 h 345"/>
            <a:gd name="T98" fmla="*/ 2147483647 w 669"/>
            <a:gd name="T99" fmla="*/ 2147483647 h 345"/>
            <a:gd name="T100" fmla="*/ 2147483647 w 669"/>
            <a:gd name="T101" fmla="*/ 2147483647 h 345"/>
            <a:gd name="T102" fmla="*/ 2147483647 w 669"/>
            <a:gd name="T103" fmla="*/ 2147483647 h 345"/>
            <a:gd name="T104" fmla="*/ 2147483647 w 669"/>
            <a:gd name="T105" fmla="*/ 2147483647 h 345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669"/>
            <a:gd name="T160" fmla="*/ 0 h 345"/>
            <a:gd name="T161" fmla="*/ 669 w 669"/>
            <a:gd name="T162" fmla="*/ 345 h 345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669" h="345">
              <a:moveTo>
                <a:pt x="531" y="279"/>
              </a:moveTo>
              <a:lnTo>
                <a:pt x="515" y="287"/>
              </a:lnTo>
              <a:lnTo>
                <a:pt x="500" y="296"/>
              </a:lnTo>
              <a:lnTo>
                <a:pt x="500" y="297"/>
              </a:lnTo>
              <a:lnTo>
                <a:pt x="490" y="294"/>
              </a:lnTo>
              <a:lnTo>
                <a:pt x="479" y="318"/>
              </a:lnTo>
              <a:lnTo>
                <a:pt x="463" y="328"/>
              </a:lnTo>
              <a:lnTo>
                <a:pt x="447" y="325"/>
              </a:lnTo>
              <a:lnTo>
                <a:pt x="446" y="302"/>
              </a:lnTo>
              <a:lnTo>
                <a:pt x="445" y="287"/>
              </a:lnTo>
              <a:lnTo>
                <a:pt x="431" y="279"/>
              </a:lnTo>
              <a:lnTo>
                <a:pt x="423" y="267"/>
              </a:lnTo>
              <a:lnTo>
                <a:pt x="421" y="264"/>
              </a:lnTo>
              <a:lnTo>
                <a:pt x="410" y="259"/>
              </a:lnTo>
              <a:lnTo>
                <a:pt x="406" y="230"/>
              </a:lnTo>
              <a:lnTo>
                <a:pt x="399" y="231"/>
              </a:lnTo>
              <a:lnTo>
                <a:pt x="399" y="210"/>
              </a:lnTo>
              <a:lnTo>
                <a:pt x="399" y="201"/>
              </a:lnTo>
              <a:lnTo>
                <a:pt x="387" y="202"/>
              </a:lnTo>
              <a:lnTo>
                <a:pt x="376" y="202"/>
              </a:lnTo>
              <a:lnTo>
                <a:pt x="370" y="202"/>
              </a:lnTo>
              <a:lnTo>
                <a:pt x="328" y="203"/>
              </a:lnTo>
              <a:lnTo>
                <a:pt x="320" y="204"/>
              </a:lnTo>
              <a:lnTo>
                <a:pt x="319" y="200"/>
              </a:lnTo>
              <a:lnTo>
                <a:pt x="269" y="200"/>
              </a:lnTo>
              <a:lnTo>
                <a:pt x="264" y="199"/>
              </a:lnTo>
              <a:lnTo>
                <a:pt x="262" y="199"/>
              </a:lnTo>
              <a:lnTo>
                <a:pt x="259" y="199"/>
              </a:lnTo>
              <a:lnTo>
                <a:pt x="257" y="199"/>
              </a:lnTo>
              <a:lnTo>
                <a:pt x="223" y="199"/>
              </a:lnTo>
              <a:lnTo>
                <a:pt x="213" y="198"/>
              </a:lnTo>
              <a:lnTo>
                <a:pt x="188" y="198"/>
              </a:lnTo>
              <a:lnTo>
                <a:pt x="130" y="206"/>
              </a:lnTo>
              <a:lnTo>
                <a:pt x="130" y="198"/>
              </a:lnTo>
              <a:lnTo>
                <a:pt x="94" y="197"/>
              </a:lnTo>
              <a:lnTo>
                <a:pt x="86" y="197"/>
              </a:lnTo>
              <a:lnTo>
                <a:pt x="25" y="195"/>
              </a:lnTo>
              <a:lnTo>
                <a:pt x="14" y="194"/>
              </a:lnTo>
              <a:lnTo>
                <a:pt x="5" y="195"/>
              </a:lnTo>
              <a:lnTo>
                <a:pt x="3" y="195"/>
              </a:lnTo>
              <a:lnTo>
                <a:pt x="0" y="186"/>
              </a:lnTo>
              <a:lnTo>
                <a:pt x="4" y="176"/>
              </a:lnTo>
              <a:lnTo>
                <a:pt x="29" y="86"/>
              </a:lnTo>
              <a:lnTo>
                <a:pt x="38" y="59"/>
              </a:lnTo>
              <a:lnTo>
                <a:pt x="41" y="46"/>
              </a:lnTo>
              <a:lnTo>
                <a:pt x="46" y="30"/>
              </a:lnTo>
              <a:lnTo>
                <a:pt x="82" y="31"/>
              </a:lnTo>
              <a:lnTo>
                <a:pt x="88" y="31"/>
              </a:lnTo>
              <a:lnTo>
                <a:pt x="91" y="31"/>
              </a:lnTo>
              <a:lnTo>
                <a:pt x="94" y="31"/>
              </a:lnTo>
              <a:lnTo>
                <a:pt x="96" y="31"/>
              </a:lnTo>
              <a:lnTo>
                <a:pt x="109" y="31"/>
              </a:lnTo>
              <a:lnTo>
                <a:pt x="143" y="32"/>
              </a:lnTo>
              <a:lnTo>
                <a:pt x="189" y="34"/>
              </a:lnTo>
              <a:lnTo>
                <a:pt x="197" y="34"/>
              </a:lnTo>
              <a:lnTo>
                <a:pt x="213" y="35"/>
              </a:lnTo>
              <a:lnTo>
                <a:pt x="218" y="35"/>
              </a:lnTo>
              <a:lnTo>
                <a:pt x="229" y="35"/>
              </a:lnTo>
              <a:lnTo>
                <a:pt x="270" y="37"/>
              </a:lnTo>
              <a:lnTo>
                <a:pt x="289" y="37"/>
              </a:lnTo>
              <a:lnTo>
                <a:pt x="296" y="37"/>
              </a:lnTo>
              <a:lnTo>
                <a:pt x="301" y="38"/>
              </a:lnTo>
              <a:lnTo>
                <a:pt x="415" y="42"/>
              </a:lnTo>
              <a:lnTo>
                <a:pt x="420" y="34"/>
              </a:lnTo>
              <a:lnTo>
                <a:pt x="422" y="32"/>
              </a:lnTo>
              <a:lnTo>
                <a:pt x="423" y="31"/>
              </a:lnTo>
              <a:lnTo>
                <a:pt x="424" y="31"/>
              </a:lnTo>
              <a:lnTo>
                <a:pt x="457" y="16"/>
              </a:lnTo>
              <a:lnTo>
                <a:pt x="464" y="3"/>
              </a:lnTo>
              <a:lnTo>
                <a:pt x="504" y="0"/>
              </a:lnTo>
              <a:lnTo>
                <a:pt x="516" y="45"/>
              </a:lnTo>
              <a:lnTo>
                <a:pt x="541" y="44"/>
              </a:lnTo>
              <a:lnTo>
                <a:pt x="540" y="62"/>
              </a:lnTo>
              <a:lnTo>
                <a:pt x="514" y="74"/>
              </a:lnTo>
              <a:lnTo>
                <a:pt x="482" y="108"/>
              </a:lnTo>
              <a:lnTo>
                <a:pt x="479" y="102"/>
              </a:lnTo>
              <a:lnTo>
                <a:pt x="476" y="118"/>
              </a:lnTo>
              <a:lnTo>
                <a:pt x="485" y="132"/>
              </a:lnTo>
              <a:lnTo>
                <a:pt x="485" y="133"/>
              </a:lnTo>
              <a:lnTo>
                <a:pt x="502" y="143"/>
              </a:lnTo>
              <a:lnTo>
                <a:pt x="511" y="145"/>
              </a:lnTo>
              <a:lnTo>
                <a:pt x="545" y="205"/>
              </a:lnTo>
              <a:lnTo>
                <a:pt x="526" y="206"/>
              </a:lnTo>
              <a:lnTo>
                <a:pt x="540" y="219"/>
              </a:lnTo>
              <a:lnTo>
                <a:pt x="548" y="218"/>
              </a:lnTo>
              <a:lnTo>
                <a:pt x="556" y="250"/>
              </a:lnTo>
              <a:lnTo>
                <a:pt x="564" y="260"/>
              </a:lnTo>
              <a:lnTo>
                <a:pt x="610" y="272"/>
              </a:lnTo>
              <a:lnTo>
                <a:pt x="649" y="258"/>
              </a:lnTo>
              <a:lnTo>
                <a:pt x="655" y="235"/>
              </a:lnTo>
              <a:lnTo>
                <a:pt x="644" y="234"/>
              </a:lnTo>
              <a:lnTo>
                <a:pt x="633" y="189"/>
              </a:lnTo>
              <a:lnTo>
                <a:pt x="654" y="209"/>
              </a:lnTo>
              <a:lnTo>
                <a:pt x="669" y="282"/>
              </a:lnTo>
              <a:lnTo>
                <a:pt x="656" y="313"/>
              </a:lnTo>
              <a:lnTo>
                <a:pt x="662" y="289"/>
              </a:lnTo>
              <a:lnTo>
                <a:pt x="656" y="285"/>
              </a:lnTo>
              <a:lnTo>
                <a:pt x="587" y="297"/>
              </a:lnTo>
              <a:lnTo>
                <a:pt x="563" y="312"/>
              </a:lnTo>
              <a:lnTo>
                <a:pt x="540" y="315"/>
              </a:lnTo>
              <a:lnTo>
                <a:pt x="531" y="321"/>
              </a:lnTo>
              <a:lnTo>
                <a:pt x="479" y="345"/>
              </a:lnTo>
              <a:lnTo>
                <a:pt x="484" y="337"/>
              </a:lnTo>
              <a:lnTo>
                <a:pt x="527" y="319"/>
              </a:lnTo>
              <a:lnTo>
                <a:pt x="537" y="294"/>
              </a:lnTo>
              <a:lnTo>
                <a:pt x="532" y="281"/>
              </a:lnTo>
              <a:lnTo>
                <a:pt x="531" y="279"/>
              </a:lnTo>
              <a:close/>
            </a:path>
          </a:pathLst>
        </a:custGeom>
        <a:solidFill>
          <a:srgbClr val="87CEFA"/>
        </a:solidFill>
        <a:ln w="17526">
          <a:solidFill>
            <a:schemeClr val="accent1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628650</xdr:colOff>
      <xdr:row>3</xdr:row>
      <xdr:rowOff>85726</xdr:rowOff>
    </xdr:from>
    <xdr:to>
      <xdr:col>2</xdr:col>
      <xdr:colOff>631447</xdr:colOff>
      <xdr:row>3</xdr:row>
      <xdr:rowOff>1200150</xdr:rowOff>
    </xdr:to>
    <xdr:pic>
      <xdr:nvPicPr>
        <xdr:cNvPr id="151" name="Picture 1" descr="http://www.conceptdraw.com/How-To-Guide/picture/Geo-map-USA-Alaska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409825" y="2809876"/>
          <a:ext cx="1368803" cy="111442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200025</xdr:colOff>
      <xdr:row>13</xdr:row>
      <xdr:rowOff>57149</xdr:rowOff>
    </xdr:from>
    <xdr:to>
      <xdr:col>2</xdr:col>
      <xdr:colOff>1981200</xdr:colOff>
      <xdr:row>13</xdr:row>
      <xdr:rowOff>1209674</xdr:rowOff>
    </xdr:to>
    <xdr:pic>
      <xdr:nvPicPr>
        <xdr:cNvPr id="152" name="Picture 1" descr="http://www.clipartbest.com/cliparts/nTX/8Bp/nTX8BpzXc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</a:blip>
        <a:srcRect/>
        <a:stretch>
          <a:fillRect/>
        </a:stretch>
      </xdr:blipFill>
      <xdr:spPr bwMode="auto">
        <a:xfrm>
          <a:off x="2238375" y="15449549"/>
          <a:ext cx="1781175" cy="11525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619126</xdr:colOff>
      <xdr:row>10</xdr:row>
      <xdr:rowOff>1</xdr:rowOff>
    </xdr:from>
    <xdr:to>
      <xdr:col>2</xdr:col>
      <xdr:colOff>620371</xdr:colOff>
      <xdr:row>10</xdr:row>
      <xdr:rowOff>1238251</xdr:rowOff>
    </xdr:to>
    <xdr:pic>
      <xdr:nvPicPr>
        <xdr:cNvPr id="153" name="Picture 2" descr="http://www.dentalpost.net/dental-jobs/images/zone/DC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schemeClr val="accent5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400301" y="11591926"/>
          <a:ext cx="1036980" cy="1238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257175</xdr:colOff>
      <xdr:row>41</xdr:row>
      <xdr:rowOff>180975</xdr:rowOff>
    </xdr:from>
    <xdr:to>
      <xdr:col>2</xdr:col>
      <xdr:colOff>2200275</xdr:colOff>
      <xdr:row>41</xdr:row>
      <xdr:rowOff>1066800</xdr:rowOff>
    </xdr:to>
    <xdr:pic>
      <xdr:nvPicPr>
        <xdr:cNvPr id="154" name="Picture 3" descr="http://www.volunteer.noaa.gov/images/puertorico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accent5">
              <a:shade val="45000"/>
              <a:satMod val="135000"/>
            </a:schemeClr>
            <a:prstClr val="white"/>
          </a:duotone>
        </a:blip>
        <a:srcRect t="18000" b="38333"/>
        <a:stretch>
          <a:fillRect/>
        </a:stretch>
      </xdr:blipFill>
      <xdr:spPr bwMode="auto">
        <a:xfrm>
          <a:off x="2295525" y="51044475"/>
          <a:ext cx="1943100" cy="8858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638175</xdr:colOff>
      <xdr:row>3</xdr:row>
      <xdr:rowOff>47625</xdr:rowOff>
    </xdr:from>
    <xdr:to>
      <xdr:col>2</xdr:col>
      <xdr:colOff>2006978</xdr:colOff>
      <xdr:row>3</xdr:row>
      <xdr:rowOff>1162049</xdr:rowOff>
    </xdr:to>
    <xdr:pic>
      <xdr:nvPicPr>
        <xdr:cNvPr id="155" name="Picture 1" descr="http://www.conceptdraw.com/How-To-Guide/picture/Geo-map-USA-Alaska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419350" y="2771775"/>
          <a:ext cx="1368803" cy="111442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695325</xdr:colOff>
      <xdr:row>9</xdr:row>
      <xdr:rowOff>1247775</xdr:rowOff>
    </xdr:from>
    <xdr:to>
      <xdr:col>2</xdr:col>
      <xdr:colOff>1732305</xdr:colOff>
      <xdr:row>10</xdr:row>
      <xdr:rowOff>1219200</xdr:rowOff>
    </xdr:to>
    <xdr:pic>
      <xdr:nvPicPr>
        <xdr:cNvPr id="156" name="Picture 2" descr="http://www.dentalpost.net/dental-jobs/images/zone/DC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prstClr val="black"/>
            <a:srgbClr val="87CEFA">
              <a:tint val="45000"/>
              <a:satMod val="400000"/>
            </a:srgbClr>
          </a:duotone>
        </a:blip>
        <a:srcRect/>
        <a:stretch>
          <a:fillRect/>
        </a:stretch>
      </xdr:blipFill>
      <xdr:spPr bwMode="auto">
        <a:xfrm>
          <a:off x="2733675" y="11572875"/>
          <a:ext cx="1036980" cy="1238250"/>
        </a:xfrm>
        <a:prstGeom prst="rect">
          <a:avLst/>
        </a:prstGeom>
        <a:noFill/>
      </xdr:spPr>
    </xdr:pic>
    <xdr:clientData/>
  </xdr:twoCellAnchor>
  <xdr:twoCellAnchor>
    <xdr:from>
      <xdr:col>2</xdr:col>
      <xdr:colOff>276225</xdr:colOff>
      <xdr:row>42</xdr:row>
      <xdr:rowOff>142875</xdr:rowOff>
    </xdr:from>
    <xdr:to>
      <xdr:col>2</xdr:col>
      <xdr:colOff>2162175</xdr:colOff>
      <xdr:row>42</xdr:row>
      <xdr:rowOff>1152525</xdr:rowOff>
    </xdr:to>
    <xdr:grpSp>
      <xdr:nvGrpSpPr>
        <xdr:cNvPr id="157" name="S_RI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GrpSpPr>
          <a:grpSpLocks/>
        </xdr:cNvGrpSpPr>
      </xdr:nvGrpSpPr>
      <xdr:grpSpPr bwMode="auto">
        <a:xfrm>
          <a:off x="2314575" y="52273200"/>
          <a:ext cx="1885950" cy="1009650"/>
          <a:chOff x="8280327" y="1895717"/>
          <a:chExt cx="273309" cy="140302"/>
        </a:xfrm>
        <a:solidFill>
          <a:srgbClr val="87CEFA"/>
        </a:solidFill>
      </xdr:grpSpPr>
      <xdr:sp macro="" textlink="">
        <xdr:nvSpPr>
          <xdr:cNvPr id="158" name="myShape_RI3">
            <a:extLst>
              <a:ext uri="{FF2B5EF4-FFF2-40B4-BE49-F238E27FC236}">
                <a16:creationId xmlns:a16="http://schemas.microsoft.com/office/drawing/2014/main" id="{00000000-0008-0000-0500-00009E000000}"/>
              </a:ext>
            </a:extLst>
          </xdr:cNvPr>
          <xdr:cNvSpPr>
            <a:spLocks/>
          </xdr:cNvSpPr>
        </xdr:nvSpPr>
        <xdr:spPr bwMode="auto">
          <a:xfrm>
            <a:off x="8280327" y="1895717"/>
            <a:ext cx="106287" cy="132918"/>
          </a:xfrm>
          <a:custGeom>
            <a:avLst/>
            <a:gdLst>
              <a:gd name="T0" fmla="*/ 2147483647 w 145"/>
              <a:gd name="T1" fmla="*/ 2147483647 h 169"/>
              <a:gd name="T2" fmla="*/ 2147483647 w 145"/>
              <a:gd name="T3" fmla="*/ 2147483647 h 169"/>
              <a:gd name="T4" fmla="*/ 2147483647 w 145"/>
              <a:gd name="T5" fmla="*/ 2147483647 h 169"/>
              <a:gd name="T6" fmla="*/ 2147483647 w 145"/>
              <a:gd name="T7" fmla="*/ 2147483647 h 169"/>
              <a:gd name="T8" fmla="*/ 2147483647 w 145"/>
              <a:gd name="T9" fmla="*/ 2147483647 h 169"/>
              <a:gd name="T10" fmla="*/ 2147483647 w 145"/>
              <a:gd name="T11" fmla="*/ 2147483647 h 169"/>
              <a:gd name="T12" fmla="*/ 2147483647 w 145"/>
              <a:gd name="T13" fmla="*/ 2147483647 h 169"/>
              <a:gd name="T14" fmla="*/ 2147483647 w 145"/>
              <a:gd name="T15" fmla="*/ 2147483647 h 169"/>
              <a:gd name="T16" fmla="*/ 2147483647 w 145"/>
              <a:gd name="T17" fmla="*/ 2147483647 h 169"/>
              <a:gd name="T18" fmla="*/ 2147483647 w 145"/>
              <a:gd name="T19" fmla="*/ 2147483647 h 169"/>
              <a:gd name="T20" fmla="*/ 2147483647 w 145"/>
              <a:gd name="T21" fmla="*/ 2147483647 h 169"/>
              <a:gd name="T22" fmla="*/ 0 w 145"/>
              <a:gd name="T23" fmla="*/ 2147483647 h 169"/>
              <a:gd name="T24" fmla="*/ 0 w 145"/>
              <a:gd name="T25" fmla="*/ 2147483647 h 169"/>
              <a:gd name="T26" fmla="*/ 0 w 145"/>
              <a:gd name="T27" fmla="*/ 2147483647 h 169"/>
              <a:gd name="T28" fmla="*/ 2147483647 w 145"/>
              <a:gd name="T29" fmla="*/ 2147483647 h 169"/>
              <a:gd name="T30" fmla="*/ 2147483647 w 145"/>
              <a:gd name="T31" fmla="*/ 2147483647 h 169"/>
              <a:gd name="T32" fmla="*/ 2147483647 w 145"/>
              <a:gd name="T33" fmla="*/ 2147483647 h 169"/>
              <a:gd name="T34" fmla="*/ 2147483647 w 145"/>
              <a:gd name="T35" fmla="*/ 2147483647 h 169"/>
              <a:gd name="T36" fmla="*/ 2147483647 w 145"/>
              <a:gd name="T37" fmla="*/ 2147483647 h 169"/>
              <a:gd name="T38" fmla="*/ 2147483647 w 145"/>
              <a:gd name="T39" fmla="*/ 2147483647 h 169"/>
              <a:gd name="T40" fmla="*/ 2147483647 w 145"/>
              <a:gd name="T41" fmla="*/ 2147483647 h 169"/>
              <a:gd name="T42" fmla="*/ 2147483647 w 145"/>
              <a:gd name="T43" fmla="*/ 2147483647 h 169"/>
              <a:gd name="T44" fmla="*/ 2147483647 w 145"/>
              <a:gd name="T45" fmla="*/ 2147483647 h 169"/>
              <a:gd name="T46" fmla="*/ 2147483647 w 145"/>
              <a:gd name="T47" fmla="*/ 0 h 169"/>
              <a:gd name="T48" fmla="*/ 2147483647 w 145"/>
              <a:gd name="T49" fmla="*/ 0 h 169"/>
              <a:gd name="T50" fmla="*/ 2147483647 w 145"/>
              <a:gd name="T51" fmla="*/ 0 h 169"/>
              <a:gd name="T52" fmla="*/ 2147483647 w 145"/>
              <a:gd name="T53" fmla="*/ 0 h 169"/>
              <a:gd name="T54" fmla="*/ 2147483647 w 145"/>
              <a:gd name="T55" fmla="*/ 0 h 169"/>
              <a:gd name="T56" fmla="*/ 2147483647 w 145"/>
              <a:gd name="T57" fmla="*/ 0 h 169"/>
              <a:gd name="T58" fmla="*/ 2147483647 w 145"/>
              <a:gd name="T59" fmla="*/ 2147483647 h 169"/>
              <a:gd name="T60" fmla="*/ 2147483647 w 145"/>
              <a:gd name="T61" fmla="*/ 2147483647 h 169"/>
              <a:gd name="T62" fmla="*/ 2147483647 w 145"/>
              <a:gd name="T63" fmla="*/ 2147483647 h 169"/>
              <a:gd name="T64" fmla="*/ 2147483647 w 145"/>
              <a:gd name="T65" fmla="*/ 2147483647 h 169"/>
              <a:gd name="T66" fmla="*/ 2147483647 w 145"/>
              <a:gd name="T67" fmla="*/ 2147483647 h 169"/>
              <a:gd name="T68" fmla="*/ 2147483647 w 145"/>
              <a:gd name="T69" fmla="*/ 2147483647 h 169"/>
              <a:gd name="T70" fmla="*/ 2147483647 w 145"/>
              <a:gd name="T71" fmla="*/ 2147483647 h 169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45"/>
              <a:gd name="T109" fmla="*/ 0 h 169"/>
              <a:gd name="T110" fmla="*/ 145 w 145"/>
              <a:gd name="T111" fmla="*/ 169 h 169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45" h="169">
                <a:moveTo>
                  <a:pt x="129" y="78"/>
                </a:moveTo>
                <a:lnTo>
                  <a:pt x="143" y="86"/>
                </a:lnTo>
                <a:lnTo>
                  <a:pt x="144" y="101"/>
                </a:lnTo>
                <a:lnTo>
                  <a:pt x="145" y="124"/>
                </a:lnTo>
                <a:lnTo>
                  <a:pt x="133" y="133"/>
                </a:lnTo>
                <a:lnTo>
                  <a:pt x="129" y="123"/>
                </a:lnTo>
                <a:lnTo>
                  <a:pt x="123" y="122"/>
                </a:lnTo>
                <a:lnTo>
                  <a:pt x="110" y="135"/>
                </a:lnTo>
                <a:lnTo>
                  <a:pt x="91" y="130"/>
                </a:lnTo>
                <a:lnTo>
                  <a:pt x="75" y="155"/>
                </a:lnTo>
                <a:lnTo>
                  <a:pt x="51" y="156"/>
                </a:lnTo>
                <a:lnTo>
                  <a:pt x="2" y="169"/>
                </a:lnTo>
                <a:lnTo>
                  <a:pt x="0" y="164"/>
                </a:lnTo>
                <a:lnTo>
                  <a:pt x="5" y="165"/>
                </a:lnTo>
                <a:lnTo>
                  <a:pt x="18" y="142"/>
                </a:lnTo>
                <a:lnTo>
                  <a:pt x="19" y="101"/>
                </a:lnTo>
                <a:lnTo>
                  <a:pt x="21" y="93"/>
                </a:lnTo>
                <a:lnTo>
                  <a:pt x="21" y="90"/>
                </a:lnTo>
                <a:lnTo>
                  <a:pt x="21" y="87"/>
                </a:lnTo>
                <a:lnTo>
                  <a:pt x="21" y="84"/>
                </a:lnTo>
                <a:lnTo>
                  <a:pt x="19" y="70"/>
                </a:lnTo>
                <a:lnTo>
                  <a:pt x="19" y="64"/>
                </a:lnTo>
                <a:lnTo>
                  <a:pt x="18" y="21"/>
                </a:lnTo>
                <a:lnTo>
                  <a:pt x="18" y="3"/>
                </a:lnTo>
                <a:lnTo>
                  <a:pt x="26" y="2"/>
                </a:lnTo>
                <a:lnTo>
                  <a:pt x="68" y="1"/>
                </a:lnTo>
                <a:lnTo>
                  <a:pt x="74" y="1"/>
                </a:lnTo>
                <a:lnTo>
                  <a:pt x="85" y="1"/>
                </a:lnTo>
                <a:lnTo>
                  <a:pt x="97" y="0"/>
                </a:lnTo>
                <a:lnTo>
                  <a:pt x="97" y="9"/>
                </a:lnTo>
                <a:lnTo>
                  <a:pt x="97" y="30"/>
                </a:lnTo>
                <a:lnTo>
                  <a:pt x="104" y="29"/>
                </a:lnTo>
                <a:lnTo>
                  <a:pt x="108" y="58"/>
                </a:lnTo>
                <a:lnTo>
                  <a:pt x="119" y="63"/>
                </a:lnTo>
                <a:lnTo>
                  <a:pt x="121" y="66"/>
                </a:lnTo>
                <a:lnTo>
                  <a:pt x="129" y="78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59" name="myShape_RI2">
            <a:extLst>
              <a:ext uri="{FF2B5EF4-FFF2-40B4-BE49-F238E27FC236}">
                <a16:creationId xmlns:a16="http://schemas.microsoft.com/office/drawing/2014/main" id="{00000000-0008-0000-0500-00009F000000}"/>
              </a:ext>
            </a:extLst>
          </xdr:cNvPr>
          <xdr:cNvSpPr>
            <a:spLocks/>
          </xdr:cNvSpPr>
        </xdr:nvSpPr>
        <xdr:spPr bwMode="auto">
          <a:xfrm>
            <a:off x="8432165" y="1991713"/>
            <a:ext cx="53143" cy="36922"/>
          </a:xfrm>
          <a:custGeom>
            <a:avLst/>
            <a:gdLst>
              <a:gd name="T0" fmla="*/ 0 w 73"/>
              <a:gd name="T1" fmla="*/ 2147483647 h 43"/>
              <a:gd name="T2" fmla="*/ 2147483647 w 73"/>
              <a:gd name="T3" fmla="*/ 2147483647 h 43"/>
              <a:gd name="T4" fmla="*/ 2147483647 w 73"/>
              <a:gd name="T5" fmla="*/ 2147483647 h 43"/>
              <a:gd name="T6" fmla="*/ 2147483647 w 73"/>
              <a:gd name="T7" fmla="*/ 2147483647 h 43"/>
              <a:gd name="T8" fmla="*/ 2147483647 w 73"/>
              <a:gd name="T9" fmla="*/ 2147483647 h 43"/>
              <a:gd name="T10" fmla="*/ 2147483647 w 73"/>
              <a:gd name="T11" fmla="*/ 0 h 43"/>
              <a:gd name="T12" fmla="*/ 2147483647 w 73"/>
              <a:gd name="T13" fmla="*/ 2147483647 h 43"/>
              <a:gd name="T14" fmla="*/ 0 w 73"/>
              <a:gd name="T15" fmla="*/ 2147483647 h 43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73"/>
              <a:gd name="T25" fmla="*/ 0 h 43"/>
              <a:gd name="T26" fmla="*/ 73 w 73"/>
              <a:gd name="T27" fmla="*/ 43 h 43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73" h="43">
                <a:moveTo>
                  <a:pt x="0" y="33"/>
                </a:moveTo>
                <a:lnTo>
                  <a:pt x="11" y="43"/>
                </a:lnTo>
                <a:lnTo>
                  <a:pt x="17" y="37"/>
                </a:lnTo>
                <a:lnTo>
                  <a:pt x="73" y="31"/>
                </a:lnTo>
                <a:lnTo>
                  <a:pt x="69" y="18"/>
                </a:lnTo>
                <a:lnTo>
                  <a:pt x="45" y="0"/>
                </a:lnTo>
                <a:lnTo>
                  <a:pt x="16" y="26"/>
                </a:lnTo>
                <a:lnTo>
                  <a:pt x="0" y="33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  <xdr:sp macro="" textlink="">
        <xdr:nvSpPr>
          <xdr:cNvPr id="160" name="myShape_RI1">
            <a:extLst>
              <a:ext uri="{FF2B5EF4-FFF2-40B4-BE49-F238E27FC236}">
                <a16:creationId xmlns:a16="http://schemas.microsoft.com/office/drawing/2014/main" id="{00000000-0008-0000-0500-0000A0000000}"/>
              </a:ext>
            </a:extLst>
          </xdr:cNvPr>
          <xdr:cNvSpPr>
            <a:spLocks/>
          </xdr:cNvSpPr>
        </xdr:nvSpPr>
        <xdr:spPr bwMode="auto">
          <a:xfrm>
            <a:off x="8515676" y="2006482"/>
            <a:ext cx="37960" cy="29537"/>
          </a:xfrm>
          <a:custGeom>
            <a:avLst/>
            <a:gdLst>
              <a:gd name="T0" fmla="*/ 0 w 55"/>
              <a:gd name="T1" fmla="*/ 2147483647 h 34"/>
              <a:gd name="T2" fmla="*/ 0 w 55"/>
              <a:gd name="T3" fmla="*/ 2147483647 h 34"/>
              <a:gd name="T4" fmla="*/ 2147483647 w 55"/>
              <a:gd name="T5" fmla="*/ 2147483647 h 34"/>
              <a:gd name="T6" fmla="*/ 2147483647 w 55"/>
              <a:gd name="T7" fmla="*/ 2147483647 h 34"/>
              <a:gd name="T8" fmla="*/ 2147483647 w 55"/>
              <a:gd name="T9" fmla="*/ 2147483647 h 34"/>
              <a:gd name="T10" fmla="*/ 2147483647 w 55"/>
              <a:gd name="T11" fmla="*/ 0 h 34"/>
              <a:gd name="T12" fmla="*/ 2147483647 w 55"/>
              <a:gd name="T13" fmla="*/ 2147483647 h 34"/>
              <a:gd name="T14" fmla="*/ 2147483647 w 55"/>
              <a:gd name="T15" fmla="*/ 2147483647 h 34"/>
              <a:gd name="T16" fmla="*/ 2147483647 w 55"/>
              <a:gd name="T17" fmla="*/ 2147483647 h 34"/>
              <a:gd name="T18" fmla="*/ 0 w 55"/>
              <a:gd name="T19" fmla="*/ 2147483647 h 3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55"/>
              <a:gd name="T31" fmla="*/ 0 h 34"/>
              <a:gd name="T32" fmla="*/ 55 w 55"/>
              <a:gd name="T33" fmla="*/ 34 h 34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55" h="34">
                <a:moveTo>
                  <a:pt x="0" y="19"/>
                </a:moveTo>
                <a:lnTo>
                  <a:pt x="2" y="22"/>
                </a:lnTo>
                <a:lnTo>
                  <a:pt x="36" y="34"/>
                </a:lnTo>
                <a:lnTo>
                  <a:pt x="55" y="18"/>
                </a:lnTo>
                <a:lnTo>
                  <a:pt x="53" y="14"/>
                </a:lnTo>
                <a:lnTo>
                  <a:pt x="43" y="0"/>
                </a:lnTo>
                <a:lnTo>
                  <a:pt x="45" y="14"/>
                </a:lnTo>
                <a:lnTo>
                  <a:pt x="36" y="21"/>
                </a:lnTo>
                <a:lnTo>
                  <a:pt x="13" y="23"/>
                </a:lnTo>
                <a:lnTo>
                  <a:pt x="0" y="19"/>
                </a:lnTo>
                <a:close/>
              </a:path>
            </a:pathLst>
          </a:custGeom>
          <a:grpFill/>
          <a:ln w="17526">
            <a:solidFill>
              <a:schemeClr val="accent1"/>
            </a:solidFill>
            <a:round/>
            <a:headEnd/>
            <a:tailEnd/>
          </a:ln>
        </xdr:spPr>
      </xdr:sp>
    </xdr:grpSp>
    <xdr:clientData/>
  </xdr:twoCellAnchor>
  <xdr:oneCellAnchor>
    <xdr:from>
      <xdr:col>2</xdr:col>
      <xdr:colOff>257175</xdr:colOff>
      <xdr:row>1</xdr:row>
      <xdr:rowOff>342900</xdr:rowOff>
    </xdr:from>
    <xdr:ext cx="1911292" cy="468013"/>
    <xdr:sp macro="" textlink="$B$2">
      <xdr:nvSpPr>
        <xdr:cNvPr id="238" name="TextBox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2295525" y="533400"/>
          <a:ext cx="191129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BBB784C8-DB92-4BAA-A184-F823FF9353D4}" type="TxLink">
            <a:rPr lang="en-US" sz="2400" b="1">
              <a:solidFill>
                <a:sysClr val="windowText" lastClr="000000"/>
              </a:solidFill>
            </a:rPr>
            <a:pPr/>
            <a:t>United States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409575</xdr:colOff>
      <xdr:row>2</xdr:row>
      <xdr:rowOff>333375</xdr:rowOff>
    </xdr:from>
    <xdr:ext cx="1318246" cy="468013"/>
    <xdr:sp macro="" textlink="$B$3">
      <xdr:nvSpPr>
        <xdr:cNvPr id="239" name="TextBox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2447925" y="1790700"/>
          <a:ext cx="131824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AD97A835-667C-4479-AED7-C15E96C7EC91}" type="TxLink">
            <a:rPr lang="en-US" sz="2400" b="1">
              <a:solidFill>
                <a:sysClr val="windowText" lastClr="000000"/>
              </a:solidFill>
            </a:rPr>
            <a:pPr/>
            <a:t>Alabama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428625</xdr:colOff>
      <xdr:row>3</xdr:row>
      <xdr:rowOff>285750</xdr:rowOff>
    </xdr:from>
    <xdr:ext cx="1021242" cy="468013"/>
    <xdr:sp macro="" textlink="$B$4">
      <xdr:nvSpPr>
        <xdr:cNvPr id="240" name="TextBox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2466975" y="3009900"/>
          <a:ext cx="102124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66C42988-A5E7-4BD8-BFC1-ECDAA6A24737}" type="TxLink">
            <a:rPr lang="en-US" sz="2400" b="1">
              <a:solidFill>
                <a:sysClr val="windowText" lastClr="000000"/>
              </a:solidFill>
            </a:rPr>
            <a:pPr/>
            <a:t>Alaska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561975</xdr:colOff>
      <xdr:row>4</xdr:row>
      <xdr:rowOff>400050</xdr:rowOff>
    </xdr:from>
    <xdr:ext cx="1161087" cy="468013"/>
    <xdr:sp macro="" textlink="$B$5">
      <xdr:nvSpPr>
        <xdr:cNvPr id="241" name="TextBox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2600325" y="4391025"/>
          <a:ext cx="11610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59852DAA-3C28-49FC-A16E-2DAEFAD4AF88}" type="TxLink">
            <a:rPr lang="en-US" sz="2400" b="1">
              <a:solidFill>
                <a:sysClr val="windowText" lastClr="000000"/>
              </a:solidFill>
            </a:rPr>
            <a:pPr/>
            <a:t>Arizona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571500</xdr:colOff>
      <xdr:row>5</xdr:row>
      <xdr:rowOff>304800</xdr:rowOff>
    </xdr:from>
    <xdr:ext cx="1342996" cy="468013"/>
    <xdr:sp macro="" textlink="$B$6">
      <xdr:nvSpPr>
        <xdr:cNvPr id="242" name="TextBox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2609850" y="5562600"/>
          <a:ext cx="134299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4539C6CC-66C4-4955-A946-31D074FC82C0}" type="TxLink">
            <a:rPr lang="en-US" sz="2400" b="1">
              <a:solidFill>
                <a:sysClr val="windowText" lastClr="000000"/>
              </a:solidFill>
            </a:rPr>
            <a:pPr/>
            <a:t>Arkansas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6</xdr:row>
      <xdr:rowOff>323850</xdr:rowOff>
    </xdr:from>
    <xdr:ext cx="1415709" cy="468013"/>
    <xdr:sp macro="" textlink="$B$7">
      <xdr:nvSpPr>
        <xdr:cNvPr id="243" name="TextBox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2571750" y="6848475"/>
          <a:ext cx="14157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7DA2AFC5-A704-465C-9940-090858E117BF}" type="TxLink">
            <a:rPr lang="en-US" sz="2400" b="1">
              <a:solidFill>
                <a:sysClr val="windowText" lastClr="000000"/>
              </a:solidFill>
            </a:rPr>
            <a:pPr/>
            <a:t>California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400050</xdr:colOff>
      <xdr:row>7</xdr:row>
      <xdr:rowOff>409575</xdr:rowOff>
    </xdr:from>
    <xdr:ext cx="1346010" cy="468013"/>
    <xdr:sp macro="" textlink="$B$8">
      <xdr:nvSpPr>
        <xdr:cNvPr id="244" name="TextBox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2438400" y="8201025"/>
          <a:ext cx="13460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7C8E56FB-51FD-46B9-806E-7B2B6BC35D5C}" type="TxLink">
            <a:rPr lang="en-US" sz="2400" b="1">
              <a:solidFill>
                <a:sysClr val="windowText" lastClr="000000"/>
              </a:solidFill>
            </a:rPr>
            <a:pPr/>
            <a:t>Colorado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8</xdr:row>
      <xdr:rowOff>333375</xdr:rowOff>
    </xdr:from>
    <xdr:ext cx="1710084" cy="468013"/>
    <xdr:sp macro="" textlink="$B$9">
      <xdr:nvSpPr>
        <xdr:cNvPr id="245" name="TextBox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2486025" y="9391650"/>
          <a:ext cx="171008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F5718191-B9D5-4353-9484-7B0C3E2BE657}" type="TxLink">
            <a:rPr lang="en-US" sz="2400" b="1">
              <a:solidFill>
                <a:sysClr val="windowText" lastClr="000000"/>
              </a:solidFill>
            </a:rPr>
            <a:pPr/>
            <a:t>Connecticut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314325</xdr:colOff>
      <xdr:row>9</xdr:row>
      <xdr:rowOff>561975</xdr:rowOff>
    </xdr:from>
    <xdr:ext cx="1406795" cy="468013"/>
    <xdr:sp macro="" textlink="$B$10">
      <xdr:nvSpPr>
        <xdr:cNvPr id="246" name="TextBox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2352675" y="10887075"/>
          <a:ext cx="14067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C804FA1F-FDC6-4C1F-A8CB-3466601D8504}" type="TxLink">
            <a:rPr lang="en-US" sz="2400" b="1">
              <a:solidFill>
                <a:sysClr val="windowText" lastClr="000000"/>
              </a:solidFill>
            </a:rPr>
            <a:pPr/>
            <a:t>Delaware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419100</xdr:colOff>
      <xdr:row>10</xdr:row>
      <xdr:rowOff>161925</xdr:rowOff>
    </xdr:from>
    <xdr:ext cx="1506246" cy="843693"/>
    <xdr:sp macro="" textlink="$B$11">
      <xdr:nvSpPr>
        <xdr:cNvPr id="247" name="TextBox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2457450" y="11753850"/>
          <a:ext cx="1506246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0857DCB3-2EED-4898-941D-289BEE3B3189}" type="TxLink">
            <a:rPr lang="en-US" sz="2400" b="1">
              <a:solidFill>
                <a:sysClr val="windowText" lastClr="000000"/>
              </a:solidFill>
            </a:rPr>
            <a:pPr/>
            <a:t>District of 
Columbia 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11</xdr:row>
      <xdr:rowOff>361950</xdr:rowOff>
    </xdr:from>
    <xdr:ext cx="1069075" cy="468013"/>
    <xdr:sp macro="" textlink="$B$12">
      <xdr:nvSpPr>
        <xdr:cNvPr id="248" name="TextBox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2486025" y="13220700"/>
          <a:ext cx="10690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5ED27238-B732-4AEB-8535-2B56098E3212}" type="TxLink">
            <a:rPr lang="en-US" sz="2400" b="1">
              <a:solidFill>
                <a:sysClr val="windowText" lastClr="000000"/>
              </a:solidFill>
            </a:rPr>
            <a:pPr/>
            <a:t>Florida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552450</xdr:colOff>
      <xdr:row>12</xdr:row>
      <xdr:rowOff>342901</xdr:rowOff>
    </xdr:from>
    <xdr:ext cx="1524000" cy="468013"/>
    <xdr:sp macro="" textlink="$B$13">
      <xdr:nvSpPr>
        <xdr:cNvPr id="249" name="TextBox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2590800" y="144684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CC09D1B-0BE2-4318-B9C7-DBD1100556DD}" type="TxLink">
            <a:rPr lang="en-US" sz="2400" b="1">
              <a:solidFill>
                <a:sysClr val="windowText" lastClr="000000"/>
              </a:solidFill>
            </a:rPr>
            <a:pPr/>
            <a:t>Georgia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13</xdr:row>
      <xdr:rowOff>542926</xdr:rowOff>
    </xdr:from>
    <xdr:ext cx="1524000" cy="468013"/>
    <xdr:sp macro="" textlink="$B$14">
      <xdr:nvSpPr>
        <xdr:cNvPr id="250" name="TextBox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2333625" y="1593532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11A0114-3443-4A60-8923-58FA48957EC1}" type="TxLink">
            <a:rPr lang="en-US" sz="2400" b="1">
              <a:solidFill>
                <a:sysClr val="windowText" lastClr="000000"/>
              </a:solidFill>
            </a:rPr>
            <a:pPr/>
            <a:t>Hawaii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285750</xdr:colOff>
      <xdr:row>14</xdr:row>
      <xdr:rowOff>438151</xdr:rowOff>
    </xdr:from>
    <xdr:ext cx="1524000" cy="468013"/>
    <xdr:sp macro="" textlink="$B$15">
      <xdr:nvSpPr>
        <xdr:cNvPr id="251" name="TextBox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2324100" y="170973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2D47260-9896-4D6B-A538-31B6A3B320DC}" type="TxLink">
            <a:rPr lang="en-US" sz="2400" b="1">
              <a:solidFill>
                <a:sysClr val="windowText" lastClr="000000"/>
              </a:solidFill>
            </a:rPr>
            <a:pPr/>
            <a:t>Idaho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15</xdr:row>
      <xdr:rowOff>304801</xdr:rowOff>
    </xdr:from>
    <xdr:ext cx="1524000" cy="468013"/>
    <xdr:sp macro="" textlink="$B$16">
      <xdr:nvSpPr>
        <xdr:cNvPr id="252" name="TextBox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 txBox="1"/>
      </xdr:nvSpPr>
      <xdr:spPr>
        <a:xfrm>
          <a:off x="2419350" y="182308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7CF905A-805D-4688-91A7-5EF04899D6C7}" type="TxLink">
            <a:rPr lang="en-US" sz="2400" b="1">
              <a:solidFill>
                <a:sysClr val="windowText" lastClr="000000"/>
              </a:solidFill>
            </a:rPr>
            <a:pPr/>
            <a:t>Illinois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409575</xdr:colOff>
      <xdr:row>16</xdr:row>
      <xdr:rowOff>352426</xdr:rowOff>
    </xdr:from>
    <xdr:ext cx="1524000" cy="468013"/>
    <xdr:sp macro="" textlink="$B$17">
      <xdr:nvSpPr>
        <xdr:cNvPr id="253" name="TextBox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 txBox="1"/>
      </xdr:nvSpPr>
      <xdr:spPr>
        <a:xfrm>
          <a:off x="2447925" y="1954530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FC2D18F-77EF-4062-A9D9-CD936D5856E3}" type="TxLink">
            <a:rPr lang="en-US" sz="2400" b="1">
              <a:solidFill>
                <a:sysClr val="windowText" lastClr="000000"/>
              </a:solidFill>
            </a:rPr>
            <a:pPr/>
            <a:t>Indiana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571500</xdr:colOff>
      <xdr:row>17</xdr:row>
      <xdr:rowOff>361951</xdr:rowOff>
    </xdr:from>
    <xdr:ext cx="1524000" cy="468013"/>
    <xdr:sp macro="" textlink="$B$18">
      <xdr:nvSpPr>
        <xdr:cNvPr id="254" name="TextBox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 txBox="1"/>
      </xdr:nvSpPr>
      <xdr:spPr>
        <a:xfrm>
          <a:off x="2609850" y="208216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1FE8EB1-4F81-43B9-AA78-A7DF8A87BBB4}" type="TxLink">
            <a:rPr lang="en-US" sz="2400" b="1">
              <a:solidFill>
                <a:sysClr val="windowText" lastClr="000000"/>
              </a:solidFill>
            </a:rPr>
            <a:pPr/>
            <a:t>Iowa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18</xdr:row>
      <xdr:rowOff>400051</xdr:rowOff>
    </xdr:from>
    <xdr:ext cx="1524000" cy="468013"/>
    <xdr:sp macro="" textlink="$B$19">
      <xdr:nvSpPr>
        <xdr:cNvPr id="255" name="TextBox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 txBox="1"/>
      </xdr:nvSpPr>
      <xdr:spPr>
        <a:xfrm>
          <a:off x="2571750" y="221265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C88BF0C9-0D1A-4A14-A0B0-CAB7628BA9AA}" type="TxLink">
            <a:rPr lang="en-US" sz="2400" b="1">
              <a:solidFill>
                <a:sysClr val="windowText" lastClr="000000"/>
              </a:solidFill>
            </a:rPr>
            <a:pPr/>
            <a:t>Kansas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542925</xdr:colOff>
      <xdr:row>19</xdr:row>
      <xdr:rowOff>495301</xdr:rowOff>
    </xdr:from>
    <xdr:ext cx="1524000" cy="468013"/>
    <xdr:sp macro="" textlink="$B$20">
      <xdr:nvSpPr>
        <xdr:cNvPr id="256" name="TextBox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/>
      </xdr:nvSpPr>
      <xdr:spPr>
        <a:xfrm>
          <a:off x="2581275" y="234886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55FAC09-247B-446A-8025-9FAC023B4AFB}" type="TxLink">
            <a:rPr lang="en-US" sz="2400" b="1">
              <a:solidFill>
                <a:sysClr val="windowText" lastClr="000000"/>
              </a:solidFill>
            </a:rPr>
            <a:pPr/>
            <a:t>Kentucky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20</xdr:row>
      <xdr:rowOff>447676</xdr:rowOff>
    </xdr:from>
    <xdr:ext cx="1524000" cy="468013"/>
    <xdr:sp macro="" textlink="$B$21">
      <xdr:nvSpPr>
        <xdr:cNvPr id="257" name="TextBox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/>
      </xdr:nvSpPr>
      <xdr:spPr>
        <a:xfrm>
          <a:off x="2419350" y="247078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2133F49-0462-4E7D-95C2-9E274D196C68}" type="TxLink">
            <a:rPr lang="en-US" sz="2400" b="1">
              <a:solidFill>
                <a:sysClr val="windowText" lastClr="000000"/>
              </a:solidFill>
            </a:rPr>
            <a:pPr/>
            <a:t>Louisiana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742950</xdr:colOff>
      <xdr:row>21</xdr:row>
      <xdr:rowOff>438151</xdr:rowOff>
    </xdr:from>
    <xdr:ext cx="1524000" cy="468013"/>
    <xdr:sp macro="" textlink="$B$22">
      <xdr:nvSpPr>
        <xdr:cNvPr id="258" name="TextBox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/>
      </xdr:nvSpPr>
      <xdr:spPr>
        <a:xfrm>
          <a:off x="2781300" y="25965151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097ADC6-83F6-4849-8DB9-9D1386371707}" type="TxLink">
            <a:rPr lang="en-US" sz="2400" b="1">
              <a:solidFill>
                <a:sysClr val="windowText" lastClr="000000"/>
              </a:solidFill>
            </a:rPr>
            <a:pPr/>
            <a:t>Maine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381000</xdr:colOff>
      <xdr:row>22</xdr:row>
      <xdr:rowOff>285751</xdr:rowOff>
    </xdr:from>
    <xdr:ext cx="1524000" cy="468013"/>
    <xdr:sp macro="" textlink="$B$23">
      <xdr:nvSpPr>
        <xdr:cNvPr id="259" name="TextBox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/>
      </xdr:nvSpPr>
      <xdr:spPr>
        <a:xfrm>
          <a:off x="2419350" y="27079576"/>
          <a:ext cx="15240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2204FB7-D49F-4ABE-8BAE-1C5FB1440628}" type="TxLink">
            <a:rPr lang="en-US" sz="2400" b="1">
              <a:solidFill>
                <a:sysClr val="windowText" lastClr="000000"/>
              </a:solidFill>
            </a:rPr>
            <a:pPr/>
            <a:t>Maryland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114300</xdr:colOff>
      <xdr:row>23</xdr:row>
      <xdr:rowOff>352426</xdr:rowOff>
    </xdr:from>
    <xdr:ext cx="2076450" cy="468013"/>
    <xdr:sp macro="" textlink="$B$24">
      <xdr:nvSpPr>
        <xdr:cNvPr id="260" name="TextBox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/>
      </xdr:nvSpPr>
      <xdr:spPr>
        <a:xfrm>
          <a:off x="2152650" y="284130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861C978-3CF1-444C-8E27-4BCB2989E973}" type="TxLink">
            <a:rPr lang="en-US" sz="2400" b="1">
              <a:solidFill>
                <a:sysClr val="windowText" lastClr="000000"/>
              </a:solidFill>
            </a:rPr>
            <a:pPr/>
            <a:t>Massachusetts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238125</xdr:colOff>
      <xdr:row>24</xdr:row>
      <xdr:rowOff>323851</xdr:rowOff>
    </xdr:from>
    <xdr:ext cx="2076450" cy="468013"/>
    <xdr:sp macro="" textlink="$B$25">
      <xdr:nvSpPr>
        <xdr:cNvPr id="261" name="TextBox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/>
      </xdr:nvSpPr>
      <xdr:spPr>
        <a:xfrm>
          <a:off x="2276475" y="2965132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8B4A149C-77E9-4249-8CE8-3CD42EF2604D}" type="TxLink">
            <a:rPr lang="en-US" sz="2400" b="1">
              <a:solidFill>
                <a:sysClr val="windowText" lastClr="000000"/>
              </a:solidFill>
            </a:rPr>
            <a:pPr/>
            <a:t>Michigan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352425</xdr:colOff>
      <xdr:row>25</xdr:row>
      <xdr:rowOff>381001</xdr:rowOff>
    </xdr:from>
    <xdr:ext cx="2076450" cy="468013"/>
    <xdr:sp macro="" textlink="$B$26">
      <xdr:nvSpPr>
        <xdr:cNvPr id="262" name="TextBox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/>
      </xdr:nvSpPr>
      <xdr:spPr>
        <a:xfrm>
          <a:off x="2390775" y="309753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8321995-663B-4751-A16C-BD086C6020B2}" type="TxLink">
            <a:rPr lang="en-US" sz="2400" b="1">
              <a:solidFill>
                <a:sysClr val="windowText" lastClr="000000"/>
              </a:solidFill>
            </a:rPr>
            <a:pPr/>
            <a:t>Minnesota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314325</xdr:colOff>
      <xdr:row>26</xdr:row>
      <xdr:rowOff>333376</xdr:rowOff>
    </xdr:from>
    <xdr:ext cx="2076450" cy="468013"/>
    <xdr:sp macro="" textlink="$B$27">
      <xdr:nvSpPr>
        <xdr:cNvPr id="263" name="TextBox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 txBox="1"/>
      </xdr:nvSpPr>
      <xdr:spPr>
        <a:xfrm>
          <a:off x="2352675" y="321945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24C9D4B4-E85C-440E-A4F3-FF557F213E2D}" type="TxLink">
            <a:rPr lang="en-US" sz="2400" b="1">
              <a:solidFill>
                <a:sysClr val="windowText" lastClr="000000"/>
              </a:solidFill>
            </a:rPr>
            <a:pPr/>
            <a:t>Mississippi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247650</xdr:colOff>
      <xdr:row>27</xdr:row>
      <xdr:rowOff>333376</xdr:rowOff>
    </xdr:from>
    <xdr:ext cx="2076450" cy="468013"/>
    <xdr:sp macro="" textlink="$B$28">
      <xdr:nvSpPr>
        <xdr:cNvPr id="264" name="TextBox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 txBox="1"/>
      </xdr:nvSpPr>
      <xdr:spPr>
        <a:xfrm>
          <a:off x="2286000" y="3346132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B3A9C4A-A0C7-4D61-A0C4-911E200355B1}" type="TxLink">
            <a:rPr lang="en-US" sz="2400" b="1">
              <a:solidFill>
                <a:sysClr val="windowText" lastClr="000000"/>
              </a:solidFill>
            </a:rPr>
            <a:pPr/>
            <a:t>Missouri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400050</xdr:colOff>
      <xdr:row>28</xdr:row>
      <xdr:rowOff>304801</xdr:rowOff>
    </xdr:from>
    <xdr:ext cx="2076450" cy="468013"/>
    <xdr:sp macro="" textlink="$B$29">
      <xdr:nvSpPr>
        <xdr:cNvPr id="265" name="TextBox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 txBox="1"/>
      </xdr:nvSpPr>
      <xdr:spPr>
        <a:xfrm>
          <a:off x="2438400" y="346995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41061F1F-AF19-4496-8BD5-F253F2347B8F}" type="TxLink">
            <a:rPr lang="en-US" sz="2400" b="1">
              <a:solidFill>
                <a:sysClr val="windowText" lastClr="000000"/>
              </a:solidFill>
            </a:rPr>
            <a:pPr/>
            <a:t>Montana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29</xdr:row>
      <xdr:rowOff>361951</xdr:rowOff>
    </xdr:from>
    <xdr:ext cx="2076450" cy="468013"/>
    <xdr:sp macro="" textlink="$B$30">
      <xdr:nvSpPr>
        <xdr:cNvPr id="266" name="TextBox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 txBox="1"/>
      </xdr:nvSpPr>
      <xdr:spPr>
        <a:xfrm>
          <a:off x="2371725" y="3602355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44AF56A0-EEE0-473F-BB7F-C56AA5F90AB2}" type="TxLink">
            <a:rPr lang="en-US" sz="2400" b="1">
              <a:solidFill>
                <a:sysClr val="windowText" lastClr="000000"/>
              </a:solidFill>
            </a:rPr>
            <a:pPr/>
            <a:t>Nebraska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285750</xdr:colOff>
      <xdr:row>30</xdr:row>
      <xdr:rowOff>285751</xdr:rowOff>
    </xdr:from>
    <xdr:ext cx="2076450" cy="468013"/>
    <xdr:sp macro="" textlink="$B$31">
      <xdr:nvSpPr>
        <xdr:cNvPr id="267" name="TextBox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2324100" y="372141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FB74DEF-16B5-491F-9F7D-6718F4C4CD0D}" type="TxLink">
            <a:rPr lang="en-US" sz="2400" b="1">
              <a:solidFill>
                <a:sysClr val="windowText" lastClr="000000"/>
              </a:solidFill>
            </a:rPr>
            <a:pPr/>
            <a:t>Nevada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31</xdr:row>
      <xdr:rowOff>171451</xdr:rowOff>
    </xdr:from>
    <xdr:ext cx="2076450" cy="843693"/>
    <xdr:sp macro="" textlink="$B$32">
      <xdr:nvSpPr>
        <xdr:cNvPr id="268" name="TextBox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/>
      </xdr:nvSpPr>
      <xdr:spPr>
        <a:xfrm>
          <a:off x="2333625" y="38366701"/>
          <a:ext cx="2076450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9BB08729-DBBE-4DA6-A2DD-F2A66FD697F6}" type="TxLink">
            <a:rPr lang="en-US" sz="2400" b="1">
              <a:solidFill>
                <a:sysClr val="windowText" lastClr="000000"/>
              </a:solidFill>
            </a:rPr>
            <a:pPr/>
            <a:t>New Hampshire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32</xdr:row>
      <xdr:rowOff>466726</xdr:rowOff>
    </xdr:from>
    <xdr:ext cx="2076450" cy="468013"/>
    <xdr:sp macro="" textlink="$B$33">
      <xdr:nvSpPr>
        <xdr:cNvPr id="269" name="TextBox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/>
      </xdr:nvSpPr>
      <xdr:spPr>
        <a:xfrm>
          <a:off x="2371725" y="399288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9F1A033-3F93-48FD-95CE-4A7426EDA9CE}" type="TxLink">
            <a:rPr lang="en-US" sz="2400" b="1">
              <a:solidFill>
                <a:sysClr val="windowText" lastClr="000000"/>
              </a:solidFill>
            </a:rPr>
            <a:pPr/>
            <a:t>New Jersey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266700</xdr:colOff>
      <xdr:row>33</xdr:row>
      <xdr:rowOff>409576</xdr:rowOff>
    </xdr:from>
    <xdr:ext cx="2076450" cy="468013"/>
    <xdr:sp macro="" textlink="$B$34">
      <xdr:nvSpPr>
        <xdr:cNvPr id="270" name="TextBox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/>
      </xdr:nvSpPr>
      <xdr:spPr>
        <a:xfrm>
          <a:off x="2305050" y="411384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577DBB8-7C77-44D4-8211-6F1BB8FD1DC1}" type="TxLink">
            <a:rPr lang="en-US" sz="2400" b="1">
              <a:solidFill>
                <a:sysClr val="windowText" lastClr="000000"/>
              </a:solidFill>
            </a:rPr>
            <a:pPr/>
            <a:t>New Mexico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361950</xdr:colOff>
      <xdr:row>34</xdr:row>
      <xdr:rowOff>447676</xdr:rowOff>
    </xdr:from>
    <xdr:ext cx="2076450" cy="468013"/>
    <xdr:sp macro="" textlink="$B$35">
      <xdr:nvSpPr>
        <xdr:cNvPr id="271" name="TextBox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 txBox="1"/>
      </xdr:nvSpPr>
      <xdr:spPr>
        <a:xfrm>
          <a:off x="2400300" y="42443401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CA687DD-3D59-4BC9-886C-EF9C2BEF7CCE}" type="TxLink">
            <a:rPr lang="en-US" sz="2400" b="1">
              <a:solidFill>
                <a:sysClr val="windowText" lastClr="000000"/>
              </a:solidFill>
            </a:rPr>
            <a:pPr/>
            <a:t>New York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304800</xdr:colOff>
      <xdr:row>35</xdr:row>
      <xdr:rowOff>314326</xdr:rowOff>
    </xdr:from>
    <xdr:ext cx="2076450" cy="468013"/>
    <xdr:sp macro="" textlink="$B$36">
      <xdr:nvSpPr>
        <xdr:cNvPr id="272" name="TextBox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 txBox="1"/>
      </xdr:nvSpPr>
      <xdr:spPr>
        <a:xfrm>
          <a:off x="2343150" y="435768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9DA2016-30DD-412C-8266-D549D522C047}" type="TxLink">
            <a:rPr lang="en-US" sz="2400" b="1">
              <a:solidFill>
                <a:sysClr val="windowText" lastClr="000000"/>
              </a:solidFill>
            </a:rPr>
            <a:pPr/>
            <a:t>North Carolina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190500</xdr:colOff>
      <xdr:row>36</xdr:row>
      <xdr:rowOff>381001</xdr:rowOff>
    </xdr:from>
    <xdr:ext cx="2076450" cy="468013"/>
    <xdr:sp macro="" textlink="$B$37">
      <xdr:nvSpPr>
        <xdr:cNvPr id="273" name="TextBox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 txBox="1"/>
      </xdr:nvSpPr>
      <xdr:spPr>
        <a:xfrm>
          <a:off x="2228850" y="44910376"/>
          <a:ext cx="2076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6DD45F0B-FBE1-4D17-873F-AF3D64F6C02F}" type="TxLink">
            <a:rPr lang="en-US" sz="2400" b="1">
              <a:solidFill>
                <a:sysClr val="windowText" lastClr="000000"/>
              </a:solidFill>
            </a:rPr>
            <a:pPr/>
            <a:t>North Dakota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685800</xdr:colOff>
      <xdr:row>37</xdr:row>
      <xdr:rowOff>333376</xdr:rowOff>
    </xdr:from>
    <xdr:ext cx="1362075" cy="468013"/>
    <xdr:sp macro="" textlink="$B$38">
      <xdr:nvSpPr>
        <xdr:cNvPr id="274" name="TextBox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 txBox="1"/>
      </xdr:nvSpPr>
      <xdr:spPr>
        <a:xfrm>
          <a:off x="2724150" y="46129576"/>
          <a:ext cx="13620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64D4A02-4B30-4FC7-8AD1-F19CF39B0015}" type="TxLink">
            <a:rPr lang="en-US" sz="2400" b="1">
              <a:solidFill>
                <a:sysClr val="windowText" lastClr="000000"/>
              </a:solidFill>
            </a:rPr>
            <a:pPr/>
            <a:t>Ohio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180975</xdr:colOff>
      <xdr:row>38</xdr:row>
      <xdr:rowOff>333376</xdr:rowOff>
    </xdr:from>
    <xdr:ext cx="2171700" cy="468013"/>
    <xdr:sp macro="" textlink="$B$39">
      <xdr:nvSpPr>
        <xdr:cNvPr id="275" name="TextBox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2219325" y="47396401"/>
          <a:ext cx="21717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E5D543C-6B07-4258-BEA5-DB2A795C04B5}" type="TxLink">
            <a:rPr lang="en-US" sz="2400" b="1">
              <a:solidFill>
                <a:sysClr val="windowText" lastClr="000000"/>
              </a:solidFill>
            </a:rPr>
            <a:pPr/>
            <a:t>Oklahoma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495300</xdr:colOff>
      <xdr:row>39</xdr:row>
      <xdr:rowOff>361951</xdr:rowOff>
    </xdr:from>
    <xdr:ext cx="1704975" cy="468013"/>
    <xdr:sp macro="" textlink="$B$40">
      <xdr:nvSpPr>
        <xdr:cNvPr id="276" name="TextBox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 txBox="1"/>
      </xdr:nvSpPr>
      <xdr:spPr>
        <a:xfrm>
          <a:off x="2533650" y="48691801"/>
          <a:ext cx="170497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38ABF5FE-1C3F-4684-B5D6-BA0B584D4735}" type="TxLink">
            <a:rPr lang="en-US" sz="2400" b="1">
              <a:solidFill>
                <a:sysClr val="windowText" lastClr="000000"/>
              </a:solidFill>
            </a:rPr>
            <a:pPr/>
            <a:t>Oregon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276225</xdr:colOff>
      <xdr:row>40</xdr:row>
      <xdr:rowOff>476251</xdr:rowOff>
    </xdr:from>
    <xdr:ext cx="2000250" cy="468013"/>
    <xdr:sp macro="" textlink="$B$41">
      <xdr:nvSpPr>
        <xdr:cNvPr id="277" name="TextBox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 txBox="1"/>
      </xdr:nvSpPr>
      <xdr:spPr>
        <a:xfrm>
          <a:off x="2314575" y="5007292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AC4AD2B3-C7CF-44F7-BB0D-1BB263779153}" type="TxLink">
            <a:rPr lang="en-US" sz="2400" b="1">
              <a:solidFill>
                <a:sysClr val="windowText" lastClr="000000"/>
              </a:solidFill>
            </a:rPr>
            <a:pPr/>
            <a:t>Pennsylvania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41</xdr:row>
      <xdr:rowOff>409576</xdr:rowOff>
    </xdr:from>
    <xdr:ext cx="2000250" cy="468013"/>
    <xdr:sp macro="" textlink="$B$42">
      <xdr:nvSpPr>
        <xdr:cNvPr id="278" name="TextBox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 txBox="1"/>
      </xdr:nvSpPr>
      <xdr:spPr>
        <a:xfrm>
          <a:off x="2333625" y="5127307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E73C662C-6E42-4E02-8045-CD5D17F7305E}" type="TxLink">
            <a:rPr lang="en-US" sz="2400" b="1">
              <a:solidFill>
                <a:sysClr val="windowText" lastClr="000000"/>
              </a:solidFill>
            </a:rPr>
            <a:pPr/>
            <a:t>Puerto Rico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42</xdr:row>
      <xdr:rowOff>390526</xdr:rowOff>
    </xdr:from>
    <xdr:ext cx="2000250" cy="468013"/>
    <xdr:sp macro="" textlink="$B$43">
      <xdr:nvSpPr>
        <xdr:cNvPr id="279" name="TextBox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 txBox="1"/>
      </xdr:nvSpPr>
      <xdr:spPr>
        <a:xfrm>
          <a:off x="2333625" y="52520851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E148E39-8C6F-4F0C-B657-F4E8FFA701EE}" type="TxLink">
            <a:rPr lang="en-US" sz="2400" b="1">
              <a:solidFill>
                <a:sysClr val="windowText" lastClr="000000"/>
              </a:solidFill>
            </a:rPr>
            <a:pPr/>
            <a:t>Rhode Island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43</xdr:row>
      <xdr:rowOff>247651</xdr:rowOff>
    </xdr:from>
    <xdr:ext cx="2000250" cy="843693"/>
    <xdr:sp macro="" textlink="$B$44">
      <xdr:nvSpPr>
        <xdr:cNvPr id="280" name="TextBox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2371725" y="53644801"/>
          <a:ext cx="2000250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21D8434-A793-4088-AACB-1740BA8BE7BC}" type="TxLink">
            <a:rPr lang="en-US" sz="2400" b="1">
              <a:solidFill>
                <a:sysClr val="windowText" lastClr="000000"/>
              </a:solidFill>
            </a:rPr>
            <a:pPr/>
            <a:t>South Carolina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219075</xdr:colOff>
      <xdr:row>44</xdr:row>
      <xdr:rowOff>400051</xdr:rowOff>
    </xdr:from>
    <xdr:ext cx="2000250" cy="468013"/>
    <xdr:sp macro="" textlink="$B$45">
      <xdr:nvSpPr>
        <xdr:cNvPr id="281" name="TextBox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2257425" y="5506402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DD9C6EDF-A221-42B4-A427-9B924B94D61F}" type="TxLink">
            <a:rPr lang="en-US" sz="2400" b="1">
              <a:solidFill>
                <a:sysClr val="windowText" lastClr="000000"/>
              </a:solidFill>
            </a:rPr>
            <a:pPr/>
            <a:t>South Dakota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295275</xdr:colOff>
      <xdr:row>45</xdr:row>
      <xdr:rowOff>295276</xdr:rowOff>
    </xdr:from>
    <xdr:ext cx="2000250" cy="468013"/>
    <xdr:sp macro="" textlink="$B$46">
      <xdr:nvSpPr>
        <xdr:cNvPr id="282" name="TextBox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2333625" y="56226076"/>
          <a:ext cx="20002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F51A3E2E-A740-44C3-9A4A-31FAE20D34AB}" type="TxLink">
            <a:rPr lang="en-US" sz="2400" b="1">
              <a:solidFill>
                <a:sysClr val="windowText" lastClr="000000"/>
              </a:solidFill>
            </a:rPr>
            <a:pPr/>
            <a:t>Tennessee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590550</xdr:colOff>
      <xdr:row>46</xdr:row>
      <xdr:rowOff>371476</xdr:rowOff>
    </xdr:from>
    <xdr:ext cx="1381125" cy="468013"/>
    <xdr:sp macro="" textlink="$B$47">
      <xdr:nvSpPr>
        <xdr:cNvPr id="283" name="TextBox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 txBox="1"/>
      </xdr:nvSpPr>
      <xdr:spPr>
        <a:xfrm>
          <a:off x="2628900" y="5756910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34E9B91F-F810-461F-839F-837BDD314E44}" type="TxLink">
            <a:rPr lang="en-US" sz="2400" b="1">
              <a:solidFill>
                <a:sysClr val="windowText" lastClr="000000"/>
              </a:solidFill>
            </a:rPr>
            <a:pPr/>
            <a:t>Texas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819150</xdr:colOff>
      <xdr:row>47</xdr:row>
      <xdr:rowOff>400051</xdr:rowOff>
    </xdr:from>
    <xdr:ext cx="1381125" cy="468013"/>
    <xdr:sp macro="" textlink="$B$48">
      <xdr:nvSpPr>
        <xdr:cNvPr id="284" name="TextBox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 txBox="1"/>
      </xdr:nvSpPr>
      <xdr:spPr>
        <a:xfrm>
          <a:off x="2857500" y="5886450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9D06A8E-16CE-4953-BE22-A5AB36A895A9}" type="TxLink">
            <a:rPr lang="en-US" sz="2400" b="1">
              <a:solidFill>
                <a:sysClr val="windowText" lastClr="000000"/>
              </a:solidFill>
            </a:rPr>
            <a:pPr/>
            <a:t>Utah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533400</xdr:colOff>
      <xdr:row>48</xdr:row>
      <xdr:rowOff>295276</xdr:rowOff>
    </xdr:from>
    <xdr:ext cx="1381125" cy="468013"/>
    <xdr:sp macro="" textlink="$B$49">
      <xdr:nvSpPr>
        <xdr:cNvPr id="285" name="TextBox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 txBox="1"/>
      </xdr:nvSpPr>
      <xdr:spPr>
        <a:xfrm>
          <a:off x="2571750" y="60026551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E327A78-6867-453B-B293-C7B5DAF266E9}" type="TxLink">
            <a:rPr lang="en-US" sz="2400" b="1">
              <a:solidFill>
                <a:sysClr val="windowText" lastClr="000000"/>
              </a:solidFill>
            </a:rPr>
            <a:pPr/>
            <a:t>Vermont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609600</xdr:colOff>
      <xdr:row>49</xdr:row>
      <xdr:rowOff>619126</xdr:rowOff>
    </xdr:from>
    <xdr:ext cx="1381125" cy="468013"/>
    <xdr:sp macro="" textlink="$B$50">
      <xdr:nvSpPr>
        <xdr:cNvPr id="286" name="TextBox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 txBox="1"/>
      </xdr:nvSpPr>
      <xdr:spPr>
        <a:xfrm>
          <a:off x="2647950" y="61617226"/>
          <a:ext cx="1381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20CCDBD5-62B2-4FB6-813D-97134FD3CDA3}" type="TxLink">
            <a:rPr lang="en-US" sz="2400" b="1">
              <a:solidFill>
                <a:sysClr val="windowText" lastClr="000000"/>
              </a:solidFill>
            </a:rPr>
            <a:pPr/>
            <a:t>Virginia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447675</xdr:colOff>
      <xdr:row>50</xdr:row>
      <xdr:rowOff>390526</xdr:rowOff>
    </xdr:from>
    <xdr:ext cx="1905001" cy="468013"/>
    <xdr:sp macro="" textlink="$B$51">
      <xdr:nvSpPr>
        <xdr:cNvPr id="287" name="TextBox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2486025" y="62655451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B5264BB6-76F9-4A98-B3FD-F4571F55D8DA}" type="TxLink">
            <a:rPr lang="en-US" sz="2400" b="1">
              <a:solidFill>
                <a:sysClr val="windowText" lastClr="000000"/>
              </a:solidFill>
            </a:rPr>
            <a:pPr/>
            <a:t>Washington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333375</xdr:colOff>
      <xdr:row>51</xdr:row>
      <xdr:rowOff>428626</xdr:rowOff>
    </xdr:from>
    <xdr:ext cx="1905001" cy="468013"/>
    <xdr:sp macro="" textlink="$B$52">
      <xdr:nvSpPr>
        <xdr:cNvPr id="288" name="TextBox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 txBox="1"/>
      </xdr:nvSpPr>
      <xdr:spPr>
        <a:xfrm>
          <a:off x="2371725" y="63960376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0125C58D-61CC-4624-94B7-623E20D36382}" type="TxLink">
            <a:rPr lang="en-US" sz="2400" b="1">
              <a:solidFill>
                <a:sysClr val="windowText" lastClr="000000"/>
              </a:solidFill>
            </a:rPr>
            <a:pPr/>
            <a:t>West Virginia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304800</xdr:colOff>
      <xdr:row>52</xdr:row>
      <xdr:rowOff>381001</xdr:rowOff>
    </xdr:from>
    <xdr:ext cx="1905001" cy="468013"/>
    <xdr:sp macro="" textlink="$B$53">
      <xdr:nvSpPr>
        <xdr:cNvPr id="289" name="TextBox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2343150" y="65179576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729050E3-3E45-4F54-9D3F-9437CD92555B}" type="TxLink">
            <a:rPr lang="en-US" sz="2400" b="1">
              <a:solidFill>
                <a:sysClr val="windowText" lastClr="000000"/>
              </a:solidFill>
            </a:rPr>
            <a:pPr/>
            <a:t>Wisconsin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</xdr:col>
      <xdr:colOff>390525</xdr:colOff>
      <xdr:row>53</xdr:row>
      <xdr:rowOff>381001</xdr:rowOff>
    </xdr:from>
    <xdr:ext cx="1905001" cy="468013"/>
    <xdr:sp macro="" textlink="$B$54">
      <xdr:nvSpPr>
        <xdr:cNvPr id="290" name="TextBox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 txBox="1"/>
      </xdr:nvSpPr>
      <xdr:spPr>
        <a:xfrm>
          <a:off x="2428875" y="66446401"/>
          <a:ext cx="190500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fld id="{5FB18E17-29E0-4993-9A73-CB798CAE7A6A}" type="TxLink">
            <a:rPr lang="en-US" sz="2400" b="1">
              <a:solidFill>
                <a:sysClr val="windowText" lastClr="000000"/>
              </a:solidFill>
            </a:rPr>
            <a:pPr/>
            <a:t>Wyoming</a:t>
          </a:fld>
          <a:endParaRPr lang="en-US" sz="24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639814</xdr:colOff>
      <xdr:row>1</xdr:row>
      <xdr:rowOff>300927</xdr:rowOff>
    </xdr:from>
    <xdr:to>
      <xdr:col>23</xdr:col>
      <xdr:colOff>71693</xdr:colOff>
      <xdr:row>2</xdr:row>
      <xdr:rowOff>38100</xdr:rowOff>
    </xdr:to>
    <xdr:sp macro="" textlink="'Data Consolidation'!$F$10">
      <xdr:nvSpPr>
        <xdr:cNvPr id="13" name="Round Same Side Corner 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1434814" y="393104"/>
          <a:ext cx="1091073" cy="484835"/>
        </a:xfrm>
        <a:prstGeom prst="round2SameRect">
          <a:avLst>
            <a:gd name="adj1" fmla="val 0"/>
            <a:gd name="adj2" fmla="val 12903"/>
          </a:avLst>
        </a:prstGeom>
        <a:gradFill>
          <a:gsLst>
            <a:gs pos="100000">
              <a:schemeClr val="bg1">
                <a:lumMod val="85000"/>
              </a:schemeClr>
            </a:gs>
            <a:gs pos="6000">
              <a:schemeClr val="bg1"/>
            </a:gs>
            <a:gs pos="41000">
              <a:schemeClr val="bg1">
                <a:lumMod val="85000"/>
              </a:schemeClr>
            </a:gs>
          </a:gsLst>
          <a:lin ang="16200000" scaled="1"/>
        </a:gra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8A7A3032-3168-4DB8-988C-410A806B272F}" type="TxLink">
            <a:rPr lang="en-US" sz="2000" b="1">
              <a:solidFill>
                <a:srgbClr val="C00000"/>
              </a:solidFill>
              <a:effectLst>
                <a:innerShdw blurRad="152400">
                  <a:schemeClr val="tx1"/>
                </a:innerShdw>
              </a:effectLst>
            </a:rPr>
            <a:pPr algn="ctr"/>
            <a:t>Average</a:t>
          </a:fld>
          <a:endParaRPr lang="en-US" sz="2000" b="1">
            <a:solidFill>
              <a:srgbClr val="C00000"/>
            </a:solidFill>
            <a:effectLst>
              <a:innerShdw blurRad="152400">
                <a:schemeClr val="tx1"/>
              </a:innerShdw>
            </a:effectLst>
          </a:endParaRPr>
        </a:p>
      </xdr:txBody>
    </xdr:sp>
    <xdr:clientData/>
  </xdr:twoCellAnchor>
  <xdr:twoCellAnchor>
    <xdr:from>
      <xdr:col>21</xdr:col>
      <xdr:colOff>639814</xdr:colOff>
      <xdr:row>1</xdr:row>
      <xdr:rowOff>41313</xdr:rowOff>
    </xdr:from>
    <xdr:to>
      <xdr:col>23</xdr:col>
      <xdr:colOff>71693</xdr:colOff>
      <xdr:row>1</xdr:row>
      <xdr:rowOff>300928</xdr:rowOff>
    </xdr:to>
    <xdr:sp macro="" textlink="">
      <xdr:nvSpPr>
        <xdr:cNvPr id="14" name="Round Same Side Corner Rectangle 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1434814" y="133490"/>
          <a:ext cx="1091073" cy="259615"/>
        </a:xfrm>
        <a:custGeom>
          <a:avLst/>
          <a:gdLst/>
          <a:ahLst/>
          <a:cxnLst/>
          <a:rect l="l" t="t" r="r" b="b"/>
          <a:pathLst>
            <a:path w="3505200" h="914400">
              <a:moveTo>
                <a:pt x="2857500" y="152400"/>
              </a:moveTo>
              <a:cubicBezTo>
                <a:pt x="2794374" y="152400"/>
                <a:pt x="2743200" y="203574"/>
                <a:pt x="2743200" y="266700"/>
              </a:cubicBezTo>
              <a:cubicBezTo>
                <a:pt x="2743200" y="329826"/>
                <a:pt x="2794374" y="381000"/>
                <a:pt x="2857500" y="381000"/>
              </a:cubicBezTo>
              <a:cubicBezTo>
                <a:pt x="2920626" y="381000"/>
                <a:pt x="2971800" y="329826"/>
                <a:pt x="2971800" y="266700"/>
              </a:cubicBezTo>
              <a:cubicBezTo>
                <a:pt x="2971800" y="203574"/>
                <a:pt x="2920626" y="152400"/>
                <a:pt x="2857500" y="152400"/>
              </a:cubicBezTo>
              <a:close/>
              <a:moveTo>
                <a:pt x="647700" y="152400"/>
              </a:moveTo>
              <a:cubicBezTo>
                <a:pt x="584574" y="152400"/>
                <a:pt x="533400" y="203574"/>
                <a:pt x="533400" y="266700"/>
              </a:cubicBezTo>
              <a:cubicBezTo>
                <a:pt x="533400" y="329826"/>
                <a:pt x="584574" y="381000"/>
                <a:pt x="647700" y="381000"/>
              </a:cubicBezTo>
              <a:cubicBezTo>
                <a:pt x="710826" y="381000"/>
                <a:pt x="762000" y="329826"/>
                <a:pt x="762000" y="266700"/>
              </a:cubicBezTo>
              <a:cubicBezTo>
                <a:pt x="762000" y="203574"/>
                <a:pt x="710826" y="152400"/>
                <a:pt x="647700" y="152400"/>
              </a:cubicBezTo>
              <a:close/>
              <a:moveTo>
                <a:pt x="441683" y="0"/>
              </a:moveTo>
              <a:lnTo>
                <a:pt x="3063517" y="0"/>
              </a:lnTo>
              <a:cubicBezTo>
                <a:pt x="3307452" y="0"/>
                <a:pt x="3505200" y="197748"/>
                <a:pt x="3505200" y="441683"/>
              </a:cubicBezTo>
              <a:lnTo>
                <a:pt x="3505200" y="914400"/>
              </a:lnTo>
              <a:lnTo>
                <a:pt x="0" y="914400"/>
              </a:lnTo>
              <a:lnTo>
                <a:pt x="0" y="441683"/>
              </a:lnTo>
              <a:cubicBezTo>
                <a:pt x="0" y="197748"/>
                <a:pt x="197748" y="0"/>
                <a:pt x="441683" y="0"/>
              </a:cubicBezTo>
              <a:close/>
            </a:path>
          </a:pathLst>
        </a:custGeom>
        <a:gradFill flip="none" rotWithShape="1">
          <a:gsLst>
            <a:gs pos="0">
              <a:srgbClr val="A62020"/>
            </a:gs>
            <a:gs pos="94000">
              <a:srgbClr val="F06A6A"/>
            </a:gs>
            <a:gs pos="86000">
              <a:srgbClr val="E13939"/>
            </a:gs>
          </a:gsLst>
          <a:lin ang="16200000" scaled="1"/>
          <a:tileRect/>
        </a:gradFill>
        <a:ln w="25400">
          <a:solidFill>
            <a:srgbClr val="9A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822960" bIns="45720" rtlCol="0" anchor="b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817113</xdr:colOff>
      <xdr:row>1</xdr:row>
      <xdr:rowOff>0</xdr:rowOff>
    </xdr:from>
    <xdr:to>
      <xdr:col>22</xdr:col>
      <xdr:colOff>14470</xdr:colOff>
      <xdr:row>1</xdr:row>
      <xdr:rowOff>125363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1612113" y="92177"/>
          <a:ext cx="47438" cy="125363"/>
        </a:xfrm>
        <a:prstGeom prst="roundRect">
          <a:avLst>
            <a:gd name="adj" fmla="val 50000"/>
          </a:avLst>
        </a:prstGeom>
        <a:gradFill>
          <a:gsLst>
            <a:gs pos="0">
              <a:schemeClr val="tx1">
                <a:lumMod val="95000"/>
                <a:lumOff val="5000"/>
              </a:schemeClr>
            </a:gs>
            <a:gs pos="80000">
              <a:srgbClr val="D9D9D9"/>
            </a:gs>
            <a:gs pos="33000">
              <a:srgbClr val="D2D2D2"/>
            </a:gs>
            <a:gs pos="61000">
              <a:schemeClr val="bg1"/>
            </a:gs>
            <a:gs pos="100000">
              <a:schemeClr val="tx1">
                <a:lumMod val="50000"/>
                <a:lumOff val="50000"/>
              </a:schemeClr>
            </a:gs>
          </a:gsLst>
          <a:lin ang="16200000" scaled="1"/>
        </a:gradFill>
        <a:ln w="9525">
          <a:solidFill>
            <a:schemeClr val="tx1">
              <a:lumMod val="50000"/>
              <a:lumOff val="50000"/>
            </a:schemeClr>
          </a:solidFill>
        </a:ln>
        <a:scene3d>
          <a:camera prst="orthographicFront"/>
          <a:lightRig rig="threePt" dir="t"/>
        </a:scene3d>
        <a:sp3d>
          <a:bevelT w="508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/>
        </a:p>
      </xdr:txBody>
    </xdr:sp>
    <xdr:clientData/>
  </xdr:twoCellAnchor>
  <xdr:twoCellAnchor>
    <xdr:from>
      <xdr:col>22</xdr:col>
      <xdr:colOff>655476</xdr:colOff>
      <xdr:row>1</xdr:row>
      <xdr:rowOff>0</xdr:rowOff>
    </xdr:from>
    <xdr:to>
      <xdr:col>22</xdr:col>
      <xdr:colOff>702914</xdr:colOff>
      <xdr:row>1</xdr:row>
      <xdr:rowOff>125363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2300557" y="92177"/>
          <a:ext cx="47438" cy="125363"/>
        </a:xfrm>
        <a:prstGeom prst="roundRect">
          <a:avLst>
            <a:gd name="adj" fmla="val 50000"/>
          </a:avLst>
        </a:prstGeom>
        <a:gradFill>
          <a:gsLst>
            <a:gs pos="0">
              <a:schemeClr val="tx1">
                <a:lumMod val="95000"/>
                <a:lumOff val="5000"/>
              </a:schemeClr>
            </a:gs>
            <a:gs pos="80000">
              <a:srgbClr val="D9D9D9"/>
            </a:gs>
            <a:gs pos="33000">
              <a:srgbClr val="D2D2D2"/>
            </a:gs>
            <a:gs pos="61000">
              <a:schemeClr val="bg1"/>
            </a:gs>
            <a:gs pos="100000">
              <a:schemeClr val="tx1">
                <a:lumMod val="50000"/>
                <a:lumOff val="50000"/>
              </a:schemeClr>
            </a:gs>
          </a:gsLst>
          <a:lin ang="16200000" scaled="1"/>
        </a:gradFill>
        <a:ln w="9525">
          <a:solidFill>
            <a:schemeClr val="tx1">
              <a:lumMod val="50000"/>
              <a:lumOff val="50000"/>
            </a:schemeClr>
          </a:solidFill>
        </a:ln>
        <a:scene3d>
          <a:camera prst="orthographicFront"/>
          <a:lightRig rig="threePt" dir="t"/>
        </a:scene3d>
        <a:sp3d>
          <a:bevelT w="508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/>
        </a:p>
      </xdr:txBody>
    </xdr:sp>
    <xdr:clientData/>
  </xdr:twoCellAnchor>
  <xdr:twoCellAnchor>
    <xdr:from>
      <xdr:col>1</xdr:col>
      <xdr:colOff>79784</xdr:colOff>
      <xdr:row>7</xdr:row>
      <xdr:rowOff>38100</xdr:rowOff>
    </xdr:from>
    <xdr:to>
      <xdr:col>2</xdr:col>
      <xdr:colOff>1218790</xdr:colOff>
      <xdr:row>8</xdr:row>
      <xdr:rowOff>123825</xdr:rowOff>
    </xdr:to>
    <xdr:sp macro="" textlink="">
      <xdr:nvSpPr>
        <xdr:cNvPr id="17" name="Rounded Rectangular Callou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92445" y="1850923"/>
          <a:ext cx="1251668" cy="280321"/>
        </a:xfrm>
        <a:prstGeom prst="wedgeRoundRectCallout">
          <a:avLst>
            <a:gd name="adj1" fmla="val 28080"/>
            <a:gd name="adj2" fmla="val 128500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Select State</a:t>
          </a:r>
        </a:p>
      </xdr:txBody>
    </xdr:sp>
    <xdr:clientData/>
  </xdr:twoCellAnchor>
  <xdr:twoCellAnchor editAs="oneCell">
    <xdr:from>
      <xdr:col>10</xdr:col>
      <xdr:colOff>560472</xdr:colOff>
      <xdr:row>1</xdr:row>
      <xdr:rowOff>44695</xdr:rowOff>
    </xdr:from>
    <xdr:to>
      <xdr:col>13</xdr:col>
      <xdr:colOff>131848</xdr:colOff>
      <xdr:row>2</xdr:row>
      <xdr:rowOff>35170</xdr:rowOff>
    </xdr:to>
    <xdr:pic>
      <xdr:nvPicPr>
        <xdr:cNvPr id="26" name="Picture 25" descr="clipart-plane-silhouet-in-the-sky-dffd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9478400">
          <a:off x="5834314" y="144958"/>
          <a:ext cx="734428" cy="732423"/>
        </a:xfrm>
        <a:prstGeom prst="rect">
          <a:avLst/>
        </a:prstGeom>
      </xdr:spPr>
    </xdr:pic>
    <xdr:clientData/>
  </xdr:twoCellAnchor>
  <xdr:twoCellAnchor>
    <xdr:from>
      <xdr:col>4</xdr:col>
      <xdr:colOff>286294</xdr:colOff>
      <xdr:row>11</xdr:row>
      <xdr:rowOff>118514</xdr:rowOff>
    </xdr:from>
    <xdr:to>
      <xdr:col>10</xdr:col>
      <xdr:colOff>535022</xdr:colOff>
      <xdr:row>18</xdr:row>
      <xdr:rowOff>90236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50131</xdr:colOff>
      <xdr:row>7</xdr:row>
      <xdr:rowOff>142876</xdr:rowOff>
    </xdr:from>
    <xdr:to>
      <xdr:col>11</xdr:col>
      <xdr:colOff>38101</xdr:colOff>
      <xdr:row>11</xdr:row>
      <xdr:rowOff>15244</xdr:rowOff>
    </xdr:to>
    <xdr:sp macro="" textlink="">
      <xdr:nvSpPr>
        <xdr:cNvPr id="32" name="Round Same Side Corner 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654342" y="1937587"/>
          <a:ext cx="4840706" cy="634368"/>
        </a:xfrm>
        <a:prstGeom prst="round2SameRect">
          <a:avLst>
            <a:gd name="adj1" fmla="val 50000"/>
            <a:gd name="adj2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800" b="1"/>
            <a:t>State Summary ...</a:t>
          </a:r>
        </a:p>
      </xdr:txBody>
    </xdr:sp>
    <xdr:clientData/>
  </xdr:twoCellAnchor>
  <xdr:twoCellAnchor>
    <xdr:from>
      <xdr:col>13</xdr:col>
      <xdr:colOff>235563</xdr:colOff>
      <xdr:row>1</xdr:row>
      <xdr:rowOff>744794</xdr:rowOff>
    </xdr:from>
    <xdr:to>
      <xdr:col>17</xdr:col>
      <xdr:colOff>737418</xdr:colOff>
      <xdr:row>6</xdr:row>
      <xdr:rowOff>110203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pSpPr/>
      </xdr:nvGrpSpPr>
      <xdr:grpSpPr>
        <a:xfrm>
          <a:off x="7046450" y="836971"/>
          <a:ext cx="2417097" cy="891458"/>
          <a:chOff x="7227988" y="836971"/>
          <a:chExt cx="2930782" cy="891458"/>
        </a:xfrm>
      </xdr:grpSpPr>
      <xdr:sp macro="" textlink="">
        <xdr:nvSpPr>
          <xdr:cNvPr id="123" name="Rounded Rectangl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/>
        </xdr:nvSpPr>
        <xdr:spPr>
          <a:xfrm>
            <a:off x="7381976" y="878348"/>
            <a:ext cx="2776794" cy="850081"/>
          </a:xfrm>
          <a:prstGeom prst="round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t"/>
          <a:lstStyle/>
          <a:p>
            <a:pPr algn="r"/>
            <a:r>
              <a:rPr lang="en-US" sz="1600" b="1">
                <a:solidFill>
                  <a:srgbClr val="C00000"/>
                </a:solidFill>
              </a:rPr>
              <a:t>Lowest Migration </a:t>
            </a:r>
          </a:p>
        </xdr:txBody>
      </xdr:sp>
      <xdr:sp macro="" textlink="">
        <xdr:nvSpPr>
          <xdr:cNvPr id="35" name="Down Arrow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7227988" y="836971"/>
            <a:ext cx="419919" cy="381819"/>
          </a:xfrm>
          <a:prstGeom prst="downArrow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240632</xdr:colOff>
      <xdr:row>20</xdr:row>
      <xdr:rowOff>40105</xdr:rowOff>
    </xdr:from>
    <xdr:to>
      <xdr:col>4</xdr:col>
      <xdr:colOff>391026</xdr:colOff>
      <xdr:row>20</xdr:row>
      <xdr:rowOff>180473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1844843" y="4311316"/>
          <a:ext cx="150394" cy="140368"/>
        </a:xfrm>
        <a:prstGeom prst="rect">
          <a:avLst/>
        </a:prstGeom>
        <a:solidFill>
          <a:srgbClr val="87CEF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242642</xdr:colOff>
      <xdr:row>21</xdr:row>
      <xdr:rowOff>122317</xdr:rowOff>
    </xdr:from>
    <xdr:to>
      <xdr:col>4</xdr:col>
      <xdr:colOff>393036</xdr:colOff>
      <xdr:row>22</xdr:row>
      <xdr:rowOff>72185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1846853" y="4584028"/>
          <a:ext cx="150394" cy="140368"/>
        </a:xfrm>
        <a:prstGeom prst="rect">
          <a:avLst/>
        </a:prstGeom>
        <a:solidFill>
          <a:srgbClr val="66FF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234626</xdr:colOff>
      <xdr:row>23</xdr:row>
      <xdr:rowOff>34081</xdr:rowOff>
    </xdr:from>
    <xdr:to>
      <xdr:col>4</xdr:col>
      <xdr:colOff>385020</xdr:colOff>
      <xdr:row>23</xdr:row>
      <xdr:rowOff>174449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1838837" y="4876792"/>
          <a:ext cx="150394" cy="140368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30078</xdr:colOff>
      <xdr:row>7</xdr:row>
      <xdr:rowOff>150394</xdr:rowOff>
    </xdr:from>
    <xdr:to>
      <xdr:col>11</xdr:col>
      <xdr:colOff>40106</xdr:colOff>
      <xdr:row>24</xdr:row>
      <xdr:rowOff>60157</xdr:rowOff>
    </xdr:to>
    <xdr:sp macro="" textlink="">
      <xdr:nvSpPr>
        <xdr:cNvPr id="109" name="Round Same Side Corner Rectangle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1634289" y="1945105"/>
          <a:ext cx="4862764" cy="3148263"/>
        </a:xfrm>
        <a:prstGeom prst="round2SameRect">
          <a:avLst/>
        </a:prstGeom>
        <a:noFill/>
        <a:ln w="285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68313</xdr:colOff>
      <xdr:row>20</xdr:row>
      <xdr:rowOff>170017</xdr:rowOff>
    </xdr:from>
    <xdr:to>
      <xdr:col>2</xdr:col>
      <xdr:colOff>1249516</xdr:colOff>
      <xdr:row>22</xdr:row>
      <xdr:rowOff>61145</xdr:rowOff>
    </xdr:to>
    <xdr:sp macro="" textlink="">
      <xdr:nvSpPr>
        <xdr:cNvPr id="110" name="Rounded Rectangular Callout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180974" y="4512598"/>
          <a:ext cx="1293865" cy="280321"/>
        </a:xfrm>
        <a:prstGeom prst="wedgeRoundRectCallout">
          <a:avLst>
            <a:gd name="adj1" fmla="val 28080"/>
            <a:gd name="adj2" fmla="val 128500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Select Year</a:t>
          </a:r>
        </a:p>
      </xdr:txBody>
    </xdr:sp>
    <xdr:clientData/>
  </xdr:twoCellAnchor>
  <xdr:twoCellAnchor editAs="oneCell">
    <xdr:from>
      <xdr:col>17</xdr:col>
      <xdr:colOff>798872</xdr:colOff>
      <xdr:row>0</xdr:row>
      <xdr:rowOff>81935</xdr:rowOff>
    </xdr:from>
    <xdr:to>
      <xdr:col>21</xdr:col>
      <xdr:colOff>471130</xdr:colOff>
      <xdr:row>2</xdr:row>
      <xdr:rowOff>27155</xdr:rowOff>
    </xdr:to>
    <xdr:pic>
      <xdr:nvPicPr>
        <xdr:cNvPr id="3086" name="Picture 14" descr="http://www.opensourceforu.com/wp-content/uploads/2011/07/migrations-590x262.jpg">
          <a:extLst>
            <a:ext uri="{FF2B5EF4-FFF2-40B4-BE49-F238E27FC236}">
              <a16:creationId xmlns:a16="http://schemas.microsoft.com/office/drawing/2014/main" id="{00000000-0008-0000-0600-00000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525001" y="81935"/>
          <a:ext cx="1741129" cy="785059"/>
        </a:xfrm>
        <a:prstGeom prst="rect">
          <a:avLst/>
        </a:prstGeom>
        <a:noFill/>
      </xdr:spPr>
    </xdr:pic>
    <xdr:clientData/>
  </xdr:twoCellAnchor>
  <xdr:oneCellAnchor>
    <xdr:from>
      <xdr:col>21</xdr:col>
      <xdr:colOff>727177</xdr:colOff>
      <xdr:row>1</xdr:row>
      <xdr:rowOff>337983</xdr:rowOff>
    </xdr:from>
    <xdr:ext cx="942258" cy="342786"/>
    <xdr:sp macro="" textlink="$C$24">
      <xdr:nvSpPr>
        <xdr:cNvPr id="112" name="TextBox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1522177" y="430160"/>
          <a:ext cx="94225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fld id="{7B5D430E-B677-4B35-BCB4-BF9F64A55357}" type="TxLink">
            <a:rPr lang="en-US" sz="1600" b="1">
              <a:solidFill>
                <a:srgbClr val="C00000"/>
              </a:solidFill>
            </a:rPr>
            <a:pPr algn="ctr"/>
            <a:t> </a:t>
          </a:fld>
          <a:endParaRPr lang="en-US" sz="1600" b="1">
            <a:solidFill>
              <a:srgbClr val="C00000"/>
            </a:solidFill>
          </a:endParaRPr>
        </a:p>
      </xdr:txBody>
    </xdr:sp>
    <xdr:clientData/>
  </xdr:oneCellAnchor>
  <xdr:twoCellAnchor>
    <xdr:from>
      <xdr:col>4</xdr:col>
      <xdr:colOff>573549</xdr:colOff>
      <xdr:row>1</xdr:row>
      <xdr:rowOff>665727</xdr:rowOff>
    </xdr:from>
    <xdr:to>
      <xdr:col>8</xdr:col>
      <xdr:colOff>194597</xdr:colOff>
      <xdr:row>6</xdr:row>
      <xdr:rowOff>122903</xdr:rowOff>
    </xdr:to>
    <xdr:grpSp>
      <xdr:nvGrpSpPr>
        <xdr:cNvPr id="124" name="Group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GrpSpPr/>
      </xdr:nvGrpSpPr>
      <xdr:grpSpPr>
        <a:xfrm>
          <a:off x="2171291" y="757904"/>
          <a:ext cx="2079112" cy="983225"/>
          <a:chOff x="2171291" y="757904"/>
          <a:chExt cx="2079112" cy="983225"/>
        </a:xfrm>
      </xdr:grpSpPr>
      <xdr:sp macro="" textlink="">
        <xdr:nvSpPr>
          <xdr:cNvPr id="114" name="Rounded Rectangle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/>
        </xdr:nvSpPr>
        <xdr:spPr>
          <a:xfrm>
            <a:off x="2304435" y="891048"/>
            <a:ext cx="1945968" cy="850081"/>
          </a:xfrm>
          <a:prstGeom prst="round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t"/>
          <a:lstStyle/>
          <a:p>
            <a:pPr algn="r"/>
            <a:r>
              <a:rPr lang="en-US" sz="1800" b="1">
                <a:solidFill>
                  <a:srgbClr val="C00000"/>
                </a:solidFill>
              </a:rPr>
              <a:t>Population</a:t>
            </a:r>
          </a:p>
        </xdr:txBody>
      </xdr:sp>
      <xdr:pic>
        <xdr:nvPicPr>
          <xdr:cNvPr id="3088" name="Picture 16" descr="http://www.psdgraphics.com/wp-content/uploads/2009/06/male-and-female-signs.jpg">
            <a:extLst>
              <a:ext uri="{FF2B5EF4-FFF2-40B4-BE49-F238E27FC236}">
                <a16:creationId xmlns:a16="http://schemas.microsoft.com/office/drawing/2014/main" id="{00000000-0008-0000-0600-0000100C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 l="8463" t="8509" r="8490" b="8696"/>
          <a:stretch>
            <a:fillRect/>
          </a:stretch>
        </xdr:blipFill>
        <xdr:spPr bwMode="auto">
          <a:xfrm>
            <a:off x="2171291" y="757904"/>
            <a:ext cx="616394" cy="471129"/>
          </a:xfrm>
          <a:prstGeom prst="rect">
            <a:avLst/>
          </a:prstGeom>
          <a:noFill/>
        </xdr:spPr>
      </xdr:pic>
      <xdr:sp macro="" textlink="'Data Consolidation'!S5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 txBox="1"/>
        </xdr:nvSpPr>
        <xdr:spPr>
          <a:xfrm>
            <a:off x="2427339" y="1290483"/>
            <a:ext cx="1577258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/>
          <a:p>
            <a:pPr algn="ctr"/>
            <a:fld id="{A7068A73-5042-43BE-B112-09FC1C8AAC60}" type="TxLink">
              <a:rPr lang="en-US" sz="1600" b="1"/>
              <a:pPr algn="ctr"/>
              <a:t> 50,53,526 </a:t>
            </a:fld>
            <a:endParaRPr lang="en-US" sz="1600" b="1"/>
          </a:p>
        </xdr:txBody>
      </xdr:sp>
    </xdr:grpSp>
    <xdr:clientData/>
  </xdr:twoCellAnchor>
  <xdr:twoCellAnchor>
    <xdr:from>
      <xdr:col>8</xdr:col>
      <xdr:colOff>418690</xdr:colOff>
      <xdr:row>2</xdr:row>
      <xdr:rowOff>60222</xdr:rowOff>
    </xdr:from>
    <xdr:to>
      <xdr:col>13</xdr:col>
      <xdr:colOff>184355</xdr:colOff>
      <xdr:row>6</xdr:row>
      <xdr:rowOff>131916</xdr:rowOff>
    </xdr:to>
    <xdr:sp macro="" textlink="">
      <xdr:nvSpPr>
        <xdr:cNvPr id="119" name="Rounded Rectangle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4474496" y="900061"/>
          <a:ext cx="2520746" cy="850081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t"/>
        <a:lstStyle/>
        <a:p>
          <a:pPr algn="r"/>
          <a:r>
            <a:rPr lang="en-US" sz="1600" b="1">
              <a:solidFill>
                <a:srgbClr val="C00000"/>
              </a:solidFill>
            </a:rPr>
            <a:t>Highest Migration </a:t>
          </a:r>
        </a:p>
      </xdr:txBody>
    </xdr:sp>
    <xdr:clientData/>
  </xdr:twoCellAnchor>
  <xdr:twoCellAnchor>
    <xdr:from>
      <xdr:col>8</xdr:col>
      <xdr:colOff>302206</xdr:colOff>
      <xdr:row>1</xdr:row>
      <xdr:rowOff>696452</xdr:rowOff>
    </xdr:from>
    <xdr:to>
      <xdr:col>8</xdr:col>
      <xdr:colOff>686210</xdr:colOff>
      <xdr:row>3</xdr:row>
      <xdr:rowOff>184355</xdr:rowOff>
    </xdr:to>
    <xdr:sp macro="" textlink="">
      <xdr:nvSpPr>
        <xdr:cNvPr id="34" name="Up Arrow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4358012" y="788629"/>
          <a:ext cx="384004" cy="430161"/>
        </a:xfrm>
        <a:prstGeom prst="upArrow">
          <a:avLst/>
        </a:prstGeom>
        <a:solidFill>
          <a:srgbClr val="66FF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471129</xdr:colOff>
      <xdr:row>4</xdr:row>
      <xdr:rowOff>71693</xdr:rowOff>
    </xdr:from>
    <xdr:to>
      <xdr:col>9</xdr:col>
      <xdr:colOff>679650</xdr:colOff>
      <xdr:row>6</xdr:row>
      <xdr:rowOff>25285</xdr:rowOff>
    </xdr:to>
    <xdr:sp macro="" textlink="'Data Consolidation'!S6">
      <xdr:nvSpPr>
        <xdr:cNvPr id="120" name="TextBox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4526935" y="1300725"/>
          <a:ext cx="1007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fld id="{EA2E7DC4-378A-4B02-8637-0D6AC312B94B}" type="TxLink">
            <a:rPr lang="en-US" sz="1600" b="1"/>
            <a:pPr/>
            <a:t>California</a:t>
          </a:fld>
          <a:endParaRPr lang="en-US" sz="1600" b="1"/>
        </a:p>
      </xdr:txBody>
    </xdr:sp>
    <xdr:clientData/>
  </xdr:twoCellAnchor>
  <xdr:twoCellAnchor>
    <xdr:from>
      <xdr:col>10</xdr:col>
      <xdr:colOff>348225</xdr:colOff>
      <xdr:row>4</xdr:row>
      <xdr:rowOff>61452</xdr:rowOff>
    </xdr:from>
    <xdr:to>
      <xdr:col>13</xdr:col>
      <xdr:colOff>225322</xdr:colOff>
      <xdr:row>6</xdr:row>
      <xdr:rowOff>15044</xdr:rowOff>
    </xdr:to>
    <xdr:sp macro="" textlink="'Data Consolidation'!T6">
      <xdr:nvSpPr>
        <xdr:cNvPr id="122" name="TextBox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6001773" y="1290484"/>
          <a:ext cx="103443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fld id="{D9376908-2EE9-409E-9B94-F9D58C63DB59}" type="TxLink">
            <a:rPr lang="en-US" sz="1600" b="1"/>
            <a:pPr/>
            <a:t> 23,825 </a:t>
          </a:fld>
          <a:endParaRPr lang="en-US" sz="1600" b="1"/>
        </a:p>
      </xdr:txBody>
    </xdr:sp>
    <xdr:clientData/>
  </xdr:twoCellAnchor>
  <xdr:twoCellAnchor>
    <xdr:from>
      <xdr:col>13</xdr:col>
      <xdr:colOff>398222</xdr:colOff>
      <xdr:row>4</xdr:row>
      <xdr:rowOff>70463</xdr:rowOff>
    </xdr:from>
    <xdr:to>
      <xdr:col>14</xdr:col>
      <xdr:colOff>427052</xdr:colOff>
      <xdr:row>6</xdr:row>
      <xdr:rowOff>10241</xdr:rowOff>
    </xdr:to>
    <xdr:sp macro="" textlink="'Data Consolidation'!S7">
      <xdr:nvSpPr>
        <xdr:cNvPr id="127" name="TextBox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7209109" y="1299495"/>
          <a:ext cx="878911" cy="3289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fld id="{82D82303-9C12-4BD5-BD9E-CDDAA9362059}" type="TxLink">
            <a:rPr lang="en-US" sz="1400" b="1"/>
            <a:pPr/>
            <a:t>Rhode Island</a:t>
          </a:fld>
          <a:endParaRPr lang="en-US" sz="1400" b="1"/>
        </a:p>
      </xdr:txBody>
    </xdr:sp>
    <xdr:clientData/>
  </xdr:twoCellAnchor>
  <xdr:twoCellAnchor>
    <xdr:from>
      <xdr:col>17</xdr:col>
      <xdr:colOff>9028</xdr:colOff>
      <xdr:row>4</xdr:row>
      <xdr:rowOff>49980</xdr:rowOff>
    </xdr:from>
    <xdr:to>
      <xdr:col>18</xdr:col>
      <xdr:colOff>61453</xdr:colOff>
      <xdr:row>5</xdr:row>
      <xdr:rowOff>184355</xdr:rowOff>
    </xdr:to>
    <xdr:sp macro="" textlink="'Data Consolidation'!T7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735157" y="1279012"/>
          <a:ext cx="902506" cy="3289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fld id="{D0011F50-E1EB-4ED2-B79F-1A3EAB939821}" type="TxLink">
            <a:rPr lang="en-US" sz="1600" b="1"/>
            <a:pPr/>
            <a:t> 255 </a:t>
          </a:fld>
          <a:endParaRPr lang="en-US" sz="1600" b="1"/>
        </a:p>
      </xdr:txBody>
    </xdr:sp>
    <xdr:clientData/>
  </xdr:twoCellAnchor>
  <xdr:twoCellAnchor>
    <xdr:from>
      <xdr:col>4</xdr:col>
      <xdr:colOff>286775</xdr:colOff>
      <xdr:row>25</xdr:row>
      <xdr:rowOff>10243</xdr:rowOff>
    </xdr:from>
    <xdr:to>
      <xdr:col>11</xdr:col>
      <xdr:colOff>4098</xdr:colOff>
      <xdr:row>33</xdr:row>
      <xdr:rowOff>1741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819355</xdr:colOff>
      <xdr:row>2</xdr:row>
      <xdr:rowOff>71693</xdr:rowOff>
    </xdr:from>
    <xdr:to>
      <xdr:col>23</xdr:col>
      <xdr:colOff>61451</xdr:colOff>
      <xdr:row>7</xdr:row>
      <xdr:rowOff>71693</xdr:rowOff>
    </xdr:to>
    <xdr:sp macro="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9545484" y="911532"/>
          <a:ext cx="2970161" cy="972984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20484</xdr:colOff>
      <xdr:row>32</xdr:row>
      <xdr:rowOff>0</xdr:rowOff>
    </xdr:from>
    <xdr:to>
      <xdr:col>4</xdr:col>
      <xdr:colOff>178415</xdr:colOff>
      <xdr:row>32</xdr:row>
      <xdr:rowOff>177800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245807" y="6718710"/>
          <a:ext cx="1530350" cy="177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twoCellAnchor>
    <xdr:from>
      <xdr:col>2</xdr:col>
      <xdr:colOff>40967</xdr:colOff>
      <xdr:row>28</xdr:row>
      <xdr:rowOff>56131</xdr:rowOff>
    </xdr:from>
    <xdr:to>
      <xdr:col>4</xdr:col>
      <xdr:colOff>224095</xdr:colOff>
      <xdr:row>29</xdr:row>
      <xdr:rowOff>174113</xdr:rowOff>
    </xdr:to>
    <xdr:sp macro="" textlink="$C$29">
      <xdr:nvSpPr>
        <xdr:cNvPr id="38" name="Rounded Rectangular Callout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266290" y="5965728"/>
          <a:ext cx="1555547" cy="322820"/>
        </a:xfrm>
        <a:prstGeom prst="wedgeRoundRectCallout">
          <a:avLst>
            <a:gd name="adj1" fmla="val 41537"/>
            <a:gd name="adj2" fmla="val 99946"/>
            <a:gd name="adj3" fmla="val 1666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FFBBA9BE-9121-4336-A951-2A86E1351A0E}" type="TxLink">
            <a:rPr lang="en-US" sz="1100" b="1">
              <a:solidFill>
                <a:srgbClr val="FF0000"/>
              </a:solidFill>
            </a:rPr>
            <a:pPr algn="ctr"/>
            <a:t>Select Colorado V/s</a:t>
          </a:fld>
          <a:endParaRPr lang="en-US" sz="1100" b="1">
            <a:solidFill>
              <a:srgbClr val="FF0000"/>
            </a:solidFill>
          </a:endParaRPr>
        </a:p>
      </xdr:txBody>
    </xdr:sp>
    <xdr:clientData/>
  </xdr:twoCellAnchor>
  <xdr:oneCellAnchor>
    <xdr:from>
      <xdr:col>8</xdr:col>
      <xdr:colOff>184355</xdr:colOff>
      <xdr:row>2</xdr:row>
      <xdr:rowOff>143386</xdr:rowOff>
    </xdr:from>
    <xdr:ext cx="611642" cy="280205"/>
    <xdr:sp macro="" textlink="Arr_Dep">
      <xdr:nvSpPr>
        <xdr:cNvPr id="36" name="TextBox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4240161" y="983225"/>
          <a:ext cx="6116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3291B64B-F38F-430D-856E-65BF6CC2E16F}" type="TxLink">
            <a:rPr lang="en-US" sz="1200" b="1" i="0">
              <a:solidFill>
                <a:sysClr val="windowText" lastClr="000000"/>
              </a:solidFill>
            </a:rPr>
            <a:pPr/>
            <a:t>Arrival</a:t>
          </a:fld>
          <a:endParaRPr lang="en-US" sz="1200" b="1" i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13</xdr:col>
      <xdr:colOff>162640</xdr:colOff>
      <xdr:row>2</xdr:row>
      <xdr:rowOff>49979</xdr:rowOff>
    </xdr:from>
    <xdr:ext cx="611642" cy="280205"/>
    <xdr:sp macro="" textlink="Arr_Dep">
      <xdr:nvSpPr>
        <xdr:cNvPr id="40" name="TextBox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6973527" y="889818"/>
          <a:ext cx="6116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fld id="{3291B64B-F38F-430D-856E-65BF6CC2E16F}" type="TxLink">
            <a:rPr lang="en-US" sz="1200" b="1" i="0">
              <a:solidFill>
                <a:sysClr val="windowText" lastClr="000000"/>
              </a:solidFill>
            </a:rPr>
            <a:pPr/>
            <a:t>Arrival</a:t>
          </a:fld>
          <a:endParaRPr lang="en-US" sz="1200" b="1" i="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19050</xdr:rowOff>
        </xdr:from>
        <xdr:to>
          <xdr:col>4</xdr:col>
          <xdr:colOff>476250</xdr:colOff>
          <xdr:row>7</xdr:row>
          <xdr:rowOff>0</xdr:rowOff>
        </xdr:to>
        <xdr:pic>
          <xdr:nvPicPr>
            <xdr:cNvPr id="3083" name="Picture 11">
              <a:extLs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PicPr preferRelativeResize="0">
              <a:picLocks noChangeAspect="1" noChangeArrowheads="1"/>
              <a:extLst>
                <a:ext uri="{84589F7E-364E-4C9E-8A38-B11213B215E9}">
                  <a14:cameraTool cellRange="MapState" spid="_x0000_s312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28600" y="857250"/>
              <a:ext cx="1847850" cy="933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114300</xdr:rowOff>
        </xdr:from>
        <xdr:to>
          <xdr:col>2</xdr:col>
          <xdr:colOff>1228725</xdr:colOff>
          <xdr:row>20</xdr:row>
          <xdr:rowOff>95250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10</xdr:row>
          <xdr:rowOff>0</xdr:rowOff>
        </xdr:from>
        <xdr:to>
          <xdr:col>21</xdr:col>
          <xdr:colOff>733425</xdr:colOff>
          <xdr:row>11</xdr:row>
          <xdr:rowOff>28575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Alphabetical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638175</xdr:colOff>
          <xdr:row>10</xdr:row>
          <xdr:rowOff>0</xdr:rowOff>
        </xdr:from>
        <xdr:to>
          <xdr:col>23</xdr:col>
          <xdr:colOff>0</xdr:colOff>
          <xdr:row>11</xdr:row>
          <xdr:rowOff>28575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Highest to Lowest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22</xdr:row>
          <xdr:rowOff>28575</xdr:rowOff>
        </xdr:from>
        <xdr:to>
          <xdr:col>2</xdr:col>
          <xdr:colOff>1228725</xdr:colOff>
          <xdr:row>23</xdr:row>
          <xdr:rowOff>95250</xdr:rowOff>
        </xdr:to>
        <xdr:sp macro="" textlink="">
          <xdr:nvSpPr>
            <xdr:cNvPr id="3111" name="Drop Dow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5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190500</xdr:rowOff>
        </xdr:from>
        <xdr:to>
          <xdr:col>4</xdr:col>
          <xdr:colOff>228600</xdr:colOff>
          <xdr:row>31</xdr:row>
          <xdr:rowOff>95250</xdr:rowOff>
        </xdr:to>
        <xdr:sp macro="" textlink="">
          <xdr:nvSpPr>
            <xdr:cNvPr id="3113" name="Drop Dow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5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8</xdr:row>
          <xdr:rowOff>171450</xdr:rowOff>
        </xdr:from>
        <xdr:to>
          <xdr:col>22</xdr:col>
          <xdr:colOff>790575</xdr:colOff>
          <xdr:row>10</xdr:row>
          <xdr:rowOff>9525</xdr:rowOff>
        </xdr:to>
        <xdr:sp macro="" textlink="">
          <xdr:nvSpPr>
            <xdr:cNvPr id="3116" name="Drop Dow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5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2:DJ120"/>
  <sheetViews>
    <sheetView showGridLines="0" zoomScale="120" zoomScaleNormal="120" workbookViewId="0">
      <selection activeCell="C5" sqref="C5"/>
    </sheetView>
  </sheetViews>
  <sheetFormatPr defaultRowHeight="15" x14ac:dyDescent="0.25"/>
  <cols>
    <col min="1" max="1" width="9.140625" style="19"/>
    <col min="2" max="2" width="17.7109375" style="19" customWidth="1"/>
    <col min="3" max="3" width="10.85546875" style="19" bestFit="1" customWidth="1"/>
    <col min="4" max="4" width="9.42578125" style="19" bestFit="1" customWidth="1"/>
    <col min="5" max="5" width="10.85546875" style="19" bestFit="1" customWidth="1"/>
    <col min="6" max="6" width="10" style="19" bestFit="1" customWidth="1"/>
    <col min="7" max="7" width="9.85546875" style="19" bestFit="1" customWidth="1"/>
    <col min="8" max="8" width="10" style="19" bestFit="1" customWidth="1"/>
    <col min="9" max="9" width="9.28515625" style="19" bestFit="1" customWidth="1"/>
    <col min="10" max="10" width="9.42578125" style="19" bestFit="1" customWidth="1"/>
    <col min="11" max="15" width="9.28515625" style="19" bestFit="1" customWidth="1"/>
    <col min="16" max="16" width="9.42578125" style="19" bestFit="1" customWidth="1"/>
    <col min="17" max="19" width="9.28515625" style="19" bestFit="1" customWidth="1"/>
    <col min="20" max="20" width="9.42578125" style="19" bestFit="1" customWidth="1"/>
    <col min="21" max="21" width="9.28515625" style="19" bestFit="1" customWidth="1"/>
    <col min="22" max="22" width="9.42578125" style="19" bestFit="1" customWidth="1"/>
    <col min="23" max="29" width="9.28515625" style="19" bestFit="1" customWidth="1"/>
    <col min="30" max="30" width="9.42578125" style="19" bestFit="1" customWidth="1"/>
    <col min="31" max="31" width="9.28515625" style="19" bestFit="1" customWidth="1"/>
    <col min="32" max="32" width="9.42578125" style="19" bestFit="1" customWidth="1"/>
    <col min="33" max="37" width="9.28515625" style="19" bestFit="1" customWidth="1"/>
    <col min="38" max="38" width="9.42578125" style="19" bestFit="1" customWidth="1"/>
    <col min="39" max="53" width="9.28515625" style="19" bestFit="1" customWidth="1"/>
    <col min="54" max="54" width="9.42578125" style="19" bestFit="1" customWidth="1"/>
    <col min="55" max="71" width="9.28515625" style="19" bestFit="1" customWidth="1"/>
    <col min="72" max="72" width="9.42578125" style="19" bestFit="1" customWidth="1"/>
    <col min="73" max="75" width="9.28515625" style="19" bestFit="1" customWidth="1"/>
    <col min="76" max="76" width="9.42578125" style="19" bestFit="1" customWidth="1"/>
    <col min="77" max="77" width="9.28515625" style="19" bestFit="1" customWidth="1"/>
    <col min="78" max="78" width="9.42578125" style="19" bestFit="1" customWidth="1"/>
    <col min="79" max="81" width="9.28515625" style="19" bestFit="1" customWidth="1"/>
    <col min="82" max="82" width="9.42578125" style="19" bestFit="1" customWidth="1"/>
    <col min="83" max="87" width="9.28515625" style="19" bestFit="1" customWidth="1"/>
    <col min="88" max="88" width="9.42578125" style="19" bestFit="1" customWidth="1"/>
    <col min="89" max="97" width="9.28515625" style="19" bestFit="1" customWidth="1"/>
    <col min="98" max="98" width="9.42578125" style="19" bestFit="1" customWidth="1"/>
    <col min="99" max="103" width="9.28515625" style="19" bestFit="1" customWidth="1"/>
    <col min="104" max="104" width="9.42578125" style="19" bestFit="1" customWidth="1"/>
    <col min="105" max="112" width="9.28515625" style="19" bestFit="1" customWidth="1"/>
    <col min="113" max="16384" width="9.140625" style="19"/>
  </cols>
  <sheetData>
    <row r="2" spans="2:114" x14ac:dyDescent="0.25">
      <c r="B2" s="26" t="s">
        <v>0</v>
      </c>
    </row>
    <row r="3" spans="2:114" x14ac:dyDescent="0.25">
      <c r="B3" s="27" t="s">
        <v>1</v>
      </c>
      <c r="K3"/>
    </row>
    <row r="4" spans="2:114" x14ac:dyDescent="0.25">
      <c r="B4" s="27" t="s">
        <v>2</v>
      </c>
    </row>
    <row r="5" spans="2:114" x14ac:dyDescent="0.25">
      <c r="B5" s="19" t="s">
        <v>179</v>
      </c>
    </row>
    <row r="6" spans="2:114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2:114" ht="15.75" customHeight="1" x14ac:dyDescent="0.25"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</row>
    <row r="8" spans="2:114" ht="15" customHeight="1" x14ac:dyDescent="0.25"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</row>
    <row r="9" spans="2:114" s="35" customFormat="1" x14ac:dyDescent="0.25">
      <c r="B9" s="72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2:114" x14ac:dyDescent="0.25">
      <c r="B10" s="37" t="s">
        <v>62</v>
      </c>
      <c r="C10" s="11">
        <v>310212755</v>
      </c>
      <c r="D10" s="12">
        <v>25814</v>
      </c>
      <c r="E10" s="11">
        <v>263612596</v>
      </c>
      <c r="F10" s="12">
        <v>229733</v>
      </c>
      <c r="G10" s="11">
        <v>37696597</v>
      </c>
      <c r="H10" s="12">
        <v>211307</v>
      </c>
      <c r="I10" s="36">
        <f>HLOOKUP(I$7,$I$66:$DJ$120,ROWS($A$10:$A10)+2,FALSE)</f>
        <v>7070345</v>
      </c>
      <c r="J10" s="25">
        <f>HLOOKUP(J$7,$I$66:$DJ$120,ROWS($A$10:$A10)+2,FALSE)</f>
        <v>109210</v>
      </c>
      <c r="K10" s="25">
        <f>HLOOKUP(K$7,$I$66:$DJ$120,ROWS($A$10:$A10)+2,FALSE)</f>
        <v>84068</v>
      </c>
      <c r="L10" s="25">
        <f>HLOOKUP(L$7,$I$66:$DJ$120,ROWS($A$10:$A10)+2,FALSE)</f>
        <v>206842</v>
      </c>
      <c r="M10" s="25">
        <f>HLOOKUP(M$7,$I$66:$DJ$120,ROWS($A$10:$A10)+2,FALSE)</f>
        <v>64967</v>
      </c>
      <c r="N10" s="25">
        <f>HLOOKUP(N$7,$I$66:$DJ$120,ROWS($A$10:$A10)+2,FALSE)</f>
        <v>566986</v>
      </c>
      <c r="O10" s="25">
        <f>HLOOKUP(O$7,$I$66:$DJ$120,ROWS($A$10:$A10)+2,FALSE)</f>
        <v>161530</v>
      </c>
      <c r="P10" s="25">
        <f>HLOOKUP(P$7,$I$66:$DJ$120,ROWS($A$10:$A10)+2,FALSE)</f>
        <v>87023</v>
      </c>
      <c r="Q10" s="25">
        <f>HLOOKUP(Q$7,$I$66:$DJ$120,ROWS($A$10:$A10)+2,FALSE)</f>
        <v>25149</v>
      </c>
      <c r="R10" s="25">
        <f>HLOOKUP(R$7,$I$66:$DJ$120,ROWS($A$10:$A10)+2,FALSE)</f>
        <v>59513</v>
      </c>
      <c r="S10" s="25">
        <f>HLOOKUP(S$7,$I$66:$DJ$120,ROWS($A$10:$A10)+2,FALSE)</f>
        <v>428325</v>
      </c>
      <c r="T10" s="25">
        <f>HLOOKUP(T$7,$I$66:$DJ$120,ROWS($A$10:$A10)+2,FALSE)</f>
        <v>252262</v>
      </c>
      <c r="U10" s="25">
        <f>HLOOKUP(U$7,$I$66:$DJ$120,ROWS($A$10:$A10)+2,FALSE)</f>
        <v>61509</v>
      </c>
      <c r="V10" s="25">
        <f>HLOOKUP(V$7,$I$66:$DJ$120,ROWS($A$10:$A10)+2,FALSE)</f>
        <v>55191</v>
      </c>
      <c r="W10" s="25">
        <f>HLOOKUP(W$7,$I$66:$DJ$120,ROWS($A$10:$A10)+2,FALSE)</f>
        <v>277953</v>
      </c>
      <c r="X10" s="25">
        <f>HLOOKUP(X$7,$I$66:$DJ$120,ROWS($A$10:$A10)+2,FALSE)</f>
        <v>144597</v>
      </c>
      <c r="Y10" s="25">
        <f>HLOOKUP(Y$7,$I$66:$DJ$120,ROWS($A$10:$A10)+2,FALSE)</f>
        <v>73325</v>
      </c>
      <c r="Z10" s="25">
        <f>HLOOKUP(Z$7,$I$66:$DJ$120,ROWS($A$10:$A10)+2,FALSE)</f>
        <v>93134</v>
      </c>
      <c r="AA10" s="25">
        <f>HLOOKUP(AA$7,$I$66:$DJ$120,ROWS($A$10:$A10)+2,FALSE)</f>
        <v>103004</v>
      </c>
      <c r="AB10" s="25">
        <f>HLOOKUP(AB$7,$I$66:$DJ$120,ROWS($A$10:$A10)+2,FALSE)</f>
        <v>95956</v>
      </c>
      <c r="AC10" s="25">
        <f>HLOOKUP(AC$7,$I$66:$DJ$120,ROWS($A$10:$A10)+2,FALSE)</f>
        <v>38574</v>
      </c>
      <c r="AD10" s="25">
        <f>HLOOKUP(AD$7,$I$66:$DJ$120,ROWS($A$10:$A10)+2,FALSE)</f>
        <v>157664</v>
      </c>
      <c r="AE10" s="25">
        <f>HLOOKUP(AE$7,$I$66:$DJ$120,ROWS($A$10:$A10)+2,FALSE)</f>
        <v>158156</v>
      </c>
      <c r="AF10" s="25">
        <f>HLOOKUP(AF$7,$I$66:$DJ$120,ROWS($A$10:$A10)+2,FALSE)</f>
        <v>175733</v>
      </c>
      <c r="AG10" s="25">
        <f>HLOOKUP(AG$7,$I$66:$DJ$120,ROWS($A$10:$A10)+2,FALSE)</f>
        <v>115946</v>
      </c>
      <c r="AH10" s="25">
        <f>HLOOKUP(AH$7,$I$66:$DJ$120,ROWS($A$10:$A10)+2,FALSE)</f>
        <v>66947</v>
      </c>
      <c r="AI10" s="25">
        <f>HLOOKUP(AI$7,$I$66:$DJ$120,ROWS($A$10:$A10)+2,FALSE)</f>
        <v>142754</v>
      </c>
      <c r="AJ10" s="25">
        <f>HLOOKUP(AJ$7,$I$66:$DJ$120,ROWS($A$10:$A10)+2,FALSE)</f>
        <v>33832</v>
      </c>
      <c r="AK10" s="25">
        <f>HLOOKUP(AK$7,$I$66:$DJ$120,ROWS($A$10:$A10)+2,FALSE)</f>
        <v>48816</v>
      </c>
      <c r="AL10" s="25">
        <f>HLOOKUP(AL$7,$I$66:$DJ$120,ROWS($A$10:$A10)+2,FALSE)</f>
        <v>98882</v>
      </c>
      <c r="AM10" s="25">
        <f>HLOOKUP(AM$7,$I$66:$DJ$120,ROWS($A$10:$A10)+2,FALSE)</f>
        <v>38696</v>
      </c>
      <c r="AN10" s="25">
        <f>HLOOKUP(AN$7,$I$66:$DJ$120,ROWS($A$10:$A10)+2,FALSE)</f>
        <v>219202</v>
      </c>
      <c r="AO10" s="25">
        <f>HLOOKUP(AO$7,$I$66:$DJ$120,ROWS($A$10:$A10)+2,FALSE)</f>
        <v>63921</v>
      </c>
      <c r="AP10" s="25">
        <f>HLOOKUP(AP$7,$I$66:$DJ$120,ROWS($A$10:$A10)+2,FALSE)</f>
        <v>405864</v>
      </c>
      <c r="AQ10" s="25">
        <f>HLOOKUP(AQ$7,$I$66:$DJ$120,ROWS($A$10:$A10)+2,FALSE)</f>
        <v>238663</v>
      </c>
      <c r="AR10" s="25">
        <f>HLOOKUP(AR$7,$I$66:$DJ$120,ROWS($A$10:$A10)+2,FALSE)</f>
        <v>23959</v>
      </c>
      <c r="AS10" s="25">
        <f>HLOOKUP(AS$7,$I$66:$DJ$120,ROWS($A$10:$A10)+2,FALSE)</f>
        <v>199202</v>
      </c>
      <c r="AT10" s="25">
        <f>HLOOKUP(AT$7,$I$66:$DJ$120,ROWS($A$10:$A10)+2,FALSE)</f>
        <v>102572</v>
      </c>
      <c r="AU10" s="25">
        <f>HLOOKUP(AU$7,$I$66:$DJ$120,ROWS($A$10:$A10)+2,FALSE)</f>
        <v>108182</v>
      </c>
      <c r="AV10" s="25">
        <f>HLOOKUP(AV$7,$I$66:$DJ$120,ROWS($A$10:$A10)+2,FALSE)</f>
        <v>237156</v>
      </c>
      <c r="AW10" s="25">
        <f>HLOOKUP(AW$7,$I$66:$DJ$120,ROWS($A$10:$A10)+2,FALSE)</f>
        <v>30498</v>
      </c>
      <c r="AX10" s="25">
        <f>HLOOKUP(AX$7,$I$66:$DJ$120,ROWS($A$10:$A10)+2,FALSE)</f>
        <v>127418</v>
      </c>
      <c r="AY10" s="25">
        <f>HLOOKUP(AY$7,$I$66:$DJ$120,ROWS($A$10:$A10)+2,FALSE)</f>
        <v>22534</v>
      </c>
      <c r="AZ10" s="25">
        <f>HLOOKUP(AZ$7,$I$66:$DJ$120,ROWS($A$10:$A10)+2,FALSE)</f>
        <v>163843</v>
      </c>
      <c r="BA10" s="25">
        <f>HLOOKUP(BA$7,$I$66:$DJ$120,ROWS($A$10:$A10)+2,FALSE)</f>
        <v>402187</v>
      </c>
      <c r="BB10" s="25">
        <f>HLOOKUP(BB$7,$I$66:$DJ$120,ROWS($A$10:$A10)+2,FALSE)</f>
        <v>82165</v>
      </c>
      <c r="BC10" s="25">
        <f>HLOOKUP(BC$7,$I$66:$DJ$120,ROWS($A$10:$A10)+2,FALSE)</f>
        <v>20056</v>
      </c>
      <c r="BD10" s="25">
        <f>HLOOKUP(BD$7,$I$66:$DJ$120,ROWS($A$10:$A10)+2,FALSE)</f>
        <v>238540</v>
      </c>
      <c r="BE10" s="25">
        <f>HLOOKUP(BE$7,$I$66:$DJ$120,ROWS($A$10:$A10)+2,FALSE)</f>
        <v>180462</v>
      </c>
      <c r="BF10" s="25">
        <f>HLOOKUP(BF$7,$I$66:$DJ$120,ROWS($A$10:$A10)+2,FALSE)</f>
        <v>47425</v>
      </c>
      <c r="BG10" s="25">
        <f>HLOOKUP(BG$7,$I$66:$DJ$120,ROWS($A$10:$A10)+2,FALSE)</f>
        <v>97724</v>
      </c>
      <c r="BH10" s="25">
        <f>HLOOKUP(BH$7,$I$66:$DJ$120,ROWS($A$10:$A10)+2,FALSE)</f>
        <v>32228</v>
      </c>
      <c r="BI10" s="25">
        <f>HLOOKUP(BI$7,$I$66:$DJ$120,ROWS($A$10:$A10)+2,FALSE)</f>
        <v>74500</v>
      </c>
      <c r="BJ10" s="34">
        <f>HLOOKUP(BJ$7+0.5,$I$66:$DJ$120,ROWS($A$10:$A10)+2,FALSE)</f>
        <v>58599</v>
      </c>
      <c r="BK10" s="34">
        <f>HLOOKUP(BK$7+0.5,$I$66:$DJ$120,ROWS($A$10:$A10)+2,FALSE)</f>
        <v>9027</v>
      </c>
      <c r="BL10" s="34">
        <f>HLOOKUP(BL$7+0.5,$I$66:$DJ$120,ROWS($A$10:$A10)+2,FALSE)</f>
        <v>7600</v>
      </c>
      <c r="BM10" s="34">
        <f>HLOOKUP(BM$7+0.5,$I$66:$DJ$120,ROWS($A$10:$A10)+2,FALSE)</f>
        <v>12859</v>
      </c>
      <c r="BN10" s="34">
        <f>HLOOKUP(BN$7+0.5,$I$66:$DJ$120,ROWS($A$10:$A10)+2,FALSE)</f>
        <v>6563</v>
      </c>
      <c r="BO10" s="34">
        <f>HLOOKUP(BO$7+0.5,$I$66:$DJ$120,ROWS($A$10:$A10)+2,FALSE)</f>
        <v>19755</v>
      </c>
      <c r="BP10" s="34">
        <f>HLOOKUP(BP$7+0.5,$I$66:$DJ$120,ROWS($A$10:$A10)+2,FALSE)</f>
        <v>10348</v>
      </c>
      <c r="BQ10" s="34">
        <f>HLOOKUP(BQ$7+0.5,$I$66:$DJ$120,ROWS($A$10:$A10)+2,FALSE)</f>
        <v>5968</v>
      </c>
      <c r="BR10" s="34">
        <f>HLOOKUP(BR$7+0.5,$I$66:$DJ$120,ROWS($A$10:$A10)+2,FALSE)</f>
        <v>3775</v>
      </c>
      <c r="BS10" s="34">
        <f>HLOOKUP(BS$7+0.5,$I$66:$DJ$120,ROWS($A$10:$A10)+2,FALSE)</f>
        <v>6154</v>
      </c>
      <c r="BT10" s="34">
        <f>HLOOKUP(BT$7+0.5,$I$66:$DJ$120,ROWS($A$10:$A10)+2,FALSE)</f>
        <v>18406</v>
      </c>
      <c r="BU10" s="34">
        <f>HLOOKUP(BU$7+0.5,$I$66:$DJ$120,ROWS($A$10:$A10)+2,FALSE)</f>
        <v>12868</v>
      </c>
      <c r="BV10" s="34">
        <f>HLOOKUP(BV$7+0.5,$I$66:$DJ$120,ROWS($A$10:$A10)+2,FALSE)</f>
        <v>6100</v>
      </c>
      <c r="BW10" s="34">
        <f>HLOOKUP(BW$7+0.5,$I$66:$DJ$120,ROWS($A$10:$A10)+2,FALSE)</f>
        <v>6257</v>
      </c>
      <c r="BX10" s="34">
        <f>HLOOKUP(BX$7+0.5,$I$66:$DJ$120,ROWS($A$10:$A10)+2,FALSE)</f>
        <v>12722</v>
      </c>
      <c r="BY10" s="34">
        <f>HLOOKUP(BY$7+0.5,$I$66:$DJ$120,ROWS($A$10:$A10)+2,FALSE)</f>
        <v>8929</v>
      </c>
      <c r="BZ10" s="34">
        <f>HLOOKUP(BZ$7+0.5,$I$66:$DJ$120,ROWS($A$10:$A10)+2,FALSE)</f>
        <v>6129</v>
      </c>
      <c r="CA10" s="34">
        <f>HLOOKUP(CA$7+0.5,$I$66:$DJ$120,ROWS($A$10:$A10)+2,FALSE)</f>
        <v>7286</v>
      </c>
      <c r="CB10" s="34">
        <f>HLOOKUP(CB$7+0.5,$I$66:$DJ$120,ROWS($A$10:$A10)+2,FALSE)</f>
        <v>7490</v>
      </c>
      <c r="CC10" s="34">
        <f>HLOOKUP(CC$7+0.5,$I$66:$DJ$120,ROWS($A$10:$A10)+2,FALSE)</f>
        <v>7745</v>
      </c>
      <c r="CD10" s="34">
        <f>HLOOKUP(CD$7+0.5,$I$66:$DJ$120,ROWS($A$10:$A10)+2,FALSE)</f>
        <v>5351</v>
      </c>
      <c r="CE10" s="34">
        <f>HLOOKUP(CE$7+0.5,$I$66:$DJ$120,ROWS($A$10:$A10)+2,FALSE)</f>
        <v>9686</v>
      </c>
      <c r="CF10" s="34">
        <f>HLOOKUP(CF$7+0.5,$I$66:$DJ$120,ROWS($A$10:$A10)+2,FALSE)</f>
        <v>10755</v>
      </c>
      <c r="CG10" s="34">
        <f>HLOOKUP(CG$7+0.5,$I$66:$DJ$120,ROWS($A$10:$A10)+2,FALSE)</f>
        <v>9302</v>
      </c>
      <c r="CH10" s="34">
        <f>HLOOKUP(CH$7+0.5,$I$66:$DJ$120,ROWS($A$10:$A10)+2,FALSE)</f>
        <v>8402</v>
      </c>
      <c r="CI10" s="34">
        <f>HLOOKUP(CI$7+0.5,$I$66:$DJ$120,ROWS($A$10:$A10)+2,FALSE)</f>
        <v>7206</v>
      </c>
      <c r="CJ10" s="34">
        <f>HLOOKUP(CJ$7+0.5,$I$66:$DJ$120,ROWS($A$10:$A10)+2,FALSE)</f>
        <v>9402</v>
      </c>
      <c r="CK10" s="34">
        <f>HLOOKUP(CK$7+0.5,$I$66:$DJ$120,ROWS($A$10:$A10)+2,FALSE)</f>
        <v>4879</v>
      </c>
      <c r="CL10" s="34">
        <f>HLOOKUP(CL$7+0.5,$I$66:$DJ$120,ROWS($A$10:$A10)+2,FALSE)</f>
        <v>4967</v>
      </c>
      <c r="CM10" s="34">
        <f>HLOOKUP(CM$7+0.5,$I$66:$DJ$120,ROWS($A$10:$A10)+2,FALSE)</f>
        <v>9332</v>
      </c>
      <c r="CN10" s="34">
        <f>HLOOKUP(CN$7+0.5,$I$66:$DJ$120,ROWS($A$10:$A10)+2,FALSE)</f>
        <v>3364</v>
      </c>
      <c r="CO10" s="34">
        <f>HLOOKUP(CO$7+0.5,$I$66:$DJ$120,ROWS($A$10:$A10)+2,FALSE)</f>
        <v>11087</v>
      </c>
      <c r="CP10" s="34">
        <f>HLOOKUP(CP$7+0.5,$I$66:$DJ$120,ROWS($A$10:$A10)+2,FALSE)</f>
        <v>5867</v>
      </c>
      <c r="CQ10" s="34">
        <f>HLOOKUP(CQ$7+0.5,$I$66:$DJ$120,ROWS($A$10:$A10)+2,FALSE)</f>
        <v>15692</v>
      </c>
      <c r="CR10" s="34">
        <f>HLOOKUP(CR$7+0.5,$I$66:$DJ$120,ROWS($A$10:$A10)+2,FALSE)</f>
        <v>13414</v>
      </c>
      <c r="CS10" s="34">
        <f>HLOOKUP(CS$7+0.5,$I$66:$DJ$120,ROWS($A$10:$A10)+2,FALSE)</f>
        <v>3373</v>
      </c>
      <c r="CT10" s="34">
        <f>HLOOKUP(CT$7+0.5,$I$66:$DJ$120,ROWS($A$10:$A10)+2,FALSE)</f>
        <v>10288</v>
      </c>
      <c r="CU10" s="34">
        <f>HLOOKUP(CU$7+0.5,$I$66:$DJ$120,ROWS($A$10:$A10)+2,FALSE)</f>
        <v>9213</v>
      </c>
      <c r="CV10" s="34">
        <f>HLOOKUP(CV$7+0.5,$I$66:$DJ$120,ROWS($A$10:$A10)+2,FALSE)</f>
        <v>7867</v>
      </c>
      <c r="CW10" s="34">
        <f>HLOOKUP(CW$7+0.5,$I$66:$DJ$120,ROWS($A$10:$A10)+2,FALSE)</f>
        <v>10246</v>
      </c>
      <c r="CX10" s="34">
        <f>HLOOKUP(CX$7+0.5,$I$66:$DJ$120,ROWS($A$10:$A10)+2,FALSE)</f>
        <v>3414</v>
      </c>
      <c r="CY10" s="34">
        <f>HLOOKUP(CY$7+0.5,$I$66:$DJ$120,ROWS($A$10:$A10)+2,FALSE)</f>
        <v>8502</v>
      </c>
      <c r="CZ10" s="34">
        <f>HLOOKUP(CZ$7+0.5,$I$66:$DJ$120,ROWS($A$10:$A10)+2,FALSE)</f>
        <v>2998</v>
      </c>
      <c r="DA10" s="34">
        <f>HLOOKUP(DA$7+0.5,$I$66:$DJ$120,ROWS($A$10:$A10)+2,FALSE)</f>
        <v>8717</v>
      </c>
      <c r="DB10" s="34">
        <f>HLOOKUP(DB$7+0.5,$I$66:$DJ$120,ROWS($A$10:$A10)+2,FALSE)</f>
        <v>15471</v>
      </c>
      <c r="DC10" s="34">
        <f>HLOOKUP(DC$7+0.5,$I$66:$DJ$120,ROWS($A$10:$A10)+2,FALSE)</f>
        <v>8304</v>
      </c>
      <c r="DD10" s="34">
        <f>HLOOKUP(DD$7+0.5,$I$66:$DJ$120,ROWS($A$10:$A10)+2,FALSE)</f>
        <v>2967</v>
      </c>
      <c r="DE10" s="34">
        <f>HLOOKUP(DE$7+0.5,$I$66:$DJ$120,ROWS($A$10:$A10)+2,FALSE)</f>
        <v>11611</v>
      </c>
      <c r="DF10" s="34">
        <f>HLOOKUP(DF$7+0.5,$I$66:$DJ$120,ROWS($A$10:$A10)+2,FALSE)</f>
        <v>9674</v>
      </c>
      <c r="DG10" s="34">
        <f>HLOOKUP(DG$7+0.5,$I$66:$DJ$120,ROWS($A$10:$A10)+2,FALSE)</f>
        <v>5262</v>
      </c>
      <c r="DH10" s="34">
        <f>HLOOKUP(DH$7+0.5,$I$66:$DJ$120,ROWS($A$10:$A10)+2,FALSE)</f>
        <v>5859</v>
      </c>
      <c r="DI10" s="34">
        <f>HLOOKUP(DI$7+0.5,$I$66:$DJ$120,ROWS($A$10:$A10)+2,FALSE)</f>
        <v>5150</v>
      </c>
      <c r="DJ10" s="34">
        <f>HLOOKUP(DJ$7+0.5,$I$66:$DJ$120,ROWS($A$10:$A10)+2,FALSE)</f>
        <v>8156</v>
      </c>
    </row>
    <row r="11" spans="2:114" x14ac:dyDescent="0.25">
      <c r="B11" s="38" t="s">
        <v>7</v>
      </c>
      <c r="C11" s="16">
        <v>4764428</v>
      </c>
      <c r="D11" s="17">
        <v>3589</v>
      </c>
      <c r="E11" s="16">
        <v>4054260</v>
      </c>
      <c r="F11" s="17">
        <v>21464</v>
      </c>
      <c r="G11" s="16">
        <v>590326</v>
      </c>
      <c r="H11" s="17">
        <v>19701</v>
      </c>
      <c r="I11" s="36">
        <f>HLOOKUP(I$7,$I$66:$DJ$120,ROWS($A$10:$A11)+2,FALSE)</f>
        <v>104600</v>
      </c>
      <c r="J11" s="25" t="str">
        <f>HLOOKUP(J$7,$I$66:$DJ$120,ROWS($A$10:$A11)+2,FALSE)</f>
        <v>N/A</v>
      </c>
      <c r="K11" s="25">
        <f>HLOOKUP(K$7,$I$66:$DJ$120,ROWS($A$10:$A11)+2,FALSE)</f>
        <v>1004</v>
      </c>
      <c r="L11" s="25">
        <f>HLOOKUP(L$7,$I$66:$DJ$120,ROWS($A$10:$A11)+2,FALSE)</f>
        <v>962</v>
      </c>
      <c r="M11" s="25">
        <f>HLOOKUP(M$7,$I$66:$DJ$120,ROWS($A$10:$A11)+2,FALSE)</f>
        <v>660</v>
      </c>
      <c r="N11" s="25">
        <f>HLOOKUP(N$7,$I$66:$DJ$120,ROWS($A$10:$A11)+2,FALSE)</f>
        <v>3077</v>
      </c>
      <c r="O11" s="25">
        <f>HLOOKUP(O$7,$I$66:$DJ$120,ROWS($A$10:$A11)+2,FALSE)</f>
        <v>1386</v>
      </c>
      <c r="P11" s="25">
        <f>HLOOKUP(P$7,$I$66:$DJ$120,ROWS($A$10:$A11)+2,FALSE)</f>
        <v>284</v>
      </c>
      <c r="Q11" s="25">
        <f>HLOOKUP(Q$7,$I$66:$DJ$120,ROWS($A$10:$A11)+2,FALSE)</f>
        <v>42</v>
      </c>
      <c r="R11" s="25">
        <f>HLOOKUP(R$7,$I$66:$DJ$120,ROWS($A$10:$A11)+2,FALSE)</f>
        <v>162</v>
      </c>
      <c r="S11" s="25">
        <f>HLOOKUP(S$7,$I$66:$DJ$120,ROWS($A$10:$A11)+2,FALSE)</f>
        <v>11244</v>
      </c>
      <c r="T11" s="25">
        <f>HLOOKUP(T$7,$I$66:$DJ$120,ROWS($A$10:$A11)+2,FALSE)</f>
        <v>19920</v>
      </c>
      <c r="U11" s="25">
        <f>HLOOKUP(U$7,$I$66:$DJ$120,ROWS($A$10:$A11)+2,FALSE)</f>
        <v>627</v>
      </c>
      <c r="V11" s="25">
        <f>HLOOKUP(V$7,$I$66:$DJ$120,ROWS($A$10:$A11)+2,FALSE)</f>
        <v>493</v>
      </c>
      <c r="W11" s="25">
        <f>HLOOKUP(W$7,$I$66:$DJ$120,ROWS($A$10:$A11)+2,FALSE)</f>
        <v>2722</v>
      </c>
      <c r="X11" s="25">
        <f>HLOOKUP(X$7,$I$66:$DJ$120,ROWS($A$10:$A11)+2,FALSE)</f>
        <v>1347</v>
      </c>
      <c r="Y11" s="25">
        <f>HLOOKUP(Y$7,$I$66:$DJ$120,ROWS($A$10:$A11)+2,FALSE)</f>
        <v>345</v>
      </c>
      <c r="Z11" s="25">
        <f>HLOOKUP(Z$7,$I$66:$DJ$120,ROWS($A$10:$A11)+2,FALSE)</f>
        <v>865</v>
      </c>
      <c r="AA11" s="25">
        <f>HLOOKUP(AA$7,$I$66:$DJ$120,ROWS($A$10:$A11)+2,FALSE)</f>
        <v>2495</v>
      </c>
      <c r="AB11" s="25">
        <f>HLOOKUP(AB$7,$I$66:$DJ$120,ROWS($A$10:$A11)+2,FALSE)</f>
        <v>3104</v>
      </c>
      <c r="AC11" s="25">
        <f>HLOOKUP(AC$7,$I$66:$DJ$120,ROWS($A$10:$A11)+2,FALSE)</f>
        <v>67</v>
      </c>
      <c r="AD11" s="25">
        <f>HLOOKUP(AD$7,$I$66:$DJ$120,ROWS($A$10:$A11)+2,FALSE)</f>
        <v>1513</v>
      </c>
      <c r="AE11" s="25">
        <f>HLOOKUP(AE$7,$I$66:$DJ$120,ROWS($A$10:$A11)+2,FALSE)</f>
        <v>334</v>
      </c>
      <c r="AF11" s="25">
        <f>HLOOKUP(AF$7,$I$66:$DJ$120,ROWS($A$10:$A11)+2,FALSE)</f>
        <v>2298</v>
      </c>
      <c r="AG11" s="25">
        <f>HLOOKUP(AG$7,$I$66:$DJ$120,ROWS($A$10:$A11)+2,FALSE)</f>
        <v>752</v>
      </c>
      <c r="AH11" s="25">
        <f>HLOOKUP(AH$7,$I$66:$DJ$120,ROWS($A$10:$A11)+2,FALSE)</f>
        <v>4952</v>
      </c>
      <c r="AI11" s="25">
        <f>HLOOKUP(AI$7,$I$66:$DJ$120,ROWS($A$10:$A11)+2,FALSE)</f>
        <v>1555</v>
      </c>
      <c r="AJ11" s="25">
        <f>HLOOKUP(AJ$7,$I$66:$DJ$120,ROWS($A$10:$A11)+2,FALSE)</f>
        <v>101</v>
      </c>
      <c r="AK11" s="25">
        <f>HLOOKUP(AK$7,$I$66:$DJ$120,ROWS($A$10:$A11)+2,FALSE)</f>
        <v>151</v>
      </c>
      <c r="AL11" s="25">
        <f>HLOOKUP(AL$7,$I$66:$DJ$120,ROWS($A$10:$A11)+2,FALSE)</f>
        <v>1009</v>
      </c>
      <c r="AM11" s="25">
        <f>HLOOKUP(AM$7,$I$66:$DJ$120,ROWS($A$10:$A11)+2,FALSE)</f>
        <v>161</v>
      </c>
      <c r="AN11" s="25">
        <f>HLOOKUP(AN$7,$I$66:$DJ$120,ROWS($A$10:$A11)+2,FALSE)</f>
        <v>1702</v>
      </c>
      <c r="AO11" s="25">
        <f>HLOOKUP(AO$7,$I$66:$DJ$120,ROWS($A$10:$A11)+2,FALSE)</f>
        <v>459</v>
      </c>
      <c r="AP11" s="25">
        <f>HLOOKUP(AP$7,$I$66:$DJ$120,ROWS($A$10:$A11)+2,FALSE)</f>
        <v>2709</v>
      </c>
      <c r="AQ11" s="25">
        <f>HLOOKUP(AQ$7,$I$66:$DJ$120,ROWS($A$10:$A11)+2,FALSE)</f>
        <v>5133</v>
      </c>
      <c r="AR11" s="25">
        <f>HLOOKUP(AR$7,$I$66:$DJ$120,ROWS($A$10:$A11)+2,FALSE)</f>
        <v>228</v>
      </c>
      <c r="AS11" s="25">
        <f>HLOOKUP(AS$7,$I$66:$DJ$120,ROWS($A$10:$A11)+2,FALSE)</f>
        <v>1411</v>
      </c>
      <c r="AT11" s="25">
        <f>HLOOKUP(AT$7,$I$66:$DJ$120,ROWS($A$10:$A11)+2,FALSE)</f>
        <v>194</v>
      </c>
      <c r="AU11" s="25">
        <f>HLOOKUP(AU$7,$I$66:$DJ$120,ROWS($A$10:$A11)+2,FALSE)</f>
        <v>200</v>
      </c>
      <c r="AV11" s="25">
        <f>HLOOKUP(AV$7,$I$66:$DJ$120,ROWS($A$10:$A11)+2,FALSE)</f>
        <v>1837</v>
      </c>
      <c r="AW11" s="25">
        <f>HLOOKUP(AW$7,$I$66:$DJ$120,ROWS($A$10:$A11)+2,FALSE)</f>
        <v>0</v>
      </c>
      <c r="AX11" s="25">
        <f>HLOOKUP(AX$7,$I$66:$DJ$120,ROWS($A$10:$A11)+2,FALSE)</f>
        <v>2811</v>
      </c>
      <c r="AY11" s="25">
        <f>HLOOKUP(AY$7,$I$66:$DJ$120,ROWS($A$10:$A11)+2,FALSE)</f>
        <v>518</v>
      </c>
      <c r="AZ11" s="25">
        <f>HLOOKUP(AZ$7,$I$66:$DJ$120,ROWS($A$10:$A11)+2,FALSE)</f>
        <v>10539</v>
      </c>
      <c r="BA11" s="25">
        <f>HLOOKUP(BA$7,$I$66:$DJ$120,ROWS($A$10:$A11)+2,FALSE)</f>
        <v>7468</v>
      </c>
      <c r="BB11" s="25">
        <f>HLOOKUP(BB$7,$I$66:$DJ$120,ROWS($A$10:$A11)+2,FALSE)</f>
        <v>579</v>
      </c>
      <c r="BC11" s="25">
        <f>HLOOKUP(BC$7,$I$66:$DJ$120,ROWS($A$10:$A11)+2,FALSE)</f>
        <v>0</v>
      </c>
      <c r="BD11" s="25">
        <f>HLOOKUP(BD$7,$I$66:$DJ$120,ROWS($A$10:$A11)+2,FALSE)</f>
        <v>3170</v>
      </c>
      <c r="BE11" s="25">
        <f>HLOOKUP(BE$7,$I$66:$DJ$120,ROWS($A$10:$A11)+2,FALSE)</f>
        <v>1034</v>
      </c>
      <c r="BF11" s="25">
        <f>HLOOKUP(BF$7,$I$66:$DJ$120,ROWS($A$10:$A11)+2,FALSE)</f>
        <v>128</v>
      </c>
      <c r="BG11" s="25">
        <f>HLOOKUP(BG$7,$I$66:$DJ$120,ROWS($A$10:$A11)+2,FALSE)</f>
        <v>760</v>
      </c>
      <c r="BH11" s="25">
        <f>HLOOKUP(BH$7,$I$66:$DJ$120,ROWS($A$10:$A11)+2,FALSE)</f>
        <v>88</v>
      </c>
      <c r="BI11" s="25">
        <f>HLOOKUP(BI$7,$I$66:$DJ$120,ROWS($A$10:$A11)+2,FALSE)</f>
        <v>619</v>
      </c>
      <c r="BJ11" s="34">
        <f>HLOOKUP(BJ$7+0.5,$I$66:$DJ$120,ROWS($A$10:$A11)+2,FALSE)</f>
        <v>8482</v>
      </c>
      <c r="BK11" s="34" t="str">
        <f>HLOOKUP(BK$7+0.5,$I$66:$DJ$120,ROWS($A$10:$A11)+2,FALSE)</f>
        <v>N/A</v>
      </c>
      <c r="BL11" s="34">
        <f>HLOOKUP(BL$7+0.5,$I$66:$DJ$120,ROWS($A$10:$A11)+2,FALSE)</f>
        <v>829</v>
      </c>
      <c r="BM11" s="34">
        <f>HLOOKUP(BM$7+0.5,$I$66:$DJ$120,ROWS($A$10:$A11)+2,FALSE)</f>
        <v>583</v>
      </c>
      <c r="BN11" s="34">
        <f>HLOOKUP(BN$7+0.5,$I$66:$DJ$120,ROWS($A$10:$A11)+2,FALSE)</f>
        <v>382</v>
      </c>
      <c r="BO11" s="34">
        <f>HLOOKUP(BO$7+0.5,$I$66:$DJ$120,ROWS($A$10:$A11)+2,FALSE)</f>
        <v>1037</v>
      </c>
      <c r="BP11" s="34">
        <f>HLOOKUP(BP$7+0.5,$I$66:$DJ$120,ROWS($A$10:$A11)+2,FALSE)</f>
        <v>1393</v>
      </c>
      <c r="BQ11" s="34">
        <f>HLOOKUP(BQ$7+0.5,$I$66:$DJ$120,ROWS($A$10:$A11)+2,FALSE)</f>
        <v>256</v>
      </c>
      <c r="BR11" s="34">
        <f>HLOOKUP(BR$7+0.5,$I$66:$DJ$120,ROWS($A$10:$A11)+2,FALSE)</f>
        <v>68</v>
      </c>
      <c r="BS11" s="34">
        <f>HLOOKUP(BS$7+0.5,$I$66:$DJ$120,ROWS($A$10:$A11)+2,FALSE)</f>
        <v>195</v>
      </c>
      <c r="BT11" s="34">
        <f>HLOOKUP(BT$7+0.5,$I$66:$DJ$120,ROWS($A$10:$A11)+2,FALSE)</f>
        <v>2476</v>
      </c>
      <c r="BU11" s="34">
        <f>HLOOKUP(BU$7+0.5,$I$66:$DJ$120,ROWS($A$10:$A11)+2,FALSE)</f>
        <v>3636</v>
      </c>
      <c r="BV11" s="34">
        <f>HLOOKUP(BV$7+0.5,$I$66:$DJ$120,ROWS($A$10:$A11)+2,FALSE)</f>
        <v>477</v>
      </c>
      <c r="BW11" s="34">
        <f>HLOOKUP(BW$7+0.5,$I$66:$DJ$120,ROWS($A$10:$A11)+2,FALSE)</f>
        <v>456</v>
      </c>
      <c r="BX11" s="34">
        <f>HLOOKUP(BX$7+0.5,$I$66:$DJ$120,ROWS($A$10:$A11)+2,FALSE)</f>
        <v>1030</v>
      </c>
      <c r="BY11" s="34">
        <f>HLOOKUP(BY$7+0.5,$I$66:$DJ$120,ROWS($A$10:$A11)+2,FALSE)</f>
        <v>536</v>
      </c>
      <c r="BZ11" s="34">
        <f>HLOOKUP(BZ$7+0.5,$I$66:$DJ$120,ROWS($A$10:$A11)+2,FALSE)</f>
        <v>337</v>
      </c>
      <c r="CA11" s="34">
        <f>HLOOKUP(CA$7+0.5,$I$66:$DJ$120,ROWS($A$10:$A11)+2,FALSE)</f>
        <v>760</v>
      </c>
      <c r="CB11" s="34">
        <f>HLOOKUP(CB$7+0.5,$I$66:$DJ$120,ROWS($A$10:$A11)+2,FALSE)</f>
        <v>981</v>
      </c>
      <c r="CC11" s="34">
        <f>HLOOKUP(CC$7+0.5,$I$66:$DJ$120,ROWS($A$10:$A11)+2,FALSE)</f>
        <v>1216</v>
      </c>
      <c r="CD11" s="34">
        <f>HLOOKUP(CD$7+0.5,$I$66:$DJ$120,ROWS($A$10:$A11)+2,FALSE)</f>
        <v>82</v>
      </c>
      <c r="CE11" s="34">
        <f>HLOOKUP(CE$7+0.5,$I$66:$DJ$120,ROWS($A$10:$A11)+2,FALSE)</f>
        <v>847</v>
      </c>
      <c r="CF11" s="34">
        <f>HLOOKUP(CF$7+0.5,$I$66:$DJ$120,ROWS($A$10:$A11)+2,FALSE)</f>
        <v>272</v>
      </c>
      <c r="CG11" s="34">
        <f>HLOOKUP(CG$7+0.5,$I$66:$DJ$120,ROWS($A$10:$A11)+2,FALSE)</f>
        <v>881</v>
      </c>
      <c r="CH11" s="34">
        <f>HLOOKUP(CH$7+0.5,$I$66:$DJ$120,ROWS($A$10:$A11)+2,FALSE)</f>
        <v>716</v>
      </c>
      <c r="CI11" s="34">
        <f>HLOOKUP(CI$7+0.5,$I$66:$DJ$120,ROWS($A$10:$A11)+2,FALSE)</f>
        <v>1703</v>
      </c>
      <c r="CJ11" s="34">
        <f>HLOOKUP(CJ$7+0.5,$I$66:$DJ$120,ROWS($A$10:$A11)+2,FALSE)</f>
        <v>836</v>
      </c>
      <c r="CK11" s="34">
        <f>HLOOKUP(CK$7+0.5,$I$66:$DJ$120,ROWS($A$10:$A11)+2,FALSE)</f>
        <v>132</v>
      </c>
      <c r="CL11" s="34">
        <f>HLOOKUP(CL$7+0.5,$I$66:$DJ$120,ROWS($A$10:$A11)+2,FALSE)</f>
        <v>167</v>
      </c>
      <c r="CM11" s="34">
        <f>HLOOKUP(CM$7+0.5,$I$66:$DJ$120,ROWS($A$10:$A11)+2,FALSE)</f>
        <v>824</v>
      </c>
      <c r="CN11" s="34">
        <f>HLOOKUP(CN$7+0.5,$I$66:$DJ$120,ROWS($A$10:$A11)+2,FALSE)</f>
        <v>166</v>
      </c>
      <c r="CO11" s="34">
        <f>HLOOKUP(CO$7+0.5,$I$66:$DJ$120,ROWS($A$10:$A11)+2,FALSE)</f>
        <v>1200</v>
      </c>
      <c r="CP11" s="34">
        <f>HLOOKUP(CP$7+0.5,$I$66:$DJ$120,ROWS($A$10:$A11)+2,FALSE)</f>
        <v>576</v>
      </c>
      <c r="CQ11" s="34">
        <f>HLOOKUP(CQ$7+0.5,$I$66:$DJ$120,ROWS($A$10:$A11)+2,FALSE)</f>
        <v>1188</v>
      </c>
      <c r="CR11" s="34">
        <f>HLOOKUP(CR$7+0.5,$I$66:$DJ$120,ROWS($A$10:$A11)+2,FALSE)</f>
        <v>1788</v>
      </c>
      <c r="CS11" s="34">
        <f>HLOOKUP(CS$7+0.5,$I$66:$DJ$120,ROWS($A$10:$A11)+2,FALSE)</f>
        <v>194</v>
      </c>
      <c r="CT11" s="34">
        <f>HLOOKUP(CT$7+0.5,$I$66:$DJ$120,ROWS($A$10:$A11)+2,FALSE)</f>
        <v>576</v>
      </c>
      <c r="CU11" s="34">
        <f>HLOOKUP(CU$7+0.5,$I$66:$DJ$120,ROWS($A$10:$A11)+2,FALSE)</f>
        <v>157</v>
      </c>
      <c r="CV11" s="34">
        <f>HLOOKUP(CV$7+0.5,$I$66:$DJ$120,ROWS($A$10:$A11)+2,FALSE)</f>
        <v>169</v>
      </c>
      <c r="CW11" s="34">
        <f>HLOOKUP(CW$7+0.5,$I$66:$DJ$120,ROWS($A$10:$A11)+2,FALSE)</f>
        <v>736</v>
      </c>
      <c r="CX11" s="34">
        <f>HLOOKUP(CX$7+0.5,$I$66:$DJ$120,ROWS($A$10:$A11)+2,FALSE)</f>
        <v>184</v>
      </c>
      <c r="CY11" s="34">
        <f>HLOOKUP(CY$7+0.5,$I$66:$DJ$120,ROWS($A$10:$A11)+2,FALSE)</f>
        <v>1951</v>
      </c>
      <c r="CZ11" s="34">
        <f>HLOOKUP(CZ$7+0.5,$I$66:$DJ$120,ROWS($A$10:$A11)+2,FALSE)</f>
        <v>758</v>
      </c>
      <c r="DA11" s="34">
        <f>HLOOKUP(DA$7+0.5,$I$66:$DJ$120,ROWS($A$10:$A11)+2,FALSE)</f>
        <v>2731</v>
      </c>
      <c r="DB11" s="34">
        <f>HLOOKUP(DB$7+0.5,$I$66:$DJ$120,ROWS($A$10:$A11)+2,FALSE)</f>
        <v>2136</v>
      </c>
      <c r="DC11" s="34">
        <f>HLOOKUP(DC$7+0.5,$I$66:$DJ$120,ROWS($A$10:$A11)+2,FALSE)</f>
        <v>713</v>
      </c>
      <c r="DD11" s="34">
        <f>HLOOKUP(DD$7+0.5,$I$66:$DJ$120,ROWS($A$10:$A11)+2,FALSE)</f>
        <v>184</v>
      </c>
      <c r="DE11" s="34">
        <f>HLOOKUP(DE$7+0.5,$I$66:$DJ$120,ROWS($A$10:$A11)+2,FALSE)</f>
        <v>1577</v>
      </c>
      <c r="DF11" s="34">
        <f>HLOOKUP(DF$7+0.5,$I$66:$DJ$120,ROWS($A$10:$A11)+2,FALSE)</f>
        <v>684</v>
      </c>
      <c r="DG11" s="34">
        <f>HLOOKUP(DG$7+0.5,$I$66:$DJ$120,ROWS($A$10:$A11)+2,FALSE)</f>
        <v>156</v>
      </c>
      <c r="DH11" s="34">
        <f>HLOOKUP(DH$7+0.5,$I$66:$DJ$120,ROWS($A$10:$A11)+2,FALSE)</f>
        <v>605</v>
      </c>
      <c r="DI11" s="34">
        <f>HLOOKUP(DI$7+0.5,$I$66:$DJ$120,ROWS($A$10:$A11)+2,FALSE)</f>
        <v>107</v>
      </c>
      <c r="DJ11" s="34">
        <f>HLOOKUP(DJ$7+0.5,$I$66:$DJ$120,ROWS($A$10:$A11)+2,FALSE)</f>
        <v>551</v>
      </c>
    </row>
    <row r="12" spans="2:114" x14ac:dyDescent="0.25">
      <c r="B12" s="38" t="s">
        <v>8</v>
      </c>
      <c r="C12" s="16">
        <v>721186</v>
      </c>
      <c r="D12" s="17">
        <v>1290</v>
      </c>
      <c r="E12" s="16">
        <v>592551</v>
      </c>
      <c r="F12" s="17">
        <v>8741</v>
      </c>
      <c r="G12" s="16">
        <v>90613</v>
      </c>
      <c r="H12" s="17">
        <v>7239</v>
      </c>
      <c r="I12" s="36">
        <f>HLOOKUP(I$7,$I$66:$DJ$120,ROWS($A$10:$A12)+2,FALSE)</f>
        <v>33415</v>
      </c>
      <c r="J12" s="25">
        <f>HLOOKUP(J$7,$I$66:$DJ$120,ROWS($A$10:$A12)+2,FALSE)</f>
        <v>1097</v>
      </c>
      <c r="K12" s="25" t="str">
        <f>HLOOKUP(K$7,$I$66:$DJ$120,ROWS($A$10:$A12)+2,FALSE)</f>
        <v>N/A</v>
      </c>
      <c r="L12" s="25">
        <f>HLOOKUP(L$7,$I$66:$DJ$120,ROWS($A$10:$A12)+2,FALSE)</f>
        <v>1520</v>
      </c>
      <c r="M12" s="25">
        <f>HLOOKUP(M$7,$I$66:$DJ$120,ROWS($A$10:$A12)+2,FALSE)</f>
        <v>196</v>
      </c>
      <c r="N12" s="25">
        <f>HLOOKUP(N$7,$I$66:$DJ$120,ROWS($A$10:$A12)+2,FALSE)</f>
        <v>3494</v>
      </c>
      <c r="O12" s="25">
        <f>HLOOKUP(O$7,$I$66:$DJ$120,ROWS($A$10:$A12)+2,FALSE)</f>
        <v>556</v>
      </c>
      <c r="P12" s="25">
        <f>HLOOKUP(P$7,$I$66:$DJ$120,ROWS($A$10:$A12)+2,FALSE)</f>
        <v>0</v>
      </c>
      <c r="Q12" s="25">
        <f>HLOOKUP(Q$7,$I$66:$DJ$120,ROWS($A$10:$A12)+2,FALSE)</f>
        <v>0</v>
      </c>
      <c r="R12" s="25">
        <f>HLOOKUP(R$7,$I$66:$DJ$120,ROWS($A$10:$A12)+2,FALSE)</f>
        <v>356</v>
      </c>
      <c r="S12" s="25">
        <f>HLOOKUP(S$7,$I$66:$DJ$120,ROWS($A$10:$A12)+2,FALSE)</f>
        <v>1991</v>
      </c>
      <c r="T12" s="25">
        <f>HLOOKUP(T$7,$I$66:$DJ$120,ROWS($A$10:$A12)+2,FALSE)</f>
        <v>928</v>
      </c>
      <c r="U12" s="25">
        <f>HLOOKUP(U$7,$I$66:$DJ$120,ROWS($A$10:$A12)+2,FALSE)</f>
        <v>1376</v>
      </c>
      <c r="V12" s="25">
        <f>HLOOKUP(V$7,$I$66:$DJ$120,ROWS($A$10:$A12)+2,FALSE)</f>
        <v>538</v>
      </c>
      <c r="W12" s="25">
        <f>HLOOKUP(W$7,$I$66:$DJ$120,ROWS($A$10:$A12)+2,FALSE)</f>
        <v>58</v>
      </c>
      <c r="X12" s="25">
        <f>HLOOKUP(X$7,$I$66:$DJ$120,ROWS($A$10:$A12)+2,FALSE)</f>
        <v>260</v>
      </c>
      <c r="Y12" s="25">
        <f>HLOOKUP(Y$7,$I$66:$DJ$120,ROWS($A$10:$A12)+2,FALSE)</f>
        <v>13</v>
      </c>
      <c r="Z12" s="25">
        <f>HLOOKUP(Z$7,$I$66:$DJ$120,ROWS($A$10:$A12)+2,FALSE)</f>
        <v>221</v>
      </c>
      <c r="AA12" s="25">
        <f>HLOOKUP(AA$7,$I$66:$DJ$120,ROWS($A$10:$A12)+2,FALSE)</f>
        <v>161</v>
      </c>
      <c r="AB12" s="25">
        <f>HLOOKUP(AB$7,$I$66:$DJ$120,ROWS($A$10:$A12)+2,FALSE)</f>
        <v>120</v>
      </c>
      <c r="AC12" s="25">
        <f>HLOOKUP(AC$7,$I$66:$DJ$120,ROWS($A$10:$A12)+2,FALSE)</f>
        <v>66</v>
      </c>
      <c r="AD12" s="25">
        <f>HLOOKUP(AD$7,$I$66:$DJ$120,ROWS($A$10:$A12)+2,FALSE)</f>
        <v>508</v>
      </c>
      <c r="AE12" s="25">
        <f>HLOOKUP(AE$7,$I$66:$DJ$120,ROWS($A$10:$A12)+2,FALSE)</f>
        <v>297</v>
      </c>
      <c r="AF12" s="25">
        <f>HLOOKUP(AF$7,$I$66:$DJ$120,ROWS($A$10:$A12)+2,FALSE)</f>
        <v>563</v>
      </c>
      <c r="AG12" s="25">
        <f>HLOOKUP(AG$7,$I$66:$DJ$120,ROWS($A$10:$A12)+2,FALSE)</f>
        <v>192</v>
      </c>
      <c r="AH12" s="25">
        <f>HLOOKUP(AH$7,$I$66:$DJ$120,ROWS($A$10:$A12)+2,FALSE)</f>
        <v>56</v>
      </c>
      <c r="AI12" s="25">
        <f>HLOOKUP(AI$7,$I$66:$DJ$120,ROWS($A$10:$A12)+2,FALSE)</f>
        <v>819</v>
      </c>
      <c r="AJ12" s="25">
        <f>HLOOKUP(AJ$7,$I$66:$DJ$120,ROWS($A$10:$A12)+2,FALSE)</f>
        <v>371</v>
      </c>
      <c r="AK12" s="25">
        <f>HLOOKUP(AK$7,$I$66:$DJ$120,ROWS($A$10:$A12)+2,FALSE)</f>
        <v>1195</v>
      </c>
      <c r="AL12" s="25">
        <f>HLOOKUP(AL$7,$I$66:$DJ$120,ROWS($A$10:$A12)+2,FALSE)</f>
        <v>803</v>
      </c>
      <c r="AM12" s="25">
        <f>HLOOKUP(AM$7,$I$66:$DJ$120,ROWS($A$10:$A12)+2,FALSE)</f>
        <v>118</v>
      </c>
      <c r="AN12" s="25">
        <f>HLOOKUP(AN$7,$I$66:$DJ$120,ROWS($A$10:$A12)+2,FALSE)</f>
        <v>116</v>
      </c>
      <c r="AO12" s="25">
        <f>HLOOKUP(AO$7,$I$66:$DJ$120,ROWS($A$10:$A12)+2,FALSE)</f>
        <v>263</v>
      </c>
      <c r="AP12" s="25">
        <f>HLOOKUP(AP$7,$I$66:$DJ$120,ROWS($A$10:$A12)+2,FALSE)</f>
        <v>736</v>
      </c>
      <c r="AQ12" s="25">
        <f>HLOOKUP(AQ$7,$I$66:$DJ$120,ROWS($A$10:$A12)+2,FALSE)</f>
        <v>920</v>
      </c>
      <c r="AR12" s="25">
        <f>HLOOKUP(AR$7,$I$66:$DJ$120,ROWS($A$10:$A12)+2,FALSE)</f>
        <v>264</v>
      </c>
      <c r="AS12" s="25">
        <f>HLOOKUP(AS$7,$I$66:$DJ$120,ROWS($A$10:$A12)+2,FALSE)</f>
        <v>1316</v>
      </c>
      <c r="AT12" s="25">
        <f>HLOOKUP(AT$7,$I$66:$DJ$120,ROWS($A$10:$A12)+2,FALSE)</f>
        <v>335</v>
      </c>
      <c r="AU12" s="25">
        <f>HLOOKUP(AU$7,$I$66:$DJ$120,ROWS($A$10:$A12)+2,FALSE)</f>
        <v>3174</v>
      </c>
      <c r="AV12" s="25">
        <f>HLOOKUP(AV$7,$I$66:$DJ$120,ROWS($A$10:$A12)+2,FALSE)</f>
        <v>255</v>
      </c>
      <c r="AW12" s="25">
        <f>HLOOKUP(AW$7,$I$66:$DJ$120,ROWS($A$10:$A12)+2,FALSE)</f>
        <v>0</v>
      </c>
      <c r="AX12" s="25">
        <f>HLOOKUP(AX$7,$I$66:$DJ$120,ROWS($A$10:$A12)+2,FALSE)</f>
        <v>384</v>
      </c>
      <c r="AY12" s="25">
        <f>HLOOKUP(AY$7,$I$66:$DJ$120,ROWS($A$10:$A12)+2,FALSE)</f>
        <v>99</v>
      </c>
      <c r="AZ12" s="25">
        <f>HLOOKUP(AZ$7,$I$66:$DJ$120,ROWS($A$10:$A12)+2,FALSE)</f>
        <v>451</v>
      </c>
      <c r="BA12" s="25">
        <f>HLOOKUP(BA$7,$I$66:$DJ$120,ROWS($A$10:$A12)+2,FALSE)</f>
        <v>1488</v>
      </c>
      <c r="BB12" s="25">
        <f>HLOOKUP(BB$7,$I$66:$DJ$120,ROWS($A$10:$A12)+2,FALSE)</f>
        <v>330</v>
      </c>
      <c r="BC12" s="25">
        <f>HLOOKUP(BC$7,$I$66:$DJ$120,ROWS($A$10:$A12)+2,FALSE)</f>
        <v>79</v>
      </c>
      <c r="BD12" s="25">
        <f>HLOOKUP(BD$7,$I$66:$DJ$120,ROWS($A$10:$A12)+2,FALSE)</f>
        <v>1265</v>
      </c>
      <c r="BE12" s="25">
        <f>HLOOKUP(BE$7,$I$66:$DJ$120,ROWS($A$10:$A12)+2,FALSE)</f>
        <v>3725</v>
      </c>
      <c r="BF12" s="25">
        <f>HLOOKUP(BF$7,$I$66:$DJ$120,ROWS($A$10:$A12)+2,FALSE)</f>
        <v>0</v>
      </c>
      <c r="BG12" s="25">
        <f>HLOOKUP(BG$7,$I$66:$DJ$120,ROWS($A$10:$A12)+2,FALSE)</f>
        <v>206</v>
      </c>
      <c r="BH12" s="25">
        <f>HLOOKUP(BH$7,$I$66:$DJ$120,ROWS($A$10:$A12)+2,FALSE)</f>
        <v>136</v>
      </c>
      <c r="BI12" s="25">
        <f>HLOOKUP(BI$7,$I$66:$DJ$120,ROWS($A$10:$A12)+2,FALSE)</f>
        <v>25</v>
      </c>
      <c r="BJ12" s="34">
        <f>HLOOKUP(BJ$7+0.5,$I$66:$DJ$120,ROWS($A$10:$A12)+2,FALSE)</f>
        <v>4385</v>
      </c>
      <c r="BK12" s="34">
        <f>HLOOKUP(BK$7+0.5,$I$66:$DJ$120,ROWS($A$10:$A12)+2,FALSE)</f>
        <v>825</v>
      </c>
      <c r="BL12" s="34" t="str">
        <f>HLOOKUP(BL$7+0.5,$I$66:$DJ$120,ROWS($A$10:$A12)+2,FALSE)</f>
        <v>N/A</v>
      </c>
      <c r="BM12" s="34">
        <f>HLOOKUP(BM$7+0.5,$I$66:$DJ$120,ROWS($A$10:$A12)+2,FALSE)</f>
        <v>1441</v>
      </c>
      <c r="BN12" s="34">
        <f>HLOOKUP(BN$7+0.5,$I$66:$DJ$120,ROWS($A$10:$A12)+2,FALSE)</f>
        <v>202</v>
      </c>
      <c r="BO12" s="34">
        <f>HLOOKUP(BO$7+0.5,$I$66:$DJ$120,ROWS($A$10:$A12)+2,FALSE)</f>
        <v>1643</v>
      </c>
      <c r="BP12" s="34">
        <f>HLOOKUP(BP$7+0.5,$I$66:$DJ$120,ROWS($A$10:$A12)+2,FALSE)</f>
        <v>279</v>
      </c>
      <c r="BQ12" s="34">
        <f>HLOOKUP(BQ$7+0.5,$I$66:$DJ$120,ROWS($A$10:$A12)+2,FALSE)</f>
        <v>143</v>
      </c>
      <c r="BR12" s="34">
        <f>HLOOKUP(BR$7+0.5,$I$66:$DJ$120,ROWS($A$10:$A12)+2,FALSE)</f>
        <v>143</v>
      </c>
      <c r="BS12" s="34">
        <f>HLOOKUP(BS$7+0.5,$I$66:$DJ$120,ROWS($A$10:$A12)+2,FALSE)</f>
        <v>459</v>
      </c>
      <c r="BT12" s="34">
        <f>HLOOKUP(BT$7+0.5,$I$66:$DJ$120,ROWS($A$10:$A12)+2,FALSE)</f>
        <v>942</v>
      </c>
      <c r="BU12" s="34">
        <f>HLOOKUP(BU$7+0.5,$I$66:$DJ$120,ROWS($A$10:$A12)+2,FALSE)</f>
        <v>894</v>
      </c>
      <c r="BV12" s="34">
        <f>HLOOKUP(BV$7+0.5,$I$66:$DJ$120,ROWS($A$10:$A12)+2,FALSE)</f>
        <v>805</v>
      </c>
      <c r="BW12" s="34">
        <f>HLOOKUP(BW$7+0.5,$I$66:$DJ$120,ROWS($A$10:$A12)+2,FALSE)</f>
        <v>387</v>
      </c>
      <c r="BX12" s="34">
        <f>HLOOKUP(BX$7+0.5,$I$66:$DJ$120,ROWS($A$10:$A12)+2,FALSE)</f>
        <v>118</v>
      </c>
      <c r="BY12" s="34">
        <f>HLOOKUP(BY$7+0.5,$I$66:$DJ$120,ROWS($A$10:$A12)+2,FALSE)</f>
        <v>235</v>
      </c>
      <c r="BZ12" s="34">
        <f>HLOOKUP(BZ$7+0.5,$I$66:$DJ$120,ROWS($A$10:$A12)+2,FALSE)</f>
        <v>24</v>
      </c>
      <c r="CA12" s="34">
        <f>HLOOKUP(CA$7+0.5,$I$66:$DJ$120,ROWS($A$10:$A12)+2,FALSE)</f>
        <v>272</v>
      </c>
      <c r="CB12" s="34">
        <f>HLOOKUP(CB$7+0.5,$I$66:$DJ$120,ROWS($A$10:$A12)+2,FALSE)</f>
        <v>196</v>
      </c>
      <c r="CC12" s="34">
        <f>HLOOKUP(CC$7+0.5,$I$66:$DJ$120,ROWS($A$10:$A12)+2,FALSE)</f>
        <v>145</v>
      </c>
      <c r="CD12" s="34">
        <f>HLOOKUP(CD$7+0.5,$I$66:$DJ$120,ROWS($A$10:$A12)+2,FALSE)</f>
        <v>62</v>
      </c>
      <c r="CE12" s="34">
        <f>HLOOKUP(CE$7+0.5,$I$66:$DJ$120,ROWS($A$10:$A12)+2,FALSE)</f>
        <v>591</v>
      </c>
      <c r="CF12" s="34">
        <f>HLOOKUP(CF$7+0.5,$I$66:$DJ$120,ROWS($A$10:$A12)+2,FALSE)</f>
        <v>289</v>
      </c>
      <c r="CG12" s="34">
        <f>HLOOKUP(CG$7+0.5,$I$66:$DJ$120,ROWS($A$10:$A12)+2,FALSE)</f>
        <v>426</v>
      </c>
      <c r="CH12" s="34">
        <f>HLOOKUP(CH$7+0.5,$I$66:$DJ$120,ROWS($A$10:$A12)+2,FALSE)</f>
        <v>191</v>
      </c>
      <c r="CI12" s="34">
        <f>HLOOKUP(CI$7+0.5,$I$66:$DJ$120,ROWS($A$10:$A12)+2,FALSE)</f>
        <v>76</v>
      </c>
      <c r="CJ12" s="34">
        <f>HLOOKUP(CJ$7+0.5,$I$66:$DJ$120,ROWS($A$10:$A12)+2,FALSE)</f>
        <v>628</v>
      </c>
      <c r="CK12" s="34">
        <f>HLOOKUP(CK$7+0.5,$I$66:$DJ$120,ROWS($A$10:$A12)+2,FALSE)</f>
        <v>334</v>
      </c>
      <c r="CL12" s="34">
        <f>HLOOKUP(CL$7+0.5,$I$66:$DJ$120,ROWS($A$10:$A12)+2,FALSE)</f>
        <v>1128</v>
      </c>
      <c r="CM12" s="34">
        <f>HLOOKUP(CM$7+0.5,$I$66:$DJ$120,ROWS($A$10:$A12)+2,FALSE)</f>
        <v>382</v>
      </c>
      <c r="CN12" s="34">
        <f>HLOOKUP(CN$7+0.5,$I$66:$DJ$120,ROWS($A$10:$A12)+2,FALSE)</f>
        <v>206</v>
      </c>
      <c r="CO12" s="34">
        <f>HLOOKUP(CO$7+0.5,$I$66:$DJ$120,ROWS($A$10:$A12)+2,FALSE)</f>
        <v>156</v>
      </c>
      <c r="CP12" s="34">
        <f>HLOOKUP(CP$7+0.5,$I$66:$DJ$120,ROWS($A$10:$A12)+2,FALSE)</f>
        <v>219</v>
      </c>
      <c r="CQ12" s="34">
        <f>HLOOKUP(CQ$7+0.5,$I$66:$DJ$120,ROWS($A$10:$A12)+2,FALSE)</f>
        <v>576</v>
      </c>
      <c r="CR12" s="34">
        <f>HLOOKUP(CR$7+0.5,$I$66:$DJ$120,ROWS($A$10:$A12)+2,FALSE)</f>
        <v>784</v>
      </c>
      <c r="CS12" s="34">
        <f>HLOOKUP(CS$7+0.5,$I$66:$DJ$120,ROWS($A$10:$A12)+2,FALSE)</f>
        <v>359</v>
      </c>
      <c r="CT12" s="34">
        <f>HLOOKUP(CT$7+0.5,$I$66:$DJ$120,ROWS($A$10:$A12)+2,FALSE)</f>
        <v>757</v>
      </c>
      <c r="CU12" s="34">
        <f>HLOOKUP(CU$7+0.5,$I$66:$DJ$120,ROWS($A$10:$A12)+2,FALSE)</f>
        <v>252</v>
      </c>
      <c r="CV12" s="34">
        <f>HLOOKUP(CV$7+0.5,$I$66:$DJ$120,ROWS($A$10:$A12)+2,FALSE)</f>
        <v>1510</v>
      </c>
      <c r="CW12" s="34">
        <f>HLOOKUP(CW$7+0.5,$I$66:$DJ$120,ROWS($A$10:$A12)+2,FALSE)</f>
        <v>240</v>
      </c>
      <c r="CX12" s="34">
        <f>HLOOKUP(CX$7+0.5,$I$66:$DJ$120,ROWS($A$10:$A12)+2,FALSE)</f>
        <v>143</v>
      </c>
      <c r="CY12" s="34">
        <f>HLOOKUP(CY$7+0.5,$I$66:$DJ$120,ROWS($A$10:$A12)+2,FALSE)</f>
        <v>394</v>
      </c>
      <c r="CZ12" s="34">
        <f>HLOOKUP(CZ$7+0.5,$I$66:$DJ$120,ROWS($A$10:$A12)+2,FALSE)</f>
        <v>123</v>
      </c>
      <c r="DA12" s="34">
        <f>HLOOKUP(DA$7+0.5,$I$66:$DJ$120,ROWS($A$10:$A12)+2,FALSE)</f>
        <v>413</v>
      </c>
      <c r="DB12" s="34">
        <f>HLOOKUP(DB$7+0.5,$I$66:$DJ$120,ROWS($A$10:$A12)+2,FALSE)</f>
        <v>760</v>
      </c>
      <c r="DC12" s="34">
        <f>HLOOKUP(DC$7+0.5,$I$66:$DJ$120,ROWS($A$10:$A12)+2,FALSE)</f>
        <v>347</v>
      </c>
      <c r="DD12" s="34">
        <f>HLOOKUP(DD$7+0.5,$I$66:$DJ$120,ROWS($A$10:$A12)+2,FALSE)</f>
        <v>108</v>
      </c>
      <c r="DE12" s="34">
        <f>HLOOKUP(DE$7+0.5,$I$66:$DJ$120,ROWS($A$10:$A12)+2,FALSE)</f>
        <v>674</v>
      </c>
      <c r="DF12" s="34">
        <f>HLOOKUP(DF$7+0.5,$I$66:$DJ$120,ROWS($A$10:$A12)+2,FALSE)</f>
        <v>1488</v>
      </c>
      <c r="DG12" s="34">
        <f>HLOOKUP(DG$7+0.5,$I$66:$DJ$120,ROWS($A$10:$A12)+2,FALSE)</f>
        <v>143</v>
      </c>
      <c r="DH12" s="34">
        <f>HLOOKUP(DH$7+0.5,$I$66:$DJ$120,ROWS($A$10:$A12)+2,FALSE)</f>
        <v>261</v>
      </c>
      <c r="DI12" s="34">
        <f>HLOOKUP(DI$7+0.5,$I$66:$DJ$120,ROWS($A$10:$A12)+2,FALSE)</f>
        <v>217</v>
      </c>
      <c r="DJ12" s="34">
        <f>HLOOKUP(DJ$7+0.5,$I$66:$DJ$120,ROWS($A$10:$A12)+2,FALSE)</f>
        <v>43</v>
      </c>
    </row>
    <row r="13" spans="2:114" x14ac:dyDescent="0.25">
      <c r="B13" s="38" t="s">
        <v>9</v>
      </c>
      <c r="C13" s="16">
        <v>6468907</v>
      </c>
      <c r="D13" s="17">
        <v>3874</v>
      </c>
      <c r="E13" s="16">
        <v>5242674</v>
      </c>
      <c r="F13" s="17">
        <v>32185</v>
      </c>
      <c r="G13" s="16">
        <v>953789</v>
      </c>
      <c r="H13" s="17">
        <v>28803</v>
      </c>
      <c r="I13" s="36">
        <f>HLOOKUP(I$7,$I$66:$DJ$120,ROWS($A$10:$A13)+2,FALSE)</f>
        <v>232457</v>
      </c>
      <c r="J13" s="25">
        <f>HLOOKUP(J$7,$I$66:$DJ$120,ROWS($A$10:$A13)+2,FALSE)</f>
        <v>1331</v>
      </c>
      <c r="K13" s="25">
        <f>HLOOKUP(K$7,$I$66:$DJ$120,ROWS($A$10:$A13)+2,FALSE)</f>
        <v>3717</v>
      </c>
      <c r="L13" s="25" t="str">
        <f>HLOOKUP(L$7,$I$66:$DJ$120,ROWS($A$10:$A13)+2,FALSE)</f>
        <v>N/A</v>
      </c>
      <c r="M13" s="25">
        <f>HLOOKUP(M$7,$I$66:$DJ$120,ROWS($A$10:$A13)+2,FALSE)</f>
        <v>1214</v>
      </c>
      <c r="N13" s="25">
        <f>HLOOKUP(N$7,$I$66:$DJ$120,ROWS($A$10:$A13)+2,FALSE)</f>
        <v>44889</v>
      </c>
      <c r="O13" s="25">
        <f>HLOOKUP(O$7,$I$66:$DJ$120,ROWS($A$10:$A13)+2,FALSE)</f>
        <v>13790</v>
      </c>
      <c r="P13" s="25">
        <f>HLOOKUP(P$7,$I$66:$DJ$120,ROWS($A$10:$A13)+2,FALSE)</f>
        <v>417</v>
      </c>
      <c r="Q13" s="25">
        <f>HLOOKUP(Q$7,$I$66:$DJ$120,ROWS($A$10:$A13)+2,FALSE)</f>
        <v>246</v>
      </c>
      <c r="R13" s="25">
        <f>HLOOKUP(R$7,$I$66:$DJ$120,ROWS($A$10:$A13)+2,FALSE)</f>
        <v>36</v>
      </c>
      <c r="S13" s="25">
        <f>HLOOKUP(S$7,$I$66:$DJ$120,ROWS($A$10:$A13)+2,FALSE)</f>
        <v>5553</v>
      </c>
      <c r="T13" s="25">
        <f>HLOOKUP(T$7,$I$66:$DJ$120,ROWS($A$10:$A13)+2,FALSE)</f>
        <v>2263</v>
      </c>
      <c r="U13" s="25">
        <f>HLOOKUP(U$7,$I$66:$DJ$120,ROWS($A$10:$A13)+2,FALSE)</f>
        <v>2491</v>
      </c>
      <c r="V13" s="25">
        <f>HLOOKUP(V$7,$I$66:$DJ$120,ROWS($A$10:$A13)+2,FALSE)</f>
        <v>2934</v>
      </c>
      <c r="W13" s="25">
        <f>HLOOKUP(W$7,$I$66:$DJ$120,ROWS($A$10:$A13)+2,FALSE)</f>
        <v>10744</v>
      </c>
      <c r="X13" s="25">
        <f>HLOOKUP(X$7,$I$66:$DJ$120,ROWS($A$10:$A13)+2,FALSE)</f>
        <v>2930</v>
      </c>
      <c r="Y13" s="25">
        <f>HLOOKUP(Y$7,$I$66:$DJ$120,ROWS($A$10:$A13)+2,FALSE)</f>
        <v>2702</v>
      </c>
      <c r="Z13" s="25">
        <f>HLOOKUP(Z$7,$I$66:$DJ$120,ROWS($A$10:$A13)+2,FALSE)</f>
        <v>2498</v>
      </c>
      <c r="AA13" s="25">
        <f>HLOOKUP(AA$7,$I$66:$DJ$120,ROWS($A$10:$A13)+2,FALSE)</f>
        <v>1328</v>
      </c>
      <c r="AB13" s="25">
        <f>HLOOKUP(AB$7,$I$66:$DJ$120,ROWS($A$10:$A13)+2,FALSE)</f>
        <v>724</v>
      </c>
      <c r="AC13" s="25">
        <f>HLOOKUP(AC$7,$I$66:$DJ$120,ROWS($A$10:$A13)+2,FALSE)</f>
        <v>616</v>
      </c>
      <c r="AD13" s="25">
        <f>HLOOKUP(AD$7,$I$66:$DJ$120,ROWS($A$10:$A13)+2,FALSE)</f>
        <v>3007</v>
      </c>
      <c r="AE13" s="25">
        <f>HLOOKUP(AE$7,$I$66:$DJ$120,ROWS($A$10:$A13)+2,FALSE)</f>
        <v>1961</v>
      </c>
      <c r="AF13" s="25">
        <f>HLOOKUP(AF$7,$I$66:$DJ$120,ROWS($A$10:$A13)+2,FALSE)</f>
        <v>9598</v>
      </c>
      <c r="AG13" s="25">
        <f>HLOOKUP(AG$7,$I$66:$DJ$120,ROWS($A$10:$A13)+2,FALSE)</f>
        <v>8570</v>
      </c>
      <c r="AH13" s="25">
        <f>HLOOKUP(AH$7,$I$66:$DJ$120,ROWS($A$10:$A13)+2,FALSE)</f>
        <v>293</v>
      </c>
      <c r="AI13" s="25">
        <f>HLOOKUP(AI$7,$I$66:$DJ$120,ROWS($A$10:$A13)+2,FALSE)</f>
        <v>2595</v>
      </c>
      <c r="AJ13" s="25">
        <f>HLOOKUP(AJ$7,$I$66:$DJ$120,ROWS($A$10:$A13)+2,FALSE)</f>
        <v>1118</v>
      </c>
      <c r="AK13" s="25">
        <f>HLOOKUP(AK$7,$I$66:$DJ$120,ROWS($A$10:$A13)+2,FALSE)</f>
        <v>2293</v>
      </c>
      <c r="AL13" s="25">
        <f>HLOOKUP(AL$7,$I$66:$DJ$120,ROWS($A$10:$A13)+2,FALSE)</f>
        <v>6712</v>
      </c>
      <c r="AM13" s="25">
        <f>HLOOKUP(AM$7,$I$66:$DJ$120,ROWS($A$10:$A13)+2,FALSE)</f>
        <v>510</v>
      </c>
      <c r="AN13" s="25">
        <f>HLOOKUP(AN$7,$I$66:$DJ$120,ROWS($A$10:$A13)+2,FALSE)</f>
        <v>2564</v>
      </c>
      <c r="AO13" s="25">
        <f>HLOOKUP(AO$7,$I$66:$DJ$120,ROWS($A$10:$A13)+2,FALSE)</f>
        <v>6946</v>
      </c>
      <c r="AP13" s="25">
        <f>HLOOKUP(AP$7,$I$66:$DJ$120,ROWS($A$10:$A13)+2,FALSE)</f>
        <v>7402</v>
      </c>
      <c r="AQ13" s="25">
        <f>HLOOKUP(AQ$7,$I$66:$DJ$120,ROWS($A$10:$A13)+2,FALSE)</f>
        <v>2721</v>
      </c>
      <c r="AR13" s="25">
        <f>HLOOKUP(AR$7,$I$66:$DJ$120,ROWS($A$10:$A13)+2,FALSE)</f>
        <v>877</v>
      </c>
      <c r="AS13" s="25">
        <f>HLOOKUP(AS$7,$I$66:$DJ$120,ROWS($A$10:$A13)+2,FALSE)</f>
        <v>7906</v>
      </c>
      <c r="AT13" s="25">
        <f>HLOOKUP(AT$7,$I$66:$DJ$120,ROWS($A$10:$A13)+2,FALSE)</f>
        <v>1626</v>
      </c>
      <c r="AU13" s="25">
        <f>HLOOKUP(AU$7,$I$66:$DJ$120,ROWS($A$10:$A13)+2,FALSE)</f>
        <v>8587</v>
      </c>
      <c r="AV13" s="25">
        <f>HLOOKUP(AV$7,$I$66:$DJ$120,ROWS($A$10:$A13)+2,FALSE)</f>
        <v>4280</v>
      </c>
      <c r="AW13" s="25">
        <f>HLOOKUP(AW$7,$I$66:$DJ$120,ROWS($A$10:$A13)+2,FALSE)</f>
        <v>614</v>
      </c>
      <c r="AX13" s="25">
        <f>HLOOKUP(AX$7,$I$66:$DJ$120,ROWS($A$10:$A13)+2,FALSE)</f>
        <v>1070</v>
      </c>
      <c r="AY13" s="25">
        <f>HLOOKUP(AY$7,$I$66:$DJ$120,ROWS($A$10:$A13)+2,FALSE)</f>
        <v>1472</v>
      </c>
      <c r="AZ13" s="25">
        <f>HLOOKUP(AZ$7,$I$66:$DJ$120,ROWS($A$10:$A13)+2,FALSE)</f>
        <v>5075</v>
      </c>
      <c r="BA13" s="25">
        <f>HLOOKUP(BA$7,$I$66:$DJ$120,ROWS($A$10:$A13)+2,FALSE)</f>
        <v>14788</v>
      </c>
      <c r="BB13" s="25">
        <f>HLOOKUP(BB$7,$I$66:$DJ$120,ROWS($A$10:$A13)+2,FALSE)</f>
        <v>5916</v>
      </c>
      <c r="BC13" s="25">
        <f>HLOOKUP(BC$7,$I$66:$DJ$120,ROWS($A$10:$A13)+2,FALSE)</f>
        <v>207</v>
      </c>
      <c r="BD13" s="25">
        <f>HLOOKUP(BD$7,$I$66:$DJ$120,ROWS($A$10:$A13)+2,FALSE)</f>
        <v>2763</v>
      </c>
      <c r="BE13" s="25">
        <f>HLOOKUP(BE$7,$I$66:$DJ$120,ROWS($A$10:$A13)+2,FALSE)</f>
        <v>13247</v>
      </c>
      <c r="BF13" s="25">
        <f>HLOOKUP(BF$7,$I$66:$DJ$120,ROWS($A$10:$A13)+2,FALSE)</f>
        <v>765</v>
      </c>
      <c r="BG13" s="25">
        <f>HLOOKUP(BG$7,$I$66:$DJ$120,ROWS($A$10:$A13)+2,FALSE)</f>
        <v>3765</v>
      </c>
      <c r="BH13" s="25">
        <f>HLOOKUP(BH$7,$I$66:$DJ$120,ROWS($A$10:$A13)+2,FALSE)</f>
        <v>2786</v>
      </c>
      <c r="BI13" s="25">
        <f>HLOOKUP(BI$7,$I$66:$DJ$120,ROWS($A$10:$A13)+2,FALSE)</f>
        <v>1791</v>
      </c>
      <c r="BJ13" s="34">
        <f>HLOOKUP(BJ$7+0.5,$I$66:$DJ$120,ROWS($A$10:$A13)+2,FALSE)</f>
        <v>14183</v>
      </c>
      <c r="BK13" s="34">
        <f>HLOOKUP(BK$7+0.5,$I$66:$DJ$120,ROWS($A$10:$A13)+2,FALSE)</f>
        <v>1286</v>
      </c>
      <c r="BL13" s="34">
        <f>HLOOKUP(BL$7+0.5,$I$66:$DJ$120,ROWS($A$10:$A13)+2,FALSE)</f>
        <v>1505</v>
      </c>
      <c r="BM13" s="34" t="str">
        <f>HLOOKUP(BM$7+0.5,$I$66:$DJ$120,ROWS($A$10:$A13)+2,FALSE)</f>
        <v>N/A</v>
      </c>
      <c r="BN13" s="34">
        <f>HLOOKUP(BN$7+0.5,$I$66:$DJ$120,ROWS($A$10:$A13)+2,FALSE)</f>
        <v>659</v>
      </c>
      <c r="BO13" s="34">
        <f>HLOOKUP(BO$7+0.5,$I$66:$DJ$120,ROWS($A$10:$A13)+2,FALSE)</f>
        <v>5435</v>
      </c>
      <c r="BP13" s="34">
        <f>HLOOKUP(BP$7+0.5,$I$66:$DJ$120,ROWS($A$10:$A13)+2,FALSE)</f>
        <v>6133</v>
      </c>
      <c r="BQ13" s="34">
        <f>HLOOKUP(BQ$7+0.5,$I$66:$DJ$120,ROWS($A$10:$A13)+2,FALSE)</f>
        <v>309</v>
      </c>
      <c r="BR13" s="34">
        <f>HLOOKUP(BR$7+0.5,$I$66:$DJ$120,ROWS($A$10:$A13)+2,FALSE)</f>
        <v>215</v>
      </c>
      <c r="BS13" s="34">
        <f>HLOOKUP(BS$7+0.5,$I$66:$DJ$120,ROWS($A$10:$A13)+2,FALSE)</f>
        <v>60</v>
      </c>
      <c r="BT13" s="34">
        <f>HLOOKUP(BT$7+0.5,$I$66:$DJ$120,ROWS($A$10:$A13)+2,FALSE)</f>
        <v>2160</v>
      </c>
      <c r="BU13" s="34">
        <f>HLOOKUP(BU$7+0.5,$I$66:$DJ$120,ROWS($A$10:$A13)+2,FALSE)</f>
        <v>961</v>
      </c>
      <c r="BV13" s="34">
        <f>HLOOKUP(BV$7+0.5,$I$66:$DJ$120,ROWS($A$10:$A13)+2,FALSE)</f>
        <v>1285</v>
      </c>
      <c r="BW13" s="34">
        <f>HLOOKUP(BW$7+0.5,$I$66:$DJ$120,ROWS($A$10:$A13)+2,FALSE)</f>
        <v>1362</v>
      </c>
      <c r="BX13" s="34">
        <f>HLOOKUP(BX$7+0.5,$I$66:$DJ$120,ROWS($A$10:$A13)+2,FALSE)</f>
        <v>2614</v>
      </c>
      <c r="BY13" s="34">
        <f>HLOOKUP(BY$7+0.5,$I$66:$DJ$120,ROWS($A$10:$A13)+2,FALSE)</f>
        <v>1447</v>
      </c>
      <c r="BZ13" s="34">
        <f>HLOOKUP(BZ$7+0.5,$I$66:$DJ$120,ROWS($A$10:$A13)+2,FALSE)</f>
        <v>1000</v>
      </c>
      <c r="CA13" s="34">
        <f>HLOOKUP(CA$7+0.5,$I$66:$DJ$120,ROWS($A$10:$A13)+2,FALSE)</f>
        <v>852</v>
      </c>
      <c r="CB13" s="34">
        <f>HLOOKUP(CB$7+0.5,$I$66:$DJ$120,ROWS($A$10:$A13)+2,FALSE)</f>
        <v>997</v>
      </c>
      <c r="CC13" s="34">
        <f>HLOOKUP(CC$7+0.5,$I$66:$DJ$120,ROWS($A$10:$A13)+2,FALSE)</f>
        <v>442</v>
      </c>
      <c r="CD13" s="34">
        <f>HLOOKUP(CD$7+0.5,$I$66:$DJ$120,ROWS($A$10:$A13)+2,FALSE)</f>
        <v>593</v>
      </c>
      <c r="CE13" s="34">
        <f>HLOOKUP(CE$7+0.5,$I$66:$DJ$120,ROWS($A$10:$A13)+2,FALSE)</f>
        <v>1288</v>
      </c>
      <c r="CF13" s="34">
        <f>HLOOKUP(CF$7+0.5,$I$66:$DJ$120,ROWS($A$10:$A13)+2,FALSE)</f>
        <v>1083</v>
      </c>
      <c r="CG13" s="34">
        <f>HLOOKUP(CG$7+0.5,$I$66:$DJ$120,ROWS($A$10:$A13)+2,FALSE)</f>
        <v>3471</v>
      </c>
      <c r="CH13" s="34">
        <f>HLOOKUP(CH$7+0.5,$I$66:$DJ$120,ROWS($A$10:$A13)+2,FALSE)</f>
        <v>3050</v>
      </c>
      <c r="CI13" s="34">
        <f>HLOOKUP(CI$7+0.5,$I$66:$DJ$120,ROWS($A$10:$A13)+2,FALSE)</f>
        <v>215</v>
      </c>
      <c r="CJ13" s="34">
        <f>HLOOKUP(CJ$7+0.5,$I$66:$DJ$120,ROWS($A$10:$A13)+2,FALSE)</f>
        <v>1099</v>
      </c>
      <c r="CK13" s="34">
        <f>HLOOKUP(CK$7+0.5,$I$66:$DJ$120,ROWS($A$10:$A13)+2,FALSE)</f>
        <v>536</v>
      </c>
      <c r="CL13" s="34">
        <f>HLOOKUP(CL$7+0.5,$I$66:$DJ$120,ROWS($A$10:$A13)+2,FALSE)</f>
        <v>1037</v>
      </c>
      <c r="CM13" s="34">
        <f>HLOOKUP(CM$7+0.5,$I$66:$DJ$120,ROWS($A$10:$A13)+2,FALSE)</f>
        <v>2202</v>
      </c>
      <c r="CN13" s="34">
        <f>HLOOKUP(CN$7+0.5,$I$66:$DJ$120,ROWS($A$10:$A13)+2,FALSE)</f>
        <v>443</v>
      </c>
      <c r="CO13" s="34">
        <f>HLOOKUP(CO$7+0.5,$I$66:$DJ$120,ROWS($A$10:$A13)+2,FALSE)</f>
        <v>1085</v>
      </c>
      <c r="CP13" s="34">
        <f>HLOOKUP(CP$7+0.5,$I$66:$DJ$120,ROWS($A$10:$A13)+2,FALSE)</f>
        <v>1907</v>
      </c>
      <c r="CQ13" s="34">
        <f>HLOOKUP(CQ$7+0.5,$I$66:$DJ$120,ROWS($A$10:$A13)+2,FALSE)</f>
        <v>2615</v>
      </c>
      <c r="CR13" s="34">
        <f>HLOOKUP(CR$7+0.5,$I$66:$DJ$120,ROWS($A$10:$A13)+2,FALSE)</f>
        <v>939</v>
      </c>
      <c r="CS13" s="34">
        <f>HLOOKUP(CS$7+0.5,$I$66:$DJ$120,ROWS($A$10:$A13)+2,FALSE)</f>
        <v>444</v>
      </c>
      <c r="CT13" s="34">
        <f>HLOOKUP(CT$7+0.5,$I$66:$DJ$120,ROWS($A$10:$A13)+2,FALSE)</f>
        <v>2239</v>
      </c>
      <c r="CU13" s="34">
        <f>HLOOKUP(CU$7+0.5,$I$66:$DJ$120,ROWS($A$10:$A13)+2,FALSE)</f>
        <v>838</v>
      </c>
      <c r="CV13" s="34">
        <f>HLOOKUP(CV$7+0.5,$I$66:$DJ$120,ROWS($A$10:$A13)+2,FALSE)</f>
        <v>3200</v>
      </c>
      <c r="CW13" s="34">
        <f>HLOOKUP(CW$7+0.5,$I$66:$DJ$120,ROWS($A$10:$A13)+2,FALSE)</f>
        <v>1395</v>
      </c>
      <c r="CX13" s="34">
        <f>HLOOKUP(CX$7+0.5,$I$66:$DJ$120,ROWS($A$10:$A13)+2,FALSE)</f>
        <v>687</v>
      </c>
      <c r="CY13" s="34">
        <f>HLOOKUP(CY$7+0.5,$I$66:$DJ$120,ROWS($A$10:$A13)+2,FALSE)</f>
        <v>573</v>
      </c>
      <c r="CZ13" s="34">
        <f>HLOOKUP(CZ$7+0.5,$I$66:$DJ$120,ROWS($A$10:$A13)+2,FALSE)</f>
        <v>776</v>
      </c>
      <c r="DA13" s="34">
        <f>HLOOKUP(DA$7+0.5,$I$66:$DJ$120,ROWS($A$10:$A13)+2,FALSE)</f>
        <v>1919</v>
      </c>
      <c r="DB13" s="34">
        <f>HLOOKUP(DB$7+0.5,$I$66:$DJ$120,ROWS($A$10:$A13)+2,FALSE)</f>
        <v>3541</v>
      </c>
      <c r="DC13" s="34">
        <f>HLOOKUP(DC$7+0.5,$I$66:$DJ$120,ROWS($A$10:$A13)+2,FALSE)</f>
        <v>1789</v>
      </c>
      <c r="DD13" s="34">
        <f>HLOOKUP(DD$7+0.5,$I$66:$DJ$120,ROWS($A$10:$A13)+2,FALSE)</f>
        <v>291</v>
      </c>
      <c r="DE13" s="34">
        <f>HLOOKUP(DE$7+0.5,$I$66:$DJ$120,ROWS($A$10:$A13)+2,FALSE)</f>
        <v>1031</v>
      </c>
      <c r="DF13" s="34">
        <f>HLOOKUP(DF$7+0.5,$I$66:$DJ$120,ROWS($A$10:$A13)+2,FALSE)</f>
        <v>2448</v>
      </c>
      <c r="DG13" s="34">
        <f>HLOOKUP(DG$7+0.5,$I$66:$DJ$120,ROWS($A$10:$A13)+2,FALSE)</f>
        <v>734</v>
      </c>
      <c r="DH13" s="34">
        <f>HLOOKUP(DH$7+0.5,$I$66:$DJ$120,ROWS($A$10:$A13)+2,FALSE)</f>
        <v>1168</v>
      </c>
      <c r="DI13" s="34">
        <f>HLOOKUP(DI$7+0.5,$I$66:$DJ$120,ROWS($A$10:$A13)+2,FALSE)</f>
        <v>1401</v>
      </c>
      <c r="DJ13" s="34">
        <f>HLOOKUP(DJ$7+0.5,$I$66:$DJ$120,ROWS($A$10:$A13)+2,FALSE)</f>
        <v>1662</v>
      </c>
    </row>
    <row r="14" spans="2:114" x14ac:dyDescent="0.25">
      <c r="B14" s="38" t="s">
        <v>10</v>
      </c>
      <c r="C14" s="16">
        <v>2912680</v>
      </c>
      <c r="D14" s="17">
        <v>2753</v>
      </c>
      <c r="E14" s="16">
        <v>2453347</v>
      </c>
      <c r="F14" s="17">
        <v>16841</v>
      </c>
      <c r="G14" s="16">
        <v>373046</v>
      </c>
      <c r="H14" s="17">
        <v>14543</v>
      </c>
      <c r="I14" s="36">
        <f>HLOOKUP(I$7,$I$66:$DJ$120,ROWS($A$10:$A14)+2,FALSE)</f>
        <v>76948</v>
      </c>
      <c r="J14" s="25">
        <f>HLOOKUP(J$7,$I$66:$DJ$120,ROWS($A$10:$A14)+2,FALSE)</f>
        <v>374</v>
      </c>
      <c r="K14" s="25">
        <f>HLOOKUP(K$7,$I$66:$DJ$120,ROWS($A$10:$A14)+2,FALSE)</f>
        <v>855</v>
      </c>
      <c r="L14" s="25">
        <f>HLOOKUP(L$7,$I$66:$DJ$120,ROWS($A$10:$A14)+2,FALSE)</f>
        <v>1677</v>
      </c>
      <c r="M14" s="25" t="str">
        <f>HLOOKUP(M$7,$I$66:$DJ$120,ROWS($A$10:$A14)+2,FALSE)</f>
        <v>N/A</v>
      </c>
      <c r="N14" s="25">
        <f>HLOOKUP(N$7,$I$66:$DJ$120,ROWS($A$10:$A14)+2,FALSE)</f>
        <v>3525</v>
      </c>
      <c r="O14" s="25">
        <f>HLOOKUP(O$7,$I$66:$DJ$120,ROWS($A$10:$A14)+2,FALSE)</f>
        <v>603</v>
      </c>
      <c r="P14" s="25">
        <f>HLOOKUP(P$7,$I$66:$DJ$120,ROWS($A$10:$A14)+2,FALSE)</f>
        <v>185</v>
      </c>
      <c r="Q14" s="25">
        <f>HLOOKUP(Q$7,$I$66:$DJ$120,ROWS($A$10:$A14)+2,FALSE)</f>
        <v>0</v>
      </c>
      <c r="R14" s="25">
        <f>HLOOKUP(R$7,$I$66:$DJ$120,ROWS($A$10:$A14)+2,FALSE)</f>
        <v>205</v>
      </c>
      <c r="S14" s="25">
        <f>HLOOKUP(S$7,$I$66:$DJ$120,ROWS($A$10:$A14)+2,FALSE)</f>
        <v>2682</v>
      </c>
      <c r="T14" s="25">
        <f>HLOOKUP(T$7,$I$66:$DJ$120,ROWS($A$10:$A14)+2,FALSE)</f>
        <v>1525</v>
      </c>
      <c r="U14" s="25">
        <f>HLOOKUP(U$7,$I$66:$DJ$120,ROWS($A$10:$A14)+2,FALSE)</f>
        <v>0</v>
      </c>
      <c r="V14" s="25">
        <f>HLOOKUP(V$7,$I$66:$DJ$120,ROWS($A$10:$A14)+2,FALSE)</f>
        <v>0</v>
      </c>
      <c r="W14" s="25">
        <f>HLOOKUP(W$7,$I$66:$DJ$120,ROWS($A$10:$A14)+2,FALSE)</f>
        <v>3576</v>
      </c>
      <c r="X14" s="25">
        <f>HLOOKUP(X$7,$I$66:$DJ$120,ROWS($A$10:$A14)+2,FALSE)</f>
        <v>1172</v>
      </c>
      <c r="Y14" s="25">
        <f>HLOOKUP(Y$7,$I$66:$DJ$120,ROWS($A$10:$A14)+2,FALSE)</f>
        <v>409</v>
      </c>
      <c r="Z14" s="25">
        <f>HLOOKUP(Z$7,$I$66:$DJ$120,ROWS($A$10:$A14)+2,FALSE)</f>
        <v>1033</v>
      </c>
      <c r="AA14" s="25">
        <f>HLOOKUP(AA$7,$I$66:$DJ$120,ROWS($A$10:$A14)+2,FALSE)</f>
        <v>1310</v>
      </c>
      <c r="AB14" s="25">
        <f>HLOOKUP(AB$7,$I$66:$DJ$120,ROWS($A$10:$A14)+2,FALSE)</f>
        <v>3953</v>
      </c>
      <c r="AC14" s="25">
        <f>HLOOKUP(AC$7,$I$66:$DJ$120,ROWS($A$10:$A14)+2,FALSE)</f>
        <v>17</v>
      </c>
      <c r="AD14" s="25">
        <f>HLOOKUP(AD$7,$I$66:$DJ$120,ROWS($A$10:$A14)+2,FALSE)</f>
        <v>169</v>
      </c>
      <c r="AE14" s="25">
        <f>HLOOKUP(AE$7,$I$66:$DJ$120,ROWS($A$10:$A14)+2,FALSE)</f>
        <v>254</v>
      </c>
      <c r="AF14" s="25">
        <f>HLOOKUP(AF$7,$I$66:$DJ$120,ROWS($A$10:$A14)+2,FALSE)</f>
        <v>1283</v>
      </c>
      <c r="AG14" s="25">
        <f>HLOOKUP(AG$7,$I$66:$DJ$120,ROWS($A$10:$A14)+2,FALSE)</f>
        <v>295</v>
      </c>
      <c r="AH14" s="25">
        <f>HLOOKUP(AH$7,$I$66:$DJ$120,ROWS($A$10:$A14)+2,FALSE)</f>
        <v>3689</v>
      </c>
      <c r="AI14" s="25">
        <f>HLOOKUP(AI$7,$I$66:$DJ$120,ROWS($A$10:$A14)+2,FALSE)</f>
        <v>9105</v>
      </c>
      <c r="AJ14" s="25">
        <f>HLOOKUP(AJ$7,$I$66:$DJ$120,ROWS($A$10:$A14)+2,FALSE)</f>
        <v>258</v>
      </c>
      <c r="AK14" s="25">
        <f>HLOOKUP(AK$7,$I$66:$DJ$120,ROWS($A$10:$A14)+2,FALSE)</f>
        <v>166</v>
      </c>
      <c r="AL14" s="25">
        <f>HLOOKUP(AL$7,$I$66:$DJ$120,ROWS($A$10:$A14)+2,FALSE)</f>
        <v>121</v>
      </c>
      <c r="AM14" s="25">
        <f>HLOOKUP(AM$7,$I$66:$DJ$120,ROWS($A$10:$A14)+2,FALSE)</f>
        <v>0</v>
      </c>
      <c r="AN14" s="25">
        <f>HLOOKUP(AN$7,$I$66:$DJ$120,ROWS($A$10:$A14)+2,FALSE)</f>
        <v>157</v>
      </c>
      <c r="AO14" s="25">
        <f>HLOOKUP(AO$7,$I$66:$DJ$120,ROWS($A$10:$A14)+2,FALSE)</f>
        <v>547</v>
      </c>
      <c r="AP14" s="25">
        <f>HLOOKUP(AP$7,$I$66:$DJ$120,ROWS($A$10:$A14)+2,FALSE)</f>
        <v>2262</v>
      </c>
      <c r="AQ14" s="25">
        <f>HLOOKUP(AQ$7,$I$66:$DJ$120,ROWS($A$10:$A14)+2,FALSE)</f>
        <v>3057</v>
      </c>
      <c r="AR14" s="25">
        <f>HLOOKUP(AR$7,$I$66:$DJ$120,ROWS($A$10:$A14)+2,FALSE)</f>
        <v>0</v>
      </c>
      <c r="AS14" s="25">
        <f>HLOOKUP(AS$7,$I$66:$DJ$120,ROWS($A$10:$A14)+2,FALSE)</f>
        <v>1135</v>
      </c>
      <c r="AT14" s="25">
        <f>HLOOKUP(AT$7,$I$66:$DJ$120,ROWS($A$10:$A14)+2,FALSE)</f>
        <v>9938</v>
      </c>
      <c r="AU14" s="25">
        <f>HLOOKUP(AU$7,$I$66:$DJ$120,ROWS($A$10:$A14)+2,FALSE)</f>
        <v>193</v>
      </c>
      <c r="AV14" s="25">
        <f>HLOOKUP(AV$7,$I$66:$DJ$120,ROWS($A$10:$A14)+2,FALSE)</f>
        <v>516</v>
      </c>
      <c r="AW14" s="25">
        <f>HLOOKUP(AW$7,$I$66:$DJ$120,ROWS($A$10:$A14)+2,FALSE)</f>
        <v>59</v>
      </c>
      <c r="AX14" s="25">
        <f>HLOOKUP(AX$7,$I$66:$DJ$120,ROWS($A$10:$A14)+2,FALSE)</f>
        <v>52</v>
      </c>
      <c r="AY14" s="25">
        <f>HLOOKUP(AY$7,$I$66:$DJ$120,ROWS($A$10:$A14)+2,FALSE)</f>
        <v>673</v>
      </c>
      <c r="AZ14" s="25">
        <f>HLOOKUP(AZ$7,$I$66:$DJ$120,ROWS($A$10:$A14)+2,FALSE)</f>
        <v>4195</v>
      </c>
      <c r="BA14" s="25">
        <f>HLOOKUP(BA$7,$I$66:$DJ$120,ROWS($A$10:$A14)+2,FALSE)</f>
        <v>11767</v>
      </c>
      <c r="BB14" s="25">
        <f>HLOOKUP(BB$7,$I$66:$DJ$120,ROWS($A$10:$A14)+2,FALSE)</f>
        <v>269</v>
      </c>
      <c r="BC14" s="25">
        <f>HLOOKUP(BC$7,$I$66:$DJ$120,ROWS($A$10:$A14)+2,FALSE)</f>
        <v>0</v>
      </c>
      <c r="BD14" s="25">
        <f>HLOOKUP(BD$7,$I$66:$DJ$120,ROWS($A$10:$A14)+2,FALSE)</f>
        <v>1159</v>
      </c>
      <c r="BE14" s="25">
        <f>HLOOKUP(BE$7,$I$66:$DJ$120,ROWS($A$10:$A14)+2,FALSE)</f>
        <v>251</v>
      </c>
      <c r="BF14" s="25">
        <f>HLOOKUP(BF$7,$I$66:$DJ$120,ROWS($A$10:$A14)+2,FALSE)</f>
        <v>84</v>
      </c>
      <c r="BG14" s="25">
        <f>HLOOKUP(BG$7,$I$66:$DJ$120,ROWS($A$10:$A14)+2,FALSE)</f>
        <v>695</v>
      </c>
      <c r="BH14" s="25">
        <f>HLOOKUP(BH$7,$I$66:$DJ$120,ROWS($A$10:$A14)+2,FALSE)</f>
        <v>1498</v>
      </c>
      <c r="BI14" s="25">
        <f>HLOOKUP(BI$7,$I$66:$DJ$120,ROWS($A$10:$A14)+2,FALSE)</f>
        <v>0</v>
      </c>
      <c r="BJ14" s="34">
        <f>HLOOKUP(BJ$7+0.5,$I$66:$DJ$120,ROWS($A$10:$A14)+2,FALSE)</f>
        <v>7223</v>
      </c>
      <c r="BK14" s="34">
        <f>HLOOKUP(BK$7+0.5,$I$66:$DJ$120,ROWS($A$10:$A14)+2,FALSE)</f>
        <v>293</v>
      </c>
      <c r="BL14" s="34">
        <f>HLOOKUP(BL$7+0.5,$I$66:$DJ$120,ROWS($A$10:$A14)+2,FALSE)</f>
        <v>906</v>
      </c>
      <c r="BM14" s="34">
        <f>HLOOKUP(BM$7+0.5,$I$66:$DJ$120,ROWS($A$10:$A14)+2,FALSE)</f>
        <v>954</v>
      </c>
      <c r="BN14" s="34" t="str">
        <f>HLOOKUP(BN$7+0.5,$I$66:$DJ$120,ROWS($A$10:$A14)+2,FALSE)</f>
        <v>N/A</v>
      </c>
      <c r="BO14" s="34">
        <f>HLOOKUP(BO$7+0.5,$I$66:$DJ$120,ROWS($A$10:$A14)+2,FALSE)</f>
        <v>1202</v>
      </c>
      <c r="BP14" s="34">
        <f>HLOOKUP(BP$7+0.5,$I$66:$DJ$120,ROWS($A$10:$A14)+2,FALSE)</f>
        <v>369</v>
      </c>
      <c r="BQ14" s="34">
        <f>HLOOKUP(BQ$7+0.5,$I$66:$DJ$120,ROWS($A$10:$A14)+2,FALSE)</f>
        <v>264</v>
      </c>
      <c r="BR14" s="34">
        <f>HLOOKUP(BR$7+0.5,$I$66:$DJ$120,ROWS($A$10:$A14)+2,FALSE)</f>
        <v>184</v>
      </c>
      <c r="BS14" s="34">
        <f>HLOOKUP(BS$7+0.5,$I$66:$DJ$120,ROWS($A$10:$A14)+2,FALSE)</f>
        <v>232</v>
      </c>
      <c r="BT14" s="34">
        <f>HLOOKUP(BT$7+0.5,$I$66:$DJ$120,ROWS($A$10:$A14)+2,FALSE)</f>
        <v>1052</v>
      </c>
      <c r="BU14" s="34">
        <f>HLOOKUP(BU$7+0.5,$I$66:$DJ$120,ROWS($A$10:$A14)+2,FALSE)</f>
        <v>1006</v>
      </c>
      <c r="BV14" s="34">
        <f>HLOOKUP(BV$7+0.5,$I$66:$DJ$120,ROWS($A$10:$A14)+2,FALSE)</f>
        <v>184</v>
      </c>
      <c r="BW14" s="34">
        <f>HLOOKUP(BW$7+0.5,$I$66:$DJ$120,ROWS($A$10:$A14)+2,FALSE)</f>
        <v>184</v>
      </c>
      <c r="BX14" s="34">
        <f>HLOOKUP(BX$7+0.5,$I$66:$DJ$120,ROWS($A$10:$A14)+2,FALSE)</f>
        <v>1286</v>
      </c>
      <c r="BY14" s="34">
        <f>HLOOKUP(BY$7+0.5,$I$66:$DJ$120,ROWS($A$10:$A14)+2,FALSE)</f>
        <v>587</v>
      </c>
      <c r="BZ14" s="34">
        <f>HLOOKUP(BZ$7+0.5,$I$66:$DJ$120,ROWS($A$10:$A14)+2,FALSE)</f>
        <v>330</v>
      </c>
      <c r="CA14" s="34">
        <f>HLOOKUP(CA$7+0.5,$I$66:$DJ$120,ROWS($A$10:$A14)+2,FALSE)</f>
        <v>539</v>
      </c>
      <c r="CB14" s="34">
        <f>HLOOKUP(CB$7+0.5,$I$66:$DJ$120,ROWS($A$10:$A14)+2,FALSE)</f>
        <v>884</v>
      </c>
      <c r="CC14" s="34">
        <f>HLOOKUP(CC$7+0.5,$I$66:$DJ$120,ROWS($A$10:$A14)+2,FALSE)</f>
        <v>1340</v>
      </c>
      <c r="CD14" s="34">
        <f>HLOOKUP(CD$7+0.5,$I$66:$DJ$120,ROWS($A$10:$A14)+2,FALSE)</f>
        <v>39</v>
      </c>
      <c r="CE14" s="34">
        <f>HLOOKUP(CE$7+0.5,$I$66:$DJ$120,ROWS($A$10:$A14)+2,FALSE)</f>
        <v>209</v>
      </c>
      <c r="CF14" s="34">
        <f>HLOOKUP(CF$7+0.5,$I$66:$DJ$120,ROWS($A$10:$A14)+2,FALSE)</f>
        <v>262</v>
      </c>
      <c r="CG14" s="34">
        <f>HLOOKUP(CG$7+0.5,$I$66:$DJ$120,ROWS($A$10:$A14)+2,FALSE)</f>
        <v>607</v>
      </c>
      <c r="CH14" s="34">
        <f>HLOOKUP(CH$7+0.5,$I$66:$DJ$120,ROWS($A$10:$A14)+2,FALSE)</f>
        <v>285</v>
      </c>
      <c r="CI14" s="34">
        <f>HLOOKUP(CI$7+0.5,$I$66:$DJ$120,ROWS($A$10:$A14)+2,FALSE)</f>
        <v>2537</v>
      </c>
      <c r="CJ14" s="34">
        <f>HLOOKUP(CJ$7+0.5,$I$66:$DJ$120,ROWS($A$10:$A14)+2,FALSE)</f>
        <v>2916</v>
      </c>
      <c r="CK14" s="34">
        <f>HLOOKUP(CK$7+0.5,$I$66:$DJ$120,ROWS($A$10:$A14)+2,FALSE)</f>
        <v>293</v>
      </c>
      <c r="CL14" s="34">
        <f>HLOOKUP(CL$7+0.5,$I$66:$DJ$120,ROWS($A$10:$A14)+2,FALSE)</f>
        <v>201</v>
      </c>
      <c r="CM14" s="34">
        <f>HLOOKUP(CM$7+0.5,$I$66:$DJ$120,ROWS($A$10:$A14)+2,FALSE)</f>
        <v>161</v>
      </c>
      <c r="CN14" s="34">
        <f>HLOOKUP(CN$7+0.5,$I$66:$DJ$120,ROWS($A$10:$A14)+2,FALSE)</f>
        <v>184</v>
      </c>
      <c r="CO14" s="34">
        <f>HLOOKUP(CO$7+0.5,$I$66:$DJ$120,ROWS($A$10:$A14)+2,FALSE)</f>
        <v>171</v>
      </c>
      <c r="CP14" s="34">
        <f>HLOOKUP(CP$7+0.5,$I$66:$DJ$120,ROWS($A$10:$A14)+2,FALSE)</f>
        <v>482</v>
      </c>
      <c r="CQ14" s="34">
        <f>HLOOKUP(CQ$7+0.5,$I$66:$DJ$120,ROWS($A$10:$A14)+2,FALSE)</f>
        <v>1559</v>
      </c>
      <c r="CR14" s="34">
        <f>HLOOKUP(CR$7+0.5,$I$66:$DJ$120,ROWS($A$10:$A14)+2,FALSE)</f>
        <v>2173</v>
      </c>
      <c r="CS14" s="34">
        <f>HLOOKUP(CS$7+0.5,$I$66:$DJ$120,ROWS($A$10:$A14)+2,FALSE)</f>
        <v>184</v>
      </c>
      <c r="CT14" s="34">
        <f>HLOOKUP(CT$7+0.5,$I$66:$DJ$120,ROWS($A$10:$A14)+2,FALSE)</f>
        <v>626</v>
      </c>
      <c r="CU14" s="34">
        <f>HLOOKUP(CU$7+0.5,$I$66:$DJ$120,ROWS($A$10:$A14)+2,FALSE)</f>
        <v>2371</v>
      </c>
      <c r="CV14" s="34">
        <f>HLOOKUP(CV$7+0.5,$I$66:$DJ$120,ROWS($A$10:$A14)+2,FALSE)</f>
        <v>179</v>
      </c>
      <c r="CW14" s="34">
        <f>HLOOKUP(CW$7+0.5,$I$66:$DJ$120,ROWS($A$10:$A14)+2,FALSE)</f>
        <v>475</v>
      </c>
      <c r="CX14" s="34">
        <f>HLOOKUP(CX$7+0.5,$I$66:$DJ$120,ROWS($A$10:$A14)+2,FALSE)</f>
        <v>103</v>
      </c>
      <c r="CY14" s="34">
        <f>HLOOKUP(CY$7+0.5,$I$66:$DJ$120,ROWS($A$10:$A14)+2,FALSE)</f>
        <v>71</v>
      </c>
      <c r="CZ14" s="34">
        <f>HLOOKUP(CZ$7+0.5,$I$66:$DJ$120,ROWS($A$10:$A14)+2,FALSE)</f>
        <v>588</v>
      </c>
      <c r="DA14" s="34">
        <f>HLOOKUP(DA$7+0.5,$I$66:$DJ$120,ROWS($A$10:$A14)+2,FALSE)</f>
        <v>1127</v>
      </c>
      <c r="DB14" s="34">
        <f>HLOOKUP(DB$7+0.5,$I$66:$DJ$120,ROWS($A$10:$A14)+2,FALSE)</f>
        <v>2841</v>
      </c>
      <c r="DC14" s="34">
        <f>HLOOKUP(DC$7+0.5,$I$66:$DJ$120,ROWS($A$10:$A14)+2,FALSE)</f>
        <v>216</v>
      </c>
      <c r="DD14" s="34">
        <f>HLOOKUP(DD$7+0.5,$I$66:$DJ$120,ROWS($A$10:$A14)+2,FALSE)</f>
        <v>184</v>
      </c>
      <c r="DE14" s="34">
        <f>HLOOKUP(DE$7+0.5,$I$66:$DJ$120,ROWS($A$10:$A14)+2,FALSE)</f>
        <v>824</v>
      </c>
      <c r="DF14" s="34">
        <f>HLOOKUP(DF$7+0.5,$I$66:$DJ$120,ROWS($A$10:$A14)+2,FALSE)</f>
        <v>226</v>
      </c>
      <c r="DG14" s="34">
        <f>HLOOKUP(DG$7+0.5,$I$66:$DJ$120,ROWS($A$10:$A14)+2,FALSE)</f>
        <v>148</v>
      </c>
      <c r="DH14" s="34">
        <f>HLOOKUP(DH$7+0.5,$I$66:$DJ$120,ROWS($A$10:$A14)+2,FALSE)</f>
        <v>467</v>
      </c>
      <c r="DI14" s="34">
        <f>HLOOKUP(DI$7+0.5,$I$66:$DJ$120,ROWS($A$10:$A14)+2,FALSE)</f>
        <v>2098</v>
      </c>
      <c r="DJ14" s="34">
        <f>HLOOKUP(DJ$7+0.5,$I$66:$DJ$120,ROWS($A$10:$A14)+2,FALSE)</f>
        <v>184</v>
      </c>
    </row>
    <row r="15" spans="2:114" x14ac:dyDescent="0.25">
      <c r="B15" s="38" t="s">
        <v>11</v>
      </c>
      <c r="C15" s="16">
        <v>37572738</v>
      </c>
      <c r="D15" s="17">
        <v>10274</v>
      </c>
      <c r="E15" s="16">
        <v>31777868</v>
      </c>
      <c r="F15" s="17">
        <v>67939</v>
      </c>
      <c r="G15" s="16">
        <v>5046618</v>
      </c>
      <c r="H15" s="17">
        <v>65422</v>
      </c>
      <c r="I15" s="36">
        <f>HLOOKUP(I$7,$I$66:$DJ$120,ROWS($A$10:$A15)+2,FALSE)</f>
        <v>493641</v>
      </c>
      <c r="J15" s="25">
        <f>HLOOKUP(J$7,$I$66:$DJ$120,ROWS($A$10:$A15)+2,FALSE)</f>
        <v>2509</v>
      </c>
      <c r="K15" s="25">
        <f>HLOOKUP(K$7,$I$66:$DJ$120,ROWS($A$10:$A15)+2,FALSE)</f>
        <v>6995</v>
      </c>
      <c r="L15" s="25">
        <f>HLOOKUP(L$7,$I$66:$DJ$120,ROWS($A$10:$A15)+2,FALSE)</f>
        <v>38916</v>
      </c>
      <c r="M15" s="25">
        <f>HLOOKUP(M$7,$I$66:$DJ$120,ROWS($A$10:$A15)+2,FALSE)</f>
        <v>3472</v>
      </c>
      <c r="N15" s="25" t="str">
        <f>HLOOKUP(N$7,$I$66:$DJ$120,ROWS($A$10:$A15)+2,FALSE)</f>
        <v>N/A</v>
      </c>
      <c r="O15" s="25">
        <f>HLOOKUP(O$7,$I$66:$DJ$120,ROWS($A$10:$A15)+2,FALSE)</f>
        <v>15150</v>
      </c>
      <c r="P15" s="25">
        <f>HLOOKUP(P$7,$I$66:$DJ$120,ROWS($A$10:$A15)+2,FALSE)</f>
        <v>6764</v>
      </c>
      <c r="Q15" s="25">
        <f>HLOOKUP(Q$7,$I$66:$DJ$120,ROWS($A$10:$A15)+2,FALSE)</f>
        <v>474</v>
      </c>
      <c r="R15" s="25">
        <f>HLOOKUP(R$7,$I$66:$DJ$120,ROWS($A$10:$A15)+2,FALSE)</f>
        <v>3199</v>
      </c>
      <c r="S15" s="25">
        <f>HLOOKUP(S$7,$I$66:$DJ$120,ROWS($A$10:$A15)+2,FALSE)</f>
        <v>21004</v>
      </c>
      <c r="T15" s="25">
        <f>HLOOKUP(T$7,$I$66:$DJ$120,ROWS($A$10:$A15)+2,FALSE)</f>
        <v>10790</v>
      </c>
      <c r="U15" s="25">
        <f>HLOOKUP(U$7,$I$66:$DJ$120,ROWS($A$10:$A15)+2,FALSE)</f>
        <v>11906</v>
      </c>
      <c r="V15" s="25">
        <f>HLOOKUP(V$7,$I$66:$DJ$120,ROWS($A$10:$A15)+2,FALSE)</f>
        <v>5331</v>
      </c>
      <c r="W15" s="25">
        <f>HLOOKUP(W$7,$I$66:$DJ$120,ROWS($A$10:$A15)+2,FALSE)</f>
        <v>21251</v>
      </c>
      <c r="X15" s="25">
        <f>HLOOKUP(X$7,$I$66:$DJ$120,ROWS($A$10:$A15)+2,FALSE)</f>
        <v>5891</v>
      </c>
      <c r="Y15" s="25">
        <f>HLOOKUP(Y$7,$I$66:$DJ$120,ROWS($A$10:$A15)+2,FALSE)</f>
        <v>2284</v>
      </c>
      <c r="Z15" s="25">
        <f>HLOOKUP(Z$7,$I$66:$DJ$120,ROWS($A$10:$A15)+2,FALSE)</f>
        <v>2790</v>
      </c>
      <c r="AA15" s="25">
        <f>HLOOKUP(AA$7,$I$66:$DJ$120,ROWS($A$10:$A15)+2,FALSE)</f>
        <v>3763</v>
      </c>
      <c r="AB15" s="25">
        <f>HLOOKUP(AB$7,$I$66:$DJ$120,ROWS($A$10:$A15)+2,FALSE)</f>
        <v>5180</v>
      </c>
      <c r="AC15" s="25">
        <f>HLOOKUP(AC$7,$I$66:$DJ$120,ROWS($A$10:$A15)+2,FALSE)</f>
        <v>1256</v>
      </c>
      <c r="AD15" s="25">
        <f>HLOOKUP(AD$7,$I$66:$DJ$120,ROWS($A$10:$A15)+2,FALSE)</f>
        <v>7902</v>
      </c>
      <c r="AE15" s="25">
        <f>HLOOKUP(AE$7,$I$66:$DJ$120,ROWS($A$10:$A15)+2,FALSE)</f>
        <v>14356</v>
      </c>
      <c r="AF15" s="25">
        <f>HLOOKUP(AF$7,$I$66:$DJ$120,ROWS($A$10:$A15)+2,FALSE)</f>
        <v>8921</v>
      </c>
      <c r="AG15" s="25">
        <f>HLOOKUP(AG$7,$I$66:$DJ$120,ROWS($A$10:$A15)+2,FALSE)</f>
        <v>8539</v>
      </c>
      <c r="AH15" s="25">
        <f>HLOOKUP(AH$7,$I$66:$DJ$120,ROWS($A$10:$A15)+2,FALSE)</f>
        <v>2556</v>
      </c>
      <c r="AI15" s="25">
        <f>HLOOKUP(AI$7,$I$66:$DJ$120,ROWS($A$10:$A15)+2,FALSE)</f>
        <v>6729</v>
      </c>
      <c r="AJ15" s="25">
        <f>HLOOKUP(AJ$7,$I$66:$DJ$120,ROWS($A$10:$A15)+2,FALSE)</f>
        <v>3060</v>
      </c>
      <c r="AK15" s="25">
        <f>HLOOKUP(AK$7,$I$66:$DJ$120,ROWS($A$10:$A15)+2,FALSE)</f>
        <v>3302</v>
      </c>
      <c r="AL15" s="25">
        <f>HLOOKUP(AL$7,$I$66:$DJ$120,ROWS($A$10:$A15)+2,FALSE)</f>
        <v>27968</v>
      </c>
      <c r="AM15" s="25">
        <f>HLOOKUP(AM$7,$I$66:$DJ$120,ROWS($A$10:$A15)+2,FALSE)</f>
        <v>1327</v>
      </c>
      <c r="AN15" s="25">
        <f>HLOOKUP(AN$7,$I$66:$DJ$120,ROWS($A$10:$A15)+2,FALSE)</f>
        <v>12057</v>
      </c>
      <c r="AO15" s="25">
        <f>HLOOKUP(AO$7,$I$66:$DJ$120,ROWS($A$10:$A15)+2,FALSE)</f>
        <v>5921</v>
      </c>
      <c r="AP15" s="25">
        <f>HLOOKUP(AP$7,$I$66:$DJ$120,ROWS($A$10:$A15)+2,FALSE)</f>
        <v>31261</v>
      </c>
      <c r="AQ15" s="25">
        <f>HLOOKUP(AQ$7,$I$66:$DJ$120,ROWS($A$10:$A15)+2,FALSE)</f>
        <v>11195</v>
      </c>
      <c r="AR15" s="25">
        <f>HLOOKUP(AR$7,$I$66:$DJ$120,ROWS($A$10:$A15)+2,FALSE)</f>
        <v>1827</v>
      </c>
      <c r="AS15" s="25">
        <f>HLOOKUP(AS$7,$I$66:$DJ$120,ROWS($A$10:$A15)+2,FALSE)</f>
        <v>10653</v>
      </c>
      <c r="AT15" s="25">
        <f>HLOOKUP(AT$7,$I$66:$DJ$120,ROWS($A$10:$A15)+2,FALSE)</f>
        <v>6671</v>
      </c>
      <c r="AU15" s="25">
        <f>HLOOKUP(AU$7,$I$66:$DJ$120,ROWS($A$10:$A15)+2,FALSE)</f>
        <v>22724</v>
      </c>
      <c r="AV15" s="25">
        <f>HLOOKUP(AV$7,$I$66:$DJ$120,ROWS($A$10:$A15)+2,FALSE)</f>
        <v>10466</v>
      </c>
      <c r="AW15" s="25">
        <f>HLOOKUP(AW$7,$I$66:$DJ$120,ROWS($A$10:$A15)+2,FALSE)</f>
        <v>1648</v>
      </c>
      <c r="AX15" s="25">
        <f>HLOOKUP(AX$7,$I$66:$DJ$120,ROWS($A$10:$A15)+2,FALSE)</f>
        <v>4110</v>
      </c>
      <c r="AY15" s="25">
        <f>HLOOKUP(AY$7,$I$66:$DJ$120,ROWS($A$10:$A15)+2,FALSE)</f>
        <v>826</v>
      </c>
      <c r="AZ15" s="25">
        <f>HLOOKUP(AZ$7,$I$66:$DJ$120,ROWS($A$10:$A15)+2,FALSE)</f>
        <v>5802</v>
      </c>
      <c r="BA15" s="25">
        <f>HLOOKUP(BA$7,$I$66:$DJ$120,ROWS($A$10:$A15)+2,FALSE)</f>
        <v>43005</v>
      </c>
      <c r="BB15" s="25">
        <f>HLOOKUP(BB$7,$I$66:$DJ$120,ROWS($A$10:$A15)+2,FALSE)</f>
        <v>12172</v>
      </c>
      <c r="BC15" s="25">
        <f>HLOOKUP(BC$7,$I$66:$DJ$120,ROWS($A$10:$A15)+2,FALSE)</f>
        <v>544</v>
      </c>
      <c r="BD15" s="25">
        <f>HLOOKUP(BD$7,$I$66:$DJ$120,ROWS($A$10:$A15)+2,FALSE)</f>
        <v>15625</v>
      </c>
      <c r="BE15" s="25">
        <f>HLOOKUP(BE$7,$I$66:$DJ$120,ROWS($A$10:$A15)+2,FALSE)</f>
        <v>34569</v>
      </c>
      <c r="BF15" s="25">
        <f>HLOOKUP(BF$7,$I$66:$DJ$120,ROWS($A$10:$A15)+2,FALSE)</f>
        <v>1413</v>
      </c>
      <c r="BG15" s="25">
        <f>HLOOKUP(BG$7,$I$66:$DJ$120,ROWS($A$10:$A15)+2,FALSE)</f>
        <v>5681</v>
      </c>
      <c r="BH15" s="25">
        <f>HLOOKUP(BH$7,$I$66:$DJ$120,ROWS($A$10:$A15)+2,FALSE)</f>
        <v>1886</v>
      </c>
      <c r="BI15" s="25">
        <f>HLOOKUP(BI$7,$I$66:$DJ$120,ROWS($A$10:$A15)+2,FALSE)</f>
        <v>2323</v>
      </c>
      <c r="BJ15" s="34">
        <f>HLOOKUP(BJ$7+0.5,$I$66:$DJ$120,ROWS($A$10:$A15)+2,FALSE)</f>
        <v>19652</v>
      </c>
      <c r="BK15" s="34">
        <f>HLOOKUP(BK$7+0.5,$I$66:$DJ$120,ROWS($A$10:$A15)+2,FALSE)</f>
        <v>983</v>
      </c>
      <c r="BL15" s="34">
        <f>HLOOKUP(BL$7+0.5,$I$66:$DJ$120,ROWS($A$10:$A15)+2,FALSE)</f>
        <v>1948</v>
      </c>
      <c r="BM15" s="34">
        <f>HLOOKUP(BM$7+0.5,$I$66:$DJ$120,ROWS($A$10:$A15)+2,FALSE)</f>
        <v>5726</v>
      </c>
      <c r="BN15" s="34">
        <f>HLOOKUP(BN$7+0.5,$I$66:$DJ$120,ROWS($A$10:$A15)+2,FALSE)</f>
        <v>1354</v>
      </c>
      <c r="BO15" s="34" t="str">
        <f>HLOOKUP(BO$7+0.5,$I$66:$DJ$120,ROWS($A$10:$A15)+2,FALSE)</f>
        <v>N/A</v>
      </c>
      <c r="BP15" s="34">
        <f>HLOOKUP(BP$7+0.5,$I$66:$DJ$120,ROWS($A$10:$A15)+2,FALSE)</f>
        <v>2598</v>
      </c>
      <c r="BQ15" s="34">
        <f>HLOOKUP(BQ$7+0.5,$I$66:$DJ$120,ROWS($A$10:$A15)+2,FALSE)</f>
        <v>2194</v>
      </c>
      <c r="BR15" s="34">
        <f>HLOOKUP(BR$7+0.5,$I$66:$DJ$120,ROWS($A$10:$A15)+2,FALSE)</f>
        <v>413</v>
      </c>
      <c r="BS15" s="34">
        <f>HLOOKUP(BS$7+0.5,$I$66:$DJ$120,ROWS($A$10:$A15)+2,FALSE)</f>
        <v>1061</v>
      </c>
      <c r="BT15" s="34">
        <f>HLOOKUP(BT$7+0.5,$I$66:$DJ$120,ROWS($A$10:$A15)+2,FALSE)</f>
        <v>3394</v>
      </c>
      <c r="BU15" s="34">
        <f>HLOOKUP(BU$7+0.5,$I$66:$DJ$120,ROWS($A$10:$A15)+2,FALSE)</f>
        <v>2458</v>
      </c>
      <c r="BV15" s="34">
        <f>HLOOKUP(BV$7+0.5,$I$66:$DJ$120,ROWS($A$10:$A15)+2,FALSE)</f>
        <v>2720</v>
      </c>
      <c r="BW15" s="34">
        <f>HLOOKUP(BW$7+0.5,$I$66:$DJ$120,ROWS($A$10:$A15)+2,FALSE)</f>
        <v>1519</v>
      </c>
      <c r="BX15" s="34">
        <f>HLOOKUP(BX$7+0.5,$I$66:$DJ$120,ROWS($A$10:$A15)+2,FALSE)</f>
        <v>3521</v>
      </c>
      <c r="BY15" s="34">
        <f>HLOOKUP(BY$7+0.5,$I$66:$DJ$120,ROWS($A$10:$A15)+2,FALSE)</f>
        <v>1629</v>
      </c>
      <c r="BZ15" s="34">
        <f>HLOOKUP(BZ$7+0.5,$I$66:$DJ$120,ROWS($A$10:$A15)+2,FALSE)</f>
        <v>987</v>
      </c>
      <c r="CA15" s="34">
        <f>HLOOKUP(CA$7+0.5,$I$66:$DJ$120,ROWS($A$10:$A15)+2,FALSE)</f>
        <v>984</v>
      </c>
      <c r="CB15" s="34">
        <f>HLOOKUP(CB$7+0.5,$I$66:$DJ$120,ROWS($A$10:$A15)+2,FALSE)</f>
        <v>1292</v>
      </c>
      <c r="CC15" s="34">
        <f>HLOOKUP(CC$7+0.5,$I$66:$DJ$120,ROWS($A$10:$A15)+2,FALSE)</f>
        <v>1525</v>
      </c>
      <c r="CD15" s="34">
        <f>HLOOKUP(CD$7+0.5,$I$66:$DJ$120,ROWS($A$10:$A15)+2,FALSE)</f>
        <v>951</v>
      </c>
      <c r="CE15" s="34">
        <f>HLOOKUP(CE$7+0.5,$I$66:$DJ$120,ROWS($A$10:$A15)+2,FALSE)</f>
        <v>2347</v>
      </c>
      <c r="CF15" s="34">
        <f>HLOOKUP(CF$7+0.5,$I$66:$DJ$120,ROWS($A$10:$A15)+2,FALSE)</f>
        <v>2682</v>
      </c>
      <c r="CG15" s="34">
        <f>HLOOKUP(CG$7+0.5,$I$66:$DJ$120,ROWS($A$10:$A15)+2,FALSE)</f>
        <v>2069</v>
      </c>
      <c r="CH15" s="34">
        <f>HLOOKUP(CH$7+0.5,$I$66:$DJ$120,ROWS($A$10:$A15)+2,FALSE)</f>
        <v>1942</v>
      </c>
      <c r="CI15" s="34">
        <f>HLOOKUP(CI$7+0.5,$I$66:$DJ$120,ROWS($A$10:$A15)+2,FALSE)</f>
        <v>993</v>
      </c>
      <c r="CJ15" s="34">
        <f>HLOOKUP(CJ$7+0.5,$I$66:$DJ$120,ROWS($A$10:$A15)+2,FALSE)</f>
        <v>1595</v>
      </c>
      <c r="CK15" s="34">
        <f>HLOOKUP(CK$7+0.5,$I$66:$DJ$120,ROWS($A$10:$A15)+2,FALSE)</f>
        <v>1275</v>
      </c>
      <c r="CL15" s="34">
        <f>HLOOKUP(CL$7+0.5,$I$66:$DJ$120,ROWS($A$10:$A15)+2,FALSE)</f>
        <v>2007</v>
      </c>
      <c r="CM15" s="34">
        <f>HLOOKUP(CM$7+0.5,$I$66:$DJ$120,ROWS($A$10:$A15)+2,FALSE)</f>
        <v>3857</v>
      </c>
      <c r="CN15" s="34">
        <f>HLOOKUP(CN$7+0.5,$I$66:$DJ$120,ROWS($A$10:$A15)+2,FALSE)</f>
        <v>615</v>
      </c>
      <c r="CO15" s="34">
        <f>HLOOKUP(CO$7+0.5,$I$66:$DJ$120,ROWS($A$10:$A15)+2,FALSE)</f>
        <v>2447</v>
      </c>
      <c r="CP15" s="34">
        <f>HLOOKUP(CP$7+0.5,$I$66:$DJ$120,ROWS($A$10:$A15)+2,FALSE)</f>
        <v>2240</v>
      </c>
      <c r="CQ15" s="34">
        <f>HLOOKUP(CQ$7+0.5,$I$66:$DJ$120,ROWS($A$10:$A15)+2,FALSE)</f>
        <v>5136</v>
      </c>
      <c r="CR15" s="34">
        <f>HLOOKUP(CR$7+0.5,$I$66:$DJ$120,ROWS($A$10:$A15)+2,FALSE)</f>
        <v>2366</v>
      </c>
      <c r="CS15" s="34">
        <f>HLOOKUP(CS$7+0.5,$I$66:$DJ$120,ROWS($A$10:$A15)+2,FALSE)</f>
        <v>1272</v>
      </c>
      <c r="CT15" s="34">
        <f>HLOOKUP(CT$7+0.5,$I$66:$DJ$120,ROWS($A$10:$A15)+2,FALSE)</f>
        <v>2869</v>
      </c>
      <c r="CU15" s="34">
        <f>HLOOKUP(CU$7+0.5,$I$66:$DJ$120,ROWS($A$10:$A15)+2,FALSE)</f>
        <v>1795</v>
      </c>
      <c r="CV15" s="34">
        <f>HLOOKUP(CV$7+0.5,$I$66:$DJ$120,ROWS($A$10:$A15)+2,FALSE)</f>
        <v>3271</v>
      </c>
      <c r="CW15" s="34">
        <f>HLOOKUP(CW$7+0.5,$I$66:$DJ$120,ROWS($A$10:$A15)+2,FALSE)</f>
        <v>2392</v>
      </c>
      <c r="CX15" s="34">
        <f>HLOOKUP(CX$7+0.5,$I$66:$DJ$120,ROWS($A$10:$A15)+2,FALSE)</f>
        <v>697</v>
      </c>
      <c r="CY15" s="34">
        <f>HLOOKUP(CY$7+0.5,$I$66:$DJ$120,ROWS($A$10:$A15)+2,FALSE)</f>
        <v>1492</v>
      </c>
      <c r="CZ15" s="34">
        <f>HLOOKUP(CZ$7+0.5,$I$66:$DJ$120,ROWS($A$10:$A15)+2,FALSE)</f>
        <v>674</v>
      </c>
      <c r="DA15" s="34">
        <f>HLOOKUP(DA$7+0.5,$I$66:$DJ$120,ROWS($A$10:$A15)+2,FALSE)</f>
        <v>1880</v>
      </c>
      <c r="DB15" s="34">
        <f>HLOOKUP(DB$7+0.5,$I$66:$DJ$120,ROWS($A$10:$A15)+2,FALSE)</f>
        <v>5519</v>
      </c>
      <c r="DC15" s="34">
        <f>HLOOKUP(DC$7+0.5,$I$66:$DJ$120,ROWS($A$10:$A15)+2,FALSE)</f>
        <v>2457</v>
      </c>
      <c r="DD15" s="34">
        <f>HLOOKUP(DD$7+0.5,$I$66:$DJ$120,ROWS($A$10:$A15)+2,FALSE)</f>
        <v>345</v>
      </c>
      <c r="DE15" s="34">
        <f>HLOOKUP(DE$7+0.5,$I$66:$DJ$120,ROWS($A$10:$A15)+2,FALSE)</f>
        <v>3457</v>
      </c>
      <c r="DF15" s="34">
        <f>HLOOKUP(DF$7+0.5,$I$66:$DJ$120,ROWS($A$10:$A15)+2,FALSE)</f>
        <v>4540</v>
      </c>
      <c r="DG15" s="34">
        <f>HLOOKUP(DG$7+0.5,$I$66:$DJ$120,ROWS($A$10:$A15)+2,FALSE)</f>
        <v>1135</v>
      </c>
      <c r="DH15" s="34">
        <f>HLOOKUP(DH$7+0.5,$I$66:$DJ$120,ROWS($A$10:$A15)+2,FALSE)</f>
        <v>1716</v>
      </c>
      <c r="DI15" s="34">
        <f>HLOOKUP(DI$7+0.5,$I$66:$DJ$120,ROWS($A$10:$A15)+2,FALSE)</f>
        <v>1117</v>
      </c>
      <c r="DJ15" s="34">
        <f>HLOOKUP(DJ$7+0.5,$I$66:$DJ$120,ROWS($A$10:$A15)+2,FALSE)</f>
        <v>1076</v>
      </c>
    </row>
    <row r="16" spans="2:114" x14ac:dyDescent="0.25">
      <c r="B16" s="38" t="s">
        <v>12</v>
      </c>
      <c r="C16" s="16">
        <v>5123944</v>
      </c>
      <c r="D16" s="17">
        <v>2939</v>
      </c>
      <c r="E16" s="16">
        <v>4131357</v>
      </c>
      <c r="F16" s="17">
        <v>21752</v>
      </c>
      <c r="G16" s="16">
        <v>751921</v>
      </c>
      <c r="H16" s="17">
        <v>19587</v>
      </c>
      <c r="I16" s="36">
        <f>HLOOKUP(I$7,$I$66:$DJ$120,ROWS($A$10:$A16)+2,FALSE)</f>
        <v>205060</v>
      </c>
      <c r="J16" s="25">
        <f>HLOOKUP(J$7,$I$66:$DJ$120,ROWS($A$10:$A16)+2,FALSE)</f>
        <v>3108</v>
      </c>
      <c r="K16" s="25">
        <f>HLOOKUP(K$7,$I$66:$DJ$120,ROWS($A$10:$A16)+2,FALSE)</f>
        <v>3457</v>
      </c>
      <c r="L16" s="25">
        <f>HLOOKUP(L$7,$I$66:$DJ$120,ROWS($A$10:$A16)+2,FALSE)</f>
        <v>10589</v>
      </c>
      <c r="M16" s="25">
        <f>HLOOKUP(M$7,$I$66:$DJ$120,ROWS($A$10:$A16)+2,FALSE)</f>
        <v>1043</v>
      </c>
      <c r="N16" s="25">
        <f>HLOOKUP(N$7,$I$66:$DJ$120,ROWS($A$10:$A16)+2,FALSE)</f>
        <v>22152</v>
      </c>
      <c r="O16" s="25" t="str">
        <f>HLOOKUP(O$7,$I$66:$DJ$120,ROWS($A$10:$A16)+2,FALSE)</f>
        <v>N/A</v>
      </c>
      <c r="P16" s="25">
        <f>HLOOKUP(P$7,$I$66:$DJ$120,ROWS($A$10:$A16)+2,FALSE)</f>
        <v>1317</v>
      </c>
      <c r="Q16" s="25">
        <f>HLOOKUP(Q$7,$I$66:$DJ$120,ROWS($A$10:$A16)+2,FALSE)</f>
        <v>70</v>
      </c>
      <c r="R16" s="25">
        <f>HLOOKUP(R$7,$I$66:$DJ$120,ROWS($A$10:$A16)+2,FALSE)</f>
        <v>488</v>
      </c>
      <c r="S16" s="25">
        <f>HLOOKUP(S$7,$I$66:$DJ$120,ROWS($A$10:$A16)+2,FALSE)</f>
        <v>8615</v>
      </c>
      <c r="T16" s="25">
        <f>HLOOKUP(T$7,$I$66:$DJ$120,ROWS($A$10:$A16)+2,FALSE)</f>
        <v>5834</v>
      </c>
      <c r="U16" s="25">
        <f>HLOOKUP(U$7,$I$66:$DJ$120,ROWS($A$10:$A16)+2,FALSE)</f>
        <v>2536</v>
      </c>
      <c r="V16" s="25">
        <f>HLOOKUP(V$7,$I$66:$DJ$120,ROWS($A$10:$A16)+2,FALSE)</f>
        <v>2660</v>
      </c>
      <c r="W16" s="25">
        <f>HLOOKUP(W$7,$I$66:$DJ$120,ROWS($A$10:$A16)+2,FALSE)</f>
        <v>6374</v>
      </c>
      <c r="X16" s="25">
        <f>HLOOKUP(X$7,$I$66:$DJ$120,ROWS($A$10:$A16)+2,FALSE)</f>
        <v>4336</v>
      </c>
      <c r="Y16" s="25">
        <f>HLOOKUP(Y$7,$I$66:$DJ$120,ROWS($A$10:$A16)+2,FALSE)</f>
        <v>2776</v>
      </c>
      <c r="Z16" s="25">
        <f>HLOOKUP(Z$7,$I$66:$DJ$120,ROWS($A$10:$A16)+2,FALSE)</f>
        <v>5283</v>
      </c>
      <c r="AA16" s="25">
        <f>HLOOKUP(AA$7,$I$66:$DJ$120,ROWS($A$10:$A16)+2,FALSE)</f>
        <v>2500</v>
      </c>
      <c r="AB16" s="25">
        <f>HLOOKUP(AB$7,$I$66:$DJ$120,ROWS($A$10:$A16)+2,FALSE)</f>
        <v>5048</v>
      </c>
      <c r="AC16" s="25">
        <f>HLOOKUP(AC$7,$I$66:$DJ$120,ROWS($A$10:$A16)+2,FALSE)</f>
        <v>20</v>
      </c>
      <c r="AD16" s="25">
        <f>HLOOKUP(AD$7,$I$66:$DJ$120,ROWS($A$10:$A16)+2,FALSE)</f>
        <v>2844</v>
      </c>
      <c r="AE16" s="25">
        <f>HLOOKUP(AE$7,$I$66:$DJ$120,ROWS($A$10:$A16)+2,FALSE)</f>
        <v>5939</v>
      </c>
      <c r="AF16" s="25">
        <f>HLOOKUP(AF$7,$I$66:$DJ$120,ROWS($A$10:$A16)+2,FALSE)</f>
        <v>3343</v>
      </c>
      <c r="AG16" s="25">
        <f>HLOOKUP(AG$7,$I$66:$DJ$120,ROWS($A$10:$A16)+2,FALSE)</f>
        <v>2992</v>
      </c>
      <c r="AH16" s="25">
        <f>HLOOKUP(AH$7,$I$66:$DJ$120,ROWS($A$10:$A16)+2,FALSE)</f>
        <v>835</v>
      </c>
      <c r="AI16" s="25">
        <f>HLOOKUP(AI$7,$I$66:$DJ$120,ROWS($A$10:$A16)+2,FALSE)</f>
        <v>3771</v>
      </c>
      <c r="AJ16" s="25">
        <f>HLOOKUP(AJ$7,$I$66:$DJ$120,ROWS($A$10:$A16)+2,FALSE)</f>
        <v>2021</v>
      </c>
      <c r="AK16" s="25">
        <f>HLOOKUP(AK$7,$I$66:$DJ$120,ROWS($A$10:$A16)+2,FALSE)</f>
        <v>4472</v>
      </c>
      <c r="AL16" s="25">
        <f>HLOOKUP(AL$7,$I$66:$DJ$120,ROWS($A$10:$A16)+2,FALSE)</f>
        <v>3789</v>
      </c>
      <c r="AM16" s="25">
        <f>HLOOKUP(AM$7,$I$66:$DJ$120,ROWS($A$10:$A16)+2,FALSE)</f>
        <v>679</v>
      </c>
      <c r="AN16" s="25">
        <f>HLOOKUP(AN$7,$I$66:$DJ$120,ROWS($A$10:$A16)+2,FALSE)</f>
        <v>2464</v>
      </c>
      <c r="AO16" s="25">
        <f>HLOOKUP(AO$7,$I$66:$DJ$120,ROWS($A$10:$A16)+2,FALSE)</f>
        <v>6520</v>
      </c>
      <c r="AP16" s="25">
        <f>HLOOKUP(AP$7,$I$66:$DJ$120,ROWS($A$10:$A16)+2,FALSE)</f>
        <v>7250</v>
      </c>
      <c r="AQ16" s="25">
        <f>HLOOKUP(AQ$7,$I$66:$DJ$120,ROWS($A$10:$A16)+2,FALSE)</f>
        <v>4378</v>
      </c>
      <c r="AR16" s="25">
        <f>HLOOKUP(AR$7,$I$66:$DJ$120,ROWS($A$10:$A16)+2,FALSE)</f>
        <v>1918</v>
      </c>
      <c r="AS16" s="25">
        <f>HLOOKUP(AS$7,$I$66:$DJ$120,ROWS($A$10:$A16)+2,FALSE)</f>
        <v>4533</v>
      </c>
      <c r="AT16" s="25">
        <f>HLOOKUP(AT$7,$I$66:$DJ$120,ROWS($A$10:$A16)+2,FALSE)</f>
        <v>4582</v>
      </c>
      <c r="AU16" s="25">
        <f>HLOOKUP(AU$7,$I$66:$DJ$120,ROWS($A$10:$A16)+2,FALSE)</f>
        <v>2419</v>
      </c>
      <c r="AV16" s="25">
        <f>HLOOKUP(AV$7,$I$66:$DJ$120,ROWS($A$10:$A16)+2,FALSE)</f>
        <v>3950</v>
      </c>
      <c r="AW16" s="25">
        <f>HLOOKUP(AW$7,$I$66:$DJ$120,ROWS($A$10:$A16)+2,FALSE)</f>
        <v>137</v>
      </c>
      <c r="AX16" s="25">
        <f>HLOOKUP(AX$7,$I$66:$DJ$120,ROWS($A$10:$A16)+2,FALSE)</f>
        <v>2383</v>
      </c>
      <c r="AY16" s="25">
        <f>HLOOKUP(AY$7,$I$66:$DJ$120,ROWS($A$10:$A16)+2,FALSE)</f>
        <v>756</v>
      </c>
      <c r="AZ16" s="25">
        <f>HLOOKUP(AZ$7,$I$66:$DJ$120,ROWS($A$10:$A16)+2,FALSE)</f>
        <v>2535</v>
      </c>
      <c r="BA16" s="25">
        <f>HLOOKUP(BA$7,$I$66:$DJ$120,ROWS($A$10:$A16)+2,FALSE)</f>
        <v>17355</v>
      </c>
      <c r="BB16" s="25">
        <f>HLOOKUP(BB$7,$I$66:$DJ$120,ROWS($A$10:$A16)+2,FALSE)</f>
        <v>6398</v>
      </c>
      <c r="BC16" s="25">
        <f>HLOOKUP(BC$7,$I$66:$DJ$120,ROWS($A$10:$A16)+2,FALSE)</f>
        <v>503</v>
      </c>
      <c r="BD16" s="25">
        <f>HLOOKUP(BD$7,$I$66:$DJ$120,ROWS($A$10:$A16)+2,FALSE)</f>
        <v>3796</v>
      </c>
      <c r="BE16" s="25">
        <f>HLOOKUP(BE$7,$I$66:$DJ$120,ROWS($A$10:$A16)+2,FALSE)</f>
        <v>4853</v>
      </c>
      <c r="BF16" s="25">
        <f>HLOOKUP(BF$7,$I$66:$DJ$120,ROWS($A$10:$A16)+2,FALSE)</f>
        <v>837</v>
      </c>
      <c r="BG16" s="25">
        <f>HLOOKUP(BG$7,$I$66:$DJ$120,ROWS($A$10:$A16)+2,FALSE)</f>
        <v>3000</v>
      </c>
      <c r="BH16" s="25">
        <f>HLOOKUP(BH$7,$I$66:$DJ$120,ROWS($A$10:$A16)+2,FALSE)</f>
        <v>5602</v>
      </c>
      <c r="BI16" s="25">
        <f>HLOOKUP(BI$7,$I$66:$DJ$120,ROWS($A$10:$A16)+2,FALSE)</f>
        <v>1144</v>
      </c>
      <c r="BJ16" s="34">
        <f>HLOOKUP(BJ$7+0.5,$I$66:$DJ$120,ROWS($A$10:$A16)+2,FALSE)</f>
        <v>11855</v>
      </c>
      <c r="BK16" s="34">
        <f>HLOOKUP(BK$7+0.5,$I$66:$DJ$120,ROWS($A$10:$A16)+2,FALSE)</f>
        <v>1610</v>
      </c>
      <c r="BL16" s="34">
        <f>HLOOKUP(BL$7+0.5,$I$66:$DJ$120,ROWS($A$10:$A16)+2,FALSE)</f>
        <v>1695</v>
      </c>
      <c r="BM16" s="34">
        <f>HLOOKUP(BM$7+0.5,$I$66:$DJ$120,ROWS($A$10:$A16)+2,FALSE)</f>
        <v>2218</v>
      </c>
      <c r="BN16" s="34">
        <f>HLOOKUP(BN$7+0.5,$I$66:$DJ$120,ROWS($A$10:$A16)+2,FALSE)</f>
        <v>580</v>
      </c>
      <c r="BO16" s="34">
        <f>HLOOKUP(BO$7+0.5,$I$66:$DJ$120,ROWS($A$10:$A16)+2,FALSE)</f>
        <v>4260</v>
      </c>
      <c r="BP16" s="34" t="str">
        <f>HLOOKUP(BP$7+0.5,$I$66:$DJ$120,ROWS($A$10:$A16)+2,FALSE)</f>
        <v>N/A</v>
      </c>
      <c r="BQ16" s="34">
        <f>HLOOKUP(BQ$7+0.5,$I$66:$DJ$120,ROWS($A$10:$A16)+2,FALSE)</f>
        <v>677</v>
      </c>
      <c r="BR16" s="34">
        <f>HLOOKUP(BR$7+0.5,$I$66:$DJ$120,ROWS($A$10:$A16)+2,FALSE)</f>
        <v>133</v>
      </c>
      <c r="BS16" s="34">
        <f>HLOOKUP(BS$7+0.5,$I$66:$DJ$120,ROWS($A$10:$A16)+2,FALSE)</f>
        <v>387</v>
      </c>
      <c r="BT16" s="34">
        <f>HLOOKUP(BT$7+0.5,$I$66:$DJ$120,ROWS($A$10:$A16)+2,FALSE)</f>
        <v>1907</v>
      </c>
      <c r="BU16" s="34">
        <f>HLOOKUP(BU$7+0.5,$I$66:$DJ$120,ROWS($A$10:$A16)+2,FALSE)</f>
        <v>2086</v>
      </c>
      <c r="BV16" s="34">
        <f>HLOOKUP(BV$7+0.5,$I$66:$DJ$120,ROWS($A$10:$A16)+2,FALSE)</f>
        <v>1020</v>
      </c>
      <c r="BW16" s="34">
        <f>HLOOKUP(BW$7+0.5,$I$66:$DJ$120,ROWS($A$10:$A16)+2,FALSE)</f>
        <v>1468</v>
      </c>
      <c r="BX16" s="34">
        <f>HLOOKUP(BX$7+0.5,$I$66:$DJ$120,ROWS($A$10:$A16)+2,FALSE)</f>
        <v>1617</v>
      </c>
      <c r="BY16" s="34">
        <f>HLOOKUP(BY$7+0.5,$I$66:$DJ$120,ROWS($A$10:$A16)+2,FALSE)</f>
        <v>2128</v>
      </c>
      <c r="BZ16" s="34">
        <f>HLOOKUP(BZ$7+0.5,$I$66:$DJ$120,ROWS($A$10:$A16)+2,FALSE)</f>
        <v>1486</v>
      </c>
      <c r="CA16" s="34">
        <f>HLOOKUP(CA$7+0.5,$I$66:$DJ$120,ROWS($A$10:$A16)+2,FALSE)</f>
        <v>1843</v>
      </c>
      <c r="CB16" s="34">
        <f>HLOOKUP(CB$7+0.5,$I$66:$DJ$120,ROWS($A$10:$A16)+2,FALSE)</f>
        <v>2135</v>
      </c>
      <c r="CC16" s="34">
        <f>HLOOKUP(CC$7+0.5,$I$66:$DJ$120,ROWS($A$10:$A16)+2,FALSE)</f>
        <v>2468</v>
      </c>
      <c r="CD16" s="34">
        <f>HLOOKUP(CD$7+0.5,$I$66:$DJ$120,ROWS($A$10:$A16)+2,FALSE)</f>
        <v>40</v>
      </c>
      <c r="CE16" s="34">
        <f>HLOOKUP(CE$7+0.5,$I$66:$DJ$120,ROWS($A$10:$A16)+2,FALSE)</f>
        <v>1196</v>
      </c>
      <c r="CF16" s="34">
        <f>HLOOKUP(CF$7+0.5,$I$66:$DJ$120,ROWS($A$10:$A16)+2,FALSE)</f>
        <v>2238</v>
      </c>
      <c r="CG16" s="34">
        <f>HLOOKUP(CG$7+0.5,$I$66:$DJ$120,ROWS($A$10:$A16)+2,FALSE)</f>
        <v>1293</v>
      </c>
      <c r="CH16" s="34">
        <f>HLOOKUP(CH$7+0.5,$I$66:$DJ$120,ROWS($A$10:$A16)+2,FALSE)</f>
        <v>909</v>
      </c>
      <c r="CI16" s="34">
        <f>HLOOKUP(CI$7+0.5,$I$66:$DJ$120,ROWS($A$10:$A16)+2,FALSE)</f>
        <v>522</v>
      </c>
      <c r="CJ16" s="34">
        <f>HLOOKUP(CJ$7+0.5,$I$66:$DJ$120,ROWS($A$10:$A16)+2,FALSE)</f>
        <v>1262</v>
      </c>
      <c r="CK16" s="34">
        <f>HLOOKUP(CK$7+0.5,$I$66:$DJ$120,ROWS($A$10:$A16)+2,FALSE)</f>
        <v>923</v>
      </c>
      <c r="CL16" s="34">
        <f>HLOOKUP(CL$7+0.5,$I$66:$DJ$120,ROWS($A$10:$A16)+2,FALSE)</f>
        <v>1729</v>
      </c>
      <c r="CM16" s="34">
        <f>HLOOKUP(CM$7+0.5,$I$66:$DJ$120,ROWS($A$10:$A16)+2,FALSE)</f>
        <v>1433</v>
      </c>
      <c r="CN16" s="34">
        <f>HLOOKUP(CN$7+0.5,$I$66:$DJ$120,ROWS($A$10:$A16)+2,FALSE)</f>
        <v>308</v>
      </c>
      <c r="CO16" s="34">
        <f>HLOOKUP(CO$7+0.5,$I$66:$DJ$120,ROWS($A$10:$A16)+2,FALSE)</f>
        <v>1179</v>
      </c>
      <c r="CP16" s="34">
        <f>HLOOKUP(CP$7+0.5,$I$66:$DJ$120,ROWS($A$10:$A16)+2,FALSE)</f>
        <v>1851</v>
      </c>
      <c r="CQ16" s="34">
        <f>HLOOKUP(CQ$7+0.5,$I$66:$DJ$120,ROWS($A$10:$A16)+2,FALSE)</f>
        <v>2604</v>
      </c>
      <c r="CR16" s="34">
        <f>HLOOKUP(CR$7+0.5,$I$66:$DJ$120,ROWS($A$10:$A16)+2,FALSE)</f>
        <v>1678</v>
      </c>
      <c r="CS16" s="34">
        <f>HLOOKUP(CS$7+0.5,$I$66:$DJ$120,ROWS($A$10:$A16)+2,FALSE)</f>
        <v>1071</v>
      </c>
      <c r="CT16" s="34">
        <f>HLOOKUP(CT$7+0.5,$I$66:$DJ$120,ROWS($A$10:$A16)+2,FALSE)</f>
        <v>2214</v>
      </c>
      <c r="CU16" s="34">
        <f>HLOOKUP(CU$7+0.5,$I$66:$DJ$120,ROWS($A$10:$A16)+2,FALSE)</f>
        <v>2102</v>
      </c>
      <c r="CV16" s="34">
        <f>HLOOKUP(CV$7+0.5,$I$66:$DJ$120,ROWS($A$10:$A16)+2,FALSE)</f>
        <v>836</v>
      </c>
      <c r="CW16" s="34">
        <f>HLOOKUP(CW$7+0.5,$I$66:$DJ$120,ROWS($A$10:$A16)+2,FALSE)</f>
        <v>1530</v>
      </c>
      <c r="CX16" s="34">
        <f>HLOOKUP(CX$7+0.5,$I$66:$DJ$120,ROWS($A$10:$A16)+2,FALSE)</f>
        <v>153</v>
      </c>
      <c r="CY16" s="34">
        <f>HLOOKUP(CY$7+0.5,$I$66:$DJ$120,ROWS($A$10:$A16)+2,FALSE)</f>
        <v>1479</v>
      </c>
      <c r="CZ16" s="34">
        <f>HLOOKUP(CZ$7+0.5,$I$66:$DJ$120,ROWS($A$10:$A16)+2,FALSE)</f>
        <v>553</v>
      </c>
      <c r="DA16" s="34">
        <f>HLOOKUP(DA$7+0.5,$I$66:$DJ$120,ROWS($A$10:$A16)+2,FALSE)</f>
        <v>1135</v>
      </c>
      <c r="DB16" s="34">
        <f>HLOOKUP(DB$7+0.5,$I$66:$DJ$120,ROWS($A$10:$A16)+2,FALSE)</f>
        <v>3352</v>
      </c>
      <c r="DC16" s="34">
        <f>HLOOKUP(DC$7+0.5,$I$66:$DJ$120,ROWS($A$10:$A16)+2,FALSE)</f>
        <v>2035</v>
      </c>
      <c r="DD16" s="34">
        <f>HLOOKUP(DD$7+0.5,$I$66:$DJ$120,ROWS($A$10:$A16)+2,FALSE)</f>
        <v>371</v>
      </c>
      <c r="DE16" s="34">
        <f>HLOOKUP(DE$7+0.5,$I$66:$DJ$120,ROWS($A$10:$A16)+2,FALSE)</f>
        <v>1568</v>
      </c>
      <c r="DF16" s="34">
        <f>HLOOKUP(DF$7+0.5,$I$66:$DJ$120,ROWS($A$10:$A16)+2,FALSE)</f>
        <v>1401</v>
      </c>
      <c r="DG16" s="34">
        <f>HLOOKUP(DG$7+0.5,$I$66:$DJ$120,ROWS($A$10:$A16)+2,FALSE)</f>
        <v>429</v>
      </c>
      <c r="DH16" s="34">
        <f>HLOOKUP(DH$7+0.5,$I$66:$DJ$120,ROWS($A$10:$A16)+2,FALSE)</f>
        <v>1006</v>
      </c>
      <c r="DI16" s="34">
        <f>HLOOKUP(DI$7+0.5,$I$66:$DJ$120,ROWS($A$10:$A16)+2,FALSE)</f>
        <v>2808</v>
      </c>
      <c r="DJ16" s="34">
        <f>HLOOKUP(DJ$7+0.5,$I$66:$DJ$120,ROWS($A$10:$A16)+2,FALSE)</f>
        <v>903</v>
      </c>
    </row>
    <row r="17" spans="2:114" x14ac:dyDescent="0.25">
      <c r="B17" s="38" t="s">
        <v>13</v>
      </c>
      <c r="C17" s="16">
        <v>3555319</v>
      </c>
      <c r="D17" s="17">
        <v>2447</v>
      </c>
      <c r="E17" s="16">
        <v>3114940</v>
      </c>
      <c r="F17" s="17">
        <v>16188</v>
      </c>
      <c r="G17" s="16">
        <v>334918</v>
      </c>
      <c r="H17" s="17">
        <v>14546</v>
      </c>
      <c r="I17" s="36">
        <f>HLOOKUP(I$7,$I$66:$DJ$120,ROWS($A$10:$A17)+2,FALSE)</f>
        <v>80311</v>
      </c>
      <c r="J17" s="25">
        <f>HLOOKUP(J$7,$I$66:$DJ$120,ROWS($A$10:$A17)+2,FALSE)</f>
        <v>46</v>
      </c>
      <c r="K17" s="25">
        <f>HLOOKUP(K$7,$I$66:$DJ$120,ROWS($A$10:$A17)+2,FALSE)</f>
        <v>439</v>
      </c>
      <c r="L17" s="25">
        <f>HLOOKUP(L$7,$I$66:$DJ$120,ROWS($A$10:$A17)+2,FALSE)</f>
        <v>3167</v>
      </c>
      <c r="M17" s="25">
        <f>HLOOKUP(M$7,$I$66:$DJ$120,ROWS($A$10:$A17)+2,FALSE)</f>
        <v>200</v>
      </c>
      <c r="N17" s="25">
        <f>HLOOKUP(N$7,$I$66:$DJ$120,ROWS($A$10:$A17)+2,FALSE)</f>
        <v>3161</v>
      </c>
      <c r="O17" s="25">
        <f>HLOOKUP(O$7,$I$66:$DJ$120,ROWS($A$10:$A17)+2,FALSE)</f>
        <v>367</v>
      </c>
      <c r="P17" s="25" t="str">
        <f>HLOOKUP(P$7,$I$66:$DJ$120,ROWS($A$10:$A17)+2,FALSE)</f>
        <v>N/A</v>
      </c>
      <c r="Q17" s="25">
        <f>HLOOKUP(Q$7,$I$66:$DJ$120,ROWS($A$10:$A17)+2,FALSE)</f>
        <v>22</v>
      </c>
      <c r="R17" s="25">
        <f>HLOOKUP(R$7,$I$66:$DJ$120,ROWS($A$10:$A17)+2,FALSE)</f>
        <v>288</v>
      </c>
      <c r="S17" s="25">
        <f>HLOOKUP(S$7,$I$66:$DJ$120,ROWS($A$10:$A17)+2,FALSE)</f>
        <v>6578</v>
      </c>
      <c r="T17" s="25">
        <f>HLOOKUP(T$7,$I$66:$DJ$120,ROWS($A$10:$A17)+2,FALSE)</f>
        <v>1702</v>
      </c>
      <c r="U17" s="25">
        <f>HLOOKUP(U$7,$I$66:$DJ$120,ROWS($A$10:$A17)+2,FALSE)</f>
        <v>408</v>
      </c>
      <c r="V17" s="25">
        <f>HLOOKUP(V$7,$I$66:$DJ$120,ROWS($A$10:$A17)+2,FALSE)</f>
        <v>97</v>
      </c>
      <c r="W17" s="25">
        <f>HLOOKUP(W$7,$I$66:$DJ$120,ROWS($A$10:$A17)+2,FALSE)</f>
        <v>912</v>
      </c>
      <c r="X17" s="25">
        <f>HLOOKUP(X$7,$I$66:$DJ$120,ROWS($A$10:$A17)+2,FALSE)</f>
        <v>53</v>
      </c>
      <c r="Y17" s="25">
        <f>HLOOKUP(Y$7,$I$66:$DJ$120,ROWS($A$10:$A17)+2,FALSE)</f>
        <v>0</v>
      </c>
      <c r="Z17" s="25">
        <f>HLOOKUP(Z$7,$I$66:$DJ$120,ROWS($A$10:$A17)+2,FALSE)</f>
        <v>0</v>
      </c>
      <c r="AA17" s="25">
        <f>HLOOKUP(AA$7,$I$66:$DJ$120,ROWS($A$10:$A17)+2,FALSE)</f>
        <v>124</v>
      </c>
      <c r="AB17" s="25">
        <f>HLOOKUP(AB$7,$I$66:$DJ$120,ROWS($A$10:$A17)+2,FALSE)</f>
        <v>909</v>
      </c>
      <c r="AC17" s="25">
        <f>HLOOKUP(AC$7,$I$66:$DJ$120,ROWS($A$10:$A17)+2,FALSE)</f>
        <v>1224</v>
      </c>
      <c r="AD17" s="25">
        <f>HLOOKUP(AD$7,$I$66:$DJ$120,ROWS($A$10:$A17)+2,FALSE)</f>
        <v>1752</v>
      </c>
      <c r="AE17" s="25">
        <f>HLOOKUP(AE$7,$I$66:$DJ$120,ROWS($A$10:$A17)+2,FALSE)</f>
        <v>8743</v>
      </c>
      <c r="AF17" s="25">
        <f>HLOOKUP(AF$7,$I$66:$DJ$120,ROWS($A$10:$A17)+2,FALSE)</f>
        <v>753</v>
      </c>
      <c r="AG17" s="25">
        <f>HLOOKUP(AG$7,$I$66:$DJ$120,ROWS($A$10:$A17)+2,FALSE)</f>
        <v>605</v>
      </c>
      <c r="AH17" s="25">
        <f>HLOOKUP(AH$7,$I$66:$DJ$120,ROWS($A$10:$A17)+2,FALSE)</f>
        <v>276</v>
      </c>
      <c r="AI17" s="25">
        <f>HLOOKUP(AI$7,$I$66:$DJ$120,ROWS($A$10:$A17)+2,FALSE)</f>
        <v>358</v>
      </c>
      <c r="AJ17" s="25">
        <f>HLOOKUP(AJ$7,$I$66:$DJ$120,ROWS($A$10:$A17)+2,FALSE)</f>
        <v>50</v>
      </c>
      <c r="AK17" s="25">
        <f>HLOOKUP(AK$7,$I$66:$DJ$120,ROWS($A$10:$A17)+2,FALSE)</f>
        <v>45</v>
      </c>
      <c r="AL17" s="25">
        <f>HLOOKUP(AL$7,$I$66:$DJ$120,ROWS($A$10:$A17)+2,FALSE)</f>
        <v>172</v>
      </c>
      <c r="AM17" s="25">
        <f>HLOOKUP(AM$7,$I$66:$DJ$120,ROWS($A$10:$A17)+2,FALSE)</f>
        <v>1009</v>
      </c>
      <c r="AN17" s="25">
        <f>HLOOKUP(AN$7,$I$66:$DJ$120,ROWS($A$10:$A17)+2,FALSE)</f>
        <v>5665</v>
      </c>
      <c r="AO17" s="25">
        <f>HLOOKUP(AO$7,$I$66:$DJ$120,ROWS($A$10:$A17)+2,FALSE)</f>
        <v>444</v>
      </c>
      <c r="AP17" s="25">
        <f>HLOOKUP(AP$7,$I$66:$DJ$120,ROWS($A$10:$A17)+2,FALSE)</f>
        <v>23310</v>
      </c>
      <c r="AQ17" s="25">
        <f>HLOOKUP(AQ$7,$I$66:$DJ$120,ROWS($A$10:$A17)+2,FALSE)</f>
        <v>3379</v>
      </c>
      <c r="AR17" s="25">
        <f>HLOOKUP(AR$7,$I$66:$DJ$120,ROWS($A$10:$A17)+2,FALSE)</f>
        <v>0</v>
      </c>
      <c r="AS17" s="25">
        <f>HLOOKUP(AS$7,$I$66:$DJ$120,ROWS($A$10:$A17)+2,FALSE)</f>
        <v>287</v>
      </c>
      <c r="AT17" s="25">
        <f>HLOOKUP(AT$7,$I$66:$DJ$120,ROWS($A$10:$A17)+2,FALSE)</f>
        <v>415</v>
      </c>
      <c r="AU17" s="25">
        <f>HLOOKUP(AU$7,$I$66:$DJ$120,ROWS($A$10:$A17)+2,FALSE)</f>
        <v>35</v>
      </c>
      <c r="AV17" s="25">
        <f>HLOOKUP(AV$7,$I$66:$DJ$120,ROWS($A$10:$A17)+2,FALSE)</f>
        <v>2214</v>
      </c>
      <c r="AW17" s="25">
        <f>HLOOKUP(AW$7,$I$66:$DJ$120,ROWS($A$10:$A17)+2,FALSE)</f>
        <v>1558</v>
      </c>
      <c r="AX17" s="25">
        <f>HLOOKUP(AX$7,$I$66:$DJ$120,ROWS($A$10:$A17)+2,FALSE)</f>
        <v>940</v>
      </c>
      <c r="AY17" s="25">
        <f>HLOOKUP(AY$7,$I$66:$DJ$120,ROWS($A$10:$A17)+2,FALSE)</f>
        <v>0</v>
      </c>
      <c r="AZ17" s="25">
        <f>HLOOKUP(AZ$7,$I$66:$DJ$120,ROWS($A$10:$A17)+2,FALSE)</f>
        <v>260</v>
      </c>
      <c r="BA17" s="25">
        <f>HLOOKUP(BA$7,$I$66:$DJ$120,ROWS($A$10:$A17)+2,FALSE)</f>
        <v>3279</v>
      </c>
      <c r="BB17" s="25">
        <f>HLOOKUP(BB$7,$I$66:$DJ$120,ROWS($A$10:$A17)+2,FALSE)</f>
        <v>45</v>
      </c>
      <c r="BC17" s="25">
        <f>HLOOKUP(BC$7,$I$66:$DJ$120,ROWS($A$10:$A17)+2,FALSE)</f>
        <v>709</v>
      </c>
      <c r="BD17" s="25">
        <f>HLOOKUP(BD$7,$I$66:$DJ$120,ROWS($A$10:$A17)+2,FALSE)</f>
        <v>1729</v>
      </c>
      <c r="BE17" s="25">
        <f>HLOOKUP(BE$7,$I$66:$DJ$120,ROWS($A$10:$A17)+2,FALSE)</f>
        <v>1593</v>
      </c>
      <c r="BF17" s="25">
        <f>HLOOKUP(BF$7,$I$66:$DJ$120,ROWS($A$10:$A17)+2,FALSE)</f>
        <v>174</v>
      </c>
      <c r="BG17" s="25">
        <f>HLOOKUP(BG$7,$I$66:$DJ$120,ROWS($A$10:$A17)+2,FALSE)</f>
        <v>711</v>
      </c>
      <c r="BH17" s="25">
        <f>HLOOKUP(BH$7,$I$66:$DJ$120,ROWS($A$10:$A17)+2,FALSE)</f>
        <v>104</v>
      </c>
      <c r="BI17" s="25">
        <f>HLOOKUP(BI$7,$I$66:$DJ$120,ROWS($A$10:$A17)+2,FALSE)</f>
        <v>3228</v>
      </c>
      <c r="BJ17" s="34">
        <f>HLOOKUP(BJ$7+0.5,$I$66:$DJ$120,ROWS($A$10:$A17)+2,FALSE)</f>
        <v>6574</v>
      </c>
      <c r="BK17" s="34">
        <f>HLOOKUP(BK$7+0.5,$I$66:$DJ$120,ROWS($A$10:$A17)+2,FALSE)</f>
        <v>103</v>
      </c>
      <c r="BL17" s="34">
        <f>HLOOKUP(BL$7+0.5,$I$66:$DJ$120,ROWS($A$10:$A17)+2,FALSE)</f>
        <v>511</v>
      </c>
      <c r="BM17" s="34">
        <f>HLOOKUP(BM$7+0.5,$I$66:$DJ$120,ROWS($A$10:$A17)+2,FALSE)</f>
        <v>3028</v>
      </c>
      <c r="BN17" s="34">
        <f>HLOOKUP(BN$7+0.5,$I$66:$DJ$120,ROWS($A$10:$A17)+2,FALSE)</f>
        <v>228</v>
      </c>
      <c r="BO17" s="34">
        <f>HLOOKUP(BO$7+0.5,$I$66:$DJ$120,ROWS($A$10:$A17)+2,FALSE)</f>
        <v>1015</v>
      </c>
      <c r="BP17" s="34">
        <f>HLOOKUP(BP$7+0.5,$I$66:$DJ$120,ROWS($A$10:$A17)+2,FALSE)</f>
        <v>341</v>
      </c>
      <c r="BQ17" s="34" t="str">
        <f>HLOOKUP(BQ$7+0.5,$I$66:$DJ$120,ROWS($A$10:$A17)+2,FALSE)</f>
        <v>N/A</v>
      </c>
      <c r="BR17" s="34">
        <f>HLOOKUP(BR$7+0.5,$I$66:$DJ$120,ROWS($A$10:$A17)+2,FALSE)</f>
        <v>36</v>
      </c>
      <c r="BS17" s="34">
        <f>HLOOKUP(BS$7+0.5,$I$66:$DJ$120,ROWS($A$10:$A17)+2,FALSE)</f>
        <v>230</v>
      </c>
      <c r="BT17" s="34">
        <f>HLOOKUP(BT$7+0.5,$I$66:$DJ$120,ROWS($A$10:$A17)+2,FALSE)</f>
        <v>1844</v>
      </c>
      <c r="BU17" s="34">
        <f>HLOOKUP(BU$7+0.5,$I$66:$DJ$120,ROWS($A$10:$A17)+2,FALSE)</f>
        <v>971</v>
      </c>
      <c r="BV17" s="34">
        <f>HLOOKUP(BV$7+0.5,$I$66:$DJ$120,ROWS($A$10:$A17)+2,FALSE)</f>
        <v>476</v>
      </c>
      <c r="BW17" s="34">
        <f>HLOOKUP(BW$7+0.5,$I$66:$DJ$120,ROWS($A$10:$A17)+2,FALSE)</f>
        <v>155</v>
      </c>
      <c r="BX17" s="34">
        <f>HLOOKUP(BX$7+0.5,$I$66:$DJ$120,ROWS($A$10:$A17)+2,FALSE)</f>
        <v>583</v>
      </c>
      <c r="BY17" s="34">
        <f>HLOOKUP(BY$7+0.5,$I$66:$DJ$120,ROWS($A$10:$A17)+2,FALSE)</f>
        <v>90</v>
      </c>
      <c r="BZ17" s="34">
        <f>HLOOKUP(BZ$7+0.5,$I$66:$DJ$120,ROWS($A$10:$A17)+2,FALSE)</f>
        <v>193</v>
      </c>
      <c r="CA17" s="34">
        <f>HLOOKUP(CA$7+0.5,$I$66:$DJ$120,ROWS($A$10:$A17)+2,FALSE)</f>
        <v>193</v>
      </c>
      <c r="CB17" s="34">
        <f>HLOOKUP(CB$7+0.5,$I$66:$DJ$120,ROWS($A$10:$A17)+2,FALSE)</f>
        <v>159</v>
      </c>
      <c r="CC17" s="34">
        <f>HLOOKUP(CC$7+0.5,$I$66:$DJ$120,ROWS($A$10:$A17)+2,FALSE)</f>
        <v>733</v>
      </c>
      <c r="CD17" s="34">
        <f>HLOOKUP(CD$7+0.5,$I$66:$DJ$120,ROWS($A$10:$A17)+2,FALSE)</f>
        <v>696</v>
      </c>
      <c r="CE17" s="34">
        <f>HLOOKUP(CE$7+0.5,$I$66:$DJ$120,ROWS($A$10:$A17)+2,FALSE)</f>
        <v>748</v>
      </c>
      <c r="CF17" s="34">
        <f>HLOOKUP(CF$7+0.5,$I$66:$DJ$120,ROWS($A$10:$A17)+2,FALSE)</f>
        <v>1587</v>
      </c>
      <c r="CG17" s="34">
        <f>HLOOKUP(CG$7+0.5,$I$66:$DJ$120,ROWS($A$10:$A17)+2,FALSE)</f>
        <v>539</v>
      </c>
      <c r="CH17" s="34">
        <f>HLOOKUP(CH$7+0.5,$I$66:$DJ$120,ROWS($A$10:$A17)+2,FALSE)</f>
        <v>564</v>
      </c>
      <c r="CI17" s="34">
        <f>HLOOKUP(CI$7+0.5,$I$66:$DJ$120,ROWS($A$10:$A17)+2,FALSE)</f>
        <v>293</v>
      </c>
      <c r="CJ17" s="34">
        <f>HLOOKUP(CJ$7+0.5,$I$66:$DJ$120,ROWS($A$10:$A17)+2,FALSE)</f>
        <v>330</v>
      </c>
      <c r="CK17" s="34">
        <f>HLOOKUP(CK$7+0.5,$I$66:$DJ$120,ROWS($A$10:$A17)+2,FALSE)</f>
        <v>91</v>
      </c>
      <c r="CL17" s="34">
        <f>HLOOKUP(CL$7+0.5,$I$66:$DJ$120,ROWS($A$10:$A17)+2,FALSE)</f>
        <v>74</v>
      </c>
      <c r="CM17" s="34">
        <f>HLOOKUP(CM$7+0.5,$I$66:$DJ$120,ROWS($A$10:$A17)+2,FALSE)</f>
        <v>166</v>
      </c>
      <c r="CN17" s="34">
        <f>HLOOKUP(CN$7+0.5,$I$66:$DJ$120,ROWS($A$10:$A17)+2,FALSE)</f>
        <v>551</v>
      </c>
      <c r="CO17" s="34">
        <f>HLOOKUP(CO$7+0.5,$I$66:$DJ$120,ROWS($A$10:$A17)+2,FALSE)</f>
        <v>1490</v>
      </c>
      <c r="CP17" s="34">
        <f>HLOOKUP(CP$7+0.5,$I$66:$DJ$120,ROWS($A$10:$A17)+2,FALSE)</f>
        <v>450</v>
      </c>
      <c r="CQ17" s="34">
        <f>HLOOKUP(CQ$7+0.5,$I$66:$DJ$120,ROWS($A$10:$A17)+2,FALSE)</f>
        <v>3774</v>
      </c>
      <c r="CR17" s="34">
        <f>HLOOKUP(CR$7+0.5,$I$66:$DJ$120,ROWS($A$10:$A17)+2,FALSE)</f>
        <v>1609</v>
      </c>
      <c r="CS17" s="34">
        <f>HLOOKUP(CS$7+0.5,$I$66:$DJ$120,ROWS($A$10:$A17)+2,FALSE)</f>
        <v>193</v>
      </c>
      <c r="CT17" s="34">
        <f>HLOOKUP(CT$7+0.5,$I$66:$DJ$120,ROWS($A$10:$A17)+2,FALSE)</f>
        <v>254</v>
      </c>
      <c r="CU17" s="34">
        <f>HLOOKUP(CU$7+0.5,$I$66:$DJ$120,ROWS($A$10:$A17)+2,FALSE)</f>
        <v>411</v>
      </c>
      <c r="CV17" s="34">
        <f>HLOOKUP(CV$7+0.5,$I$66:$DJ$120,ROWS($A$10:$A17)+2,FALSE)</f>
        <v>58</v>
      </c>
      <c r="CW17" s="34">
        <f>HLOOKUP(CW$7+0.5,$I$66:$DJ$120,ROWS($A$10:$A17)+2,FALSE)</f>
        <v>1037</v>
      </c>
      <c r="CX17" s="34">
        <f>HLOOKUP(CX$7+0.5,$I$66:$DJ$120,ROWS($A$10:$A17)+2,FALSE)</f>
        <v>689</v>
      </c>
      <c r="CY17" s="34">
        <f>HLOOKUP(CY$7+0.5,$I$66:$DJ$120,ROWS($A$10:$A17)+2,FALSE)</f>
        <v>665</v>
      </c>
      <c r="CZ17" s="34">
        <f>HLOOKUP(CZ$7+0.5,$I$66:$DJ$120,ROWS($A$10:$A17)+2,FALSE)</f>
        <v>193</v>
      </c>
      <c r="DA17" s="34">
        <f>HLOOKUP(DA$7+0.5,$I$66:$DJ$120,ROWS($A$10:$A17)+2,FALSE)</f>
        <v>216</v>
      </c>
      <c r="DB17" s="34">
        <f>HLOOKUP(DB$7+0.5,$I$66:$DJ$120,ROWS($A$10:$A17)+2,FALSE)</f>
        <v>1568</v>
      </c>
      <c r="DC17" s="34">
        <f>HLOOKUP(DC$7+0.5,$I$66:$DJ$120,ROWS($A$10:$A17)+2,FALSE)</f>
        <v>69</v>
      </c>
      <c r="DD17" s="34">
        <f>HLOOKUP(DD$7+0.5,$I$66:$DJ$120,ROWS($A$10:$A17)+2,FALSE)</f>
        <v>556</v>
      </c>
      <c r="DE17" s="34">
        <f>HLOOKUP(DE$7+0.5,$I$66:$DJ$120,ROWS($A$10:$A17)+2,FALSE)</f>
        <v>707</v>
      </c>
      <c r="DF17" s="34">
        <f>HLOOKUP(DF$7+0.5,$I$66:$DJ$120,ROWS($A$10:$A17)+2,FALSE)</f>
        <v>1274</v>
      </c>
      <c r="DG17" s="34">
        <f>HLOOKUP(DG$7+0.5,$I$66:$DJ$120,ROWS($A$10:$A17)+2,FALSE)</f>
        <v>293</v>
      </c>
      <c r="DH17" s="34">
        <f>HLOOKUP(DH$7+0.5,$I$66:$DJ$120,ROWS($A$10:$A17)+2,FALSE)</f>
        <v>684</v>
      </c>
      <c r="DI17" s="34">
        <f>HLOOKUP(DI$7+0.5,$I$66:$DJ$120,ROWS($A$10:$A17)+2,FALSE)</f>
        <v>120</v>
      </c>
      <c r="DJ17" s="34">
        <f>HLOOKUP(DJ$7+0.5,$I$66:$DJ$120,ROWS($A$10:$A17)+2,FALSE)</f>
        <v>1540</v>
      </c>
    </row>
    <row r="18" spans="2:114" x14ac:dyDescent="0.25">
      <c r="B18" s="38" t="s">
        <v>14</v>
      </c>
      <c r="C18" s="16">
        <v>906576</v>
      </c>
      <c r="D18" s="17">
        <v>1624</v>
      </c>
      <c r="E18" s="16">
        <v>782216</v>
      </c>
      <c r="F18" s="17">
        <v>9177</v>
      </c>
      <c r="G18" s="16">
        <v>86003</v>
      </c>
      <c r="H18" s="17">
        <v>7626</v>
      </c>
      <c r="I18" s="36">
        <f>HLOOKUP(I$7,$I$66:$DJ$120,ROWS($A$10:$A18)+2,FALSE)</f>
        <v>34757</v>
      </c>
      <c r="J18" s="25">
        <f>HLOOKUP(J$7,$I$66:$DJ$120,ROWS($A$10:$A18)+2,FALSE)</f>
        <v>119</v>
      </c>
      <c r="K18" s="25">
        <f>HLOOKUP(K$7,$I$66:$DJ$120,ROWS($A$10:$A18)+2,FALSE)</f>
        <v>692</v>
      </c>
      <c r="L18" s="25">
        <f>HLOOKUP(L$7,$I$66:$DJ$120,ROWS($A$10:$A18)+2,FALSE)</f>
        <v>188</v>
      </c>
      <c r="M18" s="25">
        <f>HLOOKUP(M$7,$I$66:$DJ$120,ROWS($A$10:$A18)+2,FALSE)</f>
        <v>0</v>
      </c>
      <c r="N18" s="25">
        <f>HLOOKUP(N$7,$I$66:$DJ$120,ROWS($A$10:$A18)+2,FALSE)</f>
        <v>2221</v>
      </c>
      <c r="O18" s="25">
        <f>HLOOKUP(O$7,$I$66:$DJ$120,ROWS($A$10:$A18)+2,FALSE)</f>
        <v>0</v>
      </c>
      <c r="P18" s="25">
        <f>HLOOKUP(P$7,$I$66:$DJ$120,ROWS($A$10:$A18)+2,FALSE)</f>
        <v>1489</v>
      </c>
      <c r="Q18" s="25" t="str">
        <f>HLOOKUP(Q$7,$I$66:$DJ$120,ROWS($A$10:$A18)+2,FALSE)</f>
        <v>N/A</v>
      </c>
      <c r="R18" s="25">
        <f>HLOOKUP(R$7,$I$66:$DJ$120,ROWS($A$10:$A18)+2,FALSE)</f>
        <v>11</v>
      </c>
      <c r="S18" s="25">
        <f>HLOOKUP(S$7,$I$66:$DJ$120,ROWS($A$10:$A18)+2,FALSE)</f>
        <v>715</v>
      </c>
      <c r="T18" s="25">
        <f>HLOOKUP(T$7,$I$66:$DJ$120,ROWS($A$10:$A18)+2,FALSE)</f>
        <v>179</v>
      </c>
      <c r="U18" s="25">
        <f>HLOOKUP(U$7,$I$66:$DJ$120,ROWS($A$10:$A18)+2,FALSE)</f>
        <v>0</v>
      </c>
      <c r="V18" s="25">
        <f>HLOOKUP(V$7,$I$66:$DJ$120,ROWS($A$10:$A18)+2,FALSE)</f>
        <v>32</v>
      </c>
      <c r="W18" s="25">
        <f>HLOOKUP(W$7,$I$66:$DJ$120,ROWS($A$10:$A18)+2,FALSE)</f>
        <v>567</v>
      </c>
      <c r="X18" s="25">
        <f>HLOOKUP(X$7,$I$66:$DJ$120,ROWS($A$10:$A18)+2,FALSE)</f>
        <v>62</v>
      </c>
      <c r="Y18" s="25">
        <f>HLOOKUP(Y$7,$I$66:$DJ$120,ROWS($A$10:$A18)+2,FALSE)</f>
        <v>30</v>
      </c>
      <c r="Z18" s="25">
        <f>HLOOKUP(Z$7,$I$66:$DJ$120,ROWS($A$10:$A18)+2,FALSE)</f>
        <v>113</v>
      </c>
      <c r="AA18" s="25">
        <f>HLOOKUP(AA$7,$I$66:$DJ$120,ROWS($A$10:$A18)+2,FALSE)</f>
        <v>0</v>
      </c>
      <c r="AB18" s="25">
        <f>HLOOKUP(AB$7,$I$66:$DJ$120,ROWS($A$10:$A18)+2,FALSE)</f>
        <v>178</v>
      </c>
      <c r="AC18" s="25">
        <f>HLOOKUP(AC$7,$I$66:$DJ$120,ROWS($A$10:$A18)+2,FALSE)</f>
        <v>0</v>
      </c>
      <c r="AD18" s="25">
        <f>HLOOKUP(AD$7,$I$66:$DJ$120,ROWS($A$10:$A18)+2,FALSE)</f>
        <v>5649</v>
      </c>
      <c r="AE18" s="25">
        <f>HLOOKUP(AE$7,$I$66:$DJ$120,ROWS($A$10:$A18)+2,FALSE)</f>
        <v>157</v>
      </c>
      <c r="AF18" s="25">
        <f>HLOOKUP(AF$7,$I$66:$DJ$120,ROWS($A$10:$A18)+2,FALSE)</f>
        <v>227</v>
      </c>
      <c r="AG18" s="25">
        <f>HLOOKUP(AG$7,$I$66:$DJ$120,ROWS($A$10:$A18)+2,FALSE)</f>
        <v>351</v>
      </c>
      <c r="AH18" s="25">
        <f>HLOOKUP(AH$7,$I$66:$DJ$120,ROWS($A$10:$A18)+2,FALSE)</f>
        <v>58</v>
      </c>
      <c r="AI18" s="25">
        <f>HLOOKUP(AI$7,$I$66:$DJ$120,ROWS($A$10:$A18)+2,FALSE)</f>
        <v>80</v>
      </c>
      <c r="AJ18" s="25">
        <f>HLOOKUP(AJ$7,$I$66:$DJ$120,ROWS($A$10:$A18)+2,FALSE)</f>
        <v>0</v>
      </c>
      <c r="AK18" s="25">
        <f>HLOOKUP(AK$7,$I$66:$DJ$120,ROWS($A$10:$A18)+2,FALSE)</f>
        <v>91</v>
      </c>
      <c r="AL18" s="25">
        <f>HLOOKUP(AL$7,$I$66:$DJ$120,ROWS($A$10:$A18)+2,FALSE)</f>
        <v>572</v>
      </c>
      <c r="AM18" s="25">
        <f>HLOOKUP(AM$7,$I$66:$DJ$120,ROWS($A$10:$A18)+2,FALSE)</f>
        <v>99</v>
      </c>
      <c r="AN18" s="25">
        <f>HLOOKUP(AN$7,$I$66:$DJ$120,ROWS($A$10:$A18)+2,FALSE)</f>
        <v>5846</v>
      </c>
      <c r="AO18" s="25">
        <f>HLOOKUP(AO$7,$I$66:$DJ$120,ROWS($A$10:$A18)+2,FALSE)</f>
        <v>85</v>
      </c>
      <c r="AP18" s="25">
        <f>HLOOKUP(AP$7,$I$66:$DJ$120,ROWS($A$10:$A18)+2,FALSE)</f>
        <v>3566</v>
      </c>
      <c r="AQ18" s="25">
        <f>HLOOKUP(AQ$7,$I$66:$DJ$120,ROWS($A$10:$A18)+2,FALSE)</f>
        <v>1349</v>
      </c>
      <c r="AR18" s="25">
        <f>HLOOKUP(AR$7,$I$66:$DJ$120,ROWS($A$10:$A18)+2,FALSE)</f>
        <v>0</v>
      </c>
      <c r="AS18" s="25">
        <f>HLOOKUP(AS$7,$I$66:$DJ$120,ROWS($A$10:$A18)+2,FALSE)</f>
        <v>191</v>
      </c>
      <c r="AT18" s="25">
        <f>HLOOKUP(AT$7,$I$66:$DJ$120,ROWS($A$10:$A18)+2,FALSE)</f>
        <v>0</v>
      </c>
      <c r="AU18" s="25">
        <f>HLOOKUP(AU$7,$I$66:$DJ$120,ROWS($A$10:$A18)+2,FALSE)</f>
        <v>0</v>
      </c>
      <c r="AV18" s="25">
        <f>HLOOKUP(AV$7,$I$66:$DJ$120,ROWS($A$10:$A18)+2,FALSE)</f>
        <v>6828</v>
      </c>
      <c r="AW18" s="25">
        <f>HLOOKUP(AW$7,$I$66:$DJ$120,ROWS($A$10:$A18)+2,FALSE)</f>
        <v>135</v>
      </c>
      <c r="AX18" s="25">
        <f>HLOOKUP(AX$7,$I$66:$DJ$120,ROWS($A$10:$A18)+2,FALSE)</f>
        <v>298</v>
      </c>
      <c r="AY18" s="25">
        <f>HLOOKUP(AY$7,$I$66:$DJ$120,ROWS($A$10:$A18)+2,FALSE)</f>
        <v>0</v>
      </c>
      <c r="AZ18" s="25">
        <f>HLOOKUP(AZ$7,$I$66:$DJ$120,ROWS($A$10:$A18)+2,FALSE)</f>
        <v>344</v>
      </c>
      <c r="BA18" s="25">
        <f>HLOOKUP(BA$7,$I$66:$DJ$120,ROWS($A$10:$A18)+2,FALSE)</f>
        <v>133</v>
      </c>
      <c r="BB18" s="25">
        <f>HLOOKUP(BB$7,$I$66:$DJ$120,ROWS($A$10:$A18)+2,FALSE)</f>
        <v>166</v>
      </c>
      <c r="BC18" s="25">
        <f>HLOOKUP(BC$7,$I$66:$DJ$120,ROWS($A$10:$A18)+2,FALSE)</f>
        <v>0</v>
      </c>
      <c r="BD18" s="25">
        <f>HLOOKUP(BD$7,$I$66:$DJ$120,ROWS($A$10:$A18)+2,FALSE)</f>
        <v>1746</v>
      </c>
      <c r="BE18" s="25">
        <f>HLOOKUP(BE$7,$I$66:$DJ$120,ROWS($A$10:$A18)+2,FALSE)</f>
        <v>29</v>
      </c>
      <c r="BF18" s="25">
        <f>HLOOKUP(BF$7,$I$66:$DJ$120,ROWS($A$10:$A18)+2,FALSE)</f>
        <v>161</v>
      </c>
      <c r="BG18" s="25">
        <f>HLOOKUP(BG$7,$I$66:$DJ$120,ROWS($A$10:$A18)+2,FALSE)</f>
        <v>0</v>
      </c>
      <c r="BH18" s="25">
        <f>HLOOKUP(BH$7,$I$66:$DJ$120,ROWS($A$10:$A18)+2,FALSE)</f>
        <v>0</v>
      </c>
      <c r="BI18" s="25">
        <f>HLOOKUP(BI$7,$I$66:$DJ$120,ROWS($A$10:$A18)+2,FALSE)</f>
        <v>56</v>
      </c>
      <c r="BJ18" s="34">
        <f>HLOOKUP(BJ$7+0.5,$I$66:$DJ$120,ROWS($A$10:$A18)+2,FALSE)</f>
        <v>4691</v>
      </c>
      <c r="BK18" s="34">
        <f>HLOOKUP(BK$7+0.5,$I$66:$DJ$120,ROWS($A$10:$A18)+2,FALSE)</f>
        <v>164</v>
      </c>
      <c r="BL18" s="34">
        <f>HLOOKUP(BL$7+0.5,$I$66:$DJ$120,ROWS($A$10:$A18)+2,FALSE)</f>
        <v>920</v>
      </c>
      <c r="BM18" s="34">
        <f>HLOOKUP(BM$7+0.5,$I$66:$DJ$120,ROWS($A$10:$A18)+2,FALSE)</f>
        <v>227</v>
      </c>
      <c r="BN18" s="34">
        <f>HLOOKUP(BN$7+0.5,$I$66:$DJ$120,ROWS($A$10:$A18)+2,FALSE)</f>
        <v>182</v>
      </c>
      <c r="BO18" s="34">
        <f>HLOOKUP(BO$7+0.5,$I$66:$DJ$120,ROWS($A$10:$A18)+2,FALSE)</f>
        <v>2189</v>
      </c>
      <c r="BP18" s="34">
        <f>HLOOKUP(BP$7+0.5,$I$66:$DJ$120,ROWS($A$10:$A18)+2,FALSE)</f>
        <v>182</v>
      </c>
      <c r="BQ18" s="34">
        <f>HLOOKUP(BQ$7+0.5,$I$66:$DJ$120,ROWS($A$10:$A18)+2,FALSE)</f>
        <v>679</v>
      </c>
      <c r="BR18" s="34" t="str">
        <f>HLOOKUP(BR$7+0.5,$I$66:$DJ$120,ROWS($A$10:$A18)+2,FALSE)</f>
        <v>N/A</v>
      </c>
      <c r="BS18" s="34">
        <f>HLOOKUP(BS$7+0.5,$I$66:$DJ$120,ROWS($A$10:$A18)+2,FALSE)</f>
        <v>21</v>
      </c>
      <c r="BT18" s="34">
        <f>HLOOKUP(BT$7+0.5,$I$66:$DJ$120,ROWS($A$10:$A18)+2,FALSE)</f>
        <v>481</v>
      </c>
      <c r="BU18" s="34">
        <f>HLOOKUP(BU$7+0.5,$I$66:$DJ$120,ROWS($A$10:$A18)+2,FALSE)</f>
        <v>224</v>
      </c>
      <c r="BV18" s="34">
        <f>HLOOKUP(BV$7+0.5,$I$66:$DJ$120,ROWS($A$10:$A18)+2,FALSE)</f>
        <v>182</v>
      </c>
      <c r="BW18" s="34">
        <f>HLOOKUP(BW$7+0.5,$I$66:$DJ$120,ROWS($A$10:$A18)+2,FALSE)</f>
        <v>51</v>
      </c>
      <c r="BX18" s="34">
        <f>HLOOKUP(BX$7+0.5,$I$66:$DJ$120,ROWS($A$10:$A18)+2,FALSE)</f>
        <v>468</v>
      </c>
      <c r="BY18" s="34">
        <f>HLOOKUP(BY$7+0.5,$I$66:$DJ$120,ROWS($A$10:$A18)+2,FALSE)</f>
        <v>80</v>
      </c>
      <c r="BZ18" s="34">
        <f>HLOOKUP(BZ$7+0.5,$I$66:$DJ$120,ROWS($A$10:$A18)+2,FALSE)</f>
        <v>49</v>
      </c>
      <c r="CA18" s="34">
        <f>HLOOKUP(CA$7+0.5,$I$66:$DJ$120,ROWS($A$10:$A18)+2,FALSE)</f>
        <v>190</v>
      </c>
      <c r="CB18" s="34">
        <f>HLOOKUP(CB$7+0.5,$I$66:$DJ$120,ROWS($A$10:$A18)+2,FALSE)</f>
        <v>182</v>
      </c>
      <c r="CC18" s="34">
        <f>HLOOKUP(CC$7+0.5,$I$66:$DJ$120,ROWS($A$10:$A18)+2,FALSE)</f>
        <v>266</v>
      </c>
      <c r="CD18" s="34">
        <f>HLOOKUP(CD$7+0.5,$I$66:$DJ$120,ROWS($A$10:$A18)+2,FALSE)</f>
        <v>182</v>
      </c>
      <c r="CE18" s="34">
        <f>HLOOKUP(CE$7+0.5,$I$66:$DJ$120,ROWS($A$10:$A18)+2,FALSE)</f>
        <v>1598</v>
      </c>
      <c r="CF18" s="34">
        <f>HLOOKUP(CF$7+0.5,$I$66:$DJ$120,ROWS($A$10:$A18)+2,FALSE)</f>
        <v>131</v>
      </c>
      <c r="CG18" s="34">
        <f>HLOOKUP(CG$7+0.5,$I$66:$DJ$120,ROWS($A$10:$A18)+2,FALSE)</f>
        <v>233</v>
      </c>
      <c r="CH18" s="34">
        <f>HLOOKUP(CH$7+0.5,$I$66:$DJ$120,ROWS($A$10:$A18)+2,FALSE)</f>
        <v>390</v>
      </c>
      <c r="CI18" s="34">
        <f>HLOOKUP(CI$7+0.5,$I$66:$DJ$120,ROWS($A$10:$A18)+2,FALSE)</f>
        <v>110</v>
      </c>
      <c r="CJ18" s="34">
        <f>HLOOKUP(CJ$7+0.5,$I$66:$DJ$120,ROWS($A$10:$A18)+2,FALSE)</f>
        <v>138</v>
      </c>
      <c r="CK18" s="34">
        <f>HLOOKUP(CK$7+0.5,$I$66:$DJ$120,ROWS($A$10:$A18)+2,FALSE)</f>
        <v>182</v>
      </c>
      <c r="CL18" s="34">
        <f>HLOOKUP(CL$7+0.5,$I$66:$DJ$120,ROWS($A$10:$A18)+2,FALSE)</f>
        <v>116</v>
      </c>
      <c r="CM18" s="34">
        <f>HLOOKUP(CM$7+0.5,$I$66:$DJ$120,ROWS($A$10:$A18)+2,FALSE)</f>
        <v>474</v>
      </c>
      <c r="CN18" s="34">
        <f>HLOOKUP(CN$7+0.5,$I$66:$DJ$120,ROWS($A$10:$A18)+2,FALSE)</f>
        <v>127</v>
      </c>
      <c r="CO18" s="34">
        <f>HLOOKUP(CO$7+0.5,$I$66:$DJ$120,ROWS($A$10:$A18)+2,FALSE)</f>
        <v>2122</v>
      </c>
      <c r="CP18" s="34">
        <f>HLOOKUP(CP$7+0.5,$I$66:$DJ$120,ROWS($A$10:$A18)+2,FALSE)</f>
        <v>136</v>
      </c>
      <c r="CQ18" s="34">
        <f>HLOOKUP(CQ$7+0.5,$I$66:$DJ$120,ROWS($A$10:$A18)+2,FALSE)</f>
        <v>1751</v>
      </c>
      <c r="CR18" s="34">
        <f>HLOOKUP(CR$7+0.5,$I$66:$DJ$120,ROWS($A$10:$A18)+2,FALSE)</f>
        <v>809</v>
      </c>
      <c r="CS18" s="34">
        <f>HLOOKUP(CS$7+0.5,$I$66:$DJ$120,ROWS($A$10:$A18)+2,FALSE)</f>
        <v>182</v>
      </c>
      <c r="CT18" s="34">
        <f>HLOOKUP(CT$7+0.5,$I$66:$DJ$120,ROWS($A$10:$A18)+2,FALSE)</f>
        <v>201</v>
      </c>
      <c r="CU18" s="34">
        <f>HLOOKUP(CU$7+0.5,$I$66:$DJ$120,ROWS($A$10:$A18)+2,FALSE)</f>
        <v>182</v>
      </c>
      <c r="CV18" s="34">
        <f>HLOOKUP(CV$7+0.5,$I$66:$DJ$120,ROWS($A$10:$A18)+2,FALSE)</f>
        <v>182</v>
      </c>
      <c r="CW18" s="34">
        <f>HLOOKUP(CW$7+0.5,$I$66:$DJ$120,ROWS($A$10:$A18)+2,FALSE)</f>
        <v>1815</v>
      </c>
      <c r="CX18" s="34">
        <f>HLOOKUP(CX$7+0.5,$I$66:$DJ$120,ROWS($A$10:$A18)+2,FALSE)</f>
        <v>185</v>
      </c>
      <c r="CY18" s="34">
        <f>HLOOKUP(CY$7+0.5,$I$66:$DJ$120,ROWS($A$10:$A18)+2,FALSE)</f>
        <v>235</v>
      </c>
      <c r="CZ18" s="34">
        <f>HLOOKUP(CZ$7+0.5,$I$66:$DJ$120,ROWS($A$10:$A18)+2,FALSE)</f>
        <v>182</v>
      </c>
      <c r="DA18" s="34">
        <f>HLOOKUP(DA$7+0.5,$I$66:$DJ$120,ROWS($A$10:$A18)+2,FALSE)</f>
        <v>440</v>
      </c>
      <c r="DB18" s="34">
        <f>HLOOKUP(DB$7+0.5,$I$66:$DJ$120,ROWS($A$10:$A18)+2,FALSE)</f>
        <v>158</v>
      </c>
      <c r="DC18" s="34">
        <f>HLOOKUP(DC$7+0.5,$I$66:$DJ$120,ROWS($A$10:$A18)+2,FALSE)</f>
        <v>279</v>
      </c>
      <c r="DD18" s="34">
        <f>HLOOKUP(DD$7+0.5,$I$66:$DJ$120,ROWS($A$10:$A18)+2,FALSE)</f>
        <v>182</v>
      </c>
      <c r="DE18" s="34">
        <f>HLOOKUP(DE$7+0.5,$I$66:$DJ$120,ROWS($A$10:$A18)+2,FALSE)</f>
        <v>910</v>
      </c>
      <c r="DF18" s="34">
        <f>HLOOKUP(DF$7+0.5,$I$66:$DJ$120,ROWS($A$10:$A18)+2,FALSE)</f>
        <v>49</v>
      </c>
      <c r="DG18" s="34">
        <f>HLOOKUP(DG$7+0.5,$I$66:$DJ$120,ROWS($A$10:$A18)+2,FALSE)</f>
        <v>205</v>
      </c>
      <c r="DH18" s="34">
        <f>HLOOKUP(DH$7+0.5,$I$66:$DJ$120,ROWS($A$10:$A18)+2,FALSE)</f>
        <v>182</v>
      </c>
      <c r="DI18" s="34">
        <f>HLOOKUP(DI$7+0.5,$I$66:$DJ$120,ROWS($A$10:$A18)+2,FALSE)</f>
        <v>182</v>
      </c>
      <c r="DJ18" s="34">
        <f>HLOOKUP(DJ$7+0.5,$I$66:$DJ$120,ROWS($A$10:$A18)+2,FALSE)</f>
        <v>90</v>
      </c>
    </row>
    <row r="19" spans="2:114" x14ac:dyDescent="0.25">
      <c r="B19" s="38" t="s">
        <v>15</v>
      </c>
      <c r="C19" s="16">
        <v>624847</v>
      </c>
      <c r="D19" s="17">
        <v>948</v>
      </c>
      <c r="E19" s="16">
        <v>500267</v>
      </c>
      <c r="F19" s="17">
        <v>6225</v>
      </c>
      <c r="G19" s="16">
        <v>61992</v>
      </c>
      <c r="H19" s="17">
        <v>5668</v>
      </c>
      <c r="I19" s="36">
        <f>HLOOKUP(I$7,$I$66:$DJ$120,ROWS($A$10:$A19)+2,FALSE)</f>
        <v>53830</v>
      </c>
      <c r="J19" s="25">
        <f>HLOOKUP(J$7,$I$66:$DJ$120,ROWS($A$10:$A19)+2,FALSE)</f>
        <v>79</v>
      </c>
      <c r="K19" s="25">
        <f>HLOOKUP(K$7,$I$66:$DJ$120,ROWS($A$10:$A19)+2,FALSE)</f>
        <v>1247</v>
      </c>
      <c r="L19" s="25">
        <f>HLOOKUP(L$7,$I$66:$DJ$120,ROWS($A$10:$A19)+2,FALSE)</f>
        <v>902</v>
      </c>
      <c r="M19" s="25">
        <f>HLOOKUP(M$7,$I$66:$DJ$120,ROWS($A$10:$A19)+2,FALSE)</f>
        <v>35</v>
      </c>
      <c r="N19" s="25">
        <f>HLOOKUP(N$7,$I$66:$DJ$120,ROWS($A$10:$A19)+2,FALSE)</f>
        <v>4999</v>
      </c>
      <c r="O19" s="25">
        <f>HLOOKUP(O$7,$I$66:$DJ$120,ROWS($A$10:$A19)+2,FALSE)</f>
        <v>677</v>
      </c>
      <c r="P19" s="25">
        <f>HLOOKUP(P$7,$I$66:$DJ$120,ROWS($A$10:$A19)+2,FALSE)</f>
        <v>618</v>
      </c>
      <c r="Q19" s="25">
        <f>HLOOKUP(Q$7,$I$66:$DJ$120,ROWS($A$10:$A19)+2,FALSE)</f>
        <v>78</v>
      </c>
      <c r="R19" s="25" t="str">
        <f>HLOOKUP(R$7,$I$66:$DJ$120,ROWS($A$10:$A19)+2,FALSE)</f>
        <v>N/A</v>
      </c>
      <c r="S19" s="25">
        <f>HLOOKUP(S$7,$I$66:$DJ$120,ROWS($A$10:$A19)+2,FALSE)</f>
        <v>1705</v>
      </c>
      <c r="T19" s="25">
        <f>HLOOKUP(T$7,$I$66:$DJ$120,ROWS($A$10:$A19)+2,FALSE)</f>
        <v>1079</v>
      </c>
      <c r="U19" s="25">
        <f>HLOOKUP(U$7,$I$66:$DJ$120,ROWS($A$10:$A19)+2,FALSE)</f>
        <v>38</v>
      </c>
      <c r="V19" s="25">
        <f>HLOOKUP(V$7,$I$66:$DJ$120,ROWS($A$10:$A19)+2,FALSE)</f>
        <v>46</v>
      </c>
      <c r="W19" s="25">
        <f>HLOOKUP(W$7,$I$66:$DJ$120,ROWS($A$10:$A19)+2,FALSE)</f>
        <v>795</v>
      </c>
      <c r="X19" s="25">
        <f>HLOOKUP(X$7,$I$66:$DJ$120,ROWS($A$10:$A19)+2,FALSE)</f>
        <v>469</v>
      </c>
      <c r="Y19" s="25">
        <f>HLOOKUP(Y$7,$I$66:$DJ$120,ROWS($A$10:$A19)+2,FALSE)</f>
        <v>133</v>
      </c>
      <c r="Z19" s="25">
        <f>HLOOKUP(Z$7,$I$66:$DJ$120,ROWS($A$10:$A19)+2,FALSE)</f>
        <v>164</v>
      </c>
      <c r="AA19" s="25">
        <f>HLOOKUP(AA$7,$I$66:$DJ$120,ROWS($A$10:$A19)+2,FALSE)</f>
        <v>112</v>
      </c>
      <c r="AB19" s="25">
        <f>HLOOKUP(AB$7,$I$66:$DJ$120,ROWS($A$10:$A19)+2,FALSE)</f>
        <v>283</v>
      </c>
      <c r="AC19" s="25">
        <f>HLOOKUP(AC$7,$I$66:$DJ$120,ROWS($A$10:$A19)+2,FALSE)</f>
        <v>194</v>
      </c>
      <c r="AD19" s="25">
        <f>HLOOKUP(AD$7,$I$66:$DJ$120,ROWS($A$10:$A19)+2,FALSE)</f>
        <v>14120</v>
      </c>
      <c r="AE19" s="25">
        <f>HLOOKUP(AE$7,$I$66:$DJ$120,ROWS($A$10:$A19)+2,FALSE)</f>
        <v>1524</v>
      </c>
      <c r="AF19" s="25">
        <f>HLOOKUP(AF$7,$I$66:$DJ$120,ROWS($A$10:$A19)+2,FALSE)</f>
        <v>944</v>
      </c>
      <c r="AG19" s="25">
        <f>HLOOKUP(AG$7,$I$66:$DJ$120,ROWS($A$10:$A19)+2,FALSE)</f>
        <v>393</v>
      </c>
      <c r="AH19" s="25">
        <f>HLOOKUP(AH$7,$I$66:$DJ$120,ROWS($A$10:$A19)+2,FALSE)</f>
        <v>44</v>
      </c>
      <c r="AI19" s="25">
        <f>HLOOKUP(AI$7,$I$66:$DJ$120,ROWS($A$10:$A19)+2,FALSE)</f>
        <v>337</v>
      </c>
      <c r="AJ19" s="25">
        <f>HLOOKUP(AJ$7,$I$66:$DJ$120,ROWS($A$10:$A19)+2,FALSE)</f>
        <v>0</v>
      </c>
      <c r="AK19" s="25">
        <f>HLOOKUP(AK$7,$I$66:$DJ$120,ROWS($A$10:$A19)+2,FALSE)</f>
        <v>172</v>
      </c>
      <c r="AL19" s="25">
        <f>HLOOKUP(AL$7,$I$66:$DJ$120,ROWS($A$10:$A19)+2,FALSE)</f>
        <v>42</v>
      </c>
      <c r="AM19" s="25">
        <f>HLOOKUP(AM$7,$I$66:$DJ$120,ROWS($A$10:$A19)+2,FALSE)</f>
        <v>197</v>
      </c>
      <c r="AN19" s="25">
        <f>HLOOKUP(AN$7,$I$66:$DJ$120,ROWS($A$10:$A19)+2,FALSE)</f>
        <v>1451</v>
      </c>
      <c r="AO19" s="25">
        <f>HLOOKUP(AO$7,$I$66:$DJ$120,ROWS($A$10:$A19)+2,FALSE)</f>
        <v>116</v>
      </c>
      <c r="AP19" s="25">
        <f>HLOOKUP(AP$7,$I$66:$DJ$120,ROWS($A$10:$A19)+2,FALSE)</f>
        <v>3085</v>
      </c>
      <c r="AQ19" s="25">
        <f>HLOOKUP(AQ$7,$I$66:$DJ$120,ROWS($A$10:$A19)+2,FALSE)</f>
        <v>985</v>
      </c>
      <c r="AR19" s="25">
        <f>HLOOKUP(AR$7,$I$66:$DJ$120,ROWS($A$10:$A19)+2,FALSE)</f>
        <v>0</v>
      </c>
      <c r="AS19" s="25">
        <f>HLOOKUP(AS$7,$I$66:$DJ$120,ROWS($A$10:$A19)+2,FALSE)</f>
        <v>651</v>
      </c>
      <c r="AT19" s="25">
        <f>HLOOKUP(AT$7,$I$66:$DJ$120,ROWS($A$10:$A19)+2,FALSE)</f>
        <v>0</v>
      </c>
      <c r="AU19" s="25">
        <f>HLOOKUP(AU$7,$I$66:$DJ$120,ROWS($A$10:$A19)+2,FALSE)</f>
        <v>157</v>
      </c>
      <c r="AV19" s="25">
        <f>HLOOKUP(AV$7,$I$66:$DJ$120,ROWS($A$10:$A19)+2,FALSE)</f>
        <v>1494</v>
      </c>
      <c r="AW19" s="25">
        <f>HLOOKUP(AW$7,$I$66:$DJ$120,ROWS($A$10:$A19)+2,FALSE)</f>
        <v>635</v>
      </c>
      <c r="AX19" s="25">
        <f>HLOOKUP(AX$7,$I$66:$DJ$120,ROWS($A$10:$A19)+2,FALSE)</f>
        <v>150</v>
      </c>
      <c r="AY19" s="25">
        <f>HLOOKUP(AY$7,$I$66:$DJ$120,ROWS($A$10:$A19)+2,FALSE)</f>
        <v>0</v>
      </c>
      <c r="AZ19" s="25">
        <f>HLOOKUP(AZ$7,$I$66:$DJ$120,ROWS($A$10:$A19)+2,FALSE)</f>
        <v>577</v>
      </c>
      <c r="BA19" s="25">
        <f>HLOOKUP(BA$7,$I$66:$DJ$120,ROWS($A$10:$A19)+2,FALSE)</f>
        <v>1473</v>
      </c>
      <c r="BB19" s="25">
        <f>HLOOKUP(BB$7,$I$66:$DJ$120,ROWS($A$10:$A19)+2,FALSE)</f>
        <v>116</v>
      </c>
      <c r="BC19" s="25">
        <f>HLOOKUP(BC$7,$I$66:$DJ$120,ROWS($A$10:$A19)+2,FALSE)</f>
        <v>267</v>
      </c>
      <c r="BD19" s="25">
        <f>HLOOKUP(BD$7,$I$66:$DJ$120,ROWS($A$10:$A19)+2,FALSE)</f>
        <v>9537</v>
      </c>
      <c r="BE19" s="25">
        <f>HLOOKUP(BE$7,$I$66:$DJ$120,ROWS($A$10:$A19)+2,FALSE)</f>
        <v>481</v>
      </c>
      <c r="BF19" s="25">
        <f>HLOOKUP(BF$7,$I$66:$DJ$120,ROWS($A$10:$A19)+2,FALSE)</f>
        <v>293</v>
      </c>
      <c r="BG19" s="25">
        <f>HLOOKUP(BG$7,$I$66:$DJ$120,ROWS($A$10:$A19)+2,FALSE)</f>
        <v>721</v>
      </c>
      <c r="BH19" s="25">
        <f>HLOOKUP(BH$7,$I$66:$DJ$120,ROWS($A$10:$A19)+2,FALSE)</f>
        <v>215</v>
      </c>
      <c r="BI19" s="25">
        <f>HLOOKUP(BI$7,$I$66:$DJ$120,ROWS($A$10:$A19)+2,FALSE)</f>
        <v>0</v>
      </c>
      <c r="BJ19" s="34">
        <f>HLOOKUP(BJ$7+0.5,$I$66:$DJ$120,ROWS($A$10:$A19)+2,FALSE)</f>
        <v>5001</v>
      </c>
      <c r="BK19" s="34">
        <f>HLOOKUP(BK$7+0.5,$I$66:$DJ$120,ROWS($A$10:$A19)+2,FALSE)</f>
        <v>138</v>
      </c>
      <c r="BL19" s="34">
        <f>HLOOKUP(BL$7+0.5,$I$66:$DJ$120,ROWS($A$10:$A19)+2,FALSE)</f>
        <v>715</v>
      </c>
      <c r="BM19" s="34">
        <f>HLOOKUP(BM$7+0.5,$I$66:$DJ$120,ROWS($A$10:$A19)+2,FALSE)</f>
        <v>646</v>
      </c>
      <c r="BN19" s="34">
        <f>HLOOKUP(BN$7+0.5,$I$66:$DJ$120,ROWS($A$10:$A19)+2,FALSE)</f>
        <v>59</v>
      </c>
      <c r="BO19" s="34">
        <f>HLOOKUP(BO$7+0.5,$I$66:$DJ$120,ROWS($A$10:$A19)+2,FALSE)</f>
        <v>2108</v>
      </c>
      <c r="BP19" s="34">
        <f>HLOOKUP(BP$7+0.5,$I$66:$DJ$120,ROWS($A$10:$A19)+2,FALSE)</f>
        <v>546</v>
      </c>
      <c r="BQ19" s="34">
        <f>HLOOKUP(BQ$7+0.5,$I$66:$DJ$120,ROWS($A$10:$A19)+2,FALSE)</f>
        <v>439</v>
      </c>
      <c r="BR19" s="34">
        <f>HLOOKUP(BR$7+0.5,$I$66:$DJ$120,ROWS($A$10:$A19)+2,FALSE)</f>
        <v>127</v>
      </c>
      <c r="BS19" s="34" t="str">
        <f>HLOOKUP(BS$7+0.5,$I$66:$DJ$120,ROWS($A$10:$A19)+2,FALSE)</f>
        <v>N/A</v>
      </c>
      <c r="BT19" s="34">
        <f>HLOOKUP(BT$7+0.5,$I$66:$DJ$120,ROWS($A$10:$A19)+2,FALSE)</f>
        <v>661</v>
      </c>
      <c r="BU19" s="34">
        <f>HLOOKUP(BU$7+0.5,$I$66:$DJ$120,ROWS($A$10:$A19)+2,FALSE)</f>
        <v>470</v>
      </c>
      <c r="BV19" s="34">
        <f>HLOOKUP(BV$7+0.5,$I$66:$DJ$120,ROWS($A$10:$A19)+2,FALSE)</f>
        <v>87</v>
      </c>
      <c r="BW19" s="34">
        <f>HLOOKUP(BW$7+0.5,$I$66:$DJ$120,ROWS($A$10:$A19)+2,FALSE)</f>
        <v>75</v>
      </c>
      <c r="BX19" s="34">
        <f>HLOOKUP(BX$7+0.5,$I$66:$DJ$120,ROWS($A$10:$A19)+2,FALSE)</f>
        <v>446</v>
      </c>
      <c r="BY19" s="34">
        <f>HLOOKUP(BY$7+0.5,$I$66:$DJ$120,ROWS($A$10:$A19)+2,FALSE)</f>
        <v>379</v>
      </c>
      <c r="BZ19" s="34">
        <f>HLOOKUP(BZ$7+0.5,$I$66:$DJ$120,ROWS($A$10:$A19)+2,FALSE)</f>
        <v>221</v>
      </c>
      <c r="CA19" s="34">
        <f>HLOOKUP(CA$7+0.5,$I$66:$DJ$120,ROWS($A$10:$A19)+2,FALSE)</f>
        <v>267</v>
      </c>
      <c r="CB19" s="34">
        <f>HLOOKUP(CB$7+0.5,$I$66:$DJ$120,ROWS($A$10:$A19)+2,FALSE)</f>
        <v>136</v>
      </c>
      <c r="CC19" s="34">
        <f>HLOOKUP(CC$7+0.5,$I$66:$DJ$120,ROWS($A$10:$A19)+2,FALSE)</f>
        <v>295</v>
      </c>
      <c r="CD19" s="34">
        <f>HLOOKUP(CD$7+0.5,$I$66:$DJ$120,ROWS($A$10:$A19)+2,FALSE)</f>
        <v>244</v>
      </c>
      <c r="CE19" s="34">
        <f>HLOOKUP(CE$7+0.5,$I$66:$DJ$120,ROWS($A$10:$A19)+2,FALSE)</f>
        <v>2487</v>
      </c>
      <c r="CF19" s="34">
        <f>HLOOKUP(CF$7+0.5,$I$66:$DJ$120,ROWS($A$10:$A19)+2,FALSE)</f>
        <v>717</v>
      </c>
      <c r="CG19" s="34">
        <f>HLOOKUP(CG$7+0.5,$I$66:$DJ$120,ROWS($A$10:$A19)+2,FALSE)</f>
        <v>670</v>
      </c>
      <c r="CH19" s="34">
        <f>HLOOKUP(CH$7+0.5,$I$66:$DJ$120,ROWS($A$10:$A19)+2,FALSE)</f>
        <v>240</v>
      </c>
      <c r="CI19" s="34">
        <f>HLOOKUP(CI$7+0.5,$I$66:$DJ$120,ROWS($A$10:$A19)+2,FALSE)</f>
        <v>74</v>
      </c>
      <c r="CJ19" s="34">
        <f>HLOOKUP(CJ$7+0.5,$I$66:$DJ$120,ROWS($A$10:$A19)+2,FALSE)</f>
        <v>354</v>
      </c>
      <c r="CK19" s="34">
        <f>HLOOKUP(CK$7+0.5,$I$66:$DJ$120,ROWS($A$10:$A19)+2,FALSE)</f>
        <v>197</v>
      </c>
      <c r="CL19" s="34">
        <f>HLOOKUP(CL$7+0.5,$I$66:$DJ$120,ROWS($A$10:$A19)+2,FALSE)</f>
        <v>182</v>
      </c>
      <c r="CM19" s="34">
        <f>HLOOKUP(CM$7+0.5,$I$66:$DJ$120,ROWS($A$10:$A19)+2,FALSE)</f>
        <v>69</v>
      </c>
      <c r="CN19" s="34">
        <f>HLOOKUP(CN$7+0.5,$I$66:$DJ$120,ROWS($A$10:$A19)+2,FALSE)</f>
        <v>183</v>
      </c>
      <c r="CO19" s="34">
        <f>HLOOKUP(CO$7+0.5,$I$66:$DJ$120,ROWS($A$10:$A19)+2,FALSE)</f>
        <v>792</v>
      </c>
      <c r="CP19" s="34">
        <f>HLOOKUP(CP$7+0.5,$I$66:$DJ$120,ROWS($A$10:$A19)+2,FALSE)</f>
        <v>139</v>
      </c>
      <c r="CQ19" s="34">
        <f>HLOOKUP(CQ$7+0.5,$I$66:$DJ$120,ROWS($A$10:$A19)+2,FALSE)</f>
        <v>851</v>
      </c>
      <c r="CR19" s="34">
        <f>HLOOKUP(CR$7+0.5,$I$66:$DJ$120,ROWS($A$10:$A19)+2,FALSE)</f>
        <v>503</v>
      </c>
      <c r="CS19" s="34">
        <f>HLOOKUP(CS$7+0.5,$I$66:$DJ$120,ROWS($A$10:$A19)+2,FALSE)</f>
        <v>197</v>
      </c>
      <c r="CT19" s="34">
        <f>HLOOKUP(CT$7+0.5,$I$66:$DJ$120,ROWS($A$10:$A19)+2,FALSE)</f>
        <v>429</v>
      </c>
      <c r="CU19" s="34">
        <f>HLOOKUP(CU$7+0.5,$I$66:$DJ$120,ROWS($A$10:$A19)+2,FALSE)</f>
        <v>197</v>
      </c>
      <c r="CV19" s="34">
        <f>HLOOKUP(CV$7+0.5,$I$66:$DJ$120,ROWS($A$10:$A19)+2,FALSE)</f>
        <v>182</v>
      </c>
      <c r="CW19" s="34">
        <f>HLOOKUP(CW$7+0.5,$I$66:$DJ$120,ROWS($A$10:$A19)+2,FALSE)</f>
        <v>608</v>
      </c>
      <c r="CX19" s="34">
        <f>HLOOKUP(CX$7+0.5,$I$66:$DJ$120,ROWS($A$10:$A19)+2,FALSE)</f>
        <v>596</v>
      </c>
      <c r="CY19" s="34">
        <f>HLOOKUP(CY$7+0.5,$I$66:$DJ$120,ROWS($A$10:$A19)+2,FALSE)</f>
        <v>140</v>
      </c>
      <c r="CZ19" s="34">
        <f>HLOOKUP(CZ$7+0.5,$I$66:$DJ$120,ROWS($A$10:$A19)+2,FALSE)</f>
        <v>197</v>
      </c>
      <c r="DA19" s="34">
        <f>HLOOKUP(DA$7+0.5,$I$66:$DJ$120,ROWS($A$10:$A19)+2,FALSE)</f>
        <v>478</v>
      </c>
      <c r="DB19" s="34">
        <f>HLOOKUP(DB$7+0.5,$I$66:$DJ$120,ROWS($A$10:$A19)+2,FALSE)</f>
        <v>826</v>
      </c>
      <c r="DC19" s="34">
        <f>HLOOKUP(DC$7+0.5,$I$66:$DJ$120,ROWS($A$10:$A19)+2,FALSE)</f>
        <v>145</v>
      </c>
      <c r="DD19" s="34">
        <f>HLOOKUP(DD$7+0.5,$I$66:$DJ$120,ROWS($A$10:$A19)+2,FALSE)</f>
        <v>250</v>
      </c>
      <c r="DE19" s="34">
        <f>HLOOKUP(DE$7+0.5,$I$66:$DJ$120,ROWS($A$10:$A19)+2,FALSE)</f>
        <v>1762</v>
      </c>
      <c r="DF19" s="34">
        <f>HLOOKUP(DF$7+0.5,$I$66:$DJ$120,ROWS($A$10:$A19)+2,FALSE)</f>
        <v>358</v>
      </c>
      <c r="DG19" s="34">
        <f>HLOOKUP(DG$7+0.5,$I$66:$DJ$120,ROWS($A$10:$A19)+2,FALSE)</f>
        <v>219</v>
      </c>
      <c r="DH19" s="34">
        <f>HLOOKUP(DH$7+0.5,$I$66:$DJ$120,ROWS($A$10:$A19)+2,FALSE)</f>
        <v>420</v>
      </c>
      <c r="DI19" s="34">
        <f>HLOOKUP(DI$7+0.5,$I$66:$DJ$120,ROWS($A$10:$A19)+2,FALSE)</f>
        <v>303</v>
      </c>
      <c r="DJ19" s="34">
        <f>HLOOKUP(DJ$7+0.5,$I$66:$DJ$120,ROWS($A$10:$A19)+2,FALSE)</f>
        <v>197</v>
      </c>
    </row>
    <row r="20" spans="2:114" x14ac:dyDescent="0.25">
      <c r="B20" s="38" t="s">
        <v>16</v>
      </c>
      <c r="C20" s="16">
        <v>19114620</v>
      </c>
      <c r="D20" s="17">
        <v>6877</v>
      </c>
      <c r="E20" s="16">
        <v>16032617</v>
      </c>
      <c r="F20" s="17">
        <v>49245</v>
      </c>
      <c r="G20" s="16">
        <v>2380288</v>
      </c>
      <c r="H20" s="17">
        <v>44658</v>
      </c>
      <c r="I20" s="36">
        <f>HLOOKUP(I$7,$I$66:$DJ$120,ROWS($A$10:$A20)+2,FALSE)</f>
        <v>537148</v>
      </c>
      <c r="J20" s="25">
        <f>HLOOKUP(J$7,$I$66:$DJ$120,ROWS($A$10:$A20)+2,FALSE)</f>
        <v>18599</v>
      </c>
      <c r="K20" s="25">
        <f>HLOOKUP(K$7,$I$66:$DJ$120,ROWS($A$10:$A20)+2,FALSE)</f>
        <v>10704</v>
      </c>
      <c r="L20" s="25">
        <f>HLOOKUP(L$7,$I$66:$DJ$120,ROWS($A$10:$A20)+2,FALSE)</f>
        <v>6473</v>
      </c>
      <c r="M20" s="25">
        <f>HLOOKUP(M$7,$I$66:$DJ$120,ROWS($A$10:$A20)+2,FALSE)</f>
        <v>3321</v>
      </c>
      <c r="N20" s="25">
        <f>HLOOKUP(N$7,$I$66:$DJ$120,ROWS($A$10:$A20)+2,FALSE)</f>
        <v>20386</v>
      </c>
      <c r="O20" s="25">
        <f>HLOOKUP(O$7,$I$66:$DJ$120,ROWS($A$10:$A20)+2,FALSE)</f>
        <v>8766</v>
      </c>
      <c r="P20" s="25">
        <f>HLOOKUP(P$7,$I$66:$DJ$120,ROWS($A$10:$A20)+2,FALSE)</f>
        <v>8975</v>
      </c>
      <c r="Q20" s="25">
        <f>HLOOKUP(Q$7,$I$66:$DJ$120,ROWS($A$10:$A20)+2,FALSE)</f>
        <v>1099</v>
      </c>
      <c r="R20" s="25">
        <f>HLOOKUP(R$7,$I$66:$DJ$120,ROWS($A$10:$A20)+2,FALSE)</f>
        <v>780</v>
      </c>
      <c r="S20" s="25" t="str">
        <f>HLOOKUP(S$7,$I$66:$DJ$120,ROWS($A$10:$A20)+2,FALSE)</f>
        <v>N/A</v>
      </c>
      <c r="T20" s="25">
        <f>HLOOKUP(T$7,$I$66:$DJ$120,ROWS($A$10:$A20)+2,FALSE)</f>
        <v>42754</v>
      </c>
      <c r="U20" s="25">
        <f>HLOOKUP(U$7,$I$66:$DJ$120,ROWS($A$10:$A20)+2,FALSE)</f>
        <v>3177</v>
      </c>
      <c r="V20" s="25">
        <f>HLOOKUP(V$7,$I$66:$DJ$120,ROWS($A$10:$A20)+2,FALSE)</f>
        <v>1268</v>
      </c>
      <c r="W20" s="25">
        <f>HLOOKUP(W$7,$I$66:$DJ$120,ROWS($A$10:$A20)+2,FALSE)</f>
        <v>22565</v>
      </c>
      <c r="X20" s="25">
        <f>HLOOKUP(X$7,$I$66:$DJ$120,ROWS($A$10:$A20)+2,FALSE)</f>
        <v>13803</v>
      </c>
      <c r="Y20" s="25">
        <f>HLOOKUP(Y$7,$I$66:$DJ$120,ROWS($A$10:$A20)+2,FALSE)</f>
        <v>3864</v>
      </c>
      <c r="Z20" s="25">
        <f>HLOOKUP(Z$7,$I$66:$DJ$120,ROWS($A$10:$A20)+2,FALSE)</f>
        <v>5661</v>
      </c>
      <c r="AA20" s="25">
        <f>HLOOKUP(AA$7,$I$66:$DJ$120,ROWS($A$10:$A20)+2,FALSE)</f>
        <v>6912</v>
      </c>
      <c r="AB20" s="25">
        <f>HLOOKUP(AB$7,$I$66:$DJ$120,ROWS($A$10:$A20)+2,FALSE)</f>
        <v>5550</v>
      </c>
      <c r="AC20" s="25">
        <f>HLOOKUP(AC$7,$I$66:$DJ$120,ROWS($A$10:$A20)+2,FALSE)</f>
        <v>7348</v>
      </c>
      <c r="AD20" s="25">
        <f>HLOOKUP(AD$7,$I$66:$DJ$120,ROWS($A$10:$A20)+2,FALSE)</f>
        <v>10442</v>
      </c>
      <c r="AE20" s="25">
        <f>HLOOKUP(AE$7,$I$66:$DJ$120,ROWS($A$10:$A20)+2,FALSE)</f>
        <v>15159</v>
      </c>
      <c r="AF20" s="25">
        <f>HLOOKUP(AF$7,$I$66:$DJ$120,ROWS($A$10:$A20)+2,FALSE)</f>
        <v>23400</v>
      </c>
      <c r="AG20" s="25">
        <f>HLOOKUP(AG$7,$I$66:$DJ$120,ROWS($A$10:$A20)+2,FALSE)</f>
        <v>5460</v>
      </c>
      <c r="AH20" s="25">
        <f>HLOOKUP(AH$7,$I$66:$DJ$120,ROWS($A$10:$A20)+2,FALSE)</f>
        <v>5490</v>
      </c>
      <c r="AI20" s="25">
        <f>HLOOKUP(AI$7,$I$66:$DJ$120,ROWS($A$10:$A20)+2,FALSE)</f>
        <v>10666</v>
      </c>
      <c r="AJ20" s="25">
        <f>HLOOKUP(AJ$7,$I$66:$DJ$120,ROWS($A$10:$A20)+2,FALSE)</f>
        <v>1758</v>
      </c>
      <c r="AK20" s="25">
        <f>HLOOKUP(AK$7,$I$66:$DJ$120,ROWS($A$10:$A20)+2,FALSE)</f>
        <v>945</v>
      </c>
      <c r="AL20" s="25">
        <f>HLOOKUP(AL$7,$I$66:$DJ$120,ROWS($A$10:$A20)+2,FALSE)</f>
        <v>1241</v>
      </c>
      <c r="AM20" s="25">
        <f>HLOOKUP(AM$7,$I$66:$DJ$120,ROWS($A$10:$A20)+2,FALSE)</f>
        <v>2362</v>
      </c>
      <c r="AN20" s="25">
        <f>HLOOKUP(AN$7,$I$66:$DJ$120,ROWS($A$10:$A20)+2,FALSE)</f>
        <v>27606</v>
      </c>
      <c r="AO20" s="25">
        <f>HLOOKUP(AO$7,$I$66:$DJ$120,ROWS($A$10:$A20)+2,FALSE)</f>
        <v>2853</v>
      </c>
      <c r="AP20" s="25">
        <f>HLOOKUP(AP$7,$I$66:$DJ$120,ROWS($A$10:$A20)+2,FALSE)</f>
        <v>53009</v>
      </c>
      <c r="AQ20" s="25">
        <f>HLOOKUP(AQ$7,$I$66:$DJ$120,ROWS($A$10:$A20)+2,FALSE)</f>
        <v>23133</v>
      </c>
      <c r="AR20" s="25">
        <f>HLOOKUP(AR$7,$I$66:$DJ$120,ROWS($A$10:$A20)+2,FALSE)</f>
        <v>239</v>
      </c>
      <c r="AS20" s="25">
        <f>HLOOKUP(AS$7,$I$66:$DJ$120,ROWS($A$10:$A20)+2,FALSE)</f>
        <v>22927</v>
      </c>
      <c r="AT20" s="25">
        <f>HLOOKUP(AT$7,$I$66:$DJ$120,ROWS($A$10:$A20)+2,FALSE)</f>
        <v>3142</v>
      </c>
      <c r="AU20" s="25">
        <f>HLOOKUP(AU$7,$I$66:$DJ$120,ROWS($A$10:$A20)+2,FALSE)</f>
        <v>2919</v>
      </c>
      <c r="AV20" s="25">
        <f>HLOOKUP(AV$7,$I$66:$DJ$120,ROWS($A$10:$A20)+2,FALSE)</f>
        <v>25659</v>
      </c>
      <c r="AW20" s="25">
        <f>HLOOKUP(AW$7,$I$66:$DJ$120,ROWS($A$10:$A20)+2,FALSE)</f>
        <v>3050</v>
      </c>
      <c r="AX20" s="25">
        <f>HLOOKUP(AX$7,$I$66:$DJ$120,ROWS($A$10:$A20)+2,FALSE)</f>
        <v>11366</v>
      </c>
      <c r="AY20" s="25">
        <f>HLOOKUP(AY$7,$I$66:$DJ$120,ROWS($A$10:$A20)+2,FALSE)</f>
        <v>1070</v>
      </c>
      <c r="AZ20" s="25">
        <f>HLOOKUP(AZ$7,$I$66:$DJ$120,ROWS($A$10:$A20)+2,FALSE)</f>
        <v>16275</v>
      </c>
      <c r="BA20" s="25">
        <f>HLOOKUP(BA$7,$I$66:$DJ$120,ROWS($A$10:$A20)+2,FALSE)</f>
        <v>28564</v>
      </c>
      <c r="BB20" s="25">
        <f>HLOOKUP(BB$7,$I$66:$DJ$120,ROWS($A$10:$A20)+2,FALSE)</f>
        <v>2499</v>
      </c>
      <c r="BC20" s="25">
        <f>HLOOKUP(BC$7,$I$66:$DJ$120,ROWS($A$10:$A20)+2,FALSE)</f>
        <v>2747</v>
      </c>
      <c r="BD20" s="25">
        <f>HLOOKUP(BD$7,$I$66:$DJ$120,ROWS($A$10:$A20)+2,FALSE)</f>
        <v>25697</v>
      </c>
      <c r="BE20" s="25">
        <f>HLOOKUP(BE$7,$I$66:$DJ$120,ROWS($A$10:$A20)+2,FALSE)</f>
        <v>4943</v>
      </c>
      <c r="BF20" s="25">
        <f>HLOOKUP(BF$7,$I$66:$DJ$120,ROWS($A$10:$A20)+2,FALSE)</f>
        <v>3533</v>
      </c>
      <c r="BG20" s="25">
        <f>HLOOKUP(BG$7,$I$66:$DJ$120,ROWS($A$10:$A20)+2,FALSE)</f>
        <v>6216</v>
      </c>
      <c r="BH20" s="25">
        <f>HLOOKUP(BH$7,$I$66:$DJ$120,ROWS($A$10:$A20)+2,FALSE)</f>
        <v>773</v>
      </c>
      <c r="BI20" s="25">
        <f>HLOOKUP(BI$7,$I$66:$DJ$120,ROWS($A$10:$A20)+2,FALSE)</f>
        <v>21638</v>
      </c>
      <c r="BJ20" s="34">
        <f>HLOOKUP(BJ$7+0.5,$I$66:$DJ$120,ROWS($A$10:$A20)+2,FALSE)</f>
        <v>19784</v>
      </c>
      <c r="BK20" s="34">
        <f>HLOOKUP(BK$7+0.5,$I$66:$DJ$120,ROWS($A$10:$A20)+2,FALSE)</f>
        <v>4762</v>
      </c>
      <c r="BL20" s="34">
        <f>HLOOKUP(BL$7+0.5,$I$66:$DJ$120,ROWS($A$10:$A20)+2,FALSE)</f>
        <v>4327</v>
      </c>
      <c r="BM20" s="34">
        <f>HLOOKUP(BM$7+0.5,$I$66:$DJ$120,ROWS($A$10:$A20)+2,FALSE)</f>
        <v>1865</v>
      </c>
      <c r="BN20" s="34">
        <f>HLOOKUP(BN$7+0.5,$I$66:$DJ$120,ROWS($A$10:$A20)+2,FALSE)</f>
        <v>1136</v>
      </c>
      <c r="BO20" s="34">
        <f>HLOOKUP(BO$7+0.5,$I$66:$DJ$120,ROWS($A$10:$A20)+2,FALSE)</f>
        <v>4221</v>
      </c>
      <c r="BP20" s="34">
        <f>HLOOKUP(BP$7+0.5,$I$66:$DJ$120,ROWS($A$10:$A20)+2,FALSE)</f>
        <v>2537</v>
      </c>
      <c r="BQ20" s="34">
        <f>HLOOKUP(BQ$7+0.5,$I$66:$DJ$120,ROWS($A$10:$A20)+2,FALSE)</f>
        <v>1882</v>
      </c>
      <c r="BR20" s="34">
        <f>HLOOKUP(BR$7+0.5,$I$66:$DJ$120,ROWS($A$10:$A20)+2,FALSE)</f>
        <v>608</v>
      </c>
      <c r="BS20" s="34">
        <f>HLOOKUP(BS$7+0.5,$I$66:$DJ$120,ROWS($A$10:$A20)+2,FALSE)</f>
        <v>481</v>
      </c>
      <c r="BT20" s="34" t="str">
        <f>HLOOKUP(BT$7+0.5,$I$66:$DJ$120,ROWS($A$10:$A20)+2,FALSE)</f>
        <v>N/A</v>
      </c>
      <c r="BU20" s="34">
        <f>HLOOKUP(BU$7+0.5,$I$66:$DJ$120,ROWS($A$10:$A20)+2,FALSE)</f>
        <v>6205</v>
      </c>
      <c r="BV20" s="34">
        <f>HLOOKUP(BV$7+0.5,$I$66:$DJ$120,ROWS($A$10:$A20)+2,FALSE)</f>
        <v>2730</v>
      </c>
      <c r="BW20" s="34">
        <f>HLOOKUP(BW$7+0.5,$I$66:$DJ$120,ROWS($A$10:$A20)+2,FALSE)</f>
        <v>923</v>
      </c>
      <c r="BX20" s="34">
        <f>HLOOKUP(BX$7+0.5,$I$66:$DJ$120,ROWS($A$10:$A20)+2,FALSE)</f>
        <v>3828</v>
      </c>
      <c r="BY20" s="34">
        <f>HLOOKUP(BY$7+0.5,$I$66:$DJ$120,ROWS($A$10:$A20)+2,FALSE)</f>
        <v>2852</v>
      </c>
      <c r="BZ20" s="34">
        <f>HLOOKUP(BZ$7+0.5,$I$66:$DJ$120,ROWS($A$10:$A20)+2,FALSE)</f>
        <v>1332</v>
      </c>
      <c r="CA20" s="34">
        <f>HLOOKUP(CA$7+0.5,$I$66:$DJ$120,ROWS($A$10:$A20)+2,FALSE)</f>
        <v>3133</v>
      </c>
      <c r="CB20" s="34">
        <f>HLOOKUP(CB$7+0.5,$I$66:$DJ$120,ROWS($A$10:$A20)+2,FALSE)</f>
        <v>1607</v>
      </c>
      <c r="CC20" s="34">
        <f>HLOOKUP(CC$7+0.5,$I$66:$DJ$120,ROWS($A$10:$A20)+2,FALSE)</f>
        <v>2266</v>
      </c>
      <c r="CD20" s="34">
        <f>HLOOKUP(CD$7+0.5,$I$66:$DJ$120,ROWS($A$10:$A20)+2,FALSE)</f>
        <v>3032</v>
      </c>
      <c r="CE20" s="34">
        <f>HLOOKUP(CE$7+0.5,$I$66:$DJ$120,ROWS($A$10:$A20)+2,FALSE)</f>
        <v>2378</v>
      </c>
      <c r="CF20" s="34">
        <f>HLOOKUP(CF$7+0.5,$I$66:$DJ$120,ROWS($A$10:$A20)+2,FALSE)</f>
        <v>2747</v>
      </c>
      <c r="CG20" s="34">
        <f>HLOOKUP(CG$7+0.5,$I$66:$DJ$120,ROWS($A$10:$A20)+2,FALSE)</f>
        <v>3519</v>
      </c>
      <c r="CH20" s="34">
        <f>HLOOKUP(CH$7+0.5,$I$66:$DJ$120,ROWS($A$10:$A20)+2,FALSE)</f>
        <v>2185</v>
      </c>
      <c r="CI20" s="34">
        <f>HLOOKUP(CI$7+0.5,$I$66:$DJ$120,ROWS($A$10:$A20)+2,FALSE)</f>
        <v>3345</v>
      </c>
      <c r="CJ20" s="34">
        <f>HLOOKUP(CJ$7+0.5,$I$66:$DJ$120,ROWS($A$10:$A20)+2,FALSE)</f>
        <v>3498</v>
      </c>
      <c r="CK20" s="34">
        <f>HLOOKUP(CK$7+0.5,$I$66:$DJ$120,ROWS($A$10:$A20)+2,FALSE)</f>
        <v>2104</v>
      </c>
      <c r="CL20" s="34">
        <f>HLOOKUP(CL$7+0.5,$I$66:$DJ$120,ROWS($A$10:$A20)+2,FALSE)</f>
        <v>713</v>
      </c>
      <c r="CM20" s="34">
        <f>HLOOKUP(CM$7+0.5,$I$66:$DJ$120,ROWS($A$10:$A20)+2,FALSE)</f>
        <v>515</v>
      </c>
      <c r="CN20" s="34">
        <f>HLOOKUP(CN$7+0.5,$I$66:$DJ$120,ROWS($A$10:$A20)+2,FALSE)</f>
        <v>922</v>
      </c>
      <c r="CO20" s="34">
        <f>HLOOKUP(CO$7+0.5,$I$66:$DJ$120,ROWS($A$10:$A20)+2,FALSE)</f>
        <v>4242</v>
      </c>
      <c r="CP20" s="34">
        <f>HLOOKUP(CP$7+0.5,$I$66:$DJ$120,ROWS($A$10:$A20)+2,FALSE)</f>
        <v>1004</v>
      </c>
      <c r="CQ20" s="34">
        <f>HLOOKUP(CQ$7+0.5,$I$66:$DJ$120,ROWS($A$10:$A20)+2,FALSE)</f>
        <v>5886</v>
      </c>
      <c r="CR20" s="34">
        <f>HLOOKUP(CR$7+0.5,$I$66:$DJ$120,ROWS($A$10:$A20)+2,FALSE)</f>
        <v>3843</v>
      </c>
      <c r="CS20" s="34">
        <f>HLOOKUP(CS$7+0.5,$I$66:$DJ$120,ROWS($A$10:$A20)+2,FALSE)</f>
        <v>203</v>
      </c>
      <c r="CT20" s="34">
        <f>HLOOKUP(CT$7+0.5,$I$66:$DJ$120,ROWS($A$10:$A20)+2,FALSE)</f>
        <v>4305</v>
      </c>
      <c r="CU20" s="34">
        <f>HLOOKUP(CU$7+0.5,$I$66:$DJ$120,ROWS($A$10:$A20)+2,FALSE)</f>
        <v>1301</v>
      </c>
      <c r="CV20" s="34">
        <f>HLOOKUP(CV$7+0.5,$I$66:$DJ$120,ROWS($A$10:$A20)+2,FALSE)</f>
        <v>1736</v>
      </c>
      <c r="CW20" s="34">
        <f>HLOOKUP(CW$7+0.5,$I$66:$DJ$120,ROWS($A$10:$A20)+2,FALSE)</f>
        <v>4174</v>
      </c>
      <c r="CX20" s="34">
        <f>HLOOKUP(CX$7+0.5,$I$66:$DJ$120,ROWS($A$10:$A20)+2,FALSE)</f>
        <v>1458</v>
      </c>
      <c r="CY20" s="34">
        <f>HLOOKUP(CY$7+0.5,$I$66:$DJ$120,ROWS($A$10:$A20)+2,FALSE)</f>
        <v>2719</v>
      </c>
      <c r="CZ20" s="34">
        <f>HLOOKUP(CZ$7+0.5,$I$66:$DJ$120,ROWS($A$10:$A20)+2,FALSE)</f>
        <v>762</v>
      </c>
      <c r="DA20" s="34">
        <f>HLOOKUP(DA$7+0.5,$I$66:$DJ$120,ROWS($A$10:$A20)+2,FALSE)</f>
        <v>3583</v>
      </c>
      <c r="DB20" s="34">
        <f>HLOOKUP(DB$7+0.5,$I$66:$DJ$120,ROWS($A$10:$A20)+2,FALSE)</f>
        <v>4750</v>
      </c>
      <c r="DC20" s="34">
        <f>HLOOKUP(DC$7+0.5,$I$66:$DJ$120,ROWS($A$10:$A20)+2,FALSE)</f>
        <v>1348</v>
      </c>
      <c r="DD20" s="34">
        <f>HLOOKUP(DD$7+0.5,$I$66:$DJ$120,ROWS($A$10:$A20)+2,FALSE)</f>
        <v>1190</v>
      </c>
      <c r="DE20" s="34">
        <f>HLOOKUP(DE$7+0.5,$I$66:$DJ$120,ROWS($A$10:$A20)+2,FALSE)</f>
        <v>3965</v>
      </c>
      <c r="DF20" s="34">
        <f>HLOOKUP(DF$7+0.5,$I$66:$DJ$120,ROWS($A$10:$A20)+2,FALSE)</f>
        <v>1710</v>
      </c>
      <c r="DG20" s="34">
        <f>HLOOKUP(DG$7+0.5,$I$66:$DJ$120,ROWS($A$10:$A20)+2,FALSE)</f>
        <v>1587</v>
      </c>
      <c r="DH20" s="34">
        <f>HLOOKUP(DH$7+0.5,$I$66:$DJ$120,ROWS($A$10:$A20)+2,FALSE)</f>
        <v>1993</v>
      </c>
      <c r="DI20" s="34">
        <f>HLOOKUP(DI$7+0.5,$I$66:$DJ$120,ROWS($A$10:$A20)+2,FALSE)</f>
        <v>567</v>
      </c>
      <c r="DJ20" s="34">
        <f>HLOOKUP(DJ$7+0.5,$I$66:$DJ$120,ROWS($A$10:$A20)+2,FALSE)</f>
        <v>4641</v>
      </c>
    </row>
    <row r="21" spans="2:114" x14ac:dyDescent="0.25">
      <c r="B21" s="38" t="s">
        <v>17</v>
      </c>
      <c r="C21" s="16">
        <v>9796547</v>
      </c>
      <c r="D21" s="17">
        <v>5863</v>
      </c>
      <c r="E21" s="16">
        <v>8231384</v>
      </c>
      <c r="F21" s="17">
        <v>34188</v>
      </c>
      <c r="G21" s="16">
        <v>1236302</v>
      </c>
      <c r="H21" s="17">
        <v>31155</v>
      </c>
      <c r="I21" s="36">
        <f>HLOOKUP(I$7,$I$66:$DJ$120,ROWS($A$10:$A21)+2,FALSE)</f>
        <v>277466</v>
      </c>
      <c r="J21" s="25">
        <f>HLOOKUP(J$7,$I$66:$DJ$120,ROWS($A$10:$A21)+2,FALSE)</f>
        <v>13864</v>
      </c>
      <c r="K21" s="25">
        <f>HLOOKUP(K$7,$I$66:$DJ$120,ROWS($A$10:$A21)+2,FALSE)</f>
        <v>2654</v>
      </c>
      <c r="L21" s="25">
        <f>HLOOKUP(L$7,$I$66:$DJ$120,ROWS($A$10:$A21)+2,FALSE)</f>
        <v>6657</v>
      </c>
      <c r="M21" s="25">
        <f>HLOOKUP(M$7,$I$66:$DJ$120,ROWS($A$10:$A21)+2,FALSE)</f>
        <v>1041</v>
      </c>
      <c r="N21" s="25">
        <f>HLOOKUP(N$7,$I$66:$DJ$120,ROWS($A$10:$A21)+2,FALSE)</f>
        <v>14174</v>
      </c>
      <c r="O21" s="25">
        <f>HLOOKUP(O$7,$I$66:$DJ$120,ROWS($A$10:$A21)+2,FALSE)</f>
        <v>4710</v>
      </c>
      <c r="P21" s="25">
        <f>HLOOKUP(P$7,$I$66:$DJ$120,ROWS($A$10:$A21)+2,FALSE)</f>
        <v>1829</v>
      </c>
      <c r="Q21" s="25">
        <f>HLOOKUP(Q$7,$I$66:$DJ$120,ROWS($A$10:$A21)+2,FALSE)</f>
        <v>226</v>
      </c>
      <c r="R21" s="25">
        <f>HLOOKUP(R$7,$I$66:$DJ$120,ROWS($A$10:$A21)+2,FALSE)</f>
        <v>1352</v>
      </c>
      <c r="S21" s="25">
        <f>HLOOKUP(S$7,$I$66:$DJ$120,ROWS($A$10:$A21)+2,FALSE)</f>
        <v>42870</v>
      </c>
      <c r="T21" s="25" t="str">
        <f>HLOOKUP(T$7,$I$66:$DJ$120,ROWS($A$10:$A21)+2,FALSE)</f>
        <v>N/A</v>
      </c>
      <c r="U21" s="25">
        <f>HLOOKUP(U$7,$I$66:$DJ$120,ROWS($A$10:$A21)+2,FALSE)</f>
        <v>1409</v>
      </c>
      <c r="V21" s="25">
        <f>HLOOKUP(V$7,$I$66:$DJ$120,ROWS($A$10:$A21)+2,FALSE)</f>
        <v>936</v>
      </c>
      <c r="W21" s="25">
        <f>HLOOKUP(W$7,$I$66:$DJ$120,ROWS($A$10:$A21)+2,FALSE)</f>
        <v>7143</v>
      </c>
      <c r="X21" s="25">
        <f>HLOOKUP(X$7,$I$66:$DJ$120,ROWS($A$10:$A21)+2,FALSE)</f>
        <v>5972</v>
      </c>
      <c r="Y21" s="25">
        <f>HLOOKUP(Y$7,$I$66:$DJ$120,ROWS($A$10:$A21)+2,FALSE)</f>
        <v>1687</v>
      </c>
      <c r="Z21" s="25">
        <f>HLOOKUP(Z$7,$I$66:$DJ$120,ROWS($A$10:$A21)+2,FALSE)</f>
        <v>1497</v>
      </c>
      <c r="AA21" s="25">
        <f>HLOOKUP(AA$7,$I$66:$DJ$120,ROWS($A$10:$A21)+2,FALSE)</f>
        <v>6172</v>
      </c>
      <c r="AB21" s="25">
        <f>HLOOKUP(AB$7,$I$66:$DJ$120,ROWS($A$10:$A21)+2,FALSE)</f>
        <v>4100</v>
      </c>
      <c r="AC21" s="25">
        <f>HLOOKUP(AC$7,$I$66:$DJ$120,ROWS($A$10:$A21)+2,FALSE)</f>
        <v>222</v>
      </c>
      <c r="AD21" s="25">
        <f>HLOOKUP(AD$7,$I$66:$DJ$120,ROWS($A$10:$A21)+2,FALSE)</f>
        <v>3619</v>
      </c>
      <c r="AE21" s="25">
        <f>HLOOKUP(AE$7,$I$66:$DJ$120,ROWS($A$10:$A21)+2,FALSE)</f>
        <v>4153</v>
      </c>
      <c r="AF21" s="25">
        <f>HLOOKUP(AF$7,$I$66:$DJ$120,ROWS($A$10:$A21)+2,FALSE)</f>
        <v>9949</v>
      </c>
      <c r="AG21" s="25">
        <f>HLOOKUP(AG$7,$I$66:$DJ$120,ROWS($A$10:$A21)+2,FALSE)</f>
        <v>2237</v>
      </c>
      <c r="AH21" s="25">
        <f>HLOOKUP(AH$7,$I$66:$DJ$120,ROWS($A$10:$A21)+2,FALSE)</f>
        <v>3280</v>
      </c>
      <c r="AI21" s="25">
        <f>HLOOKUP(AI$7,$I$66:$DJ$120,ROWS($A$10:$A21)+2,FALSE)</f>
        <v>3377</v>
      </c>
      <c r="AJ21" s="25">
        <f>HLOOKUP(AJ$7,$I$66:$DJ$120,ROWS($A$10:$A21)+2,FALSE)</f>
        <v>251</v>
      </c>
      <c r="AK21" s="25">
        <f>HLOOKUP(AK$7,$I$66:$DJ$120,ROWS($A$10:$A21)+2,FALSE)</f>
        <v>1283</v>
      </c>
      <c r="AL21" s="25">
        <f>HLOOKUP(AL$7,$I$66:$DJ$120,ROWS($A$10:$A21)+2,FALSE)</f>
        <v>3783</v>
      </c>
      <c r="AM21" s="25">
        <f>HLOOKUP(AM$7,$I$66:$DJ$120,ROWS($A$10:$A21)+2,FALSE)</f>
        <v>15</v>
      </c>
      <c r="AN21" s="25">
        <f>HLOOKUP(AN$7,$I$66:$DJ$120,ROWS($A$10:$A21)+2,FALSE)</f>
        <v>4920</v>
      </c>
      <c r="AO21" s="25">
        <f>HLOOKUP(AO$7,$I$66:$DJ$120,ROWS($A$10:$A21)+2,FALSE)</f>
        <v>915</v>
      </c>
      <c r="AP21" s="25">
        <f>HLOOKUP(AP$7,$I$66:$DJ$120,ROWS($A$10:$A21)+2,FALSE)</f>
        <v>13957</v>
      </c>
      <c r="AQ21" s="25">
        <f>HLOOKUP(AQ$7,$I$66:$DJ$120,ROWS($A$10:$A21)+2,FALSE)</f>
        <v>16009</v>
      </c>
      <c r="AR21" s="25">
        <f>HLOOKUP(AR$7,$I$66:$DJ$120,ROWS($A$10:$A21)+2,FALSE)</f>
        <v>207</v>
      </c>
      <c r="AS21" s="25">
        <f>HLOOKUP(AS$7,$I$66:$DJ$120,ROWS($A$10:$A21)+2,FALSE)</f>
        <v>7501</v>
      </c>
      <c r="AT21" s="25">
        <f>HLOOKUP(AT$7,$I$66:$DJ$120,ROWS($A$10:$A21)+2,FALSE)</f>
        <v>3299</v>
      </c>
      <c r="AU21" s="25">
        <f>HLOOKUP(AU$7,$I$66:$DJ$120,ROWS($A$10:$A21)+2,FALSE)</f>
        <v>453</v>
      </c>
      <c r="AV21" s="25">
        <f>HLOOKUP(AV$7,$I$66:$DJ$120,ROWS($A$10:$A21)+2,FALSE)</f>
        <v>9076</v>
      </c>
      <c r="AW21" s="25">
        <f>HLOOKUP(AW$7,$I$66:$DJ$120,ROWS($A$10:$A21)+2,FALSE)</f>
        <v>440</v>
      </c>
      <c r="AX21" s="25">
        <f>HLOOKUP(AX$7,$I$66:$DJ$120,ROWS($A$10:$A21)+2,FALSE)</f>
        <v>18611</v>
      </c>
      <c r="AY21" s="25">
        <f>HLOOKUP(AY$7,$I$66:$DJ$120,ROWS($A$10:$A21)+2,FALSE)</f>
        <v>257</v>
      </c>
      <c r="AZ21" s="25">
        <f>HLOOKUP(AZ$7,$I$66:$DJ$120,ROWS($A$10:$A21)+2,FALSE)</f>
        <v>17606</v>
      </c>
      <c r="BA21" s="25">
        <f>HLOOKUP(BA$7,$I$66:$DJ$120,ROWS($A$10:$A21)+2,FALSE)</f>
        <v>16198</v>
      </c>
      <c r="BB21" s="25">
        <f>HLOOKUP(BB$7,$I$66:$DJ$120,ROWS($A$10:$A21)+2,FALSE)</f>
        <v>20</v>
      </c>
      <c r="BC21" s="25">
        <f>HLOOKUP(BC$7,$I$66:$DJ$120,ROWS($A$10:$A21)+2,FALSE)</f>
        <v>84</v>
      </c>
      <c r="BD21" s="25">
        <f>HLOOKUP(BD$7,$I$66:$DJ$120,ROWS($A$10:$A21)+2,FALSE)</f>
        <v>10702</v>
      </c>
      <c r="BE21" s="25">
        <f>HLOOKUP(BE$7,$I$66:$DJ$120,ROWS($A$10:$A21)+2,FALSE)</f>
        <v>1965</v>
      </c>
      <c r="BF21" s="25">
        <f>HLOOKUP(BF$7,$I$66:$DJ$120,ROWS($A$10:$A21)+2,FALSE)</f>
        <v>1237</v>
      </c>
      <c r="BG21" s="25">
        <f>HLOOKUP(BG$7,$I$66:$DJ$120,ROWS($A$10:$A21)+2,FALSE)</f>
        <v>3441</v>
      </c>
      <c r="BH21" s="25">
        <f>HLOOKUP(BH$7,$I$66:$DJ$120,ROWS($A$10:$A21)+2,FALSE)</f>
        <v>106</v>
      </c>
      <c r="BI21" s="25">
        <f>HLOOKUP(BI$7,$I$66:$DJ$120,ROWS($A$10:$A21)+2,FALSE)</f>
        <v>1730</v>
      </c>
      <c r="BJ21" s="34">
        <f>HLOOKUP(BJ$7+0.5,$I$66:$DJ$120,ROWS($A$10:$A21)+2,FALSE)</f>
        <v>14075</v>
      </c>
      <c r="BK21" s="34">
        <f>HLOOKUP(BK$7+0.5,$I$66:$DJ$120,ROWS($A$10:$A21)+2,FALSE)</f>
        <v>2903</v>
      </c>
      <c r="BL21" s="34">
        <f>HLOOKUP(BL$7+0.5,$I$66:$DJ$120,ROWS($A$10:$A21)+2,FALSE)</f>
        <v>1444</v>
      </c>
      <c r="BM21" s="34">
        <f>HLOOKUP(BM$7+0.5,$I$66:$DJ$120,ROWS($A$10:$A21)+2,FALSE)</f>
        <v>2675</v>
      </c>
      <c r="BN21" s="34">
        <f>HLOOKUP(BN$7+0.5,$I$66:$DJ$120,ROWS($A$10:$A21)+2,FALSE)</f>
        <v>519</v>
      </c>
      <c r="BO21" s="34">
        <f>HLOOKUP(BO$7+0.5,$I$66:$DJ$120,ROWS($A$10:$A21)+2,FALSE)</f>
        <v>3182</v>
      </c>
      <c r="BP21" s="34">
        <f>HLOOKUP(BP$7+0.5,$I$66:$DJ$120,ROWS($A$10:$A21)+2,FALSE)</f>
        <v>2093</v>
      </c>
      <c r="BQ21" s="34">
        <f>HLOOKUP(BQ$7+0.5,$I$66:$DJ$120,ROWS($A$10:$A21)+2,FALSE)</f>
        <v>824</v>
      </c>
      <c r="BR21" s="34">
        <f>HLOOKUP(BR$7+0.5,$I$66:$DJ$120,ROWS($A$10:$A21)+2,FALSE)</f>
        <v>246</v>
      </c>
      <c r="BS21" s="34">
        <f>HLOOKUP(BS$7+0.5,$I$66:$DJ$120,ROWS($A$10:$A21)+2,FALSE)</f>
        <v>994</v>
      </c>
      <c r="BT21" s="34">
        <f>HLOOKUP(BT$7+0.5,$I$66:$DJ$120,ROWS($A$10:$A21)+2,FALSE)</f>
        <v>5472</v>
      </c>
      <c r="BU21" s="34" t="str">
        <f>HLOOKUP(BU$7+0.5,$I$66:$DJ$120,ROWS($A$10:$A21)+2,FALSE)</f>
        <v>N/A</v>
      </c>
      <c r="BV21" s="34">
        <f>HLOOKUP(BV$7+0.5,$I$66:$DJ$120,ROWS($A$10:$A21)+2,FALSE)</f>
        <v>831</v>
      </c>
      <c r="BW21" s="34">
        <f>HLOOKUP(BW$7+0.5,$I$66:$DJ$120,ROWS($A$10:$A21)+2,FALSE)</f>
        <v>797</v>
      </c>
      <c r="BX21" s="34">
        <f>HLOOKUP(BX$7+0.5,$I$66:$DJ$120,ROWS($A$10:$A21)+2,FALSE)</f>
        <v>1833</v>
      </c>
      <c r="BY21" s="34">
        <f>HLOOKUP(BY$7+0.5,$I$66:$DJ$120,ROWS($A$10:$A21)+2,FALSE)</f>
        <v>2678</v>
      </c>
      <c r="BZ21" s="34">
        <f>HLOOKUP(BZ$7+0.5,$I$66:$DJ$120,ROWS($A$10:$A21)+2,FALSE)</f>
        <v>1036</v>
      </c>
      <c r="CA21" s="34">
        <f>HLOOKUP(CA$7+0.5,$I$66:$DJ$120,ROWS($A$10:$A21)+2,FALSE)</f>
        <v>707</v>
      </c>
      <c r="CB21" s="34">
        <f>HLOOKUP(CB$7+0.5,$I$66:$DJ$120,ROWS($A$10:$A21)+2,FALSE)</f>
        <v>1972</v>
      </c>
      <c r="CC21" s="34">
        <f>HLOOKUP(CC$7+0.5,$I$66:$DJ$120,ROWS($A$10:$A21)+2,FALSE)</f>
        <v>1490</v>
      </c>
      <c r="CD21" s="34">
        <f>HLOOKUP(CD$7+0.5,$I$66:$DJ$120,ROWS($A$10:$A21)+2,FALSE)</f>
        <v>178</v>
      </c>
      <c r="CE21" s="34">
        <f>HLOOKUP(CE$7+0.5,$I$66:$DJ$120,ROWS($A$10:$A21)+2,FALSE)</f>
        <v>1621</v>
      </c>
      <c r="CF21" s="34">
        <f>HLOOKUP(CF$7+0.5,$I$66:$DJ$120,ROWS($A$10:$A21)+2,FALSE)</f>
        <v>1720</v>
      </c>
      <c r="CG21" s="34">
        <f>HLOOKUP(CG$7+0.5,$I$66:$DJ$120,ROWS($A$10:$A21)+2,FALSE)</f>
        <v>3100</v>
      </c>
      <c r="CH21" s="34">
        <f>HLOOKUP(CH$7+0.5,$I$66:$DJ$120,ROWS($A$10:$A21)+2,FALSE)</f>
        <v>2164</v>
      </c>
      <c r="CI21" s="34">
        <f>HLOOKUP(CI$7+0.5,$I$66:$DJ$120,ROWS($A$10:$A21)+2,FALSE)</f>
        <v>1372</v>
      </c>
      <c r="CJ21" s="34">
        <f>HLOOKUP(CJ$7+0.5,$I$66:$DJ$120,ROWS($A$10:$A21)+2,FALSE)</f>
        <v>1479</v>
      </c>
      <c r="CK21" s="34">
        <f>HLOOKUP(CK$7+0.5,$I$66:$DJ$120,ROWS($A$10:$A21)+2,FALSE)</f>
        <v>224</v>
      </c>
      <c r="CL21" s="34">
        <f>HLOOKUP(CL$7+0.5,$I$66:$DJ$120,ROWS($A$10:$A21)+2,FALSE)</f>
        <v>1001</v>
      </c>
      <c r="CM21" s="34">
        <f>HLOOKUP(CM$7+0.5,$I$66:$DJ$120,ROWS($A$10:$A21)+2,FALSE)</f>
        <v>2622</v>
      </c>
      <c r="CN21" s="34">
        <f>HLOOKUP(CN$7+0.5,$I$66:$DJ$120,ROWS($A$10:$A21)+2,FALSE)</f>
        <v>27</v>
      </c>
      <c r="CO21" s="34">
        <f>HLOOKUP(CO$7+0.5,$I$66:$DJ$120,ROWS($A$10:$A21)+2,FALSE)</f>
        <v>1544</v>
      </c>
      <c r="CP21" s="34">
        <f>HLOOKUP(CP$7+0.5,$I$66:$DJ$120,ROWS($A$10:$A21)+2,FALSE)</f>
        <v>512</v>
      </c>
      <c r="CQ21" s="34">
        <f>HLOOKUP(CQ$7+0.5,$I$66:$DJ$120,ROWS($A$10:$A21)+2,FALSE)</f>
        <v>3960</v>
      </c>
      <c r="CR21" s="34">
        <f>HLOOKUP(CR$7+0.5,$I$66:$DJ$120,ROWS($A$10:$A21)+2,FALSE)</f>
        <v>2963</v>
      </c>
      <c r="CS21" s="34">
        <f>HLOOKUP(CS$7+0.5,$I$66:$DJ$120,ROWS($A$10:$A21)+2,FALSE)</f>
        <v>250</v>
      </c>
      <c r="CT21" s="34">
        <f>HLOOKUP(CT$7+0.5,$I$66:$DJ$120,ROWS($A$10:$A21)+2,FALSE)</f>
        <v>2501</v>
      </c>
      <c r="CU21" s="34">
        <f>HLOOKUP(CU$7+0.5,$I$66:$DJ$120,ROWS($A$10:$A21)+2,FALSE)</f>
        <v>1818</v>
      </c>
      <c r="CV21" s="34">
        <f>HLOOKUP(CV$7+0.5,$I$66:$DJ$120,ROWS($A$10:$A21)+2,FALSE)</f>
        <v>472</v>
      </c>
      <c r="CW21" s="34">
        <f>HLOOKUP(CW$7+0.5,$I$66:$DJ$120,ROWS($A$10:$A21)+2,FALSE)</f>
        <v>2622</v>
      </c>
      <c r="CX21" s="34">
        <f>HLOOKUP(CX$7+0.5,$I$66:$DJ$120,ROWS($A$10:$A21)+2,FALSE)</f>
        <v>620</v>
      </c>
      <c r="CY21" s="34">
        <f>HLOOKUP(CY$7+0.5,$I$66:$DJ$120,ROWS($A$10:$A21)+2,FALSE)</f>
        <v>3871</v>
      </c>
      <c r="CZ21" s="34">
        <f>HLOOKUP(CZ$7+0.5,$I$66:$DJ$120,ROWS($A$10:$A21)+2,FALSE)</f>
        <v>291</v>
      </c>
      <c r="DA21" s="34">
        <f>HLOOKUP(DA$7+0.5,$I$66:$DJ$120,ROWS($A$10:$A21)+2,FALSE)</f>
        <v>4620</v>
      </c>
      <c r="DB21" s="34">
        <f>HLOOKUP(DB$7+0.5,$I$66:$DJ$120,ROWS($A$10:$A21)+2,FALSE)</f>
        <v>3367</v>
      </c>
      <c r="DC21" s="34">
        <f>HLOOKUP(DC$7+0.5,$I$66:$DJ$120,ROWS($A$10:$A21)+2,FALSE)</f>
        <v>35</v>
      </c>
      <c r="DD21" s="34">
        <f>HLOOKUP(DD$7+0.5,$I$66:$DJ$120,ROWS($A$10:$A21)+2,FALSE)</f>
        <v>142</v>
      </c>
      <c r="DE21" s="34">
        <f>HLOOKUP(DE$7+0.5,$I$66:$DJ$120,ROWS($A$10:$A21)+2,FALSE)</f>
        <v>2094</v>
      </c>
      <c r="DF21" s="34">
        <f>HLOOKUP(DF$7+0.5,$I$66:$DJ$120,ROWS($A$10:$A21)+2,FALSE)</f>
        <v>826</v>
      </c>
      <c r="DG21" s="34">
        <f>HLOOKUP(DG$7+0.5,$I$66:$DJ$120,ROWS($A$10:$A21)+2,FALSE)</f>
        <v>625</v>
      </c>
      <c r="DH21" s="34">
        <f>HLOOKUP(DH$7+0.5,$I$66:$DJ$120,ROWS($A$10:$A21)+2,FALSE)</f>
        <v>1725</v>
      </c>
      <c r="DI21" s="34">
        <f>HLOOKUP(DI$7+0.5,$I$66:$DJ$120,ROWS($A$10:$A21)+2,FALSE)</f>
        <v>154</v>
      </c>
      <c r="DJ21" s="34">
        <f>HLOOKUP(DJ$7+0.5,$I$66:$DJ$120,ROWS($A$10:$A21)+2,FALSE)</f>
        <v>1190</v>
      </c>
    </row>
    <row r="22" spans="2:114" x14ac:dyDescent="0.25">
      <c r="B22" s="38" t="s">
        <v>18</v>
      </c>
      <c r="C22" s="16">
        <v>1374852</v>
      </c>
      <c r="D22" s="17">
        <v>1662</v>
      </c>
      <c r="E22" s="16">
        <v>1164145</v>
      </c>
      <c r="F22" s="17">
        <v>10466</v>
      </c>
      <c r="G22" s="16">
        <v>134827</v>
      </c>
      <c r="H22" s="17">
        <v>9196</v>
      </c>
      <c r="I22" s="36">
        <f>HLOOKUP(I$7,$I$66:$DJ$120,ROWS($A$10:$A22)+2,FALSE)</f>
        <v>55145</v>
      </c>
      <c r="J22" s="25">
        <f>HLOOKUP(J$7,$I$66:$DJ$120,ROWS($A$10:$A22)+2,FALSE)</f>
        <v>608</v>
      </c>
      <c r="K22" s="25">
        <f>HLOOKUP(K$7,$I$66:$DJ$120,ROWS($A$10:$A22)+2,FALSE)</f>
        <v>1417</v>
      </c>
      <c r="L22" s="25">
        <f>HLOOKUP(L$7,$I$66:$DJ$120,ROWS($A$10:$A22)+2,FALSE)</f>
        <v>1865</v>
      </c>
      <c r="M22" s="25">
        <f>HLOOKUP(M$7,$I$66:$DJ$120,ROWS($A$10:$A22)+2,FALSE)</f>
        <v>24</v>
      </c>
      <c r="N22" s="25">
        <f>HLOOKUP(N$7,$I$66:$DJ$120,ROWS($A$10:$A22)+2,FALSE)</f>
        <v>9756</v>
      </c>
      <c r="O22" s="25">
        <f>HLOOKUP(O$7,$I$66:$DJ$120,ROWS($A$10:$A22)+2,FALSE)</f>
        <v>1216</v>
      </c>
      <c r="P22" s="25">
        <f>HLOOKUP(P$7,$I$66:$DJ$120,ROWS($A$10:$A22)+2,FALSE)</f>
        <v>191</v>
      </c>
      <c r="Q22" s="25">
        <f>HLOOKUP(Q$7,$I$66:$DJ$120,ROWS($A$10:$A22)+2,FALSE)</f>
        <v>278</v>
      </c>
      <c r="R22" s="25">
        <f>HLOOKUP(R$7,$I$66:$DJ$120,ROWS($A$10:$A22)+2,FALSE)</f>
        <v>230</v>
      </c>
      <c r="S22" s="25">
        <f>HLOOKUP(S$7,$I$66:$DJ$120,ROWS($A$10:$A22)+2,FALSE)</f>
        <v>2780</v>
      </c>
      <c r="T22" s="25">
        <f>HLOOKUP(T$7,$I$66:$DJ$120,ROWS($A$10:$A22)+2,FALSE)</f>
        <v>1448</v>
      </c>
      <c r="U22" s="25" t="str">
        <f>HLOOKUP(U$7,$I$66:$DJ$120,ROWS($A$10:$A22)+2,FALSE)</f>
        <v>N/A</v>
      </c>
      <c r="V22" s="25">
        <f>HLOOKUP(V$7,$I$66:$DJ$120,ROWS($A$10:$A22)+2,FALSE)</f>
        <v>404</v>
      </c>
      <c r="W22" s="25">
        <f>HLOOKUP(W$7,$I$66:$DJ$120,ROWS($A$10:$A22)+2,FALSE)</f>
        <v>318</v>
      </c>
      <c r="X22" s="25">
        <f>HLOOKUP(X$7,$I$66:$DJ$120,ROWS($A$10:$A22)+2,FALSE)</f>
        <v>292</v>
      </c>
      <c r="Y22" s="25">
        <f>HLOOKUP(Y$7,$I$66:$DJ$120,ROWS($A$10:$A22)+2,FALSE)</f>
        <v>84</v>
      </c>
      <c r="Z22" s="25">
        <f>HLOOKUP(Z$7,$I$66:$DJ$120,ROWS($A$10:$A22)+2,FALSE)</f>
        <v>1135</v>
      </c>
      <c r="AA22" s="25">
        <f>HLOOKUP(AA$7,$I$66:$DJ$120,ROWS($A$10:$A22)+2,FALSE)</f>
        <v>485</v>
      </c>
      <c r="AB22" s="25">
        <f>HLOOKUP(AB$7,$I$66:$DJ$120,ROWS($A$10:$A22)+2,FALSE)</f>
        <v>207</v>
      </c>
      <c r="AC22" s="25">
        <f>HLOOKUP(AC$7,$I$66:$DJ$120,ROWS($A$10:$A22)+2,FALSE)</f>
        <v>91</v>
      </c>
      <c r="AD22" s="25">
        <f>HLOOKUP(AD$7,$I$66:$DJ$120,ROWS($A$10:$A22)+2,FALSE)</f>
        <v>2491</v>
      </c>
      <c r="AE22" s="25">
        <f>HLOOKUP(AE$7,$I$66:$DJ$120,ROWS($A$10:$A22)+2,FALSE)</f>
        <v>1266</v>
      </c>
      <c r="AF22" s="25">
        <f>HLOOKUP(AF$7,$I$66:$DJ$120,ROWS($A$10:$A22)+2,FALSE)</f>
        <v>321</v>
      </c>
      <c r="AG22" s="25">
        <f>HLOOKUP(AG$7,$I$66:$DJ$120,ROWS($A$10:$A22)+2,FALSE)</f>
        <v>192</v>
      </c>
      <c r="AH22" s="25">
        <f>HLOOKUP(AH$7,$I$66:$DJ$120,ROWS($A$10:$A22)+2,FALSE)</f>
        <v>44</v>
      </c>
      <c r="AI22" s="25">
        <f>HLOOKUP(AI$7,$I$66:$DJ$120,ROWS($A$10:$A22)+2,FALSE)</f>
        <v>944</v>
      </c>
      <c r="AJ22" s="25">
        <f>HLOOKUP(AJ$7,$I$66:$DJ$120,ROWS($A$10:$A22)+2,FALSE)</f>
        <v>131</v>
      </c>
      <c r="AK22" s="25">
        <f>HLOOKUP(AK$7,$I$66:$DJ$120,ROWS($A$10:$A22)+2,FALSE)</f>
        <v>75</v>
      </c>
      <c r="AL22" s="25">
        <f>HLOOKUP(AL$7,$I$66:$DJ$120,ROWS($A$10:$A22)+2,FALSE)</f>
        <v>760</v>
      </c>
      <c r="AM22" s="25">
        <f>HLOOKUP(AM$7,$I$66:$DJ$120,ROWS($A$10:$A22)+2,FALSE)</f>
        <v>85</v>
      </c>
      <c r="AN22" s="25">
        <f>HLOOKUP(AN$7,$I$66:$DJ$120,ROWS($A$10:$A22)+2,FALSE)</f>
        <v>410</v>
      </c>
      <c r="AO22" s="25">
        <f>HLOOKUP(AO$7,$I$66:$DJ$120,ROWS($A$10:$A22)+2,FALSE)</f>
        <v>284</v>
      </c>
      <c r="AP22" s="25">
        <f>HLOOKUP(AP$7,$I$66:$DJ$120,ROWS($A$10:$A22)+2,FALSE)</f>
        <v>2382</v>
      </c>
      <c r="AQ22" s="25">
        <f>HLOOKUP(AQ$7,$I$66:$DJ$120,ROWS($A$10:$A22)+2,FALSE)</f>
        <v>2241</v>
      </c>
      <c r="AR22" s="25">
        <f>HLOOKUP(AR$7,$I$66:$DJ$120,ROWS($A$10:$A22)+2,FALSE)</f>
        <v>0</v>
      </c>
      <c r="AS22" s="25">
        <f>HLOOKUP(AS$7,$I$66:$DJ$120,ROWS($A$10:$A22)+2,FALSE)</f>
        <v>884</v>
      </c>
      <c r="AT22" s="25">
        <f>HLOOKUP(AT$7,$I$66:$DJ$120,ROWS($A$10:$A22)+2,FALSE)</f>
        <v>1095</v>
      </c>
      <c r="AU22" s="25">
        <f>HLOOKUP(AU$7,$I$66:$DJ$120,ROWS($A$10:$A22)+2,FALSE)</f>
        <v>1763</v>
      </c>
      <c r="AV22" s="25">
        <f>HLOOKUP(AV$7,$I$66:$DJ$120,ROWS($A$10:$A22)+2,FALSE)</f>
        <v>1087</v>
      </c>
      <c r="AW22" s="25">
        <f>HLOOKUP(AW$7,$I$66:$DJ$120,ROWS($A$10:$A22)+2,FALSE)</f>
        <v>106</v>
      </c>
      <c r="AX22" s="25">
        <f>HLOOKUP(AX$7,$I$66:$DJ$120,ROWS($A$10:$A22)+2,FALSE)</f>
        <v>644</v>
      </c>
      <c r="AY22" s="25">
        <f>HLOOKUP(AY$7,$I$66:$DJ$120,ROWS($A$10:$A22)+2,FALSE)</f>
        <v>459</v>
      </c>
      <c r="AZ22" s="25">
        <f>HLOOKUP(AZ$7,$I$66:$DJ$120,ROWS($A$10:$A22)+2,FALSE)</f>
        <v>1314</v>
      </c>
      <c r="BA22" s="25">
        <f>HLOOKUP(BA$7,$I$66:$DJ$120,ROWS($A$10:$A22)+2,FALSE)</f>
        <v>3300</v>
      </c>
      <c r="BB22" s="25">
        <f>HLOOKUP(BB$7,$I$66:$DJ$120,ROWS($A$10:$A22)+2,FALSE)</f>
        <v>2183</v>
      </c>
      <c r="BC22" s="25">
        <f>HLOOKUP(BC$7,$I$66:$DJ$120,ROWS($A$10:$A22)+2,FALSE)</f>
        <v>0</v>
      </c>
      <c r="BD22" s="25">
        <f>HLOOKUP(BD$7,$I$66:$DJ$120,ROWS($A$10:$A22)+2,FALSE)</f>
        <v>1393</v>
      </c>
      <c r="BE22" s="25">
        <f>HLOOKUP(BE$7,$I$66:$DJ$120,ROWS($A$10:$A22)+2,FALSE)</f>
        <v>5920</v>
      </c>
      <c r="BF22" s="25">
        <f>HLOOKUP(BF$7,$I$66:$DJ$120,ROWS($A$10:$A22)+2,FALSE)</f>
        <v>197</v>
      </c>
      <c r="BG22" s="25">
        <f>HLOOKUP(BG$7,$I$66:$DJ$120,ROWS($A$10:$A22)+2,FALSE)</f>
        <v>295</v>
      </c>
      <c r="BH22" s="25">
        <f>HLOOKUP(BH$7,$I$66:$DJ$120,ROWS($A$10:$A22)+2,FALSE)</f>
        <v>50</v>
      </c>
      <c r="BI22" s="25">
        <f>HLOOKUP(BI$7,$I$66:$DJ$120,ROWS($A$10:$A22)+2,FALSE)</f>
        <v>336</v>
      </c>
      <c r="BJ22" s="34">
        <f>HLOOKUP(BJ$7+0.5,$I$66:$DJ$120,ROWS($A$10:$A22)+2,FALSE)</f>
        <v>5749</v>
      </c>
      <c r="BK22" s="34">
        <f>HLOOKUP(BK$7+0.5,$I$66:$DJ$120,ROWS($A$10:$A22)+2,FALSE)</f>
        <v>479</v>
      </c>
      <c r="BL22" s="34">
        <f>HLOOKUP(BL$7+0.5,$I$66:$DJ$120,ROWS($A$10:$A22)+2,FALSE)</f>
        <v>869</v>
      </c>
      <c r="BM22" s="34">
        <f>HLOOKUP(BM$7+0.5,$I$66:$DJ$120,ROWS($A$10:$A22)+2,FALSE)</f>
        <v>695</v>
      </c>
      <c r="BN22" s="34">
        <f>HLOOKUP(BN$7+0.5,$I$66:$DJ$120,ROWS($A$10:$A22)+2,FALSE)</f>
        <v>54</v>
      </c>
      <c r="BO22" s="34">
        <f>HLOOKUP(BO$7+0.5,$I$66:$DJ$120,ROWS($A$10:$A22)+2,FALSE)</f>
        <v>1508</v>
      </c>
      <c r="BP22" s="34">
        <f>HLOOKUP(BP$7+0.5,$I$66:$DJ$120,ROWS($A$10:$A22)+2,FALSE)</f>
        <v>574</v>
      </c>
      <c r="BQ22" s="34">
        <f>HLOOKUP(BQ$7+0.5,$I$66:$DJ$120,ROWS($A$10:$A22)+2,FALSE)</f>
        <v>222</v>
      </c>
      <c r="BR22" s="34">
        <f>HLOOKUP(BR$7+0.5,$I$66:$DJ$120,ROWS($A$10:$A22)+2,FALSE)</f>
        <v>253</v>
      </c>
      <c r="BS22" s="34">
        <f>HLOOKUP(BS$7+0.5,$I$66:$DJ$120,ROWS($A$10:$A22)+2,FALSE)</f>
        <v>253</v>
      </c>
      <c r="BT22" s="34">
        <f>HLOOKUP(BT$7+0.5,$I$66:$DJ$120,ROWS($A$10:$A22)+2,FALSE)</f>
        <v>1227</v>
      </c>
      <c r="BU22" s="34">
        <f>HLOOKUP(BU$7+0.5,$I$66:$DJ$120,ROWS($A$10:$A22)+2,FALSE)</f>
        <v>639</v>
      </c>
      <c r="BV22" s="34" t="str">
        <f>HLOOKUP(BV$7+0.5,$I$66:$DJ$120,ROWS($A$10:$A22)+2,FALSE)</f>
        <v>N/A</v>
      </c>
      <c r="BW22" s="34">
        <f>HLOOKUP(BW$7+0.5,$I$66:$DJ$120,ROWS($A$10:$A22)+2,FALSE)</f>
        <v>431</v>
      </c>
      <c r="BX22" s="34">
        <f>HLOOKUP(BX$7+0.5,$I$66:$DJ$120,ROWS($A$10:$A22)+2,FALSE)</f>
        <v>194</v>
      </c>
      <c r="BY22" s="34">
        <f>HLOOKUP(BY$7+0.5,$I$66:$DJ$120,ROWS($A$10:$A22)+2,FALSE)</f>
        <v>261</v>
      </c>
      <c r="BZ22" s="34">
        <f>HLOOKUP(BZ$7+0.5,$I$66:$DJ$120,ROWS($A$10:$A22)+2,FALSE)</f>
        <v>98</v>
      </c>
      <c r="CA22" s="34">
        <f>HLOOKUP(CA$7+0.5,$I$66:$DJ$120,ROWS($A$10:$A22)+2,FALSE)</f>
        <v>709</v>
      </c>
      <c r="CB22" s="34">
        <f>HLOOKUP(CB$7+0.5,$I$66:$DJ$120,ROWS($A$10:$A22)+2,FALSE)</f>
        <v>630</v>
      </c>
      <c r="CC22" s="34">
        <f>HLOOKUP(CC$7+0.5,$I$66:$DJ$120,ROWS($A$10:$A22)+2,FALSE)</f>
        <v>183</v>
      </c>
      <c r="CD22" s="34">
        <f>HLOOKUP(CD$7+0.5,$I$66:$DJ$120,ROWS($A$10:$A22)+2,FALSE)</f>
        <v>147</v>
      </c>
      <c r="CE22" s="34">
        <f>HLOOKUP(CE$7+0.5,$I$66:$DJ$120,ROWS($A$10:$A22)+2,FALSE)</f>
        <v>1610</v>
      </c>
      <c r="CF22" s="34">
        <f>HLOOKUP(CF$7+0.5,$I$66:$DJ$120,ROWS($A$10:$A22)+2,FALSE)</f>
        <v>962</v>
      </c>
      <c r="CG22" s="34">
        <f>HLOOKUP(CG$7+0.5,$I$66:$DJ$120,ROWS($A$10:$A22)+2,FALSE)</f>
        <v>189</v>
      </c>
      <c r="CH22" s="34">
        <f>HLOOKUP(CH$7+0.5,$I$66:$DJ$120,ROWS($A$10:$A22)+2,FALSE)</f>
        <v>240</v>
      </c>
      <c r="CI22" s="34">
        <f>HLOOKUP(CI$7+0.5,$I$66:$DJ$120,ROWS($A$10:$A22)+2,FALSE)</f>
        <v>52</v>
      </c>
      <c r="CJ22" s="34">
        <f>HLOOKUP(CJ$7+0.5,$I$66:$DJ$120,ROWS($A$10:$A22)+2,FALSE)</f>
        <v>630</v>
      </c>
      <c r="CK22" s="34">
        <f>HLOOKUP(CK$7+0.5,$I$66:$DJ$120,ROWS($A$10:$A22)+2,FALSE)</f>
        <v>172</v>
      </c>
      <c r="CL22" s="34">
        <f>HLOOKUP(CL$7+0.5,$I$66:$DJ$120,ROWS($A$10:$A22)+2,FALSE)</f>
        <v>125</v>
      </c>
      <c r="CM22" s="34">
        <f>HLOOKUP(CM$7+0.5,$I$66:$DJ$120,ROWS($A$10:$A22)+2,FALSE)</f>
        <v>424</v>
      </c>
      <c r="CN22" s="34">
        <f>HLOOKUP(CN$7+0.5,$I$66:$DJ$120,ROWS($A$10:$A22)+2,FALSE)</f>
        <v>119</v>
      </c>
      <c r="CO22" s="34">
        <f>HLOOKUP(CO$7+0.5,$I$66:$DJ$120,ROWS($A$10:$A22)+2,FALSE)</f>
        <v>435</v>
      </c>
      <c r="CP22" s="34">
        <f>HLOOKUP(CP$7+0.5,$I$66:$DJ$120,ROWS($A$10:$A22)+2,FALSE)</f>
        <v>243</v>
      </c>
      <c r="CQ22" s="34">
        <f>HLOOKUP(CQ$7+0.5,$I$66:$DJ$120,ROWS($A$10:$A22)+2,FALSE)</f>
        <v>1279</v>
      </c>
      <c r="CR22" s="34">
        <f>HLOOKUP(CR$7+0.5,$I$66:$DJ$120,ROWS($A$10:$A22)+2,FALSE)</f>
        <v>1274</v>
      </c>
      <c r="CS22" s="34">
        <f>HLOOKUP(CS$7+0.5,$I$66:$DJ$120,ROWS($A$10:$A22)+2,FALSE)</f>
        <v>177</v>
      </c>
      <c r="CT22" s="34">
        <f>HLOOKUP(CT$7+0.5,$I$66:$DJ$120,ROWS($A$10:$A22)+2,FALSE)</f>
        <v>995</v>
      </c>
      <c r="CU22" s="34">
        <f>HLOOKUP(CU$7+0.5,$I$66:$DJ$120,ROWS($A$10:$A22)+2,FALSE)</f>
        <v>933</v>
      </c>
      <c r="CV22" s="34">
        <f>HLOOKUP(CV$7+0.5,$I$66:$DJ$120,ROWS($A$10:$A22)+2,FALSE)</f>
        <v>764</v>
      </c>
      <c r="CW22" s="34">
        <f>HLOOKUP(CW$7+0.5,$I$66:$DJ$120,ROWS($A$10:$A22)+2,FALSE)</f>
        <v>770</v>
      </c>
      <c r="CX22" s="34">
        <f>HLOOKUP(CX$7+0.5,$I$66:$DJ$120,ROWS($A$10:$A22)+2,FALSE)</f>
        <v>176</v>
      </c>
      <c r="CY22" s="34">
        <f>HLOOKUP(CY$7+0.5,$I$66:$DJ$120,ROWS($A$10:$A22)+2,FALSE)</f>
        <v>460</v>
      </c>
      <c r="CZ22" s="34">
        <f>HLOOKUP(CZ$7+0.5,$I$66:$DJ$120,ROWS($A$10:$A22)+2,FALSE)</f>
        <v>726</v>
      </c>
      <c r="DA22" s="34">
        <f>HLOOKUP(DA$7+0.5,$I$66:$DJ$120,ROWS($A$10:$A22)+2,FALSE)</f>
        <v>675</v>
      </c>
      <c r="DB22" s="34">
        <f>HLOOKUP(DB$7+0.5,$I$66:$DJ$120,ROWS($A$10:$A22)+2,FALSE)</f>
        <v>1887</v>
      </c>
      <c r="DC22" s="34">
        <f>HLOOKUP(DC$7+0.5,$I$66:$DJ$120,ROWS($A$10:$A22)+2,FALSE)</f>
        <v>1283</v>
      </c>
      <c r="DD22" s="34">
        <f>HLOOKUP(DD$7+0.5,$I$66:$DJ$120,ROWS($A$10:$A22)+2,FALSE)</f>
        <v>177</v>
      </c>
      <c r="DE22" s="34">
        <f>HLOOKUP(DE$7+0.5,$I$66:$DJ$120,ROWS($A$10:$A22)+2,FALSE)</f>
        <v>755</v>
      </c>
      <c r="DF22" s="34">
        <f>HLOOKUP(DF$7+0.5,$I$66:$DJ$120,ROWS($A$10:$A22)+2,FALSE)</f>
        <v>1901</v>
      </c>
      <c r="DG22" s="34">
        <f>HLOOKUP(DG$7+0.5,$I$66:$DJ$120,ROWS($A$10:$A22)+2,FALSE)</f>
        <v>330</v>
      </c>
      <c r="DH22" s="34">
        <f>HLOOKUP(DH$7+0.5,$I$66:$DJ$120,ROWS($A$10:$A22)+2,FALSE)</f>
        <v>234</v>
      </c>
      <c r="DI22" s="34">
        <f>HLOOKUP(DI$7+0.5,$I$66:$DJ$120,ROWS($A$10:$A22)+2,FALSE)</f>
        <v>66</v>
      </c>
      <c r="DJ22" s="34">
        <f>HLOOKUP(DJ$7+0.5,$I$66:$DJ$120,ROWS($A$10:$A22)+2,FALSE)</f>
        <v>436</v>
      </c>
    </row>
    <row r="23" spans="2:114" x14ac:dyDescent="0.25">
      <c r="B23" s="38" t="s">
        <v>19</v>
      </c>
      <c r="C23" s="16">
        <v>1573036</v>
      </c>
      <c r="D23" s="17">
        <v>2184</v>
      </c>
      <c r="E23" s="16">
        <v>1296975</v>
      </c>
      <c r="F23" s="17">
        <v>12998</v>
      </c>
      <c r="G23" s="16">
        <v>210151</v>
      </c>
      <c r="H23" s="17">
        <v>11483</v>
      </c>
      <c r="I23" s="36">
        <f>HLOOKUP(I$7,$I$66:$DJ$120,ROWS($A$10:$A23)+2,FALSE)</f>
        <v>59283</v>
      </c>
      <c r="J23" s="25">
        <f>HLOOKUP(J$7,$I$66:$DJ$120,ROWS($A$10:$A23)+2,FALSE)</f>
        <v>575</v>
      </c>
      <c r="K23" s="25">
        <f>HLOOKUP(K$7,$I$66:$DJ$120,ROWS($A$10:$A23)+2,FALSE)</f>
        <v>1198</v>
      </c>
      <c r="L23" s="25">
        <f>HLOOKUP(L$7,$I$66:$DJ$120,ROWS($A$10:$A23)+2,FALSE)</f>
        <v>2424</v>
      </c>
      <c r="M23" s="25">
        <f>HLOOKUP(M$7,$I$66:$DJ$120,ROWS($A$10:$A23)+2,FALSE)</f>
        <v>291</v>
      </c>
      <c r="N23" s="25">
        <f>HLOOKUP(N$7,$I$66:$DJ$120,ROWS($A$10:$A23)+2,FALSE)</f>
        <v>10280</v>
      </c>
      <c r="O23" s="25">
        <f>HLOOKUP(O$7,$I$66:$DJ$120,ROWS($A$10:$A23)+2,FALSE)</f>
        <v>1186</v>
      </c>
      <c r="P23" s="25">
        <f>HLOOKUP(P$7,$I$66:$DJ$120,ROWS($A$10:$A23)+2,FALSE)</f>
        <v>44</v>
      </c>
      <c r="Q23" s="25">
        <f>HLOOKUP(Q$7,$I$66:$DJ$120,ROWS($A$10:$A23)+2,FALSE)</f>
        <v>120</v>
      </c>
      <c r="R23" s="25">
        <f>HLOOKUP(R$7,$I$66:$DJ$120,ROWS($A$10:$A23)+2,FALSE)</f>
        <v>116</v>
      </c>
      <c r="S23" s="25">
        <f>HLOOKUP(S$7,$I$66:$DJ$120,ROWS($A$10:$A23)+2,FALSE)</f>
        <v>2014</v>
      </c>
      <c r="T23" s="25">
        <f>HLOOKUP(T$7,$I$66:$DJ$120,ROWS($A$10:$A23)+2,FALSE)</f>
        <v>583</v>
      </c>
      <c r="U23" s="25">
        <f>HLOOKUP(U$7,$I$66:$DJ$120,ROWS($A$10:$A23)+2,FALSE)</f>
        <v>206</v>
      </c>
      <c r="V23" s="25" t="str">
        <f>HLOOKUP(V$7,$I$66:$DJ$120,ROWS($A$10:$A23)+2,FALSE)</f>
        <v>N/A</v>
      </c>
      <c r="W23" s="25">
        <f>HLOOKUP(W$7,$I$66:$DJ$120,ROWS($A$10:$A23)+2,FALSE)</f>
        <v>532</v>
      </c>
      <c r="X23" s="25">
        <f>HLOOKUP(X$7,$I$66:$DJ$120,ROWS($A$10:$A23)+2,FALSE)</f>
        <v>283</v>
      </c>
      <c r="Y23" s="25">
        <f>HLOOKUP(Y$7,$I$66:$DJ$120,ROWS($A$10:$A23)+2,FALSE)</f>
        <v>90</v>
      </c>
      <c r="Z23" s="25">
        <f>HLOOKUP(Z$7,$I$66:$DJ$120,ROWS($A$10:$A23)+2,FALSE)</f>
        <v>63</v>
      </c>
      <c r="AA23" s="25">
        <f>HLOOKUP(AA$7,$I$66:$DJ$120,ROWS($A$10:$A23)+2,FALSE)</f>
        <v>83</v>
      </c>
      <c r="AB23" s="25">
        <f>HLOOKUP(AB$7,$I$66:$DJ$120,ROWS($A$10:$A23)+2,FALSE)</f>
        <v>54</v>
      </c>
      <c r="AC23" s="25">
        <f>HLOOKUP(AC$7,$I$66:$DJ$120,ROWS($A$10:$A23)+2,FALSE)</f>
        <v>0</v>
      </c>
      <c r="AD23" s="25">
        <f>HLOOKUP(AD$7,$I$66:$DJ$120,ROWS($A$10:$A23)+2,FALSE)</f>
        <v>107</v>
      </c>
      <c r="AE23" s="25">
        <f>HLOOKUP(AE$7,$I$66:$DJ$120,ROWS($A$10:$A23)+2,FALSE)</f>
        <v>338</v>
      </c>
      <c r="AF23" s="25">
        <f>HLOOKUP(AF$7,$I$66:$DJ$120,ROWS($A$10:$A23)+2,FALSE)</f>
        <v>683</v>
      </c>
      <c r="AG23" s="25">
        <f>HLOOKUP(AG$7,$I$66:$DJ$120,ROWS($A$10:$A23)+2,FALSE)</f>
        <v>637</v>
      </c>
      <c r="AH23" s="25">
        <f>HLOOKUP(AH$7,$I$66:$DJ$120,ROWS($A$10:$A23)+2,FALSE)</f>
        <v>87</v>
      </c>
      <c r="AI23" s="25">
        <f>HLOOKUP(AI$7,$I$66:$DJ$120,ROWS($A$10:$A23)+2,FALSE)</f>
        <v>214</v>
      </c>
      <c r="AJ23" s="25">
        <f>HLOOKUP(AJ$7,$I$66:$DJ$120,ROWS($A$10:$A23)+2,FALSE)</f>
        <v>3800</v>
      </c>
      <c r="AK23" s="25">
        <f>HLOOKUP(AK$7,$I$66:$DJ$120,ROWS($A$10:$A23)+2,FALSE)</f>
        <v>35</v>
      </c>
      <c r="AL23" s="25">
        <f>HLOOKUP(AL$7,$I$66:$DJ$120,ROWS($A$10:$A23)+2,FALSE)</f>
        <v>2535</v>
      </c>
      <c r="AM23" s="25">
        <f>HLOOKUP(AM$7,$I$66:$DJ$120,ROWS($A$10:$A23)+2,FALSE)</f>
        <v>0</v>
      </c>
      <c r="AN23" s="25">
        <f>HLOOKUP(AN$7,$I$66:$DJ$120,ROWS($A$10:$A23)+2,FALSE)</f>
        <v>214</v>
      </c>
      <c r="AO23" s="25">
        <f>HLOOKUP(AO$7,$I$66:$DJ$120,ROWS($A$10:$A23)+2,FALSE)</f>
        <v>675</v>
      </c>
      <c r="AP23" s="25">
        <f>HLOOKUP(AP$7,$I$66:$DJ$120,ROWS($A$10:$A23)+2,FALSE)</f>
        <v>938</v>
      </c>
      <c r="AQ23" s="25">
        <f>HLOOKUP(AQ$7,$I$66:$DJ$120,ROWS($A$10:$A23)+2,FALSE)</f>
        <v>817</v>
      </c>
      <c r="AR23" s="25">
        <f>HLOOKUP(AR$7,$I$66:$DJ$120,ROWS($A$10:$A23)+2,FALSE)</f>
        <v>0</v>
      </c>
      <c r="AS23" s="25">
        <f>HLOOKUP(AS$7,$I$66:$DJ$120,ROWS($A$10:$A23)+2,FALSE)</f>
        <v>1018</v>
      </c>
      <c r="AT23" s="25">
        <f>HLOOKUP(AT$7,$I$66:$DJ$120,ROWS($A$10:$A23)+2,FALSE)</f>
        <v>93</v>
      </c>
      <c r="AU23" s="25">
        <f>HLOOKUP(AU$7,$I$66:$DJ$120,ROWS($A$10:$A23)+2,FALSE)</f>
        <v>4963</v>
      </c>
      <c r="AV23" s="25">
        <f>HLOOKUP(AV$7,$I$66:$DJ$120,ROWS($A$10:$A23)+2,FALSE)</f>
        <v>169</v>
      </c>
      <c r="AW23" s="25">
        <f>HLOOKUP(AW$7,$I$66:$DJ$120,ROWS($A$10:$A23)+2,FALSE)</f>
        <v>0</v>
      </c>
      <c r="AX23" s="25">
        <f>HLOOKUP(AX$7,$I$66:$DJ$120,ROWS($A$10:$A23)+2,FALSE)</f>
        <v>205</v>
      </c>
      <c r="AY23" s="25">
        <f>HLOOKUP(AY$7,$I$66:$DJ$120,ROWS($A$10:$A23)+2,FALSE)</f>
        <v>118</v>
      </c>
      <c r="AZ23" s="25">
        <f>HLOOKUP(AZ$7,$I$66:$DJ$120,ROWS($A$10:$A23)+2,FALSE)</f>
        <v>1957</v>
      </c>
      <c r="BA23" s="25">
        <f>HLOOKUP(BA$7,$I$66:$DJ$120,ROWS($A$10:$A23)+2,FALSE)</f>
        <v>1352</v>
      </c>
      <c r="BB23" s="25">
        <f>HLOOKUP(BB$7,$I$66:$DJ$120,ROWS($A$10:$A23)+2,FALSE)</f>
        <v>6617</v>
      </c>
      <c r="BC23" s="25">
        <f>HLOOKUP(BC$7,$I$66:$DJ$120,ROWS($A$10:$A23)+2,FALSE)</f>
        <v>0</v>
      </c>
      <c r="BD23" s="25">
        <f>HLOOKUP(BD$7,$I$66:$DJ$120,ROWS($A$10:$A23)+2,FALSE)</f>
        <v>269</v>
      </c>
      <c r="BE23" s="25">
        <f>HLOOKUP(BE$7,$I$66:$DJ$120,ROWS($A$10:$A23)+2,FALSE)</f>
        <v>10398</v>
      </c>
      <c r="BF23" s="25">
        <f>HLOOKUP(BF$7,$I$66:$DJ$120,ROWS($A$10:$A23)+2,FALSE)</f>
        <v>0</v>
      </c>
      <c r="BG23" s="25">
        <f>HLOOKUP(BG$7,$I$66:$DJ$120,ROWS($A$10:$A23)+2,FALSE)</f>
        <v>225</v>
      </c>
      <c r="BH23" s="25">
        <f>HLOOKUP(BH$7,$I$66:$DJ$120,ROWS($A$10:$A23)+2,FALSE)</f>
        <v>677</v>
      </c>
      <c r="BI23" s="25">
        <f>HLOOKUP(BI$7,$I$66:$DJ$120,ROWS($A$10:$A23)+2,FALSE)</f>
        <v>136</v>
      </c>
      <c r="BJ23" s="34">
        <f>HLOOKUP(BJ$7+0.5,$I$66:$DJ$120,ROWS($A$10:$A23)+2,FALSE)</f>
        <v>6040</v>
      </c>
      <c r="BK23" s="34">
        <f>HLOOKUP(BK$7+0.5,$I$66:$DJ$120,ROWS($A$10:$A23)+2,FALSE)</f>
        <v>838</v>
      </c>
      <c r="BL23" s="34">
        <f>HLOOKUP(BL$7+0.5,$I$66:$DJ$120,ROWS($A$10:$A23)+2,FALSE)</f>
        <v>790</v>
      </c>
      <c r="BM23" s="34">
        <f>HLOOKUP(BM$7+0.5,$I$66:$DJ$120,ROWS($A$10:$A23)+2,FALSE)</f>
        <v>1307</v>
      </c>
      <c r="BN23" s="34">
        <f>HLOOKUP(BN$7+0.5,$I$66:$DJ$120,ROWS($A$10:$A23)+2,FALSE)</f>
        <v>268</v>
      </c>
      <c r="BO23" s="34">
        <f>HLOOKUP(BO$7+0.5,$I$66:$DJ$120,ROWS($A$10:$A23)+2,FALSE)</f>
        <v>2708</v>
      </c>
      <c r="BP23" s="34">
        <f>HLOOKUP(BP$7+0.5,$I$66:$DJ$120,ROWS($A$10:$A23)+2,FALSE)</f>
        <v>614</v>
      </c>
      <c r="BQ23" s="34">
        <f>HLOOKUP(BQ$7+0.5,$I$66:$DJ$120,ROWS($A$10:$A23)+2,FALSE)</f>
        <v>81</v>
      </c>
      <c r="BR23" s="34">
        <f>HLOOKUP(BR$7+0.5,$I$66:$DJ$120,ROWS($A$10:$A23)+2,FALSE)</f>
        <v>199</v>
      </c>
      <c r="BS23" s="34">
        <f>HLOOKUP(BS$7+0.5,$I$66:$DJ$120,ROWS($A$10:$A23)+2,FALSE)</f>
        <v>124</v>
      </c>
      <c r="BT23" s="34">
        <f>HLOOKUP(BT$7+0.5,$I$66:$DJ$120,ROWS($A$10:$A23)+2,FALSE)</f>
        <v>1608</v>
      </c>
      <c r="BU23" s="34">
        <f>HLOOKUP(BU$7+0.5,$I$66:$DJ$120,ROWS($A$10:$A23)+2,FALSE)</f>
        <v>848</v>
      </c>
      <c r="BV23" s="34">
        <f>HLOOKUP(BV$7+0.5,$I$66:$DJ$120,ROWS($A$10:$A23)+2,FALSE)</f>
        <v>194</v>
      </c>
      <c r="BW23" s="34" t="str">
        <f>HLOOKUP(BW$7+0.5,$I$66:$DJ$120,ROWS($A$10:$A23)+2,FALSE)</f>
        <v>N/A</v>
      </c>
      <c r="BX23" s="34">
        <f>HLOOKUP(BX$7+0.5,$I$66:$DJ$120,ROWS($A$10:$A23)+2,FALSE)</f>
        <v>469</v>
      </c>
      <c r="BY23" s="34">
        <f>HLOOKUP(BY$7+0.5,$I$66:$DJ$120,ROWS($A$10:$A23)+2,FALSE)</f>
        <v>282</v>
      </c>
      <c r="BZ23" s="34">
        <f>HLOOKUP(BZ$7+0.5,$I$66:$DJ$120,ROWS($A$10:$A23)+2,FALSE)</f>
        <v>170</v>
      </c>
      <c r="CA23" s="34">
        <f>HLOOKUP(CA$7+0.5,$I$66:$DJ$120,ROWS($A$10:$A23)+2,FALSE)</f>
        <v>69</v>
      </c>
      <c r="CB23" s="34">
        <f>HLOOKUP(CB$7+0.5,$I$66:$DJ$120,ROWS($A$10:$A23)+2,FALSE)</f>
        <v>128</v>
      </c>
      <c r="CC23" s="34">
        <f>HLOOKUP(CC$7+0.5,$I$66:$DJ$120,ROWS($A$10:$A23)+2,FALSE)</f>
        <v>92</v>
      </c>
      <c r="CD23" s="34">
        <f>HLOOKUP(CD$7+0.5,$I$66:$DJ$120,ROWS($A$10:$A23)+2,FALSE)</f>
        <v>187</v>
      </c>
      <c r="CE23" s="34">
        <f>HLOOKUP(CE$7+0.5,$I$66:$DJ$120,ROWS($A$10:$A23)+2,FALSE)</f>
        <v>161</v>
      </c>
      <c r="CF23" s="34">
        <f>HLOOKUP(CF$7+0.5,$I$66:$DJ$120,ROWS($A$10:$A23)+2,FALSE)</f>
        <v>391</v>
      </c>
      <c r="CG23" s="34">
        <f>HLOOKUP(CG$7+0.5,$I$66:$DJ$120,ROWS($A$10:$A23)+2,FALSE)</f>
        <v>777</v>
      </c>
      <c r="CH23" s="34">
        <f>HLOOKUP(CH$7+0.5,$I$66:$DJ$120,ROWS($A$10:$A23)+2,FALSE)</f>
        <v>528</v>
      </c>
      <c r="CI23" s="34">
        <f>HLOOKUP(CI$7+0.5,$I$66:$DJ$120,ROWS($A$10:$A23)+2,FALSE)</f>
        <v>170</v>
      </c>
      <c r="CJ23" s="34">
        <f>HLOOKUP(CJ$7+0.5,$I$66:$DJ$120,ROWS($A$10:$A23)+2,FALSE)</f>
        <v>259</v>
      </c>
      <c r="CK23" s="34">
        <f>HLOOKUP(CK$7+0.5,$I$66:$DJ$120,ROWS($A$10:$A23)+2,FALSE)</f>
        <v>2162</v>
      </c>
      <c r="CL23" s="34">
        <f>HLOOKUP(CL$7+0.5,$I$66:$DJ$120,ROWS($A$10:$A23)+2,FALSE)</f>
        <v>60</v>
      </c>
      <c r="CM23" s="34">
        <f>HLOOKUP(CM$7+0.5,$I$66:$DJ$120,ROWS($A$10:$A23)+2,FALSE)</f>
        <v>1031</v>
      </c>
      <c r="CN23" s="34">
        <f>HLOOKUP(CN$7+0.5,$I$66:$DJ$120,ROWS($A$10:$A23)+2,FALSE)</f>
        <v>187</v>
      </c>
      <c r="CO23" s="34">
        <f>HLOOKUP(CO$7+0.5,$I$66:$DJ$120,ROWS($A$10:$A23)+2,FALSE)</f>
        <v>206</v>
      </c>
      <c r="CP23" s="34">
        <f>HLOOKUP(CP$7+0.5,$I$66:$DJ$120,ROWS($A$10:$A23)+2,FALSE)</f>
        <v>554</v>
      </c>
      <c r="CQ23" s="34">
        <f>HLOOKUP(CQ$7+0.5,$I$66:$DJ$120,ROWS($A$10:$A23)+2,FALSE)</f>
        <v>554</v>
      </c>
      <c r="CR23" s="34">
        <f>HLOOKUP(CR$7+0.5,$I$66:$DJ$120,ROWS($A$10:$A23)+2,FALSE)</f>
        <v>843</v>
      </c>
      <c r="CS23" s="34">
        <f>HLOOKUP(CS$7+0.5,$I$66:$DJ$120,ROWS($A$10:$A23)+2,FALSE)</f>
        <v>187</v>
      </c>
      <c r="CT23" s="34">
        <f>HLOOKUP(CT$7+0.5,$I$66:$DJ$120,ROWS($A$10:$A23)+2,FALSE)</f>
        <v>753</v>
      </c>
      <c r="CU23" s="34">
        <f>HLOOKUP(CU$7+0.5,$I$66:$DJ$120,ROWS($A$10:$A23)+2,FALSE)</f>
        <v>108</v>
      </c>
      <c r="CV23" s="34">
        <f>HLOOKUP(CV$7+0.5,$I$66:$DJ$120,ROWS($A$10:$A23)+2,FALSE)</f>
        <v>1377</v>
      </c>
      <c r="CW23" s="34">
        <f>HLOOKUP(CW$7+0.5,$I$66:$DJ$120,ROWS($A$10:$A23)+2,FALSE)</f>
        <v>181</v>
      </c>
      <c r="CX23" s="34">
        <f>HLOOKUP(CX$7+0.5,$I$66:$DJ$120,ROWS($A$10:$A23)+2,FALSE)</f>
        <v>187</v>
      </c>
      <c r="CY23" s="34">
        <f>HLOOKUP(CY$7+0.5,$I$66:$DJ$120,ROWS($A$10:$A23)+2,FALSE)</f>
        <v>238</v>
      </c>
      <c r="CZ23" s="34">
        <f>HLOOKUP(CZ$7+0.5,$I$66:$DJ$120,ROWS($A$10:$A23)+2,FALSE)</f>
        <v>192</v>
      </c>
      <c r="DA23" s="34">
        <f>HLOOKUP(DA$7+0.5,$I$66:$DJ$120,ROWS($A$10:$A23)+2,FALSE)</f>
        <v>1539</v>
      </c>
      <c r="DB23" s="34">
        <f>HLOOKUP(DB$7+0.5,$I$66:$DJ$120,ROWS($A$10:$A23)+2,FALSE)</f>
        <v>714</v>
      </c>
      <c r="DC23" s="34">
        <f>HLOOKUP(DC$7+0.5,$I$66:$DJ$120,ROWS($A$10:$A23)+2,FALSE)</f>
        <v>3016</v>
      </c>
      <c r="DD23" s="34">
        <f>HLOOKUP(DD$7+0.5,$I$66:$DJ$120,ROWS($A$10:$A23)+2,FALSE)</f>
        <v>187</v>
      </c>
      <c r="DE23" s="34">
        <f>HLOOKUP(DE$7+0.5,$I$66:$DJ$120,ROWS($A$10:$A23)+2,FALSE)</f>
        <v>388</v>
      </c>
      <c r="DF23" s="34">
        <f>HLOOKUP(DF$7+0.5,$I$66:$DJ$120,ROWS($A$10:$A23)+2,FALSE)</f>
        <v>1919</v>
      </c>
      <c r="DG23" s="34">
        <f>HLOOKUP(DG$7+0.5,$I$66:$DJ$120,ROWS($A$10:$A23)+2,FALSE)</f>
        <v>187</v>
      </c>
      <c r="DH23" s="34">
        <f>HLOOKUP(DH$7+0.5,$I$66:$DJ$120,ROWS($A$10:$A23)+2,FALSE)</f>
        <v>272</v>
      </c>
      <c r="DI23" s="34">
        <f>HLOOKUP(DI$7+0.5,$I$66:$DJ$120,ROWS($A$10:$A23)+2,FALSE)</f>
        <v>406</v>
      </c>
      <c r="DJ23" s="34">
        <f>HLOOKUP(DJ$7+0.5,$I$66:$DJ$120,ROWS($A$10:$A23)+2,FALSE)</f>
        <v>228</v>
      </c>
    </row>
    <row r="24" spans="2:114" x14ac:dyDescent="0.25">
      <c r="B24" s="38" t="s">
        <v>20</v>
      </c>
      <c r="C24" s="16">
        <v>12725119</v>
      </c>
      <c r="D24" s="17">
        <v>5939</v>
      </c>
      <c r="E24" s="16">
        <v>11009321</v>
      </c>
      <c r="F24" s="17">
        <v>31714</v>
      </c>
      <c r="G24" s="16">
        <v>1441191</v>
      </c>
      <c r="H24" s="17">
        <v>27618</v>
      </c>
      <c r="I24" s="36">
        <f>HLOOKUP(I$7,$I$66:$DJ$120,ROWS($A$10:$A24)+2,FALSE)</f>
        <v>208755</v>
      </c>
      <c r="J24" s="25">
        <f>HLOOKUP(J$7,$I$66:$DJ$120,ROWS($A$10:$A24)+2,FALSE)</f>
        <v>883</v>
      </c>
      <c r="K24" s="25">
        <f>HLOOKUP(K$7,$I$66:$DJ$120,ROWS($A$10:$A24)+2,FALSE)</f>
        <v>2250</v>
      </c>
      <c r="L24" s="25">
        <f>HLOOKUP(L$7,$I$66:$DJ$120,ROWS($A$10:$A24)+2,FALSE)</f>
        <v>7139</v>
      </c>
      <c r="M24" s="25">
        <f>HLOOKUP(M$7,$I$66:$DJ$120,ROWS($A$10:$A24)+2,FALSE)</f>
        <v>1587</v>
      </c>
      <c r="N24" s="25">
        <f>HLOOKUP(N$7,$I$66:$DJ$120,ROWS($A$10:$A24)+2,FALSE)</f>
        <v>14940</v>
      </c>
      <c r="O24" s="25">
        <f>HLOOKUP(O$7,$I$66:$DJ$120,ROWS($A$10:$A24)+2,FALSE)</f>
        <v>3036</v>
      </c>
      <c r="P24" s="25">
        <f>HLOOKUP(P$7,$I$66:$DJ$120,ROWS($A$10:$A24)+2,FALSE)</f>
        <v>955</v>
      </c>
      <c r="Q24" s="25">
        <f>HLOOKUP(Q$7,$I$66:$DJ$120,ROWS($A$10:$A24)+2,FALSE)</f>
        <v>234</v>
      </c>
      <c r="R24" s="25">
        <f>HLOOKUP(R$7,$I$66:$DJ$120,ROWS($A$10:$A24)+2,FALSE)</f>
        <v>1066</v>
      </c>
      <c r="S24" s="25">
        <f>HLOOKUP(S$7,$I$66:$DJ$120,ROWS($A$10:$A24)+2,FALSE)</f>
        <v>12687</v>
      </c>
      <c r="T24" s="25">
        <f>HLOOKUP(T$7,$I$66:$DJ$120,ROWS($A$10:$A24)+2,FALSE)</f>
        <v>8745</v>
      </c>
      <c r="U24" s="25">
        <f>HLOOKUP(U$7,$I$66:$DJ$120,ROWS($A$10:$A24)+2,FALSE)</f>
        <v>869</v>
      </c>
      <c r="V24" s="25">
        <f>HLOOKUP(V$7,$I$66:$DJ$120,ROWS($A$10:$A24)+2,FALSE)</f>
        <v>1384</v>
      </c>
      <c r="W24" s="25" t="str">
        <f>HLOOKUP(W$7,$I$66:$DJ$120,ROWS($A$10:$A24)+2,FALSE)</f>
        <v>N/A</v>
      </c>
      <c r="X24" s="25">
        <f>HLOOKUP(X$7,$I$66:$DJ$120,ROWS($A$10:$A24)+2,FALSE)</f>
        <v>16907</v>
      </c>
      <c r="Y24" s="25">
        <f>HLOOKUP(Y$7,$I$66:$DJ$120,ROWS($A$10:$A24)+2,FALSE)</f>
        <v>8529</v>
      </c>
      <c r="Z24" s="25">
        <f>HLOOKUP(Z$7,$I$66:$DJ$120,ROWS($A$10:$A24)+2,FALSE)</f>
        <v>2009</v>
      </c>
      <c r="AA24" s="25">
        <f>HLOOKUP(AA$7,$I$66:$DJ$120,ROWS($A$10:$A24)+2,FALSE)</f>
        <v>2923</v>
      </c>
      <c r="AB24" s="25">
        <f>HLOOKUP(AB$7,$I$66:$DJ$120,ROWS($A$10:$A24)+2,FALSE)</f>
        <v>1229</v>
      </c>
      <c r="AC24" s="25">
        <f>HLOOKUP(AC$7,$I$66:$DJ$120,ROWS($A$10:$A24)+2,FALSE)</f>
        <v>526</v>
      </c>
      <c r="AD24" s="25">
        <f>HLOOKUP(AD$7,$I$66:$DJ$120,ROWS($A$10:$A24)+2,FALSE)</f>
        <v>1865</v>
      </c>
      <c r="AE24" s="25">
        <f>HLOOKUP(AE$7,$I$66:$DJ$120,ROWS($A$10:$A24)+2,FALSE)</f>
        <v>3296</v>
      </c>
      <c r="AF24" s="25">
        <f>HLOOKUP(AF$7,$I$66:$DJ$120,ROWS($A$10:$A24)+2,FALSE)</f>
        <v>12583</v>
      </c>
      <c r="AG24" s="25">
        <f>HLOOKUP(AG$7,$I$66:$DJ$120,ROWS($A$10:$A24)+2,FALSE)</f>
        <v>6537</v>
      </c>
      <c r="AH24" s="25">
        <f>HLOOKUP(AH$7,$I$66:$DJ$120,ROWS($A$10:$A24)+2,FALSE)</f>
        <v>2744</v>
      </c>
      <c r="AI24" s="25">
        <f>HLOOKUP(AI$7,$I$66:$DJ$120,ROWS($A$10:$A24)+2,FALSE)</f>
        <v>13264</v>
      </c>
      <c r="AJ24" s="25">
        <f>HLOOKUP(AJ$7,$I$66:$DJ$120,ROWS($A$10:$A24)+2,FALSE)</f>
        <v>228</v>
      </c>
      <c r="AK24" s="25">
        <f>HLOOKUP(AK$7,$I$66:$DJ$120,ROWS($A$10:$A24)+2,FALSE)</f>
        <v>1302</v>
      </c>
      <c r="AL24" s="25">
        <f>HLOOKUP(AL$7,$I$66:$DJ$120,ROWS($A$10:$A24)+2,FALSE)</f>
        <v>1478</v>
      </c>
      <c r="AM24" s="25">
        <f>HLOOKUP(AM$7,$I$66:$DJ$120,ROWS($A$10:$A24)+2,FALSE)</f>
        <v>283</v>
      </c>
      <c r="AN24" s="25">
        <f>HLOOKUP(AN$7,$I$66:$DJ$120,ROWS($A$10:$A24)+2,FALSE)</f>
        <v>2366</v>
      </c>
      <c r="AO24" s="25">
        <f>HLOOKUP(AO$7,$I$66:$DJ$120,ROWS($A$10:$A24)+2,FALSE)</f>
        <v>1359</v>
      </c>
      <c r="AP24" s="25">
        <f>HLOOKUP(AP$7,$I$66:$DJ$120,ROWS($A$10:$A24)+2,FALSE)</f>
        <v>7561</v>
      </c>
      <c r="AQ24" s="25">
        <f>HLOOKUP(AQ$7,$I$66:$DJ$120,ROWS($A$10:$A24)+2,FALSE)</f>
        <v>3761</v>
      </c>
      <c r="AR24" s="25">
        <f>HLOOKUP(AR$7,$I$66:$DJ$120,ROWS($A$10:$A24)+2,FALSE)</f>
        <v>196</v>
      </c>
      <c r="AS24" s="25">
        <f>HLOOKUP(AS$7,$I$66:$DJ$120,ROWS($A$10:$A24)+2,FALSE)</f>
        <v>6872</v>
      </c>
      <c r="AT24" s="25">
        <f>HLOOKUP(AT$7,$I$66:$DJ$120,ROWS($A$10:$A24)+2,FALSE)</f>
        <v>1491</v>
      </c>
      <c r="AU24" s="25">
        <f>HLOOKUP(AU$7,$I$66:$DJ$120,ROWS($A$10:$A24)+2,FALSE)</f>
        <v>954</v>
      </c>
      <c r="AV24" s="25">
        <f>HLOOKUP(AV$7,$I$66:$DJ$120,ROWS($A$10:$A24)+2,FALSE)</f>
        <v>4588</v>
      </c>
      <c r="AW24" s="25">
        <f>HLOOKUP(AW$7,$I$66:$DJ$120,ROWS($A$10:$A24)+2,FALSE)</f>
        <v>462</v>
      </c>
      <c r="AX24" s="25">
        <f>HLOOKUP(AX$7,$I$66:$DJ$120,ROWS($A$10:$A24)+2,FALSE)</f>
        <v>1583</v>
      </c>
      <c r="AY24" s="25">
        <f>HLOOKUP(AY$7,$I$66:$DJ$120,ROWS($A$10:$A24)+2,FALSE)</f>
        <v>394</v>
      </c>
      <c r="AZ24" s="25">
        <f>HLOOKUP(AZ$7,$I$66:$DJ$120,ROWS($A$10:$A24)+2,FALSE)</f>
        <v>4648</v>
      </c>
      <c r="BA24" s="25">
        <f>HLOOKUP(BA$7,$I$66:$DJ$120,ROWS($A$10:$A24)+2,FALSE)</f>
        <v>16780</v>
      </c>
      <c r="BB24" s="25">
        <f>HLOOKUP(BB$7,$I$66:$DJ$120,ROWS($A$10:$A24)+2,FALSE)</f>
        <v>1154</v>
      </c>
      <c r="BC24" s="25">
        <f>HLOOKUP(BC$7,$I$66:$DJ$120,ROWS($A$10:$A24)+2,FALSE)</f>
        <v>156</v>
      </c>
      <c r="BD24" s="25">
        <f>HLOOKUP(BD$7,$I$66:$DJ$120,ROWS($A$10:$A24)+2,FALSE)</f>
        <v>4311</v>
      </c>
      <c r="BE24" s="25">
        <f>HLOOKUP(BE$7,$I$66:$DJ$120,ROWS($A$10:$A24)+2,FALSE)</f>
        <v>2704</v>
      </c>
      <c r="BF24" s="25">
        <f>HLOOKUP(BF$7,$I$66:$DJ$120,ROWS($A$10:$A24)+2,FALSE)</f>
        <v>1221</v>
      </c>
      <c r="BG24" s="25">
        <f>HLOOKUP(BG$7,$I$66:$DJ$120,ROWS($A$10:$A24)+2,FALSE)</f>
        <v>14414</v>
      </c>
      <c r="BH24" s="25">
        <f>HLOOKUP(BH$7,$I$66:$DJ$120,ROWS($A$10:$A24)+2,FALSE)</f>
        <v>302</v>
      </c>
      <c r="BI24" s="25">
        <f>HLOOKUP(BI$7,$I$66:$DJ$120,ROWS($A$10:$A24)+2,FALSE)</f>
        <v>2049</v>
      </c>
      <c r="BJ24" s="34">
        <f>HLOOKUP(BJ$7+0.5,$I$66:$DJ$120,ROWS($A$10:$A24)+2,FALSE)</f>
        <v>10844</v>
      </c>
      <c r="BK24" s="34">
        <f>HLOOKUP(BK$7+0.5,$I$66:$DJ$120,ROWS($A$10:$A24)+2,FALSE)</f>
        <v>478</v>
      </c>
      <c r="BL24" s="34">
        <f>HLOOKUP(BL$7+0.5,$I$66:$DJ$120,ROWS($A$10:$A24)+2,FALSE)</f>
        <v>1511</v>
      </c>
      <c r="BM24" s="34">
        <f>HLOOKUP(BM$7+0.5,$I$66:$DJ$120,ROWS($A$10:$A24)+2,FALSE)</f>
        <v>2314</v>
      </c>
      <c r="BN24" s="34">
        <f>HLOOKUP(BN$7+0.5,$I$66:$DJ$120,ROWS($A$10:$A24)+2,FALSE)</f>
        <v>643</v>
      </c>
      <c r="BO24" s="34">
        <f>HLOOKUP(BO$7+0.5,$I$66:$DJ$120,ROWS($A$10:$A24)+2,FALSE)</f>
        <v>2770</v>
      </c>
      <c r="BP24" s="34">
        <f>HLOOKUP(BP$7+0.5,$I$66:$DJ$120,ROWS($A$10:$A24)+2,FALSE)</f>
        <v>1235</v>
      </c>
      <c r="BQ24" s="34">
        <f>HLOOKUP(BQ$7+0.5,$I$66:$DJ$120,ROWS($A$10:$A24)+2,FALSE)</f>
        <v>634</v>
      </c>
      <c r="BR24" s="34">
        <f>HLOOKUP(BR$7+0.5,$I$66:$DJ$120,ROWS($A$10:$A24)+2,FALSE)</f>
        <v>228</v>
      </c>
      <c r="BS24" s="34">
        <f>HLOOKUP(BS$7+0.5,$I$66:$DJ$120,ROWS($A$10:$A24)+2,FALSE)</f>
        <v>615</v>
      </c>
      <c r="BT24" s="34">
        <f>HLOOKUP(BT$7+0.5,$I$66:$DJ$120,ROWS($A$10:$A24)+2,FALSE)</f>
        <v>2735</v>
      </c>
      <c r="BU24" s="34">
        <f>HLOOKUP(BU$7+0.5,$I$66:$DJ$120,ROWS($A$10:$A24)+2,FALSE)</f>
        <v>3894</v>
      </c>
      <c r="BV24" s="34">
        <f>HLOOKUP(BV$7+0.5,$I$66:$DJ$120,ROWS($A$10:$A24)+2,FALSE)</f>
        <v>593</v>
      </c>
      <c r="BW24" s="34">
        <f>HLOOKUP(BW$7+0.5,$I$66:$DJ$120,ROWS($A$10:$A24)+2,FALSE)</f>
        <v>868</v>
      </c>
      <c r="BX24" s="34" t="str">
        <f>HLOOKUP(BX$7+0.5,$I$66:$DJ$120,ROWS($A$10:$A24)+2,FALSE)</f>
        <v>N/A</v>
      </c>
      <c r="BY24" s="34">
        <f>HLOOKUP(BY$7+0.5,$I$66:$DJ$120,ROWS($A$10:$A24)+2,FALSE)</f>
        <v>2654</v>
      </c>
      <c r="BZ24" s="34">
        <f>HLOOKUP(BZ$7+0.5,$I$66:$DJ$120,ROWS($A$10:$A24)+2,FALSE)</f>
        <v>1959</v>
      </c>
      <c r="CA24" s="34">
        <f>HLOOKUP(CA$7+0.5,$I$66:$DJ$120,ROWS($A$10:$A24)+2,FALSE)</f>
        <v>988</v>
      </c>
      <c r="CB24" s="34">
        <f>HLOOKUP(CB$7+0.5,$I$66:$DJ$120,ROWS($A$10:$A24)+2,FALSE)</f>
        <v>1049</v>
      </c>
      <c r="CC24" s="34">
        <f>HLOOKUP(CC$7+0.5,$I$66:$DJ$120,ROWS($A$10:$A24)+2,FALSE)</f>
        <v>561</v>
      </c>
      <c r="CD24" s="34">
        <f>HLOOKUP(CD$7+0.5,$I$66:$DJ$120,ROWS($A$10:$A24)+2,FALSE)</f>
        <v>347</v>
      </c>
      <c r="CE24" s="34">
        <f>HLOOKUP(CE$7+0.5,$I$66:$DJ$120,ROWS($A$10:$A24)+2,FALSE)</f>
        <v>755</v>
      </c>
      <c r="CF24" s="34">
        <f>HLOOKUP(CF$7+0.5,$I$66:$DJ$120,ROWS($A$10:$A24)+2,FALSE)</f>
        <v>1088</v>
      </c>
      <c r="CG24" s="34">
        <f>HLOOKUP(CG$7+0.5,$I$66:$DJ$120,ROWS($A$10:$A24)+2,FALSE)</f>
        <v>3412</v>
      </c>
      <c r="CH24" s="34">
        <f>HLOOKUP(CH$7+0.5,$I$66:$DJ$120,ROWS($A$10:$A24)+2,FALSE)</f>
        <v>1781</v>
      </c>
      <c r="CI24" s="34">
        <f>HLOOKUP(CI$7+0.5,$I$66:$DJ$120,ROWS($A$10:$A24)+2,FALSE)</f>
        <v>1178</v>
      </c>
      <c r="CJ24" s="34">
        <f>HLOOKUP(CJ$7+0.5,$I$66:$DJ$120,ROWS($A$10:$A24)+2,FALSE)</f>
        <v>3449</v>
      </c>
      <c r="CK24" s="34">
        <f>HLOOKUP(CK$7+0.5,$I$66:$DJ$120,ROWS($A$10:$A24)+2,FALSE)</f>
        <v>183</v>
      </c>
      <c r="CL24" s="34">
        <f>HLOOKUP(CL$7+0.5,$I$66:$DJ$120,ROWS($A$10:$A24)+2,FALSE)</f>
        <v>637</v>
      </c>
      <c r="CM24" s="34">
        <f>HLOOKUP(CM$7+0.5,$I$66:$DJ$120,ROWS($A$10:$A24)+2,FALSE)</f>
        <v>817</v>
      </c>
      <c r="CN24" s="34">
        <f>HLOOKUP(CN$7+0.5,$I$66:$DJ$120,ROWS($A$10:$A24)+2,FALSE)</f>
        <v>255</v>
      </c>
      <c r="CO24" s="34">
        <f>HLOOKUP(CO$7+0.5,$I$66:$DJ$120,ROWS($A$10:$A24)+2,FALSE)</f>
        <v>1097</v>
      </c>
      <c r="CP24" s="34">
        <f>HLOOKUP(CP$7+0.5,$I$66:$DJ$120,ROWS($A$10:$A24)+2,FALSE)</f>
        <v>1078</v>
      </c>
      <c r="CQ24" s="34">
        <f>HLOOKUP(CQ$7+0.5,$I$66:$DJ$120,ROWS($A$10:$A24)+2,FALSE)</f>
        <v>2307</v>
      </c>
      <c r="CR24" s="34">
        <f>HLOOKUP(CR$7+0.5,$I$66:$DJ$120,ROWS($A$10:$A24)+2,FALSE)</f>
        <v>1150</v>
      </c>
      <c r="CS24" s="34">
        <f>HLOOKUP(CS$7+0.5,$I$66:$DJ$120,ROWS($A$10:$A24)+2,FALSE)</f>
        <v>184</v>
      </c>
      <c r="CT24" s="34">
        <f>HLOOKUP(CT$7+0.5,$I$66:$DJ$120,ROWS($A$10:$A24)+2,FALSE)</f>
        <v>1834</v>
      </c>
      <c r="CU24" s="34">
        <f>HLOOKUP(CU$7+0.5,$I$66:$DJ$120,ROWS($A$10:$A24)+2,FALSE)</f>
        <v>860</v>
      </c>
      <c r="CV24" s="34">
        <f>HLOOKUP(CV$7+0.5,$I$66:$DJ$120,ROWS($A$10:$A24)+2,FALSE)</f>
        <v>517</v>
      </c>
      <c r="CW24" s="34">
        <f>HLOOKUP(CW$7+0.5,$I$66:$DJ$120,ROWS($A$10:$A24)+2,FALSE)</f>
        <v>1506</v>
      </c>
      <c r="CX24" s="34">
        <f>HLOOKUP(CX$7+0.5,$I$66:$DJ$120,ROWS($A$10:$A24)+2,FALSE)</f>
        <v>478</v>
      </c>
      <c r="CY24" s="34">
        <f>HLOOKUP(CY$7+0.5,$I$66:$DJ$120,ROWS($A$10:$A24)+2,FALSE)</f>
        <v>875</v>
      </c>
      <c r="CZ24" s="34">
        <f>HLOOKUP(CZ$7+0.5,$I$66:$DJ$120,ROWS($A$10:$A24)+2,FALSE)</f>
        <v>444</v>
      </c>
      <c r="DA24" s="34">
        <f>HLOOKUP(DA$7+0.5,$I$66:$DJ$120,ROWS($A$10:$A24)+2,FALSE)</f>
        <v>1468</v>
      </c>
      <c r="DB24" s="34">
        <f>HLOOKUP(DB$7+0.5,$I$66:$DJ$120,ROWS($A$10:$A24)+2,FALSE)</f>
        <v>3035</v>
      </c>
      <c r="DC24" s="34">
        <f>HLOOKUP(DC$7+0.5,$I$66:$DJ$120,ROWS($A$10:$A24)+2,FALSE)</f>
        <v>495</v>
      </c>
      <c r="DD24" s="34">
        <f>HLOOKUP(DD$7+0.5,$I$66:$DJ$120,ROWS($A$10:$A24)+2,FALSE)</f>
        <v>133</v>
      </c>
      <c r="DE24" s="34">
        <f>HLOOKUP(DE$7+0.5,$I$66:$DJ$120,ROWS($A$10:$A24)+2,FALSE)</f>
        <v>1212</v>
      </c>
      <c r="DF24" s="34">
        <f>HLOOKUP(DF$7+0.5,$I$66:$DJ$120,ROWS($A$10:$A24)+2,FALSE)</f>
        <v>971</v>
      </c>
      <c r="DG24" s="34">
        <f>HLOOKUP(DG$7+0.5,$I$66:$DJ$120,ROWS($A$10:$A24)+2,FALSE)</f>
        <v>1224</v>
      </c>
      <c r="DH24" s="34">
        <f>HLOOKUP(DH$7+0.5,$I$66:$DJ$120,ROWS($A$10:$A24)+2,FALSE)</f>
        <v>2249</v>
      </c>
      <c r="DI24" s="34">
        <f>HLOOKUP(DI$7+0.5,$I$66:$DJ$120,ROWS($A$10:$A24)+2,FALSE)</f>
        <v>309</v>
      </c>
      <c r="DJ24" s="34">
        <f>HLOOKUP(DJ$7+0.5,$I$66:$DJ$120,ROWS($A$10:$A24)+2,FALSE)</f>
        <v>1480</v>
      </c>
    </row>
    <row r="25" spans="2:114" x14ac:dyDescent="0.25">
      <c r="B25" s="38" t="s">
        <v>21</v>
      </c>
      <c r="C25" s="16">
        <v>6457067</v>
      </c>
      <c r="D25" s="17">
        <v>4184</v>
      </c>
      <c r="E25" s="16">
        <v>5493090</v>
      </c>
      <c r="F25" s="17">
        <v>26865</v>
      </c>
      <c r="G25" s="16">
        <v>805228</v>
      </c>
      <c r="H25" s="17">
        <v>22224</v>
      </c>
      <c r="I25" s="36">
        <f>HLOOKUP(I$7,$I$66:$DJ$120,ROWS($A$10:$A25)+2,FALSE)</f>
        <v>134137</v>
      </c>
      <c r="J25" s="25">
        <f>HLOOKUP(J$7,$I$66:$DJ$120,ROWS($A$10:$A25)+2,FALSE)</f>
        <v>1625</v>
      </c>
      <c r="K25" s="25">
        <f>HLOOKUP(K$7,$I$66:$DJ$120,ROWS($A$10:$A25)+2,FALSE)</f>
        <v>479</v>
      </c>
      <c r="L25" s="25">
        <f>HLOOKUP(L$7,$I$66:$DJ$120,ROWS($A$10:$A25)+2,FALSE)</f>
        <v>2763</v>
      </c>
      <c r="M25" s="25">
        <f>HLOOKUP(M$7,$I$66:$DJ$120,ROWS($A$10:$A25)+2,FALSE)</f>
        <v>564</v>
      </c>
      <c r="N25" s="25">
        <f>HLOOKUP(N$7,$I$66:$DJ$120,ROWS($A$10:$A25)+2,FALSE)</f>
        <v>6033</v>
      </c>
      <c r="O25" s="25">
        <f>HLOOKUP(O$7,$I$66:$DJ$120,ROWS($A$10:$A25)+2,FALSE)</f>
        <v>1225</v>
      </c>
      <c r="P25" s="25">
        <f>HLOOKUP(P$7,$I$66:$DJ$120,ROWS($A$10:$A25)+2,FALSE)</f>
        <v>823</v>
      </c>
      <c r="Q25" s="25">
        <f>HLOOKUP(Q$7,$I$66:$DJ$120,ROWS($A$10:$A25)+2,FALSE)</f>
        <v>639</v>
      </c>
      <c r="R25" s="25">
        <f>HLOOKUP(R$7,$I$66:$DJ$120,ROWS($A$10:$A25)+2,FALSE)</f>
        <v>1045</v>
      </c>
      <c r="S25" s="25">
        <f>HLOOKUP(S$7,$I$66:$DJ$120,ROWS($A$10:$A25)+2,FALSE)</f>
        <v>11472</v>
      </c>
      <c r="T25" s="25">
        <f>HLOOKUP(T$7,$I$66:$DJ$120,ROWS($A$10:$A25)+2,FALSE)</f>
        <v>2258</v>
      </c>
      <c r="U25" s="25">
        <f>HLOOKUP(U$7,$I$66:$DJ$120,ROWS($A$10:$A25)+2,FALSE)</f>
        <v>856</v>
      </c>
      <c r="V25" s="25">
        <f>HLOOKUP(V$7,$I$66:$DJ$120,ROWS($A$10:$A25)+2,FALSE)</f>
        <v>186</v>
      </c>
      <c r="W25" s="25">
        <f>HLOOKUP(W$7,$I$66:$DJ$120,ROWS($A$10:$A25)+2,FALSE)</f>
        <v>28436</v>
      </c>
      <c r="X25" s="25" t="str">
        <f>HLOOKUP(X$7,$I$66:$DJ$120,ROWS($A$10:$A25)+2,FALSE)</f>
        <v>N/A</v>
      </c>
      <c r="Y25" s="25">
        <f>HLOOKUP(Y$7,$I$66:$DJ$120,ROWS($A$10:$A25)+2,FALSE)</f>
        <v>1678</v>
      </c>
      <c r="Z25" s="25">
        <f>HLOOKUP(Z$7,$I$66:$DJ$120,ROWS($A$10:$A25)+2,FALSE)</f>
        <v>1624</v>
      </c>
      <c r="AA25" s="25">
        <f>HLOOKUP(AA$7,$I$66:$DJ$120,ROWS($A$10:$A25)+2,FALSE)</f>
        <v>11177</v>
      </c>
      <c r="AB25" s="25">
        <f>HLOOKUP(AB$7,$I$66:$DJ$120,ROWS($A$10:$A25)+2,FALSE)</f>
        <v>736</v>
      </c>
      <c r="AC25" s="25">
        <f>HLOOKUP(AC$7,$I$66:$DJ$120,ROWS($A$10:$A25)+2,FALSE)</f>
        <v>0</v>
      </c>
      <c r="AD25" s="25">
        <f>HLOOKUP(AD$7,$I$66:$DJ$120,ROWS($A$10:$A25)+2,FALSE)</f>
        <v>1050</v>
      </c>
      <c r="AE25" s="25">
        <f>HLOOKUP(AE$7,$I$66:$DJ$120,ROWS($A$10:$A25)+2,FALSE)</f>
        <v>837</v>
      </c>
      <c r="AF25" s="25">
        <f>HLOOKUP(AF$7,$I$66:$DJ$120,ROWS($A$10:$A25)+2,FALSE)</f>
        <v>11017</v>
      </c>
      <c r="AG25" s="25">
        <f>HLOOKUP(AG$7,$I$66:$DJ$120,ROWS($A$10:$A25)+2,FALSE)</f>
        <v>1543</v>
      </c>
      <c r="AH25" s="25">
        <f>HLOOKUP(AH$7,$I$66:$DJ$120,ROWS($A$10:$A25)+2,FALSE)</f>
        <v>1948</v>
      </c>
      <c r="AI25" s="25">
        <f>HLOOKUP(AI$7,$I$66:$DJ$120,ROWS($A$10:$A25)+2,FALSE)</f>
        <v>4526</v>
      </c>
      <c r="AJ25" s="25">
        <f>HLOOKUP(AJ$7,$I$66:$DJ$120,ROWS($A$10:$A25)+2,FALSE)</f>
        <v>134</v>
      </c>
      <c r="AK25" s="25">
        <f>HLOOKUP(AK$7,$I$66:$DJ$120,ROWS($A$10:$A25)+2,FALSE)</f>
        <v>591</v>
      </c>
      <c r="AL25" s="25">
        <f>HLOOKUP(AL$7,$I$66:$DJ$120,ROWS($A$10:$A25)+2,FALSE)</f>
        <v>1011</v>
      </c>
      <c r="AM25" s="25">
        <f>HLOOKUP(AM$7,$I$66:$DJ$120,ROWS($A$10:$A25)+2,FALSE)</f>
        <v>0</v>
      </c>
      <c r="AN25" s="25">
        <f>HLOOKUP(AN$7,$I$66:$DJ$120,ROWS($A$10:$A25)+2,FALSE)</f>
        <v>1537</v>
      </c>
      <c r="AO25" s="25">
        <f>HLOOKUP(AO$7,$I$66:$DJ$120,ROWS($A$10:$A25)+2,FALSE)</f>
        <v>219</v>
      </c>
      <c r="AP25" s="25">
        <f>HLOOKUP(AP$7,$I$66:$DJ$120,ROWS($A$10:$A25)+2,FALSE)</f>
        <v>2316</v>
      </c>
      <c r="AQ25" s="25">
        <f>HLOOKUP(AQ$7,$I$66:$DJ$120,ROWS($A$10:$A25)+2,FALSE)</f>
        <v>2665</v>
      </c>
      <c r="AR25" s="25">
        <f>HLOOKUP(AR$7,$I$66:$DJ$120,ROWS($A$10:$A25)+2,FALSE)</f>
        <v>113</v>
      </c>
      <c r="AS25" s="25">
        <f>HLOOKUP(AS$7,$I$66:$DJ$120,ROWS($A$10:$A25)+2,FALSE)</f>
        <v>11235</v>
      </c>
      <c r="AT25" s="25">
        <f>HLOOKUP(AT$7,$I$66:$DJ$120,ROWS($A$10:$A25)+2,FALSE)</f>
        <v>1198</v>
      </c>
      <c r="AU25" s="25">
        <f>HLOOKUP(AU$7,$I$66:$DJ$120,ROWS($A$10:$A25)+2,FALSE)</f>
        <v>387</v>
      </c>
      <c r="AV25" s="25">
        <f>HLOOKUP(AV$7,$I$66:$DJ$120,ROWS($A$10:$A25)+2,FALSE)</f>
        <v>2419</v>
      </c>
      <c r="AW25" s="25">
        <f>HLOOKUP(AW$7,$I$66:$DJ$120,ROWS($A$10:$A25)+2,FALSE)</f>
        <v>0</v>
      </c>
      <c r="AX25" s="25">
        <f>HLOOKUP(AX$7,$I$66:$DJ$120,ROWS($A$10:$A25)+2,FALSE)</f>
        <v>1414</v>
      </c>
      <c r="AY25" s="25">
        <f>HLOOKUP(AY$7,$I$66:$DJ$120,ROWS($A$10:$A25)+2,FALSE)</f>
        <v>111</v>
      </c>
      <c r="AZ25" s="25">
        <f>HLOOKUP(AZ$7,$I$66:$DJ$120,ROWS($A$10:$A25)+2,FALSE)</f>
        <v>3547</v>
      </c>
      <c r="BA25" s="25">
        <f>HLOOKUP(BA$7,$I$66:$DJ$120,ROWS($A$10:$A25)+2,FALSE)</f>
        <v>4490</v>
      </c>
      <c r="BB25" s="25">
        <f>HLOOKUP(BB$7,$I$66:$DJ$120,ROWS($A$10:$A25)+2,FALSE)</f>
        <v>105</v>
      </c>
      <c r="BC25" s="25">
        <f>HLOOKUP(BC$7,$I$66:$DJ$120,ROWS($A$10:$A25)+2,FALSE)</f>
        <v>0</v>
      </c>
      <c r="BD25" s="25">
        <f>HLOOKUP(BD$7,$I$66:$DJ$120,ROWS($A$10:$A25)+2,FALSE)</f>
        <v>1932</v>
      </c>
      <c r="BE25" s="25">
        <f>HLOOKUP(BE$7,$I$66:$DJ$120,ROWS($A$10:$A25)+2,FALSE)</f>
        <v>258</v>
      </c>
      <c r="BF25" s="25">
        <f>HLOOKUP(BF$7,$I$66:$DJ$120,ROWS($A$10:$A25)+2,FALSE)</f>
        <v>507</v>
      </c>
      <c r="BG25" s="25">
        <f>HLOOKUP(BG$7,$I$66:$DJ$120,ROWS($A$10:$A25)+2,FALSE)</f>
        <v>1727</v>
      </c>
      <c r="BH25" s="25">
        <f>HLOOKUP(BH$7,$I$66:$DJ$120,ROWS($A$10:$A25)+2,FALSE)</f>
        <v>1681</v>
      </c>
      <c r="BI25" s="25">
        <f>HLOOKUP(BI$7,$I$66:$DJ$120,ROWS($A$10:$A25)+2,FALSE)</f>
        <v>136</v>
      </c>
      <c r="BJ25" s="34">
        <f>HLOOKUP(BJ$7+0.5,$I$66:$DJ$120,ROWS($A$10:$A25)+2,FALSE)</f>
        <v>9664</v>
      </c>
      <c r="BK25" s="34">
        <f>HLOOKUP(BK$7+0.5,$I$66:$DJ$120,ROWS($A$10:$A25)+2,FALSE)</f>
        <v>788</v>
      </c>
      <c r="BL25" s="34">
        <f>HLOOKUP(BL$7+0.5,$I$66:$DJ$120,ROWS($A$10:$A25)+2,FALSE)</f>
        <v>429</v>
      </c>
      <c r="BM25" s="34">
        <f>HLOOKUP(BM$7+0.5,$I$66:$DJ$120,ROWS($A$10:$A25)+2,FALSE)</f>
        <v>1095</v>
      </c>
      <c r="BN25" s="34">
        <f>HLOOKUP(BN$7+0.5,$I$66:$DJ$120,ROWS($A$10:$A25)+2,FALSE)</f>
        <v>753</v>
      </c>
      <c r="BO25" s="34">
        <f>HLOOKUP(BO$7+0.5,$I$66:$DJ$120,ROWS($A$10:$A25)+2,FALSE)</f>
        <v>1477</v>
      </c>
      <c r="BP25" s="34">
        <f>HLOOKUP(BP$7+0.5,$I$66:$DJ$120,ROWS($A$10:$A25)+2,FALSE)</f>
        <v>531</v>
      </c>
      <c r="BQ25" s="34">
        <f>HLOOKUP(BQ$7+0.5,$I$66:$DJ$120,ROWS($A$10:$A25)+2,FALSE)</f>
        <v>595</v>
      </c>
      <c r="BR25" s="34">
        <f>HLOOKUP(BR$7+0.5,$I$66:$DJ$120,ROWS($A$10:$A25)+2,FALSE)</f>
        <v>831</v>
      </c>
      <c r="BS25" s="34">
        <f>HLOOKUP(BS$7+0.5,$I$66:$DJ$120,ROWS($A$10:$A25)+2,FALSE)</f>
        <v>733</v>
      </c>
      <c r="BT25" s="34">
        <f>HLOOKUP(BT$7+0.5,$I$66:$DJ$120,ROWS($A$10:$A25)+2,FALSE)</f>
        <v>2864</v>
      </c>
      <c r="BU25" s="34">
        <f>HLOOKUP(BU$7+0.5,$I$66:$DJ$120,ROWS($A$10:$A25)+2,FALSE)</f>
        <v>1176</v>
      </c>
      <c r="BV25" s="34">
        <f>HLOOKUP(BV$7+0.5,$I$66:$DJ$120,ROWS($A$10:$A25)+2,FALSE)</f>
        <v>998</v>
      </c>
      <c r="BW25" s="34">
        <f>HLOOKUP(BW$7+0.5,$I$66:$DJ$120,ROWS($A$10:$A25)+2,FALSE)</f>
        <v>176</v>
      </c>
      <c r="BX25" s="34">
        <f>HLOOKUP(BX$7+0.5,$I$66:$DJ$120,ROWS($A$10:$A25)+2,FALSE)</f>
        <v>4261</v>
      </c>
      <c r="BY25" s="34" t="str">
        <f>HLOOKUP(BY$7+0.5,$I$66:$DJ$120,ROWS($A$10:$A25)+2,FALSE)</f>
        <v>N/A</v>
      </c>
      <c r="BZ25" s="34">
        <f>HLOOKUP(BZ$7+0.5,$I$66:$DJ$120,ROWS($A$10:$A25)+2,FALSE)</f>
        <v>860</v>
      </c>
      <c r="CA25" s="34">
        <f>HLOOKUP(CA$7+0.5,$I$66:$DJ$120,ROWS($A$10:$A25)+2,FALSE)</f>
        <v>785</v>
      </c>
      <c r="CB25" s="34">
        <f>HLOOKUP(CB$7+0.5,$I$66:$DJ$120,ROWS($A$10:$A25)+2,FALSE)</f>
        <v>2929</v>
      </c>
      <c r="CC25" s="34">
        <f>HLOOKUP(CC$7+0.5,$I$66:$DJ$120,ROWS($A$10:$A25)+2,FALSE)</f>
        <v>416</v>
      </c>
      <c r="CD25" s="34">
        <f>HLOOKUP(CD$7+0.5,$I$66:$DJ$120,ROWS($A$10:$A25)+2,FALSE)</f>
        <v>184</v>
      </c>
      <c r="CE25" s="34">
        <f>HLOOKUP(CE$7+0.5,$I$66:$DJ$120,ROWS($A$10:$A25)+2,FALSE)</f>
        <v>648</v>
      </c>
      <c r="CF25" s="34">
        <f>HLOOKUP(CF$7+0.5,$I$66:$DJ$120,ROWS($A$10:$A25)+2,FALSE)</f>
        <v>590</v>
      </c>
      <c r="CG25" s="34">
        <f>HLOOKUP(CG$7+0.5,$I$66:$DJ$120,ROWS($A$10:$A25)+2,FALSE)</f>
        <v>2594</v>
      </c>
      <c r="CH25" s="34">
        <f>HLOOKUP(CH$7+0.5,$I$66:$DJ$120,ROWS($A$10:$A25)+2,FALSE)</f>
        <v>732</v>
      </c>
      <c r="CI25" s="34">
        <f>HLOOKUP(CI$7+0.5,$I$66:$DJ$120,ROWS($A$10:$A25)+2,FALSE)</f>
        <v>1655</v>
      </c>
      <c r="CJ25" s="34">
        <f>HLOOKUP(CJ$7+0.5,$I$66:$DJ$120,ROWS($A$10:$A25)+2,FALSE)</f>
        <v>1802</v>
      </c>
      <c r="CK25" s="34">
        <f>HLOOKUP(CK$7+0.5,$I$66:$DJ$120,ROWS($A$10:$A25)+2,FALSE)</f>
        <v>191</v>
      </c>
      <c r="CL25" s="34">
        <f>HLOOKUP(CL$7+0.5,$I$66:$DJ$120,ROWS($A$10:$A25)+2,FALSE)</f>
        <v>541</v>
      </c>
      <c r="CM25" s="34">
        <f>HLOOKUP(CM$7+0.5,$I$66:$DJ$120,ROWS($A$10:$A25)+2,FALSE)</f>
        <v>549</v>
      </c>
      <c r="CN25" s="34">
        <f>HLOOKUP(CN$7+0.5,$I$66:$DJ$120,ROWS($A$10:$A25)+2,FALSE)</f>
        <v>184</v>
      </c>
      <c r="CO25" s="34">
        <f>HLOOKUP(CO$7+0.5,$I$66:$DJ$120,ROWS($A$10:$A25)+2,FALSE)</f>
        <v>1034</v>
      </c>
      <c r="CP25" s="34">
        <f>HLOOKUP(CP$7+0.5,$I$66:$DJ$120,ROWS($A$10:$A25)+2,FALSE)</f>
        <v>245</v>
      </c>
      <c r="CQ25" s="34">
        <f>HLOOKUP(CQ$7+0.5,$I$66:$DJ$120,ROWS($A$10:$A25)+2,FALSE)</f>
        <v>724</v>
      </c>
      <c r="CR25" s="34">
        <f>HLOOKUP(CR$7+0.5,$I$66:$DJ$120,ROWS($A$10:$A25)+2,FALSE)</f>
        <v>884</v>
      </c>
      <c r="CS25" s="34">
        <f>HLOOKUP(CS$7+0.5,$I$66:$DJ$120,ROWS($A$10:$A25)+2,FALSE)</f>
        <v>164</v>
      </c>
      <c r="CT25" s="34">
        <f>HLOOKUP(CT$7+0.5,$I$66:$DJ$120,ROWS($A$10:$A25)+2,FALSE)</f>
        <v>2192</v>
      </c>
      <c r="CU25" s="34">
        <f>HLOOKUP(CU$7+0.5,$I$66:$DJ$120,ROWS($A$10:$A25)+2,FALSE)</f>
        <v>725</v>
      </c>
      <c r="CV25" s="34">
        <f>HLOOKUP(CV$7+0.5,$I$66:$DJ$120,ROWS($A$10:$A25)+2,FALSE)</f>
        <v>239</v>
      </c>
      <c r="CW25" s="34">
        <f>HLOOKUP(CW$7+0.5,$I$66:$DJ$120,ROWS($A$10:$A25)+2,FALSE)</f>
        <v>1101</v>
      </c>
      <c r="CX25" s="34">
        <f>HLOOKUP(CX$7+0.5,$I$66:$DJ$120,ROWS($A$10:$A25)+2,FALSE)</f>
        <v>184</v>
      </c>
      <c r="CY25" s="34">
        <f>HLOOKUP(CY$7+0.5,$I$66:$DJ$120,ROWS($A$10:$A25)+2,FALSE)</f>
        <v>901</v>
      </c>
      <c r="CZ25" s="34">
        <f>HLOOKUP(CZ$7+0.5,$I$66:$DJ$120,ROWS($A$10:$A25)+2,FALSE)</f>
        <v>147</v>
      </c>
      <c r="DA25" s="34">
        <f>HLOOKUP(DA$7+0.5,$I$66:$DJ$120,ROWS($A$10:$A25)+2,FALSE)</f>
        <v>1422</v>
      </c>
      <c r="DB25" s="34">
        <f>HLOOKUP(DB$7+0.5,$I$66:$DJ$120,ROWS($A$10:$A25)+2,FALSE)</f>
        <v>1562</v>
      </c>
      <c r="DC25" s="34">
        <f>HLOOKUP(DC$7+0.5,$I$66:$DJ$120,ROWS($A$10:$A25)+2,FALSE)</f>
        <v>124</v>
      </c>
      <c r="DD25" s="34">
        <f>HLOOKUP(DD$7+0.5,$I$66:$DJ$120,ROWS($A$10:$A25)+2,FALSE)</f>
        <v>184</v>
      </c>
      <c r="DE25" s="34">
        <f>HLOOKUP(DE$7+0.5,$I$66:$DJ$120,ROWS($A$10:$A25)+2,FALSE)</f>
        <v>1101</v>
      </c>
      <c r="DF25" s="34">
        <f>HLOOKUP(DF$7+0.5,$I$66:$DJ$120,ROWS($A$10:$A25)+2,FALSE)</f>
        <v>221</v>
      </c>
      <c r="DG25" s="34">
        <f>HLOOKUP(DG$7+0.5,$I$66:$DJ$120,ROWS($A$10:$A25)+2,FALSE)</f>
        <v>345</v>
      </c>
      <c r="DH25" s="34">
        <f>HLOOKUP(DH$7+0.5,$I$66:$DJ$120,ROWS($A$10:$A25)+2,FALSE)</f>
        <v>769</v>
      </c>
      <c r="DI25" s="34">
        <f>HLOOKUP(DI$7+0.5,$I$66:$DJ$120,ROWS($A$10:$A25)+2,FALSE)</f>
        <v>2023</v>
      </c>
      <c r="DJ25" s="34">
        <f>HLOOKUP(DJ$7+0.5,$I$66:$DJ$120,ROWS($A$10:$A25)+2,FALSE)</f>
        <v>194</v>
      </c>
    </row>
    <row r="26" spans="2:114" x14ac:dyDescent="0.25">
      <c r="B26" s="38" t="s">
        <v>22</v>
      </c>
      <c r="C26" s="16">
        <v>3035469</v>
      </c>
      <c r="D26" s="17">
        <v>2721</v>
      </c>
      <c r="E26" s="16">
        <v>2585979</v>
      </c>
      <c r="F26" s="17">
        <v>14093</v>
      </c>
      <c r="G26" s="16">
        <v>362938</v>
      </c>
      <c r="H26" s="17">
        <v>11238</v>
      </c>
      <c r="I26" s="36">
        <f>HLOOKUP(I$7,$I$66:$DJ$120,ROWS($A$10:$A26)+2,FALSE)</f>
        <v>75760</v>
      </c>
      <c r="J26" s="25">
        <f>HLOOKUP(J$7,$I$66:$DJ$120,ROWS($A$10:$A26)+2,FALSE)</f>
        <v>503</v>
      </c>
      <c r="K26" s="25">
        <f>HLOOKUP(K$7,$I$66:$DJ$120,ROWS($A$10:$A26)+2,FALSE)</f>
        <v>951</v>
      </c>
      <c r="L26" s="25">
        <f>HLOOKUP(L$7,$I$66:$DJ$120,ROWS($A$10:$A26)+2,FALSE)</f>
        <v>1590</v>
      </c>
      <c r="M26" s="25">
        <f>HLOOKUP(M$7,$I$66:$DJ$120,ROWS($A$10:$A26)+2,FALSE)</f>
        <v>451</v>
      </c>
      <c r="N26" s="25">
        <f>HLOOKUP(N$7,$I$66:$DJ$120,ROWS($A$10:$A26)+2,FALSE)</f>
        <v>3268</v>
      </c>
      <c r="O26" s="25">
        <f>HLOOKUP(O$7,$I$66:$DJ$120,ROWS($A$10:$A26)+2,FALSE)</f>
        <v>3252</v>
      </c>
      <c r="P26" s="25">
        <f>HLOOKUP(P$7,$I$66:$DJ$120,ROWS($A$10:$A26)+2,FALSE)</f>
        <v>112</v>
      </c>
      <c r="Q26" s="25">
        <f>HLOOKUP(Q$7,$I$66:$DJ$120,ROWS($A$10:$A26)+2,FALSE)</f>
        <v>0</v>
      </c>
      <c r="R26" s="25">
        <f>HLOOKUP(R$7,$I$66:$DJ$120,ROWS($A$10:$A26)+2,FALSE)</f>
        <v>151</v>
      </c>
      <c r="S26" s="25">
        <f>HLOOKUP(S$7,$I$66:$DJ$120,ROWS($A$10:$A26)+2,FALSE)</f>
        <v>4335</v>
      </c>
      <c r="T26" s="25">
        <f>HLOOKUP(T$7,$I$66:$DJ$120,ROWS($A$10:$A26)+2,FALSE)</f>
        <v>596</v>
      </c>
      <c r="U26" s="25">
        <f>HLOOKUP(U$7,$I$66:$DJ$120,ROWS($A$10:$A26)+2,FALSE)</f>
        <v>521</v>
      </c>
      <c r="V26" s="25">
        <f>HLOOKUP(V$7,$I$66:$DJ$120,ROWS($A$10:$A26)+2,FALSE)</f>
        <v>290</v>
      </c>
      <c r="W26" s="25">
        <f>HLOOKUP(W$7,$I$66:$DJ$120,ROWS($A$10:$A26)+2,FALSE)</f>
        <v>11969</v>
      </c>
      <c r="X26" s="25">
        <f>HLOOKUP(X$7,$I$66:$DJ$120,ROWS($A$10:$A26)+2,FALSE)</f>
        <v>1716</v>
      </c>
      <c r="Y26" s="25" t="str">
        <f>HLOOKUP(Y$7,$I$66:$DJ$120,ROWS($A$10:$A26)+2,FALSE)</f>
        <v>N/A</v>
      </c>
      <c r="Z26" s="25">
        <f>HLOOKUP(Z$7,$I$66:$DJ$120,ROWS($A$10:$A26)+2,FALSE)</f>
        <v>918</v>
      </c>
      <c r="AA26" s="25">
        <f>HLOOKUP(AA$7,$I$66:$DJ$120,ROWS($A$10:$A26)+2,FALSE)</f>
        <v>819</v>
      </c>
      <c r="AB26" s="25">
        <f>HLOOKUP(AB$7,$I$66:$DJ$120,ROWS($A$10:$A26)+2,FALSE)</f>
        <v>763</v>
      </c>
      <c r="AC26" s="25">
        <f>HLOOKUP(AC$7,$I$66:$DJ$120,ROWS($A$10:$A26)+2,FALSE)</f>
        <v>78</v>
      </c>
      <c r="AD26" s="25">
        <f>HLOOKUP(AD$7,$I$66:$DJ$120,ROWS($A$10:$A26)+2,FALSE)</f>
        <v>419</v>
      </c>
      <c r="AE26" s="25">
        <f>HLOOKUP(AE$7,$I$66:$DJ$120,ROWS($A$10:$A26)+2,FALSE)</f>
        <v>585</v>
      </c>
      <c r="AF26" s="25">
        <f>HLOOKUP(AF$7,$I$66:$DJ$120,ROWS($A$10:$A26)+2,FALSE)</f>
        <v>946</v>
      </c>
      <c r="AG26" s="25">
        <f>HLOOKUP(AG$7,$I$66:$DJ$120,ROWS($A$10:$A26)+2,FALSE)</f>
        <v>7505</v>
      </c>
      <c r="AH26" s="25">
        <f>HLOOKUP(AH$7,$I$66:$DJ$120,ROWS($A$10:$A26)+2,FALSE)</f>
        <v>751</v>
      </c>
      <c r="AI26" s="25">
        <f>HLOOKUP(AI$7,$I$66:$DJ$120,ROWS($A$10:$A26)+2,FALSE)</f>
        <v>4168</v>
      </c>
      <c r="AJ26" s="25">
        <f>HLOOKUP(AJ$7,$I$66:$DJ$120,ROWS($A$10:$A26)+2,FALSE)</f>
        <v>452</v>
      </c>
      <c r="AK26" s="25">
        <f>HLOOKUP(AK$7,$I$66:$DJ$120,ROWS($A$10:$A26)+2,FALSE)</f>
        <v>7698</v>
      </c>
      <c r="AL26" s="25">
        <f>HLOOKUP(AL$7,$I$66:$DJ$120,ROWS($A$10:$A26)+2,FALSE)</f>
        <v>681</v>
      </c>
      <c r="AM26" s="25">
        <f>HLOOKUP(AM$7,$I$66:$DJ$120,ROWS($A$10:$A26)+2,FALSE)</f>
        <v>56</v>
      </c>
      <c r="AN26" s="25">
        <f>HLOOKUP(AN$7,$I$66:$DJ$120,ROWS($A$10:$A26)+2,FALSE)</f>
        <v>1018</v>
      </c>
      <c r="AO26" s="25">
        <f>HLOOKUP(AO$7,$I$66:$DJ$120,ROWS($A$10:$A26)+2,FALSE)</f>
        <v>114</v>
      </c>
      <c r="AP26" s="25">
        <f>HLOOKUP(AP$7,$I$66:$DJ$120,ROWS($A$10:$A26)+2,FALSE)</f>
        <v>1230</v>
      </c>
      <c r="AQ26" s="25">
        <f>HLOOKUP(AQ$7,$I$66:$DJ$120,ROWS($A$10:$A26)+2,FALSE)</f>
        <v>734</v>
      </c>
      <c r="AR26" s="25">
        <f>HLOOKUP(AR$7,$I$66:$DJ$120,ROWS($A$10:$A26)+2,FALSE)</f>
        <v>833</v>
      </c>
      <c r="AS26" s="25">
        <f>HLOOKUP(AS$7,$I$66:$DJ$120,ROWS($A$10:$A26)+2,FALSE)</f>
        <v>1127</v>
      </c>
      <c r="AT26" s="25">
        <f>HLOOKUP(AT$7,$I$66:$DJ$120,ROWS($A$10:$A26)+2,FALSE)</f>
        <v>1465</v>
      </c>
      <c r="AU26" s="25">
        <f>HLOOKUP(AU$7,$I$66:$DJ$120,ROWS($A$10:$A26)+2,FALSE)</f>
        <v>348</v>
      </c>
      <c r="AV26" s="25">
        <f>HLOOKUP(AV$7,$I$66:$DJ$120,ROWS($A$10:$A26)+2,FALSE)</f>
        <v>451</v>
      </c>
      <c r="AW26" s="25">
        <f>HLOOKUP(AW$7,$I$66:$DJ$120,ROWS($A$10:$A26)+2,FALSE)</f>
        <v>0</v>
      </c>
      <c r="AX26" s="25">
        <f>HLOOKUP(AX$7,$I$66:$DJ$120,ROWS($A$10:$A26)+2,FALSE)</f>
        <v>943</v>
      </c>
      <c r="AY26" s="25">
        <f>HLOOKUP(AY$7,$I$66:$DJ$120,ROWS($A$10:$A26)+2,FALSE)</f>
        <v>1158</v>
      </c>
      <c r="AZ26" s="25">
        <f>HLOOKUP(AZ$7,$I$66:$DJ$120,ROWS($A$10:$A26)+2,FALSE)</f>
        <v>1148</v>
      </c>
      <c r="BA26" s="25">
        <f>HLOOKUP(BA$7,$I$66:$DJ$120,ROWS($A$10:$A26)+2,FALSE)</f>
        <v>3553</v>
      </c>
      <c r="BB26" s="25">
        <f>HLOOKUP(BB$7,$I$66:$DJ$120,ROWS($A$10:$A26)+2,FALSE)</f>
        <v>886</v>
      </c>
      <c r="BC26" s="25">
        <f>HLOOKUP(BC$7,$I$66:$DJ$120,ROWS($A$10:$A26)+2,FALSE)</f>
        <v>0</v>
      </c>
      <c r="BD26" s="25">
        <f>HLOOKUP(BD$7,$I$66:$DJ$120,ROWS($A$10:$A26)+2,FALSE)</f>
        <v>268</v>
      </c>
      <c r="BE26" s="25">
        <f>HLOOKUP(BE$7,$I$66:$DJ$120,ROWS($A$10:$A26)+2,FALSE)</f>
        <v>919</v>
      </c>
      <c r="BF26" s="25">
        <f>HLOOKUP(BF$7,$I$66:$DJ$120,ROWS($A$10:$A26)+2,FALSE)</f>
        <v>22</v>
      </c>
      <c r="BG26" s="25">
        <f>HLOOKUP(BG$7,$I$66:$DJ$120,ROWS($A$10:$A26)+2,FALSE)</f>
        <v>3607</v>
      </c>
      <c r="BH26" s="25">
        <f>HLOOKUP(BH$7,$I$66:$DJ$120,ROWS($A$10:$A26)+2,FALSE)</f>
        <v>392</v>
      </c>
      <c r="BI26" s="25">
        <f>HLOOKUP(BI$7,$I$66:$DJ$120,ROWS($A$10:$A26)+2,FALSE)</f>
        <v>786</v>
      </c>
      <c r="BJ26" s="34">
        <f>HLOOKUP(BJ$7+0.5,$I$66:$DJ$120,ROWS($A$10:$A26)+2,FALSE)</f>
        <v>5982</v>
      </c>
      <c r="BK26" s="34">
        <f>HLOOKUP(BK$7+0.5,$I$66:$DJ$120,ROWS($A$10:$A26)+2,FALSE)</f>
        <v>400</v>
      </c>
      <c r="BL26" s="34">
        <f>HLOOKUP(BL$7+0.5,$I$66:$DJ$120,ROWS($A$10:$A26)+2,FALSE)</f>
        <v>814</v>
      </c>
      <c r="BM26" s="34">
        <f>HLOOKUP(BM$7+0.5,$I$66:$DJ$120,ROWS($A$10:$A26)+2,FALSE)</f>
        <v>803</v>
      </c>
      <c r="BN26" s="34">
        <f>HLOOKUP(BN$7+0.5,$I$66:$DJ$120,ROWS($A$10:$A26)+2,FALSE)</f>
        <v>237</v>
      </c>
      <c r="BO26" s="34">
        <f>HLOOKUP(BO$7+0.5,$I$66:$DJ$120,ROWS($A$10:$A26)+2,FALSE)</f>
        <v>1296</v>
      </c>
      <c r="BP26" s="34">
        <f>HLOOKUP(BP$7+0.5,$I$66:$DJ$120,ROWS($A$10:$A26)+2,FALSE)</f>
        <v>1250</v>
      </c>
      <c r="BQ26" s="34">
        <f>HLOOKUP(BQ$7+0.5,$I$66:$DJ$120,ROWS($A$10:$A26)+2,FALSE)</f>
        <v>135</v>
      </c>
      <c r="BR26" s="34">
        <f>HLOOKUP(BR$7+0.5,$I$66:$DJ$120,ROWS($A$10:$A26)+2,FALSE)</f>
        <v>151</v>
      </c>
      <c r="BS26" s="34">
        <f>HLOOKUP(BS$7+0.5,$I$66:$DJ$120,ROWS($A$10:$A26)+2,FALSE)</f>
        <v>155</v>
      </c>
      <c r="BT26" s="34">
        <f>HLOOKUP(BT$7+0.5,$I$66:$DJ$120,ROWS($A$10:$A26)+2,FALSE)</f>
        <v>2060</v>
      </c>
      <c r="BU26" s="34">
        <f>HLOOKUP(BU$7+0.5,$I$66:$DJ$120,ROWS($A$10:$A26)+2,FALSE)</f>
        <v>481</v>
      </c>
      <c r="BV26" s="34">
        <f>HLOOKUP(BV$7+0.5,$I$66:$DJ$120,ROWS($A$10:$A26)+2,FALSE)</f>
        <v>476</v>
      </c>
      <c r="BW26" s="34">
        <f>HLOOKUP(BW$7+0.5,$I$66:$DJ$120,ROWS($A$10:$A26)+2,FALSE)</f>
        <v>218</v>
      </c>
      <c r="BX26" s="34">
        <f>HLOOKUP(BX$7+0.5,$I$66:$DJ$120,ROWS($A$10:$A26)+2,FALSE)</f>
        <v>2313</v>
      </c>
      <c r="BY26" s="34">
        <f>HLOOKUP(BY$7+0.5,$I$66:$DJ$120,ROWS($A$10:$A26)+2,FALSE)</f>
        <v>1097</v>
      </c>
      <c r="BZ26" s="34" t="str">
        <f>HLOOKUP(BZ$7+0.5,$I$66:$DJ$120,ROWS($A$10:$A26)+2,FALSE)</f>
        <v>N/A</v>
      </c>
      <c r="CA26" s="34">
        <f>HLOOKUP(CA$7+0.5,$I$66:$DJ$120,ROWS($A$10:$A26)+2,FALSE)</f>
        <v>500</v>
      </c>
      <c r="CB26" s="34">
        <f>HLOOKUP(CB$7+0.5,$I$66:$DJ$120,ROWS($A$10:$A26)+2,FALSE)</f>
        <v>609</v>
      </c>
      <c r="CC26" s="34">
        <f>HLOOKUP(CC$7+0.5,$I$66:$DJ$120,ROWS($A$10:$A26)+2,FALSE)</f>
        <v>568</v>
      </c>
      <c r="CD26" s="34">
        <f>HLOOKUP(CD$7+0.5,$I$66:$DJ$120,ROWS($A$10:$A26)+2,FALSE)</f>
        <v>125</v>
      </c>
      <c r="CE26" s="34">
        <f>HLOOKUP(CE$7+0.5,$I$66:$DJ$120,ROWS($A$10:$A26)+2,FALSE)</f>
        <v>287</v>
      </c>
      <c r="CF26" s="34">
        <f>HLOOKUP(CF$7+0.5,$I$66:$DJ$120,ROWS($A$10:$A26)+2,FALSE)</f>
        <v>520</v>
      </c>
      <c r="CG26" s="34">
        <f>HLOOKUP(CG$7+0.5,$I$66:$DJ$120,ROWS($A$10:$A26)+2,FALSE)</f>
        <v>497</v>
      </c>
      <c r="CH26" s="34">
        <f>HLOOKUP(CH$7+0.5,$I$66:$DJ$120,ROWS($A$10:$A26)+2,FALSE)</f>
        <v>1826</v>
      </c>
      <c r="CI26" s="34">
        <f>HLOOKUP(CI$7+0.5,$I$66:$DJ$120,ROWS($A$10:$A26)+2,FALSE)</f>
        <v>621</v>
      </c>
      <c r="CJ26" s="34">
        <f>HLOOKUP(CJ$7+0.5,$I$66:$DJ$120,ROWS($A$10:$A26)+2,FALSE)</f>
        <v>1021</v>
      </c>
      <c r="CK26" s="34">
        <f>HLOOKUP(CK$7+0.5,$I$66:$DJ$120,ROWS($A$10:$A26)+2,FALSE)</f>
        <v>305</v>
      </c>
      <c r="CL26" s="34">
        <f>HLOOKUP(CL$7+0.5,$I$66:$DJ$120,ROWS($A$10:$A26)+2,FALSE)</f>
        <v>1806</v>
      </c>
      <c r="CM26" s="34">
        <f>HLOOKUP(CM$7+0.5,$I$66:$DJ$120,ROWS($A$10:$A26)+2,FALSE)</f>
        <v>602</v>
      </c>
      <c r="CN26" s="34">
        <f>HLOOKUP(CN$7+0.5,$I$66:$DJ$120,ROWS($A$10:$A26)+2,FALSE)</f>
        <v>93</v>
      </c>
      <c r="CO26" s="34">
        <f>HLOOKUP(CO$7+0.5,$I$66:$DJ$120,ROWS($A$10:$A26)+2,FALSE)</f>
        <v>767</v>
      </c>
      <c r="CP26" s="34">
        <f>HLOOKUP(CP$7+0.5,$I$66:$DJ$120,ROWS($A$10:$A26)+2,FALSE)</f>
        <v>188</v>
      </c>
      <c r="CQ26" s="34">
        <f>HLOOKUP(CQ$7+0.5,$I$66:$DJ$120,ROWS($A$10:$A26)+2,FALSE)</f>
        <v>819</v>
      </c>
      <c r="CR26" s="34">
        <f>HLOOKUP(CR$7+0.5,$I$66:$DJ$120,ROWS($A$10:$A26)+2,FALSE)</f>
        <v>428</v>
      </c>
      <c r="CS26" s="34">
        <f>HLOOKUP(CS$7+0.5,$I$66:$DJ$120,ROWS($A$10:$A26)+2,FALSE)</f>
        <v>617</v>
      </c>
      <c r="CT26" s="34">
        <f>HLOOKUP(CT$7+0.5,$I$66:$DJ$120,ROWS($A$10:$A26)+2,FALSE)</f>
        <v>692</v>
      </c>
      <c r="CU26" s="34">
        <f>HLOOKUP(CU$7+0.5,$I$66:$DJ$120,ROWS($A$10:$A26)+2,FALSE)</f>
        <v>974</v>
      </c>
      <c r="CV26" s="34">
        <f>HLOOKUP(CV$7+0.5,$I$66:$DJ$120,ROWS($A$10:$A26)+2,FALSE)</f>
        <v>302</v>
      </c>
      <c r="CW26" s="34">
        <f>HLOOKUP(CW$7+0.5,$I$66:$DJ$120,ROWS($A$10:$A26)+2,FALSE)</f>
        <v>353</v>
      </c>
      <c r="CX26" s="34">
        <f>HLOOKUP(CX$7+0.5,$I$66:$DJ$120,ROWS($A$10:$A26)+2,FALSE)</f>
        <v>151</v>
      </c>
      <c r="CY26" s="34">
        <f>HLOOKUP(CY$7+0.5,$I$66:$DJ$120,ROWS($A$10:$A26)+2,FALSE)</f>
        <v>556</v>
      </c>
      <c r="CZ26" s="34">
        <f>HLOOKUP(CZ$7+0.5,$I$66:$DJ$120,ROWS($A$10:$A26)+2,FALSE)</f>
        <v>441</v>
      </c>
      <c r="DA26" s="34">
        <f>HLOOKUP(DA$7+0.5,$I$66:$DJ$120,ROWS($A$10:$A26)+2,FALSE)</f>
        <v>871</v>
      </c>
      <c r="DB26" s="34">
        <f>HLOOKUP(DB$7+0.5,$I$66:$DJ$120,ROWS($A$10:$A26)+2,FALSE)</f>
        <v>1275</v>
      </c>
      <c r="DC26" s="34">
        <f>HLOOKUP(DC$7+0.5,$I$66:$DJ$120,ROWS($A$10:$A26)+2,FALSE)</f>
        <v>880</v>
      </c>
      <c r="DD26" s="34">
        <f>HLOOKUP(DD$7+0.5,$I$66:$DJ$120,ROWS($A$10:$A26)+2,FALSE)</f>
        <v>151</v>
      </c>
      <c r="DE26" s="34">
        <f>HLOOKUP(DE$7+0.5,$I$66:$DJ$120,ROWS($A$10:$A26)+2,FALSE)</f>
        <v>200</v>
      </c>
      <c r="DF26" s="34">
        <f>HLOOKUP(DF$7+0.5,$I$66:$DJ$120,ROWS($A$10:$A26)+2,FALSE)</f>
        <v>485</v>
      </c>
      <c r="DG26" s="34">
        <f>HLOOKUP(DG$7+0.5,$I$66:$DJ$120,ROWS($A$10:$A26)+2,FALSE)</f>
        <v>41</v>
      </c>
      <c r="DH26" s="34">
        <f>HLOOKUP(DH$7+0.5,$I$66:$DJ$120,ROWS($A$10:$A26)+2,FALSE)</f>
        <v>849</v>
      </c>
      <c r="DI26" s="34">
        <f>HLOOKUP(DI$7+0.5,$I$66:$DJ$120,ROWS($A$10:$A26)+2,FALSE)</f>
        <v>316</v>
      </c>
      <c r="DJ26" s="34">
        <f>HLOOKUP(DJ$7+0.5,$I$66:$DJ$120,ROWS($A$10:$A26)+2,FALSE)</f>
        <v>1190</v>
      </c>
    </row>
    <row r="27" spans="2:114" x14ac:dyDescent="0.25">
      <c r="B27" s="38" t="s">
        <v>23</v>
      </c>
      <c r="C27" s="16">
        <v>2848708</v>
      </c>
      <c r="D27" s="17">
        <v>2507</v>
      </c>
      <c r="E27" s="16">
        <v>2361899</v>
      </c>
      <c r="F27" s="17">
        <v>16878</v>
      </c>
      <c r="G27" s="16">
        <v>381695</v>
      </c>
      <c r="H27" s="17">
        <v>15902</v>
      </c>
      <c r="I27" s="36">
        <f>HLOOKUP(I$7,$I$66:$DJ$120,ROWS($A$10:$A27)+2,FALSE)</f>
        <v>88284</v>
      </c>
      <c r="J27" s="25">
        <f>HLOOKUP(J$7,$I$66:$DJ$120,ROWS($A$10:$A27)+2,FALSE)</f>
        <v>853</v>
      </c>
      <c r="K27" s="25">
        <f>HLOOKUP(K$7,$I$66:$DJ$120,ROWS($A$10:$A27)+2,FALSE)</f>
        <v>333</v>
      </c>
      <c r="L27" s="25">
        <f>HLOOKUP(L$7,$I$66:$DJ$120,ROWS($A$10:$A27)+2,FALSE)</f>
        <v>3094</v>
      </c>
      <c r="M27" s="25">
        <f>HLOOKUP(M$7,$I$66:$DJ$120,ROWS($A$10:$A27)+2,FALSE)</f>
        <v>2158</v>
      </c>
      <c r="N27" s="25">
        <f>HLOOKUP(N$7,$I$66:$DJ$120,ROWS($A$10:$A27)+2,FALSE)</f>
        <v>5411</v>
      </c>
      <c r="O27" s="25">
        <f>HLOOKUP(O$7,$I$66:$DJ$120,ROWS($A$10:$A27)+2,FALSE)</f>
        <v>3746</v>
      </c>
      <c r="P27" s="25">
        <f>HLOOKUP(P$7,$I$66:$DJ$120,ROWS($A$10:$A27)+2,FALSE)</f>
        <v>210</v>
      </c>
      <c r="Q27" s="25">
        <f>HLOOKUP(Q$7,$I$66:$DJ$120,ROWS($A$10:$A27)+2,FALSE)</f>
        <v>0</v>
      </c>
      <c r="R27" s="25">
        <f>HLOOKUP(R$7,$I$66:$DJ$120,ROWS($A$10:$A27)+2,FALSE)</f>
        <v>456</v>
      </c>
      <c r="S27" s="25">
        <f>HLOOKUP(S$7,$I$66:$DJ$120,ROWS($A$10:$A27)+2,FALSE)</f>
        <v>3118</v>
      </c>
      <c r="T27" s="25">
        <f>HLOOKUP(T$7,$I$66:$DJ$120,ROWS($A$10:$A27)+2,FALSE)</f>
        <v>1896</v>
      </c>
      <c r="U27" s="25">
        <f>HLOOKUP(U$7,$I$66:$DJ$120,ROWS($A$10:$A27)+2,FALSE)</f>
        <v>149</v>
      </c>
      <c r="V27" s="25">
        <f>HLOOKUP(V$7,$I$66:$DJ$120,ROWS($A$10:$A27)+2,FALSE)</f>
        <v>456</v>
      </c>
      <c r="W27" s="25">
        <f>HLOOKUP(W$7,$I$66:$DJ$120,ROWS($A$10:$A27)+2,FALSE)</f>
        <v>1702</v>
      </c>
      <c r="X27" s="25">
        <f>HLOOKUP(X$7,$I$66:$DJ$120,ROWS($A$10:$A27)+2,FALSE)</f>
        <v>1679</v>
      </c>
      <c r="Y27" s="25">
        <f>HLOOKUP(Y$7,$I$66:$DJ$120,ROWS($A$10:$A27)+2,FALSE)</f>
        <v>1527</v>
      </c>
      <c r="Z27" s="25" t="str">
        <f>HLOOKUP(Z$7,$I$66:$DJ$120,ROWS($A$10:$A27)+2,FALSE)</f>
        <v>N/A</v>
      </c>
      <c r="AA27" s="25">
        <f>HLOOKUP(AA$7,$I$66:$DJ$120,ROWS($A$10:$A27)+2,FALSE)</f>
        <v>617</v>
      </c>
      <c r="AB27" s="25">
        <f>HLOOKUP(AB$7,$I$66:$DJ$120,ROWS($A$10:$A27)+2,FALSE)</f>
        <v>438</v>
      </c>
      <c r="AC27" s="25">
        <f>HLOOKUP(AC$7,$I$66:$DJ$120,ROWS($A$10:$A27)+2,FALSE)</f>
        <v>211</v>
      </c>
      <c r="AD27" s="25">
        <f>HLOOKUP(AD$7,$I$66:$DJ$120,ROWS($A$10:$A27)+2,FALSE)</f>
        <v>282</v>
      </c>
      <c r="AE27" s="25">
        <f>HLOOKUP(AE$7,$I$66:$DJ$120,ROWS($A$10:$A27)+2,FALSE)</f>
        <v>187</v>
      </c>
      <c r="AF27" s="25">
        <f>HLOOKUP(AF$7,$I$66:$DJ$120,ROWS($A$10:$A27)+2,FALSE)</f>
        <v>1125</v>
      </c>
      <c r="AG27" s="25">
        <f>HLOOKUP(AG$7,$I$66:$DJ$120,ROWS($A$10:$A27)+2,FALSE)</f>
        <v>682</v>
      </c>
      <c r="AH27" s="25">
        <f>HLOOKUP(AH$7,$I$66:$DJ$120,ROWS($A$10:$A27)+2,FALSE)</f>
        <v>452</v>
      </c>
      <c r="AI27" s="25">
        <f>HLOOKUP(AI$7,$I$66:$DJ$120,ROWS($A$10:$A27)+2,FALSE)</f>
        <v>21022</v>
      </c>
      <c r="AJ27" s="25">
        <f>HLOOKUP(AJ$7,$I$66:$DJ$120,ROWS($A$10:$A27)+2,FALSE)</f>
        <v>300</v>
      </c>
      <c r="AK27" s="25">
        <f>HLOOKUP(AK$7,$I$66:$DJ$120,ROWS($A$10:$A27)+2,FALSE)</f>
        <v>4126</v>
      </c>
      <c r="AL27" s="25">
        <f>HLOOKUP(AL$7,$I$66:$DJ$120,ROWS($A$10:$A27)+2,FALSE)</f>
        <v>851</v>
      </c>
      <c r="AM27" s="25">
        <f>HLOOKUP(AM$7,$I$66:$DJ$120,ROWS($A$10:$A27)+2,FALSE)</f>
        <v>0</v>
      </c>
      <c r="AN27" s="25">
        <f>HLOOKUP(AN$7,$I$66:$DJ$120,ROWS($A$10:$A27)+2,FALSE)</f>
        <v>267</v>
      </c>
      <c r="AO27" s="25">
        <f>HLOOKUP(AO$7,$I$66:$DJ$120,ROWS($A$10:$A27)+2,FALSE)</f>
        <v>1029</v>
      </c>
      <c r="AP27" s="25">
        <f>HLOOKUP(AP$7,$I$66:$DJ$120,ROWS($A$10:$A27)+2,FALSE)</f>
        <v>571</v>
      </c>
      <c r="AQ27" s="25">
        <f>HLOOKUP(AQ$7,$I$66:$DJ$120,ROWS($A$10:$A27)+2,FALSE)</f>
        <v>813</v>
      </c>
      <c r="AR27" s="25">
        <f>HLOOKUP(AR$7,$I$66:$DJ$120,ROWS($A$10:$A27)+2,FALSE)</f>
        <v>261</v>
      </c>
      <c r="AS27" s="25">
        <f>HLOOKUP(AS$7,$I$66:$DJ$120,ROWS($A$10:$A27)+2,FALSE)</f>
        <v>1310</v>
      </c>
      <c r="AT27" s="25">
        <f>HLOOKUP(AT$7,$I$66:$DJ$120,ROWS($A$10:$A27)+2,FALSE)</f>
        <v>8408</v>
      </c>
      <c r="AU27" s="25">
        <f>HLOOKUP(AU$7,$I$66:$DJ$120,ROWS($A$10:$A27)+2,FALSE)</f>
        <v>848</v>
      </c>
      <c r="AV27" s="25">
        <f>HLOOKUP(AV$7,$I$66:$DJ$120,ROWS($A$10:$A27)+2,FALSE)</f>
        <v>918</v>
      </c>
      <c r="AW27" s="25">
        <f>HLOOKUP(AW$7,$I$66:$DJ$120,ROWS($A$10:$A27)+2,FALSE)</f>
        <v>18</v>
      </c>
      <c r="AX27" s="25">
        <f>HLOOKUP(AX$7,$I$66:$DJ$120,ROWS($A$10:$A27)+2,FALSE)</f>
        <v>556</v>
      </c>
      <c r="AY27" s="25">
        <f>HLOOKUP(AY$7,$I$66:$DJ$120,ROWS($A$10:$A27)+2,FALSE)</f>
        <v>154</v>
      </c>
      <c r="AZ27" s="25">
        <f>HLOOKUP(AZ$7,$I$66:$DJ$120,ROWS($A$10:$A27)+2,FALSE)</f>
        <v>1542</v>
      </c>
      <c r="BA27" s="25">
        <f>HLOOKUP(BA$7,$I$66:$DJ$120,ROWS($A$10:$A27)+2,FALSE)</f>
        <v>8468</v>
      </c>
      <c r="BB27" s="25">
        <f>HLOOKUP(BB$7,$I$66:$DJ$120,ROWS($A$10:$A27)+2,FALSE)</f>
        <v>97</v>
      </c>
      <c r="BC27" s="25">
        <f>HLOOKUP(BC$7,$I$66:$DJ$120,ROWS($A$10:$A27)+2,FALSE)</f>
        <v>70</v>
      </c>
      <c r="BD27" s="25">
        <f>HLOOKUP(BD$7,$I$66:$DJ$120,ROWS($A$10:$A27)+2,FALSE)</f>
        <v>1705</v>
      </c>
      <c r="BE27" s="25">
        <f>HLOOKUP(BE$7,$I$66:$DJ$120,ROWS($A$10:$A27)+2,FALSE)</f>
        <v>3265</v>
      </c>
      <c r="BF27" s="25">
        <f>HLOOKUP(BF$7,$I$66:$DJ$120,ROWS($A$10:$A27)+2,FALSE)</f>
        <v>139</v>
      </c>
      <c r="BG27" s="25">
        <f>HLOOKUP(BG$7,$I$66:$DJ$120,ROWS($A$10:$A27)+2,FALSE)</f>
        <v>486</v>
      </c>
      <c r="BH27" s="25">
        <f>HLOOKUP(BH$7,$I$66:$DJ$120,ROWS($A$10:$A27)+2,FALSE)</f>
        <v>278</v>
      </c>
      <c r="BI27" s="25">
        <f>HLOOKUP(BI$7,$I$66:$DJ$120,ROWS($A$10:$A27)+2,FALSE)</f>
        <v>82</v>
      </c>
      <c r="BJ27" s="34">
        <f>HLOOKUP(BJ$7+0.5,$I$66:$DJ$120,ROWS($A$10:$A27)+2,FALSE)</f>
        <v>7145</v>
      </c>
      <c r="BK27" s="34">
        <f>HLOOKUP(BK$7+0.5,$I$66:$DJ$120,ROWS($A$10:$A27)+2,FALSE)</f>
        <v>609</v>
      </c>
      <c r="BL27" s="34">
        <f>HLOOKUP(BL$7+0.5,$I$66:$DJ$120,ROWS($A$10:$A27)+2,FALSE)</f>
        <v>407</v>
      </c>
      <c r="BM27" s="34">
        <f>HLOOKUP(BM$7+0.5,$I$66:$DJ$120,ROWS($A$10:$A27)+2,FALSE)</f>
        <v>1630</v>
      </c>
      <c r="BN27" s="34">
        <f>HLOOKUP(BN$7+0.5,$I$66:$DJ$120,ROWS($A$10:$A27)+2,FALSE)</f>
        <v>890</v>
      </c>
      <c r="BO27" s="34">
        <f>HLOOKUP(BO$7+0.5,$I$66:$DJ$120,ROWS($A$10:$A27)+2,FALSE)</f>
        <v>2012</v>
      </c>
      <c r="BP27" s="34">
        <f>HLOOKUP(BP$7+0.5,$I$66:$DJ$120,ROWS($A$10:$A27)+2,FALSE)</f>
        <v>1360</v>
      </c>
      <c r="BQ27" s="34">
        <f>HLOOKUP(BQ$7+0.5,$I$66:$DJ$120,ROWS($A$10:$A27)+2,FALSE)</f>
        <v>208</v>
      </c>
      <c r="BR27" s="34">
        <f>HLOOKUP(BR$7+0.5,$I$66:$DJ$120,ROWS($A$10:$A27)+2,FALSE)</f>
        <v>165</v>
      </c>
      <c r="BS27" s="34">
        <f>HLOOKUP(BS$7+0.5,$I$66:$DJ$120,ROWS($A$10:$A27)+2,FALSE)</f>
        <v>737</v>
      </c>
      <c r="BT27" s="34">
        <f>HLOOKUP(BT$7+0.5,$I$66:$DJ$120,ROWS($A$10:$A27)+2,FALSE)</f>
        <v>1380</v>
      </c>
      <c r="BU27" s="34">
        <f>HLOOKUP(BU$7+0.5,$I$66:$DJ$120,ROWS($A$10:$A27)+2,FALSE)</f>
        <v>1395</v>
      </c>
      <c r="BV27" s="34">
        <f>HLOOKUP(BV$7+0.5,$I$66:$DJ$120,ROWS($A$10:$A27)+2,FALSE)</f>
        <v>156</v>
      </c>
      <c r="BW27" s="34">
        <f>HLOOKUP(BW$7+0.5,$I$66:$DJ$120,ROWS($A$10:$A27)+2,FALSE)</f>
        <v>356</v>
      </c>
      <c r="BX27" s="34">
        <f>HLOOKUP(BX$7+0.5,$I$66:$DJ$120,ROWS($A$10:$A27)+2,FALSE)</f>
        <v>582</v>
      </c>
      <c r="BY27" s="34">
        <f>HLOOKUP(BY$7+0.5,$I$66:$DJ$120,ROWS($A$10:$A27)+2,FALSE)</f>
        <v>839</v>
      </c>
      <c r="BZ27" s="34">
        <f>HLOOKUP(BZ$7+0.5,$I$66:$DJ$120,ROWS($A$10:$A27)+2,FALSE)</f>
        <v>860</v>
      </c>
      <c r="CA27" s="34" t="str">
        <f>HLOOKUP(CA$7+0.5,$I$66:$DJ$120,ROWS($A$10:$A27)+2,FALSE)</f>
        <v>N/A</v>
      </c>
      <c r="CB27" s="34">
        <f>HLOOKUP(CB$7+0.5,$I$66:$DJ$120,ROWS($A$10:$A27)+2,FALSE)</f>
        <v>476</v>
      </c>
      <c r="CC27" s="34">
        <f>HLOOKUP(CC$7+0.5,$I$66:$DJ$120,ROWS($A$10:$A27)+2,FALSE)</f>
        <v>408</v>
      </c>
      <c r="CD27" s="34">
        <f>HLOOKUP(CD$7+0.5,$I$66:$DJ$120,ROWS($A$10:$A27)+2,FALSE)</f>
        <v>225</v>
      </c>
      <c r="CE27" s="34">
        <f>HLOOKUP(CE$7+0.5,$I$66:$DJ$120,ROWS($A$10:$A27)+2,FALSE)</f>
        <v>282</v>
      </c>
      <c r="CF27" s="34">
        <f>HLOOKUP(CF$7+0.5,$I$66:$DJ$120,ROWS($A$10:$A27)+2,FALSE)</f>
        <v>203</v>
      </c>
      <c r="CG27" s="34">
        <f>HLOOKUP(CG$7+0.5,$I$66:$DJ$120,ROWS($A$10:$A27)+2,FALSE)</f>
        <v>682</v>
      </c>
      <c r="CH27" s="34">
        <f>HLOOKUP(CH$7+0.5,$I$66:$DJ$120,ROWS($A$10:$A27)+2,FALSE)</f>
        <v>367</v>
      </c>
      <c r="CI27" s="34">
        <f>HLOOKUP(CI$7+0.5,$I$66:$DJ$120,ROWS($A$10:$A27)+2,FALSE)</f>
        <v>501</v>
      </c>
      <c r="CJ27" s="34">
        <f>HLOOKUP(CJ$7+0.5,$I$66:$DJ$120,ROWS($A$10:$A27)+2,FALSE)</f>
        <v>3073</v>
      </c>
      <c r="CK27" s="34">
        <f>HLOOKUP(CK$7+0.5,$I$66:$DJ$120,ROWS($A$10:$A27)+2,FALSE)</f>
        <v>326</v>
      </c>
      <c r="CL27" s="34">
        <f>HLOOKUP(CL$7+0.5,$I$66:$DJ$120,ROWS($A$10:$A27)+2,FALSE)</f>
        <v>1245</v>
      </c>
      <c r="CM27" s="34">
        <f>HLOOKUP(CM$7+0.5,$I$66:$DJ$120,ROWS($A$10:$A27)+2,FALSE)</f>
        <v>606</v>
      </c>
      <c r="CN27" s="34">
        <f>HLOOKUP(CN$7+0.5,$I$66:$DJ$120,ROWS($A$10:$A27)+2,FALSE)</f>
        <v>165</v>
      </c>
      <c r="CO27" s="34">
        <f>HLOOKUP(CO$7+0.5,$I$66:$DJ$120,ROWS($A$10:$A27)+2,FALSE)</f>
        <v>228</v>
      </c>
      <c r="CP27" s="34">
        <f>HLOOKUP(CP$7+0.5,$I$66:$DJ$120,ROWS($A$10:$A27)+2,FALSE)</f>
        <v>627</v>
      </c>
      <c r="CQ27" s="34">
        <f>HLOOKUP(CQ$7+0.5,$I$66:$DJ$120,ROWS($A$10:$A27)+2,FALSE)</f>
        <v>367</v>
      </c>
      <c r="CR27" s="34">
        <f>HLOOKUP(CR$7+0.5,$I$66:$DJ$120,ROWS($A$10:$A27)+2,FALSE)</f>
        <v>476</v>
      </c>
      <c r="CS27" s="34">
        <f>HLOOKUP(CS$7+0.5,$I$66:$DJ$120,ROWS($A$10:$A27)+2,FALSE)</f>
        <v>263</v>
      </c>
      <c r="CT27" s="34">
        <f>HLOOKUP(CT$7+0.5,$I$66:$DJ$120,ROWS($A$10:$A27)+2,FALSE)</f>
        <v>638</v>
      </c>
      <c r="CU27" s="34">
        <f>HLOOKUP(CU$7+0.5,$I$66:$DJ$120,ROWS($A$10:$A27)+2,FALSE)</f>
        <v>2299</v>
      </c>
      <c r="CV27" s="34">
        <f>HLOOKUP(CV$7+0.5,$I$66:$DJ$120,ROWS($A$10:$A27)+2,FALSE)</f>
        <v>557</v>
      </c>
      <c r="CW27" s="34">
        <f>HLOOKUP(CW$7+0.5,$I$66:$DJ$120,ROWS($A$10:$A27)+2,FALSE)</f>
        <v>672</v>
      </c>
      <c r="CX27" s="34">
        <f>HLOOKUP(CX$7+0.5,$I$66:$DJ$120,ROWS($A$10:$A27)+2,FALSE)</f>
        <v>31</v>
      </c>
      <c r="CY27" s="34">
        <f>HLOOKUP(CY$7+0.5,$I$66:$DJ$120,ROWS($A$10:$A27)+2,FALSE)</f>
        <v>375</v>
      </c>
      <c r="CZ27" s="34">
        <f>HLOOKUP(CZ$7+0.5,$I$66:$DJ$120,ROWS($A$10:$A27)+2,FALSE)</f>
        <v>195</v>
      </c>
      <c r="DA27" s="34">
        <f>HLOOKUP(DA$7+0.5,$I$66:$DJ$120,ROWS($A$10:$A27)+2,FALSE)</f>
        <v>825</v>
      </c>
      <c r="DB27" s="34">
        <f>HLOOKUP(DB$7+0.5,$I$66:$DJ$120,ROWS($A$10:$A27)+2,FALSE)</f>
        <v>2434</v>
      </c>
      <c r="DC27" s="34">
        <f>HLOOKUP(DC$7+0.5,$I$66:$DJ$120,ROWS($A$10:$A27)+2,FALSE)</f>
        <v>106</v>
      </c>
      <c r="DD27" s="34">
        <f>HLOOKUP(DD$7+0.5,$I$66:$DJ$120,ROWS($A$10:$A27)+2,FALSE)</f>
        <v>138</v>
      </c>
      <c r="DE27" s="34">
        <f>HLOOKUP(DE$7+0.5,$I$66:$DJ$120,ROWS($A$10:$A27)+2,FALSE)</f>
        <v>853</v>
      </c>
      <c r="DF27" s="34">
        <f>HLOOKUP(DF$7+0.5,$I$66:$DJ$120,ROWS($A$10:$A27)+2,FALSE)</f>
        <v>1675</v>
      </c>
      <c r="DG27" s="34">
        <f>HLOOKUP(DG$7+0.5,$I$66:$DJ$120,ROWS($A$10:$A27)+2,FALSE)</f>
        <v>132</v>
      </c>
      <c r="DH27" s="34">
        <f>HLOOKUP(DH$7+0.5,$I$66:$DJ$120,ROWS($A$10:$A27)+2,FALSE)</f>
        <v>530</v>
      </c>
      <c r="DI27" s="34">
        <f>HLOOKUP(DI$7+0.5,$I$66:$DJ$120,ROWS($A$10:$A27)+2,FALSE)</f>
        <v>239</v>
      </c>
      <c r="DJ27" s="34">
        <f>HLOOKUP(DJ$7+0.5,$I$66:$DJ$120,ROWS($A$10:$A27)+2,FALSE)</f>
        <v>147</v>
      </c>
    </row>
    <row r="28" spans="2:114" x14ac:dyDescent="0.25">
      <c r="B28" s="38" t="s">
        <v>24</v>
      </c>
      <c r="C28" s="16">
        <v>4328626</v>
      </c>
      <c r="D28" s="17">
        <v>2851</v>
      </c>
      <c r="E28" s="16">
        <v>3676472</v>
      </c>
      <c r="F28" s="17">
        <v>15304</v>
      </c>
      <c r="G28" s="16">
        <v>521511</v>
      </c>
      <c r="H28" s="17">
        <v>14825</v>
      </c>
      <c r="I28" s="36">
        <f>HLOOKUP(I$7,$I$66:$DJ$120,ROWS($A$10:$A28)+2,FALSE)</f>
        <v>112787</v>
      </c>
      <c r="J28" s="25">
        <f>HLOOKUP(J$7,$I$66:$DJ$120,ROWS($A$10:$A28)+2,FALSE)</f>
        <v>4137</v>
      </c>
      <c r="K28" s="25">
        <f>HLOOKUP(K$7,$I$66:$DJ$120,ROWS($A$10:$A28)+2,FALSE)</f>
        <v>304</v>
      </c>
      <c r="L28" s="25">
        <f>HLOOKUP(L$7,$I$66:$DJ$120,ROWS($A$10:$A28)+2,FALSE)</f>
        <v>1103</v>
      </c>
      <c r="M28" s="25">
        <f>HLOOKUP(M$7,$I$66:$DJ$120,ROWS($A$10:$A28)+2,FALSE)</f>
        <v>518</v>
      </c>
      <c r="N28" s="25">
        <f>HLOOKUP(N$7,$I$66:$DJ$120,ROWS($A$10:$A28)+2,FALSE)</f>
        <v>3415</v>
      </c>
      <c r="O28" s="25">
        <f>HLOOKUP(O$7,$I$66:$DJ$120,ROWS($A$10:$A28)+2,FALSE)</f>
        <v>712</v>
      </c>
      <c r="P28" s="25">
        <f>HLOOKUP(P$7,$I$66:$DJ$120,ROWS($A$10:$A28)+2,FALSE)</f>
        <v>246</v>
      </c>
      <c r="Q28" s="25">
        <f>HLOOKUP(Q$7,$I$66:$DJ$120,ROWS($A$10:$A28)+2,FALSE)</f>
        <v>706</v>
      </c>
      <c r="R28" s="25">
        <f>HLOOKUP(R$7,$I$66:$DJ$120,ROWS($A$10:$A28)+2,FALSE)</f>
        <v>254</v>
      </c>
      <c r="S28" s="25">
        <f>HLOOKUP(S$7,$I$66:$DJ$120,ROWS($A$10:$A28)+2,FALSE)</f>
        <v>9232</v>
      </c>
      <c r="T28" s="25">
        <f>HLOOKUP(T$7,$I$66:$DJ$120,ROWS($A$10:$A28)+2,FALSE)</f>
        <v>4173</v>
      </c>
      <c r="U28" s="25">
        <f>HLOOKUP(U$7,$I$66:$DJ$120,ROWS($A$10:$A28)+2,FALSE)</f>
        <v>647</v>
      </c>
      <c r="V28" s="25">
        <f>HLOOKUP(V$7,$I$66:$DJ$120,ROWS($A$10:$A28)+2,FALSE)</f>
        <v>50</v>
      </c>
      <c r="W28" s="25">
        <f>HLOOKUP(W$7,$I$66:$DJ$120,ROWS($A$10:$A28)+2,FALSE)</f>
        <v>4445</v>
      </c>
      <c r="X28" s="25">
        <f>HLOOKUP(X$7,$I$66:$DJ$120,ROWS($A$10:$A28)+2,FALSE)</f>
        <v>12203</v>
      </c>
      <c r="Y28" s="25">
        <f>HLOOKUP(Y$7,$I$66:$DJ$120,ROWS($A$10:$A28)+2,FALSE)</f>
        <v>238</v>
      </c>
      <c r="Z28" s="25">
        <f>HLOOKUP(Z$7,$I$66:$DJ$120,ROWS($A$10:$A28)+2,FALSE)</f>
        <v>602</v>
      </c>
      <c r="AA28" s="25" t="str">
        <f>HLOOKUP(AA$7,$I$66:$DJ$120,ROWS($A$10:$A28)+2,FALSE)</f>
        <v>N/A</v>
      </c>
      <c r="AB28" s="25">
        <f>HLOOKUP(AB$7,$I$66:$DJ$120,ROWS($A$10:$A28)+2,FALSE)</f>
        <v>666</v>
      </c>
      <c r="AC28" s="25">
        <f>HLOOKUP(AC$7,$I$66:$DJ$120,ROWS($A$10:$A28)+2,FALSE)</f>
        <v>46</v>
      </c>
      <c r="AD28" s="25">
        <f>HLOOKUP(AD$7,$I$66:$DJ$120,ROWS($A$10:$A28)+2,FALSE)</f>
        <v>1120</v>
      </c>
      <c r="AE28" s="25">
        <f>HLOOKUP(AE$7,$I$66:$DJ$120,ROWS($A$10:$A28)+2,FALSE)</f>
        <v>419</v>
      </c>
      <c r="AF28" s="25">
        <f>HLOOKUP(AF$7,$I$66:$DJ$120,ROWS($A$10:$A28)+2,FALSE)</f>
        <v>7302</v>
      </c>
      <c r="AG28" s="25">
        <f>HLOOKUP(AG$7,$I$66:$DJ$120,ROWS($A$10:$A28)+2,FALSE)</f>
        <v>605</v>
      </c>
      <c r="AH28" s="25">
        <f>HLOOKUP(AH$7,$I$66:$DJ$120,ROWS($A$10:$A28)+2,FALSE)</f>
        <v>646</v>
      </c>
      <c r="AI28" s="25">
        <f>HLOOKUP(AI$7,$I$66:$DJ$120,ROWS($A$10:$A28)+2,FALSE)</f>
        <v>2381</v>
      </c>
      <c r="AJ28" s="25">
        <f>HLOOKUP(AJ$7,$I$66:$DJ$120,ROWS($A$10:$A28)+2,FALSE)</f>
        <v>0</v>
      </c>
      <c r="AK28" s="25">
        <f>HLOOKUP(AK$7,$I$66:$DJ$120,ROWS($A$10:$A28)+2,FALSE)</f>
        <v>723</v>
      </c>
      <c r="AL28" s="25">
        <f>HLOOKUP(AL$7,$I$66:$DJ$120,ROWS($A$10:$A28)+2,FALSE)</f>
        <v>301</v>
      </c>
      <c r="AM28" s="25">
        <f>HLOOKUP(AM$7,$I$66:$DJ$120,ROWS($A$10:$A28)+2,FALSE)</f>
        <v>84</v>
      </c>
      <c r="AN28" s="25">
        <f>HLOOKUP(AN$7,$I$66:$DJ$120,ROWS($A$10:$A28)+2,FALSE)</f>
        <v>496</v>
      </c>
      <c r="AO28" s="25">
        <f>HLOOKUP(AO$7,$I$66:$DJ$120,ROWS($A$10:$A28)+2,FALSE)</f>
        <v>554</v>
      </c>
      <c r="AP28" s="25">
        <f>HLOOKUP(AP$7,$I$66:$DJ$120,ROWS($A$10:$A28)+2,FALSE)</f>
        <v>5239</v>
      </c>
      <c r="AQ28" s="25">
        <f>HLOOKUP(AQ$7,$I$66:$DJ$120,ROWS($A$10:$A28)+2,FALSE)</f>
        <v>3643</v>
      </c>
      <c r="AR28" s="25">
        <f>HLOOKUP(AR$7,$I$66:$DJ$120,ROWS($A$10:$A28)+2,FALSE)</f>
        <v>122</v>
      </c>
      <c r="AS28" s="25">
        <f>HLOOKUP(AS$7,$I$66:$DJ$120,ROWS($A$10:$A28)+2,FALSE)</f>
        <v>17041</v>
      </c>
      <c r="AT28" s="25">
        <f>HLOOKUP(AT$7,$I$66:$DJ$120,ROWS($A$10:$A28)+2,FALSE)</f>
        <v>577</v>
      </c>
      <c r="AU28" s="25">
        <f>HLOOKUP(AU$7,$I$66:$DJ$120,ROWS($A$10:$A28)+2,FALSE)</f>
        <v>298</v>
      </c>
      <c r="AV28" s="25">
        <f>HLOOKUP(AV$7,$I$66:$DJ$120,ROWS($A$10:$A28)+2,FALSE)</f>
        <v>2226</v>
      </c>
      <c r="AW28" s="25">
        <f>HLOOKUP(AW$7,$I$66:$DJ$120,ROWS($A$10:$A28)+2,FALSE)</f>
        <v>0</v>
      </c>
      <c r="AX28" s="25">
        <f>HLOOKUP(AX$7,$I$66:$DJ$120,ROWS($A$10:$A28)+2,FALSE)</f>
        <v>1347</v>
      </c>
      <c r="AY28" s="25">
        <f>HLOOKUP(AY$7,$I$66:$DJ$120,ROWS($A$10:$A28)+2,FALSE)</f>
        <v>0</v>
      </c>
      <c r="AZ28" s="25">
        <f>HLOOKUP(AZ$7,$I$66:$DJ$120,ROWS($A$10:$A28)+2,FALSE)</f>
        <v>10064</v>
      </c>
      <c r="BA28" s="25">
        <f>HLOOKUP(BA$7,$I$66:$DJ$120,ROWS($A$10:$A28)+2,FALSE)</f>
        <v>3345</v>
      </c>
      <c r="BB28" s="25">
        <f>HLOOKUP(BB$7,$I$66:$DJ$120,ROWS($A$10:$A28)+2,FALSE)</f>
        <v>464</v>
      </c>
      <c r="BC28" s="25">
        <f>HLOOKUP(BC$7,$I$66:$DJ$120,ROWS($A$10:$A28)+2,FALSE)</f>
        <v>45</v>
      </c>
      <c r="BD28" s="25">
        <f>HLOOKUP(BD$7,$I$66:$DJ$120,ROWS($A$10:$A28)+2,FALSE)</f>
        <v>3319</v>
      </c>
      <c r="BE28" s="25">
        <f>HLOOKUP(BE$7,$I$66:$DJ$120,ROWS($A$10:$A28)+2,FALSE)</f>
        <v>1988</v>
      </c>
      <c r="BF28" s="25">
        <f>HLOOKUP(BF$7,$I$66:$DJ$120,ROWS($A$10:$A28)+2,FALSE)</f>
        <v>3346</v>
      </c>
      <c r="BG28" s="25">
        <f>HLOOKUP(BG$7,$I$66:$DJ$120,ROWS($A$10:$A28)+2,FALSE)</f>
        <v>1395</v>
      </c>
      <c r="BH28" s="25">
        <f>HLOOKUP(BH$7,$I$66:$DJ$120,ROWS($A$10:$A28)+2,FALSE)</f>
        <v>0</v>
      </c>
      <c r="BI28" s="25">
        <f>HLOOKUP(BI$7,$I$66:$DJ$120,ROWS($A$10:$A28)+2,FALSE)</f>
        <v>170</v>
      </c>
      <c r="BJ28" s="34">
        <f>HLOOKUP(BJ$7+0.5,$I$66:$DJ$120,ROWS($A$10:$A28)+2,FALSE)</f>
        <v>7854</v>
      </c>
      <c r="BK28" s="34">
        <f>HLOOKUP(BK$7+0.5,$I$66:$DJ$120,ROWS($A$10:$A28)+2,FALSE)</f>
        <v>1628</v>
      </c>
      <c r="BL28" s="34">
        <f>HLOOKUP(BL$7+0.5,$I$66:$DJ$120,ROWS($A$10:$A28)+2,FALSE)</f>
        <v>370</v>
      </c>
      <c r="BM28" s="34">
        <f>HLOOKUP(BM$7+0.5,$I$66:$DJ$120,ROWS($A$10:$A28)+2,FALSE)</f>
        <v>715</v>
      </c>
      <c r="BN28" s="34">
        <f>HLOOKUP(BN$7+0.5,$I$66:$DJ$120,ROWS($A$10:$A28)+2,FALSE)</f>
        <v>299</v>
      </c>
      <c r="BO28" s="34">
        <f>HLOOKUP(BO$7+0.5,$I$66:$DJ$120,ROWS($A$10:$A28)+2,FALSE)</f>
        <v>1157</v>
      </c>
      <c r="BP28" s="34">
        <f>HLOOKUP(BP$7+0.5,$I$66:$DJ$120,ROWS($A$10:$A28)+2,FALSE)</f>
        <v>572</v>
      </c>
      <c r="BQ28" s="34">
        <f>HLOOKUP(BQ$7+0.5,$I$66:$DJ$120,ROWS($A$10:$A28)+2,FALSE)</f>
        <v>290</v>
      </c>
      <c r="BR28" s="34">
        <f>HLOOKUP(BR$7+0.5,$I$66:$DJ$120,ROWS($A$10:$A28)+2,FALSE)</f>
        <v>774</v>
      </c>
      <c r="BS28" s="34">
        <f>HLOOKUP(BS$7+0.5,$I$66:$DJ$120,ROWS($A$10:$A28)+2,FALSE)</f>
        <v>262</v>
      </c>
      <c r="BT28" s="34">
        <f>HLOOKUP(BT$7+0.5,$I$66:$DJ$120,ROWS($A$10:$A28)+2,FALSE)</f>
        <v>2697</v>
      </c>
      <c r="BU28" s="34">
        <f>HLOOKUP(BU$7+0.5,$I$66:$DJ$120,ROWS($A$10:$A28)+2,FALSE)</f>
        <v>1184</v>
      </c>
      <c r="BV28" s="34">
        <f>HLOOKUP(BV$7+0.5,$I$66:$DJ$120,ROWS($A$10:$A28)+2,FALSE)</f>
        <v>665</v>
      </c>
      <c r="BW28" s="34">
        <f>HLOOKUP(BW$7+0.5,$I$66:$DJ$120,ROWS($A$10:$A28)+2,FALSE)</f>
        <v>91</v>
      </c>
      <c r="BX28" s="34">
        <f>HLOOKUP(BX$7+0.5,$I$66:$DJ$120,ROWS($A$10:$A28)+2,FALSE)</f>
        <v>1359</v>
      </c>
      <c r="BY28" s="34">
        <f>HLOOKUP(BY$7+0.5,$I$66:$DJ$120,ROWS($A$10:$A28)+2,FALSE)</f>
        <v>2150</v>
      </c>
      <c r="BZ28" s="34">
        <f>HLOOKUP(BZ$7+0.5,$I$66:$DJ$120,ROWS($A$10:$A28)+2,FALSE)</f>
        <v>257</v>
      </c>
      <c r="CA28" s="34">
        <f>HLOOKUP(CA$7+0.5,$I$66:$DJ$120,ROWS($A$10:$A28)+2,FALSE)</f>
        <v>464</v>
      </c>
      <c r="CB28" s="34" t="str">
        <f>HLOOKUP(CB$7+0.5,$I$66:$DJ$120,ROWS($A$10:$A28)+2,FALSE)</f>
        <v>N/A</v>
      </c>
      <c r="CC28" s="34">
        <f>HLOOKUP(CC$7+0.5,$I$66:$DJ$120,ROWS($A$10:$A28)+2,FALSE)</f>
        <v>294</v>
      </c>
      <c r="CD28" s="34">
        <f>HLOOKUP(CD$7+0.5,$I$66:$DJ$120,ROWS($A$10:$A28)+2,FALSE)</f>
        <v>80</v>
      </c>
      <c r="CE28" s="34">
        <f>HLOOKUP(CE$7+0.5,$I$66:$DJ$120,ROWS($A$10:$A28)+2,FALSE)</f>
        <v>615</v>
      </c>
      <c r="CF28" s="34">
        <f>HLOOKUP(CF$7+0.5,$I$66:$DJ$120,ROWS($A$10:$A28)+2,FALSE)</f>
        <v>285</v>
      </c>
      <c r="CG28" s="34">
        <f>HLOOKUP(CG$7+0.5,$I$66:$DJ$120,ROWS($A$10:$A28)+2,FALSE)</f>
        <v>1809</v>
      </c>
      <c r="CH28" s="34">
        <f>HLOOKUP(CH$7+0.5,$I$66:$DJ$120,ROWS($A$10:$A28)+2,FALSE)</f>
        <v>346</v>
      </c>
      <c r="CI28" s="34">
        <f>HLOOKUP(CI$7+0.5,$I$66:$DJ$120,ROWS($A$10:$A28)+2,FALSE)</f>
        <v>467</v>
      </c>
      <c r="CJ28" s="34">
        <f>HLOOKUP(CJ$7+0.5,$I$66:$DJ$120,ROWS($A$10:$A28)+2,FALSE)</f>
        <v>1021</v>
      </c>
      <c r="CK28" s="34">
        <f>HLOOKUP(CK$7+0.5,$I$66:$DJ$120,ROWS($A$10:$A28)+2,FALSE)</f>
        <v>181</v>
      </c>
      <c r="CL28" s="34">
        <f>HLOOKUP(CL$7+0.5,$I$66:$DJ$120,ROWS($A$10:$A28)+2,FALSE)</f>
        <v>588</v>
      </c>
      <c r="CM28" s="34">
        <f>HLOOKUP(CM$7+0.5,$I$66:$DJ$120,ROWS($A$10:$A28)+2,FALSE)</f>
        <v>294</v>
      </c>
      <c r="CN28" s="34">
        <f>HLOOKUP(CN$7+0.5,$I$66:$DJ$120,ROWS($A$10:$A28)+2,FALSE)</f>
        <v>103</v>
      </c>
      <c r="CO28" s="34">
        <f>HLOOKUP(CO$7+0.5,$I$66:$DJ$120,ROWS($A$10:$A28)+2,FALSE)</f>
        <v>551</v>
      </c>
      <c r="CP28" s="34">
        <f>HLOOKUP(CP$7+0.5,$I$66:$DJ$120,ROWS($A$10:$A28)+2,FALSE)</f>
        <v>348</v>
      </c>
      <c r="CQ28" s="34">
        <f>HLOOKUP(CQ$7+0.5,$I$66:$DJ$120,ROWS($A$10:$A28)+2,FALSE)</f>
        <v>1774</v>
      </c>
      <c r="CR28" s="34">
        <f>HLOOKUP(CR$7+0.5,$I$66:$DJ$120,ROWS($A$10:$A28)+2,FALSE)</f>
        <v>1903</v>
      </c>
      <c r="CS28" s="34">
        <f>HLOOKUP(CS$7+0.5,$I$66:$DJ$120,ROWS($A$10:$A28)+2,FALSE)</f>
        <v>192</v>
      </c>
      <c r="CT28" s="34">
        <f>HLOOKUP(CT$7+0.5,$I$66:$DJ$120,ROWS($A$10:$A28)+2,FALSE)</f>
        <v>3384</v>
      </c>
      <c r="CU28" s="34">
        <f>HLOOKUP(CU$7+0.5,$I$66:$DJ$120,ROWS($A$10:$A28)+2,FALSE)</f>
        <v>437</v>
      </c>
      <c r="CV28" s="34">
        <f>HLOOKUP(CV$7+0.5,$I$66:$DJ$120,ROWS($A$10:$A28)+2,FALSE)</f>
        <v>212</v>
      </c>
      <c r="CW28" s="34">
        <f>HLOOKUP(CW$7+0.5,$I$66:$DJ$120,ROWS($A$10:$A28)+2,FALSE)</f>
        <v>964</v>
      </c>
      <c r="CX28" s="34">
        <f>HLOOKUP(CX$7+0.5,$I$66:$DJ$120,ROWS($A$10:$A28)+2,FALSE)</f>
        <v>181</v>
      </c>
      <c r="CY28" s="34">
        <f>HLOOKUP(CY$7+0.5,$I$66:$DJ$120,ROWS($A$10:$A28)+2,FALSE)</f>
        <v>671</v>
      </c>
      <c r="CZ28" s="34">
        <f>HLOOKUP(CZ$7+0.5,$I$66:$DJ$120,ROWS($A$10:$A28)+2,FALSE)</f>
        <v>181</v>
      </c>
      <c r="DA28" s="34">
        <f>HLOOKUP(DA$7+0.5,$I$66:$DJ$120,ROWS($A$10:$A28)+2,FALSE)</f>
        <v>2378</v>
      </c>
      <c r="DB28" s="34">
        <f>HLOOKUP(DB$7+0.5,$I$66:$DJ$120,ROWS($A$10:$A28)+2,FALSE)</f>
        <v>1420</v>
      </c>
      <c r="DC28" s="34">
        <f>HLOOKUP(DC$7+0.5,$I$66:$DJ$120,ROWS($A$10:$A28)+2,FALSE)</f>
        <v>360</v>
      </c>
      <c r="DD28" s="34">
        <f>HLOOKUP(DD$7+0.5,$I$66:$DJ$120,ROWS($A$10:$A28)+2,FALSE)</f>
        <v>81</v>
      </c>
      <c r="DE28" s="34">
        <f>HLOOKUP(DE$7+0.5,$I$66:$DJ$120,ROWS($A$10:$A28)+2,FALSE)</f>
        <v>1111</v>
      </c>
      <c r="DF28" s="34">
        <f>HLOOKUP(DF$7+0.5,$I$66:$DJ$120,ROWS($A$10:$A28)+2,FALSE)</f>
        <v>998</v>
      </c>
      <c r="DG28" s="34">
        <f>HLOOKUP(DG$7+0.5,$I$66:$DJ$120,ROWS($A$10:$A28)+2,FALSE)</f>
        <v>1472</v>
      </c>
      <c r="DH28" s="34">
        <f>HLOOKUP(DH$7+0.5,$I$66:$DJ$120,ROWS($A$10:$A28)+2,FALSE)</f>
        <v>845</v>
      </c>
      <c r="DI28" s="34">
        <f>HLOOKUP(DI$7+0.5,$I$66:$DJ$120,ROWS($A$10:$A28)+2,FALSE)</f>
        <v>181</v>
      </c>
      <c r="DJ28" s="34">
        <f>HLOOKUP(DJ$7+0.5,$I$66:$DJ$120,ROWS($A$10:$A28)+2,FALSE)</f>
        <v>197</v>
      </c>
    </row>
    <row r="29" spans="2:114" x14ac:dyDescent="0.25">
      <c r="B29" s="38" t="s">
        <v>25</v>
      </c>
      <c r="C29" s="16">
        <v>4545914</v>
      </c>
      <c r="D29" s="17">
        <v>4612</v>
      </c>
      <c r="E29" s="16">
        <v>3912023</v>
      </c>
      <c r="F29" s="17">
        <v>21791</v>
      </c>
      <c r="G29" s="16">
        <v>528406</v>
      </c>
      <c r="H29" s="17">
        <v>20131</v>
      </c>
      <c r="I29" s="36">
        <f>HLOOKUP(I$7,$I$66:$DJ$120,ROWS($A$10:$A29)+2,FALSE)</f>
        <v>91215</v>
      </c>
      <c r="J29" s="25">
        <f>HLOOKUP(J$7,$I$66:$DJ$120,ROWS($A$10:$A29)+2,FALSE)</f>
        <v>2329</v>
      </c>
      <c r="K29" s="25">
        <f>HLOOKUP(K$7,$I$66:$DJ$120,ROWS($A$10:$A29)+2,FALSE)</f>
        <v>403</v>
      </c>
      <c r="L29" s="25">
        <f>HLOOKUP(L$7,$I$66:$DJ$120,ROWS($A$10:$A29)+2,FALSE)</f>
        <v>2021</v>
      </c>
      <c r="M29" s="25">
        <f>HLOOKUP(M$7,$I$66:$DJ$120,ROWS($A$10:$A29)+2,FALSE)</f>
        <v>3645</v>
      </c>
      <c r="N29" s="25">
        <f>HLOOKUP(N$7,$I$66:$DJ$120,ROWS($A$10:$A29)+2,FALSE)</f>
        <v>5139</v>
      </c>
      <c r="O29" s="25">
        <f>HLOOKUP(O$7,$I$66:$DJ$120,ROWS($A$10:$A29)+2,FALSE)</f>
        <v>1433</v>
      </c>
      <c r="P29" s="25">
        <f>HLOOKUP(P$7,$I$66:$DJ$120,ROWS($A$10:$A29)+2,FALSE)</f>
        <v>164</v>
      </c>
      <c r="Q29" s="25">
        <f>HLOOKUP(Q$7,$I$66:$DJ$120,ROWS($A$10:$A29)+2,FALSE)</f>
        <v>0</v>
      </c>
      <c r="R29" s="25">
        <f>HLOOKUP(R$7,$I$66:$DJ$120,ROWS($A$10:$A29)+2,FALSE)</f>
        <v>596</v>
      </c>
      <c r="S29" s="25">
        <f>HLOOKUP(S$7,$I$66:$DJ$120,ROWS($A$10:$A29)+2,FALSE)</f>
        <v>6534</v>
      </c>
      <c r="T29" s="25">
        <f>HLOOKUP(T$7,$I$66:$DJ$120,ROWS($A$10:$A29)+2,FALSE)</f>
        <v>4478</v>
      </c>
      <c r="U29" s="25">
        <f>HLOOKUP(U$7,$I$66:$DJ$120,ROWS($A$10:$A29)+2,FALSE)</f>
        <v>378</v>
      </c>
      <c r="V29" s="25">
        <f>HLOOKUP(V$7,$I$66:$DJ$120,ROWS($A$10:$A29)+2,FALSE)</f>
        <v>265</v>
      </c>
      <c r="W29" s="25">
        <f>HLOOKUP(W$7,$I$66:$DJ$120,ROWS($A$10:$A29)+2,FALSE)</f>
        <v>1229</v>
      </c>
      <c r="X29" s="25">
        <f>HLOOKUP(X$7,$I$66:$DJ$120,ROWS($A$10:$A29)+2,FALSE)</f>
        <v>1359</v>
      </c>
      <c r="Y29" s="25">
        <f>HLOOKUP(Y$7,$I$66:$DJ$120,ROWS($A$10:$A29)+2,FALSE)</f>
        <v>544</v>
      </c>
      <c r="Z29" s="25">
        <f>HLOOKUP(Z$7,$I$66:$DJ$120,ROWS($A$10:$A29)+2,FALSE)</f>
        <v>420</v>
      </c>
      <c r="AA29" s="25">
        <f>HLOOKUP(AA$7,$I$66:$DJ$120,ROWS($A$10:$A29)+2,FALSE)</f>
        <v>1649</v>
      </c>
      <c r="AB29" s="25" t="str">
        <f>HLOOKUP(AB$7,$I$66:$DJ$120,ROWS($A$10:$A29)+2,FALSE)</f>
        <v>N/A</v>
      </c>
      <c r="AC29" s="25">
        <f>HLOOKUP(AC$7,$I$66:$DJ$120,ROWS($A$10:$A29)+2,FALSE)</f>
        <v>251</v>
      </c>
      <c r="AD29" s="25">
        <f>HLOOKUP(AD$7,$I$66:$DJ$120,ROWS($A$10:$A29)+2,FALSE)</f>
        <v>642</v>
      </c>
      <c r="AE29" s="25">
        <f>HLOOKUP(AE$7,$I$66:$DJ$120,ROWS($A$10:$A29)+2,FALSE)</f>
        <v>549</v>
      </c>
      <c r="AF29" s="25">
        <f>HLOOKUP(AF$7,$I$66:$DJ$120,ROWS($A$10:$A29)+2,FALSE)</f>
        <v>1080</v>
      </c>
      <c r="AG29" s="25">
        <f>HLOOKUP(AG$7,$I$66:$DJ$120,ROWS($A$10:$A29)+2,FALSE)</f>
        <v>330</v>
      </c>
      <c r="AH29" s="25">
        <f>HLOOKUP(AH$7,$I$66:$DJ$120,ROWS($A$10:$A29)+2,FALSE)</f>
        <v>6791</v>
      </c>
      <c r="AI29" s="25">
        <f>HLOOKUP(AI$7,$I$66:$DJ$120,ROWS($A$10:$A29)+2,FALSE)</f>
        <v>1591</v>
      </c>
      <c r="AJ29" s="25">
        <f>HLOOKUP(AJ$7,$I$66:$DJ$120,ROWS($A$10:$A29)+2,FALSE)</f>
        <v>428</v>
      </c>
      <c r="AK29" s="25">
        <f>HLOOKUP(AK$7,$I$66:$DJ$120,ROWS($A$10:$A29)+2,FALSE)</f>
        <v>745</v>
      </c>
      <c r="AL29" s="25">
        <f>HLOOKUP(AL$7,$I$66:$DJ$120,ROWS($A$10:$A29)+2,FALSE)</f>
        <v>931</v>
      </c>
      <c r="AM29" s="25">
        <f>HLOOKUP(AM$7,$I$66:$DJ$120,ROWS($A$10:$A29)+2,FALSE)</f>
        <v>11</v>
      </c>
      <c r="AN29" s="25">
        <f>HLOOKUP(AN$7,$I$66:$DJ$120,ROWS($A$10:$A29)+2,FALSE)</f>
        <v>975</v>
      </c>
      <c r="AO29" s="25">
        <f>HLOOKUP(AO$7,$I$66:$DJ$120,ROWS($A$10:$A29)+2,FALSE)</f>
        <v>150</v>
      </c>
      <c r="AP29" s="25">
        <f>HLOOKUP(AP$7,$I$66:$DJ$120,ROWS($A$10:$A29)+2,FALSE)</f>
        <v>2786</v>
      </c>
      <c r="AQ29" s="25">
        <f>HLOOKUP(AQ$7,$I$66:$DJ$120,ROWS($A$10:$A29)+2,FALSE)</f>
        <v>2284</v>
      </c>
      <c r="AR29" s="25">
        <f>HLOOKUP(AR$7,$I$66:$DJ$120,ROWS($A$10:$A29)+2,FALSE)</f>
        <v>64</v>
      </c>
      <c r="AS29" s="25">
        <f>HLOOKUP(AS$7,$I$66:$DJ$120,ROWS($A$10:$A29)+2,FALSE)</f>
        <v>1115</v>
      </c>
      <c r="AT29" s="25">
        <f>HLOOKUP(AT$7,$I$66:$DJ$120,ROWS($A$10:$A29)+2,FALSE)</f>
        <v>2159</v>
      </c>
      <c r="AU29" s="25">
        <f>HLOOKUP(AU$7,$I$66:$DJ$120,ROWS($A$10:$A29)+2,FALSE)</f>
        <v>195</v>
      </c>
      <c r="AV29" s="25">
        <f>HLOOKUP(AV$7,$I$66:$DJ$120,ROWS($A$10:$A29)+2,FALSE)</f>
        <v>1239</v>
      </c>
      <c r="AW29" s="25">
        <f>HLOOKUP(AW$7,$I$66:$DJ$120,ROWS($A$10:$A29)+2,FALSE)</f>
        <v>737</v>
      </c>
      <c r="AX29" s="25">
        <f>HLOOKUP(AX$7,$I$66:$DJ$120,ROWS($A$10:$A29)+2,FALSE)</f>
        <v>1914</v>
      </c>
      <c r="AY29" s="25">
        <f>HLOOKUP(AY$7,$I$66:$DJ$120,ROWS($A$10:$A29)+2,FALSE)</f>
        <v>0</v>
      </c>
      <c r="AZ29" s="25">
        <f>HLOOKUP(AZ$7,$I$66:$DJ$120,ROWS($A$10:$A29)+2,FALSE)</f>
        <v>2348</v>
      </c>
      <c r="BA29" s="25">
        <f>HLOOKUP(BA$7,$I$66:$DJ$120,ROWS($A$10:$A29)+2,FALSE)</f>
        <v>24488</v>
      </c>
      <c r="BB29" s="25">
        <f>HLOOKUP(BB$7,$I$66:$DJ$120,ROWS($A$10:$A29)+2,FALSE)</f>
        <v>277</v>
      </c>
      <c r="BC29" s="25">
        <f>HLOOKUP(BC$7,$I$66:$DJ$120,ROWS($A$10:$A29)+2,FALSE)</f>
        <v>45</v>
      </c>
      <c r="BD29" s="25">
        <f>HLOOKUP(BD$7,$I$66:$DJ$120,ROWS($A$10:$A29)+2,FALSE)</f>
        <v>1857</v>
      </c>
      <c r="BE29" s="25">
        <f>HLOOKUP(BE$7,$I$66:$DJ$120,ROWS($A$10:$A29)+2,FALSE)</f>
        <v>1581</v>
      </c>
      <c r="BF29" s="25">
        <f>HLOOKUP(BF$7,$I$66:$DJ$120,ROWS($A$10:$A29)+2,FALSE)</f>
        <v>238</v>
      </c>
      <c r="BG29" s="25">
        <f>HLOOKUP(BG$7,$I$66:$DJ$120,ROWS($A$10:$A29)+2,FALSE)</f>
        <v>682</v>
      </c>
      <c r="BH29" s="25">
        <f>HLOOKUP(BH$7,$I$66:$DJ$120,ROWS($A$10:$A29)+2,FALSE)</f>
        <v>146</v>
      </c>
      <c r="BI29" s="25">
        <f>HLOOKUP(BI$7,$I$66:$DJ$120,ROWS($A$10:$A29)+2,FALSE)</f>
        <v>655</v>
      </c>
      <c r="BJ29" s="34">
        <f>HLOOKUP(BJ$7+0.5,$I$66:$DJ$120,ROWS($A$10:$A29)+2,FALSE)</f>
        <v>6941</v>
      </c>
      <c r="BK29" s="34">
        <f>HLOOKUP(BK$7+0.5,$I$66:$DJ$120,ROWS($A$10:$A29)+2,FALSE)</f>
        <v>1114</v>
      </c>
      <c r="BL29" s="34">
        <f>HLOOKUP(BL$7+0.5,$I$66:$DJ$120,ROWS($A$10:$A29)+2,FALSE)</f>
        <v>467</v>
      </c>
      <c r="BM29" s="34">
        <f>HLOOKUP(BM$7+0.5,$I$66:$DJ$120,ROWS($A$10:$A29)+2,FALSE)</f>
        <v>1191</v>
      </c>
      <c r="BN29" s="34">
        <f>HLOOKUP(BN$7+0.5,$I$66:$DJ$120,ROWS($A$10:$A29)+2,FALSE)</f>
        <v>2324</v>
      </c>
      <c r="BO29" s="34">
        <f>HLOOKUP(BO$7+0.5,$I$66:$DJ$120,ROWS($A$10:$A29)+2,FALSE)</f>
        <v>1438</v>
      </c>
      <c r="BP29" s="34">
        <f>HLOOKUP(BP$7+0.5,$I$66:$DJ$120,ROWS($A$10:$A29)+2,FALSE)</f>
        <v>1002</v>
      </c>
      <c r="BQ29" s="34">
        <f>HLOOKUP(BQ$7+0.5,$I$66:$DJ$120,ROWS($A$10:$A29)+2,FALSE)</f>
        <v>149</v>
      </c>
      <c r="BR29" s="34">
        <f>HLOOKUP(BR$7+0.5,$I$66:$DJ$120,ROWS($A$10:$A29)+2,FALSE)</f>
        <v>193</v>
      </c>
      <c r="BS29" s="34">
        <f>HLOOKUP(BS$7+0.5,$I$66:$DJ$120,ROWS($A$10:$A29)+2,FALSE)</f>
        <v>517</v>
      </c>
      <c r="BT29" s="34">
        <f>HLOOKUP(BT$7+0.5,$I$66:$DJ$120,ROWS($A$10:$A29)+2,FALSE)</f>
        <v>2276</v>
      </c>
      <c r="BU29" s="34">
        <f>HLOOKUP(BU$7+0.5,$I$66:$DJ$120,ROWS($A$10:$A29)+2,FALSE)</f>
        <v>1559</v>
      </c>
      <c r="BV29" s="34">
        <f>HLOOKUP(BV$7+0.5,$I$66:$DJ$120,ROWS($A$10:$A29)+2,FALSE)</f>
        <v>283</v>
      </c>
      <c r="BW29" s="34">
        <f>HLOOKUP(BW$7+0.5,$I$66:$DJ$120,ROWS($A$10:$A29)+2,FALSE)</f>
        <v>242</v>
      </c>
      <c r="BX29" s="34">
        <f>HLOOKUP(BX$7+0.5,$I$66:$DJ$120,ROWS($A$10:$A29)+2,FALSE)</f>
        <v>466</v>
      </c>
      <c r="BY29" s="34">
        <f>HLOOKUP(BY$7+0.5,$I$66:$DJ$120,ROWS($A$10:$A29)+2,FALSE)</f>
        <v>954</v>
      </c>
      <c r="BZ29" s="34">
        <f>HLOOKUP(BZ$7+0.5,$I$66:$DJ$120,ROWS($A$10:$A29)+2,FALSE)</f>
        <v>447</v>
      </c>
      <c r="CA29" s="34">
        <f>HLOOKUP(CA$7+0.5,$I$66:$DJ$120,ROWS($A$10:$A29)+2,FALSE)</f>
        <v>392</v>
      </c>
      <c r="CB29" s="34">
        <f>HLOOKUP(CB$7+0.5,$I$66:$DJ$120,ROWS($A$10:$A29)+2,FALSE)</f>
        <v>1224</v>
      </c>
      <c r="CC29" s="34" t="str">
        <f>HLOOKUP(CC$7+0.5,$I$66:$DJ$120,ROWS($A$10:$A29)+2,FALSE)</f>
        <v>N/A</v>
      </c>
      <c r="CD29" s="34">
        <f>HLOOKUP(CD$7+0.5,$I$66:$DJ$120,ROWS($A$10:$A29)+2,FALSE)</f>
        <v>334</v>
      </c>
      <c r="CE29" s="34">
        <f>HLOOKUP(CE$7+0.5,$I$66:$DJ$120,ROWS($A$10:$A29)+2,FALSE)</f>
        <v>701</v>
      </c>
      <c r="CF29" s="34">
        <f>HLOOKUP(CF$7+0.5,$I$66:$DJ$120,ROWS($A$10:$A29)+2,FALSE)</f>
        <v>354</v>
      </c>
      <c r="CG29" s="34">
        <f>HLOOKUP(CG$7+0.5,$I$66:$DJ$120,ROWS($A$10:$A29)+2,FALSE)</f>
        <v>782</v>
      </c>
      <c r="CH29" s="34">
        <f>HLOOKUP(CH$7+0.5,$I$66:$DJ$120,ROWS($A$10:$A29)+2,FALSE)</f>
        <v>324</v>
      </c>
      <c r="CI29" s="34">
        <f>HLOOKUP(CI$7+0.5,$I$66:$DJ$120,ROWS($A$10:$A29)+2,FALSE)</f>
        <v>1938</v>
      </c>
      <c r="CJ29" s="34">
        <f>HLOOKUP(CJ$7+0.5,$I$66:$DJ$120,ROWS($A$10:$A29)+2,FALSE)</f>
        <v>684</v>
      </c>
      <c r="CK29" s="34">
        <f>HLOOKUP(CK$7+0.5,$I$66:$DJ$120,ROWS($A$10:$A29)+2,FALSE)</f>
        <v>524</v>
      </c>
      <c r="CL29" s="34">
        <f>HLOOKUP(CL$7+0.5,$I$66:$DJ$120,ROWS($A$10:$A29)+2,FALSE)</f>
        <v>538</v>
      </c>
      <c r="CM29" s="34">
        <f>HLOOKUP(CM$7+0.5,$I$66:$DJ$120,ROWS($A$10:$A29)+2,FALSE)</f>
        <v>682</v>
      </c>
      <c r="CN29" s="34">
        <f>HLOOKUP(CN$7+0.5,$I$66:$DJ$120,ROWS($A$10:$A29)+2,FALSE)</f>
        <v>21</v>
      </c>
      <c r="CO29" s="34">
        <f>HLOOKUP(CO$7+0.5,$I$66:$DJ$120,ROWS($A$10:$A29)+2,FALSE)</f>
        <v>575</v>
      </c>
      <c r="CP29" s="34">
        <f>HLOOKUP(CP$7+0.5,$I$66:$DJ$120,ROWS($A$10:$A29)+2,FALSE)</f>
        <v>188</v>
      </c>
      <c r="CQ29" s="34">
        <f>HLOOKUP(CQ$7+0.5,$I$66:$DJ$120,ROWS($A$10:$A29)+2,FALSE)</f>
        <v>1105</v>
      </c>
      <c r="CR29" s="34">
        <f>HLOOKUP(CR$7+0.5,$I$66:$DJ$120,ROWS($A$10:$A29)+2,FALSE)</f>
        <v>1152</v>
      </c>
      <c r="CS29" s="34">
        <f>HLOOKUP(CS$7+0.5,$I$66:$DJ$120,ROWS($A$10:$A29)+2,FALSE)</f>
        <v>113</v>
      </c>
      <c r="CT29" s="34">
        <f>HLOOKUP(CT$7+0.5,$I$66:$DJ$120,ROWS($A$10:$A29)+2,FALSE)</f>
        <v>773</v>
      </c>
      <c r="CU29" s="34">
        <f>HLOOKUP(CU$7+0.5,$I$66:$DJ$120,ROWS($A$10:$A29)+2,FALSE)</f>
        <v>1365</v>
      </c>
      <c r="CV29" s="34">
        <f>HLOOKUP(CV$7+0.5,$I$66:$DJ$120,ROWS($A$10:$A29)+2,FALSE)</f>
        <v>232</v>
      </c>
      <c r="CW29" s="34">
        <f>HLOOKUP(CW$7+0.5,$I$66:$DJ$120,ROWS($A$10:$A29)+2,FALSE)</f>
        <v>616</v>
      </c>
      <c r="CX29" s="34">
        <f>HLOOKUP(CX$7+0.5,$I$66:$DJ$120,ROWS($A$10:$A29)+2,FALSE)</f>
        <v>695</v>
      </c>
      <c r="CY29" s="34">
        <f>HLOOKUP(CY$7+0.5,$I$66:$DJ$120,ROWS($A$10:$A29)+2,FALSE)</f>
        <v>1377</v>
      </c>
      <c r="CZ29" s="34">
        <f>HLOOKUP(CZ$7+0.5,$I$66:$DJ$120,ROWS($A$10:$A29)+2,FALSE)</f>
        <v>193</v>
      </c>
      <c r="DA29" s="34">
        <f>HLOOKUP(DA$7+0.5,$I$66:$DJ$120,ROWS($A$10:$A29)+2,FALSE)</f>
        <v>1546</v>
      </c>
      <c r="DB29" s="34">
        <f>HLOOKUP(DB$7+0.5,$I$66:$DJ$120,ROWS($A$10:$A29)+2,FALSE)</f>
        <v>4076</v>
      </c>
      <c r="DC29" s="34">
        <f>HLOOKUP(DC$7+0.5,$I$66:$DJ$120,ROWS($A$10:$A29)+2,FALSE)</f>
        <v>288</v>
      </c>
      <c r="DD29" s="34">
        <f>HLOOKUP(DD$7+0.5,$I$66:$DJ$120,ROWS($A$10:$A29)+2,FALSE)</f>
        <v>72</v>
      </c>
      <c r="DE29" s="34">
        <f>HLOOKUP(DE$7+0.5,$I$66:$DJ$120,ROWS($A$10:$A29)+2,FALSE)</f>
        <v>1033</v>
      </c>
      <c r="DF29" s="34">
        <f>HLOOKUP(DF$7+0.5,$I$66:$DJ$120,ROWS($A$10:$A29)+2,FALSE)</f>
        <v>631</v>
      </c>
      <c r="DG29" s="34">
        <f>HLOOKUP(DG$7+0.5,$I$66:$DJ$120,ROWS($A$10:$A29)+2,FALSE)</f>
        <v>271</v>
      </c>
      <c r="DH29" s="34">
        <f>HLOOKUP(DH$7+0.5,$I$66:$DJ$120,ROWS($A$10:$A29)+2,FALSE)</f>
        <v>474</v>
      </c>
      <c r="DI29" s="34">
        <f>HLOOKUP(DI$7+0.5,$I$66:$DJ$120,ROWS($A$10:$A29)+2,FALSE)</f>
        <v>216</v>
      </c>
      <c r="DJ29" s="34">
        <f>HLOOKUP(DJ$7+0.5,$I$66:$DJ$120,ROWS($A$10:$A29)+2,FALSE)</f>
        <v>507</v>
      </c>
    </row>
    <row r="30" spans="2:114" x14ac:dyDescent="0.25">
      <c r="B30" s="38" t="s">
        <v>26</v>
      </c>
      <c r="C30" s="16">
        <v>1315586</v>
      </c>
      <c r="D30" s="17">
        <v>1384</v>
      </c>
      <c r="E30" s="16">
        <v>1132344</v>
      </c>
      <c r="F30" s="17">
        <v>9895</v>
      </c>
      <c r="G30" s="16">
        <v>151438</v>
      </c>
      <c r="H30" s="17">
        <v>9223</v>
      </c>
      <c r="I30" s="36">
        <f>HLOOKUP(I$7,$I$66:$DJ$120,ROWS($A$10:$A30)+2,FALSE)</f>
        <v>27523</v>
      </c>
      <c r="J30" s="25">
        <f>HLOOKUP(J$7,$I$66:$DJ$120,ROWS($A$10:$A30)+2,FALSE)</f>
        <v>129</v>
      </c>
      <c r="K30" s="25">
        <f>HLOOKUP(K$7,$I$66:$DJ$120,ROWS($A$10:$A30)+2,FALSE)</f>
        <v>38</v>
      </c>
      <c r="L30" s="25">
        <f>HLOOKUP(L$7,$I$66:$DJ$120,ROWS($A$10:$A30)+2,FALSE)</f>
        <v>230</v>
      </c>
      <c r="M30" s="25">
        <f>HLOOKUP(M$7,$I$66:$DJ$120,ROWS($A$10:$A30)+2,FALSE)</f>
        <v>0</v>
      </c>
      <c r="N30" s="25">
        <f>HLOOKUP(N$7,$I$66:$DJ$120,ROWS($A$10:$A30)+2,FALSE)</f>
        <v>1610</v>
      </c>
      <c r="O30" s="25">
        <f>HLOOKUP(O$7,$I$66:$DJ$120,ROWS($A$10:$A30)+2,FALSE)</f>
        <v>314</v>
      </c>
      <c r="P30" s="25">
        <f>HLOOKUP(P$7,$I$66:$DJ$120,ROWS($A$10:$A30)+2,FALSE)</f>
        <v>1468</v>
      </c>
      <c r="Q30" s="25">
        <f>HLOOKUP(Q$7,$I$66:$DJ$120,ROWS($A$10:$A30)+2,FALSE)</f>
        <v>234</v>
      </c>
      <c r="R30" s="25">
        <f>HLOOKUP(R$7,$I$66:$DJ$120,ROWS($A$10:$A30)+2,FALSE)</f>
        <v>32</v>
      </c>
      <c r="S30" s="25">
        <f>HLOOKUP(S$7,$I$66:$DJ$120,ROWS($A$10:$A30)+2,FALSE)</f>
        <v>2926</v>
      </c>
      <c r="T30" s="25">
        <f>HLOOKUP(T$7,$I$66:$DJ$120,ROWS($A$10:$A30)+2,FALSE)</f>
        <v>511</v>
      </c>
      <c r="U30" s="25">
        <f>HLOOKUP(U$7,$I$66:$DJ$120,ROWS($A$10:$A30)+2,FALSE)</f>
        <v>0</v>
      </c>
      <c r="V30" s="25">
        <f>HLOOKUP(V$7,$I$66:$DJ$120,ROWS($A$10:$A30)+2,FALSE)</f>
        <v>143</v>
      </c>
      <c r="W30" s="25">
        <f>HLOOKUP(W$7,$I$66:$DJ$120,ROWS($A$10:$A30)+2,FALSE)</f>
        <v>195</v>
      </c>
      <c r="X30" s="25">
        <f>HLOOKUP(X$7,$I$66:$DJ$120,ROWS($A$10:$A30)+2,FALSE)</f>
        <v>0</v>
      </c>
      <c r="Y30" s="25">
        <f>HLOOKUP(Y$7,$I$66:$DJ$120,ROWS($A$10:$A30)+2,FALSE)</f>
        <v>7</v>
      </c>
      <c r="Z30" s="25">
        <f>HLOOKUP(Z$7,$I$66:$DJ$120,ROWS($A$10:$A30)+2,FALSE)</f>
        <v>277</v>
      </c>
      <c r="AA30" s="25">
        <f>HLOOKUP(AA$7,$I$66:$DJ$120,ROWS($A$10:$A30)+2,FALSE)</f>
        <v>482</v>
      </c>
      <c r="AB30" s="25">
        <f>HLOOKUP(AB$7,$I$66:$DJ$120,ROWS($A$10:$A30)+2,FALSE)</f>
        <v>15</v>
      </c>
      <c r="AC30" s="25" t="str">
        <f>HLOOKUP(AC$7,$I$66:$DJ$120,ROWS($A$10:$A30)+2,FALSE)</f>
        <v>N/A</v>
      </c>
      <c r="AD30" s="25">
        <f>HLOOKUP(AD$7,$I$66:$DJ$120,ROWS($A$10:$A30)+2,FALSE)</f>
        <v>325</v>
      </c>
      <c r="AE30" s="25">
        <f>HLOOKUP(AE$7,$I$66:$DJ$120,ROWS($A$10:$A30)+2,FALSE)</f>
        <v>3887</v>
      </c>
      <c r="AF30" s="25">
        <f>HLOOKUP(AF$7,$I$66:$DJ$120,ROWS($A$10:$A30)+2,FALSE)</f>
        <v>116</v>
      </c>
      <c r="AG30" s="25">
        <f>HLOOKUP(AG$7,$I$66:$DJ$120,ROWS($A$10:$A30)+2,FALSE)</f>
        <v>430</v>
      </c>
      <c r="AH30" s="25">
        <f>HLOOKUP(AH$7,$I$66:$DJ$120,ROWS($A$10:$A30)+2,FALSE)</f>
        <v>79</v>
      </c>
      <c r="AI30" s="25">
        <f>HLOOKUP(AI$7,$I$66:$DJ$120,ROWS($A$10:$A30)+2,FALSE)</f>
        <v>69</v>
      </c>
      <c r="AJ30" s="25">
        <f>HLOOKUP(AJ$7,$I$66:$DJ$120,ROWS($A$10:$A30)+2,FALSE)</f>
        <v>0</v>
      </c>
      <c r="AK30" s="25">
        <f>HLOOKUP(AK$7,$I$66:$DJ$120,ROWS($A$10:$A30)+2,FALSE)</f>
        <v>82</v>
      </c>
      <c r="AL30" s="25">
        <f>HLOOKUP(AL$7,$I$66:$DJ$120,ROWS($A$10:$A30)+2,FALSE)</f>
        <v>35</v>
      </c>
      <c r="AM30" s="25">
        <f>HLOOKUP(AM$7,$I$66:$DJ$120,ROWS($A$10:$A30)+2,FALSE)</f>
        <v>3655</v>
      </c>
      <c r="AN30" s="25">
        <f>HLOOKUP(AN$7,$I$66:$DJ$120,ROWS($A$10:$A30)+2,FALSE)</f>
        <v>405</v>
      </c>
      <c r="AO30" s="25">
        <f>HLOOKUP(AO$7,$I$66:$DJ$120,ROWS($A$10:$A30)+2,FALSE)</f>
        <v>272</v>
      </c>
      <c r="AP30" s="25">
        <f>HLOOKUP(AP$7,$I$66:$DJ$120,ROWS($A$10:$A30)+2,FALSE)</f>
        <v>2519</v>
      </c>
      <c r="AQ30" s="25">
        <f>HLOOKUP(AQ$7,$I$66:$DJ$120,ROWS($A$10:$A30)+2,FALSE)</f>
        <v>1112</v>
      </c>
      <c r="AR30" s="25">
        <f>HLOOKUP(AR$7,$I$66:$DJ$120,ROWS($A$10:$A30)+2,FALSE)</f>
        <v>0</v>
      </c>
      <c r="AS30" s="25">
        <f>HLOOKUP(AS$7,$I$66:$DJ$120,ROWS($A$10:$A30)+2,FALSE)</f>
        <v>628</v>
      </c>
      <c r="AT30" s="25">
        <f>HLOOKUP(AT$7,$I$66:$DJ$120,ROWS($A$10:$A30)+2,FALSE)</f>
        <v>79</v>
      </c>
      <c r="AU30" s="25">
        <f>HLOOKUP(AU$7,$I$66:$DJ$120,ROWS($A$10:$A30)+2,FALSE)</f>
        <v>215</v>
      </c>
      <c r="AV30" s="25">
        <f>HLOOKUP(AV$7,$I$66:$DJ$120,ROWS($A$10:$A30)+2,FALSE)</f>
        <v>976</v>
      </c>
      <c r="AW30" s="25">
        <f>HLOOKUP(AW$7,$I$66:$DJ$120,ROWS($A$10:$A30)+2,FALSE)</f>
        <v>1024</v>
      </c>
      <c r="AX30" s="25">
        <f>HLOOKUP(AX$7,$I$66:$DJ$120,ROWS($A$10:$A30)+2,FALSE)</f>
        <v>173</v>
      </c>
      <c r="AY30" s="25">
        <f>HLOOKUP(AY$7,$I$66:$DJ$120,ROWS($A$10:$A30)+2,FALSE)</f>
        <v>0</v>
      </c>
      <c r="AZ30" s="25">
        <f>HLOOKUP(AZ$7,$I$66:$DJ$120,ROWS($A$10:$A30)+2,FALSE)</f>
        <v>985</v>
      </c>
      <c r="BA30" s="25">
        <f>HLOOKUP(BA$7,$I$66:$DJ$120,ROWS($A$10:$A30)+2,FALSE)</f>
        <v>496</v>
      </c>
      <c r="BB30" s="25">
        <f>HLOOKUP(BB$7,$I$66:$DJ$120,ROWS($A$10:$A30)+2,FALSE)</f>
        <v>200</v>
      </c>
      <c r="BC30" s="25">
        <f>HLOOKUP(BC$7,$I$66:$DJ$120,ROWS($A$10:$A30)+2,FALSE)</f>
        <v>349</v>
      </c>
      <c r="BD30" s="25">
        <f>HLOOKUP(BD$7,$I$66:$DJ$120,ROWS($A$10:$A30)+2,FALSE)</f>
        <v>573</v>
      </c>
      <c r="BE30" s="25">
        <f>HLOOKUP(BE$7,$I$66:$DJ$120,ROWS($A$10:$A30)+2,FALSE)</f>
        <v>118</v>
      </c>
      <c r="BF30" s="25">
        <f>HLOOKUP(BF$7,$I$66:$DJ$120,ROWS($A$10:$A30)+2,FALSE)</f>
        <v>51</v>
      </c>
      <c r="BG30" s="25">
        <f>HLOOKUP(BG$7,$I$66:$DJ$120,ROWS($A$10:$A30)+2,FALSE)</f>
        <v>0</v>
      </c>
      <c r="BH30" s="25">
        <f>HLOOKUP(BH$7,$I$66:$DJ$120,ROWS($A$10:$A30)+2,FALSE)</f>
        <v>59</v>
      </c>
      <c r="BI30" s="25">
        <f>HLOOKUP(BI$7,$I$66:$DJ$120,ROWS($A$10:$A30)+2,FALSE)</f>
        <v>38</v>
      </c>
      <c r="BJ30" s="34">
        <f>HLOOKUP(BJ$7+0.5,$I$66:$DJ$120,ROWS($A$10:$A30)+2,FALSE)</f>
        <v>3132</v>
      </c>
      <c r="BK30" s="34">
        <f>HLOOKUP(BK$7+0.5,$I$66:$DJ$120,ROWS($A$10:$A30)+2,FALSE)</f>
        <v>172</v>
      </c>
      <c r="BL30" s="34">
        <f>HLOOKUP(BL$7+0.5,$I$66:$DJ$120,ROWS($A$10:$A30)+2,FALSE)</f>
        <v>48</v>
      </c>
      <c r="BM30" s="34">
        <f>HLOOKUP(BM$7+0.5,$I$66:$DJ$120,ROWS($A$10:$A30)+2,FALSE)</f>
        <v>170</v>
      </c>
      <c r="BN30" s="34">
        <f>HLOOKUP(BN$7+0.5,$I$66:$DJ$120,ROWS($A$10:$A30)+2,FALSE)</f>
        <v>155</v>
      </c>
      <c r="BO30" s="34">
        <f>HLOOKUP(BO$7+0.5,$I$66:$DJ$120,ROWS($A$10:$A30)+2,FALSE)</f>
        <v>860</v>
      </c>
      <c r="BP30" s="34">
        <f>HLOOKUP(BP$7+0.5,$I$66:$DJ$120,ROWS($A$10:$A30)+2,FALSE)</f>
        <v>287</v>
      </c>
      <c r="BQ30" s="34">
        <f>HLOOKUP(BQ$7+0.5,$I$66:$DJ$120,ROWS($A$10:$A30)+2,FALSE)</f>
        <v>620</v>
      </c>
      <c r="BR30" s="34">
        <f>HLOOKUP(BR$7+0.5,$I$66:$DJ$120,ROWS($A$10:$A30)+2,FALSE)</f>
        <v>299</v>
      </c>
      <c r="BS30" s="34">
        <f>HLOOKUP(BS$7+0.5,$I$66:$DJ$120,ROWS($A$10:$A30)+2,FALSE)</f>
        <v>55</v>
      </c>
      <c r="BT30" s="34">
        <f>HLOOKUP(BT$7+0.5,$I$66:$DJ$120,ROWS($A$10:$A30)+2,FALSE)</f>
        <v>1292</v>
      </c>
      <c r="BU30" s="34">
        <f>HLOOKUP(BU$7+0.5,$I$66:$DJ$120,ROWS($A$10:$A30)+2,FALSE)</f>
        <v>538</v>
      </c>
      <c r="BV30" s="34">
        <f>HLOOKUP(BV$7+0.5,$I$66:$DJ$120,ROWS($A$10:$A30)+2,FALSE)</f>
        <v>155</v>
      </c>
      <c r="BW30" s="34">
        <f>HLOOKUP(BW$7+0.5,$I$66:$DJ$120,ROWS($A$10:$A30)+2,FALSE)</f>
        <v>128</v>
      </c>
      <c r="BX30" s="34">
        <f>HLOOKUP(BX$7+0.5,$I$66:$DJ$120,ROWS($A$10:$A30)+2,FALSE)</f>
        <v>277</v>
      </c>
      <c r="BY30" s="34">
        <f>HLOOKUP(BY$7+0.5,$I$66:$DJ$120,ROWS($A$10:$A30)+2,FALSE)</f>
        <v>155</v>
      </c>
      <c r="BZ30" s="34">
        <f>HLOOKUP(BZ$7+0.5,$I$66:$DJ$120,ROWS($A$10:$A30)+2,FALSE)</f>
        <v>16</v>
      </c>
      <c r="CA30" s="34">
        <f>HLOOKUP(CA$7+0.5,$I$66:$DJ$120,ROWS($A$10:$A30)+2,FALSE)</f>
        <v>401</v>
      </c>
      <c r="CB30" s="34">
        <f>HLOOKUP(CB$7+0.5,$I$66:$DJ$120,ROWS($A$10:$A30)+2,FALSE)</f>
        <v>521</v>
      </c>
      <c r="CC30" s="34">
        <f>HLOOKUP(CC$7+0.5,$I$66:$DJ$120,ROWS($A$10:$A30)+2,FALSE)</f>
        <v>30</v>
      </c>
      <c r="CD30" s="34" t="str">
        <f>HLOOKUP(CD$7+0.5,$I$66:$DJ$120,ROWS($A$10:$A30)+2,FALSE)</f>
        <v>N/A</v>
      </c>
      <c r="CE30" s="34">
        <f>HLOOKUP(CE$7+0.5,$I$66:$DJ$120,ROWS($A$10:$A30)+2,FALSE)</f>
        <v>263</v>
      </c>
      <c r="CF30" s="34">
        <f>HLOOKUP(CF$7+0.5,$I$66:$DJ$120,ROWS($A$10:$A30)+2,FALSE)</f>
        <v>1167</v>
      </c>
      <c r="CG30" s="34">
        <f>HLOOKUP(CG$7+0.5,$I$66:$DJ$120,ROWS($A$10:$A30)+2,FALSE)</f>
        <v>123</v>
      </c>
      <c r="CH30" s="34">
        <f>HLOOKUP(CH$7+0.5,$I$66:$DJ$120,ROWS($A$10:$A30)+2,FALSE)</f>
        <v>359</v>
      </c>
      <c r="CI30" s="34">
        <f>HLOOKUP(CI$7+0.5,$I$66:$DJ$120,ROWS($A$10:$A30)+2,FALSE)</f>
        <v>134</v>
      </c>
      <c r="CJ30" s="34">
        <f>HLOOKUP(CJ$7+0.5,$I$66:$DJ$120,ROWS($A$10:$A30)+2,FALSE)</f>
        <v>112</v>
      </c>
      <c r="CK30" s="34">
        <f>HLOOKUP(CK$7+0.5,$I$66:$DJ$120,ROWS($A$10:$A30)+2,FALSE)</f>
        <v>155</v>
      </c>
      <c r="CL30" s="34">
        <f>HLOOKUP(CL$7+0.5,$I$66:$DJ$120,ROWS($A$10:$A30)+2,FALSE)</f>
        <v>136</v>
      </c>
      <c r="CM30" s="34">
        <f>HLOOKUP(CM$7+0.5,$I$66:$DJ$120,ROWS($A$10:$A30)+2,FALSE)</f>
        <v>56</v>
      </c>
      <c r="CN30" s="34">
        <f>HLOOKUP(CN$7+0.5,$I$66:$DJ$120,ROWS($A$10:$A30)+2,FALSE)</f>
        <v>1077</v>
      </c>
      <c r="CO30" s="34">
        <f>HLOOKUP(CO$7+0.5,$I$66:$DJ$120,ROWS($A$10:$A30)+2,FALSE)</f>
        <v>281</v>
      </c>
      <c r="CP30" s="34">
        <f>HLOOKUP(CP$7+0.5,$I$66:$DJ$120,ROWS($A$10:$A30)+2,FALSE)</f>
        <v>320</v>
      </c>
      <c r="CQ30" s="34">
        <f>HLOOKUP(CQ$7+0.5,$I$66:$DJ$120,ROWS($A$10:$A30)+2,FALSE)</f>
        <v>1180</v>
      </c>
      <c r="CR30" s="34">
        <f>HLOOKUP(CR$7+0.5,$I$66:$DJ$120,ROWS($A$10:$A30)+2,FALSE)</f>
        <v>574</v>
      </c>
      <c r="CS30" s="34">
        <f>HLOOKUP(CS$7+0.5,$I$66:$DJ$120,ROWS($A$10:$A30)+2,FALSE)</f>
        <v>155</v>
      </c>
      <c r="CT30" s="34">
        <f>HLOOKUP(CT$7+0.5,$I$66:$DJ$120,ROWS($A$10:$A30)+2,FALSE)</f>
        <v>368</v>
      </c>
      <c r="CU30" s="34">
        <f>HLOOKUP(CU$7+0.5,$I$66:$DJ$120,ROWS($A$10:$A30)+2,FALSE)</f>
        <v>115</v>
      </c>
      <c r="CV30" s="34">
        <f>HLOOKUP(CV$7+0.5,$I$66:$DJ$120,ROWS($A$10:$A30)+2,FALSE)</f>
        <v>255</v>
      </c>
      <c r="CW30" s="34">
        <f>HLOOKUP(CW$7+0.5,$I$66:$DJ$120,ROWS($A$10:$A30)+2,FALSE)</f>
        <v>600</v>
      </c>
      <c r="CX30" s="34">
        <f>HLOOKUP(CX$7+0.5,$I$66:$DJ$120,ROWS($A$10:$A30)+2,FALSE)</f>
        <v>656</v>
      </c>
      <c r="CY30" s="34">
        <f>HLOOKUP(CY$7+0.5,$I$66:$DJ$120,ROWS($A$10:$A30)+2,FALSE)</f>
        <v>143</v>
      </c>
      <c r="CZ30" s="34">
        <f>HLOOKUP(CZ$7+0.5,$I$66:$DJ$120,ROWS($A$10:$A30)+2,FALSE)</f>
        <v>155</v>
      </c>
      <c r="DA30" s="34">
        <f>HLOOKUP(DA$7+0.5,$I$66:$DJ$120,ROWS($A$10:$A30)+2,FALSE)</f>
        <v>1062</v>
      </c>
      <c r="DB30" s="34">
        <f>HLOOKUP(DB$7+0.5,$I$66:$DJ$120,ROWS($A$10:$A30)+2,FALSE)</f>
        <v>381</v>
      </c>
      <c r="DC30" s="34">
        <f>HLOOKUP(DC$7+0.5,$I$66:$DJ$120,ROWS($A$10:$A30)+2,FALSE)</f>
        <v>183</v>
      </c>
      <c r="DD30" s="34">
        <f>HLOOKUP(DD$7+0.5,$I$66:$DJ$120,ROWS($A$10:$A30)+2,FALSE)</f>
        <v>340</v>
      </c>
      <c r="DE30" s="34">
        <f>HLOOKUP(DE$7+0.5,$I$66:$DJ$120,ROWS($A$10:$A30)+2,FALSE)</f>
        <v>408</v>
      </c>
      <c r="DF30" s="34">
        <f>HLOOKUP(DF$7+0.5,$I$66:$DJ$120,ROWS($A$10:$A30)+2,FALSE)</f>
        <v>137</v>
      </c>
      <c r="DG30" s="34">
        <f>HLOOKUP(DG$7+0.5,$I$66:$DJ$120,ROWS($A$10:$A30)+2,FALSE)</f>
        <v>85</v>
      </c>
      <c r="DH30" s="34">
        <f>HLOOKUP(DH$7+0.5,$I$66:$DJ$120,ROWS($A$10:$A30)+2,FALSE)</f>
        <v>155</v>
      </c>
      <c r="DI30" s="34">
        <f>HLOOKUP(DI$7+0.5,$I$66:$DJ$120,ROWS($A$10:$A30)+2,FALSE)</f>
        <v>81</v>
      </c>
      <c r="DJ30" s="34">
        <f>HLOOKUP(DJ$7+0.5,$I$66:$DJ$120,ROWS($A$10:$A30)+2,FALSE)</f>
        <v>69</v>
      </c>
    </row>
    <row r="31" spans="2:114" x14ac:dyDescent="0.25">
      <c r="B31" s="38" t="s">
        <v>27</v>
      </c>
      <c r="C31" s="16">
        <v>5816472</v>
      </c>
      <c r="D31" s="17">
        <v>3717</v>
      </c>
      <c r="E31" s="16">
        <v>5068457</v>
      </c>
      <c r="F31" s="17">
        <v>21604</v>
      </c>
      <c r="G31" s="16">
        <v>549973</v>
      </c>
      <c r="H31" s="17">
        <v>20595</v>
      </c>
      <c r="I31" s="36">
        <f>HLOOKUP(I$7,$I$66:$DJ$120,ROWS($A$10:$A31)+2,FALSE)</f>
        <v>154983</v>
      </c>
      <c r="J31" s="25">
        <f>HLOOKUP(J$7,$I$66:$DJ$120,ROWS($A$10:$A31)+2,FALSE)</f>
        <v>1261</v>
      </c>
      <c r="K31" s="25">
        <f>HLOOKUP(K$7,$I$66:$DJ$120,ROWS($A$10:$A31)+2,FALSE)</f>
        <v>1947</v>
      </c>
      <c r="L31" s="25">
        <f>HLOOKUP(L$7,$I$66:$DJ$120,ROWS($A$10:$A31)+2,FALSE)</f>
        <v>760</v>
      </c>
      <c r="M31" s="25">
        <f>HLOOKUP(M$7,$I$66:$DJ$120,ROWS($A$10:$A31)+2,FALSE)</f>
        <v>136</v>
      </c>
      <c r="N31" s="25">
        <f>HLOOKUP(N$7,$I$66:$DJ$120,ROWS($A$10:$A31)+2,FALSE)</f>
        <v>8614</v>
      </c>
      <c r="O31" s="25">
        <f>HLOOKUP(O$7,$I$66:$DJ$120,ROWS($A$10:$A31)+2,FALSE)</f>
        <v>1071</v>
      </c>
      <c r="P31" s="25">
        <f>HLOOKUP(P$7,$I$66:$DJ$120,ROWS($A$10:$A31)+2,FALSE)</f>
        <v>881</v>
      </c>
      <c r="Q31" s="25">
        <f>HLOOKUP(Q$7,$I$66:$DJ$120,ROWS($A$10:$A31)+2,FALSE)</f>
        <v>4100</v>
      </c>
      <c r="R31" s="25">
        <f>HLOOKUP(R$7,$I$66:$DJ$120,ROWS($A$10:$A31)+2,FALSE)</f>
        <v>21213</v>
      </c>
      <c r="S31" s="25">
        <f>HLOOKUP(S$7,$I$66:$DJ$120,ROWS($A$10:$A31)+2,FALSE)</f>
        <v>9610</v>
      </c>
      <c r="T31" s="25">
        <f>HLOOKUP(T$7,$I$66:$DJ$120,ROWS($A$10:$A31)+2,FALSE)</f>
        <v>4610</v>
      </c>
      <c r="U31" s="25">
        <f>HLOOKUP(U$7,$I$66:$DJ$120,ROWS($A$10:$A31)+2,FALSE)</f>
        <v>610</v>
      </c>
      <c r="V31" s="25">
        <f>HLOOKUP(V$7,$I$66:$DJ$120,ROWS($A$10:$A31)+2,FALSE)</f>
        <v>429</v>
      </c>
      <c r="W31" s="25">
        <f>HLOOKUP(W$7,$I$66:$DJ$120,ROWS($A$10:$A31)+2,FALSE)</f>
        <v>3621</v>
      </c>
      <c r="X31" s="25">
        <f>HLOOKUP(X$7,$I$66:$DJ$120,ROWS($A$10:$A31)+2,FALSE)</f>
        <v>1210</v>
      </c>
      <c r="Y31" s="25">
        <f>HLOOKUP(Y$7,$I$66:$DJ$120,ROWS($A$10:$A31)+2,FALSE)</f>
        <v>569</v>
      </c>
      <c r="Z31" s="25">
        <f>HLOOKUP(Z$7,$I$66:$DJ$120,ROWS($A$10:$A31)+2,FALSE)</f>
        <v>1726</v>
      </c>
      <c r="AA31" s="25">
        <f>HLOOKUP(AA$7,$I$66:$DJ$120,ROWS($A$10:$A31)+2,FALSE)</f>
        <v>715</v>
      </c>
      <c r="AB31" s="25">
        <f>HLOOKUP(AB$7,$I$66:$DJ$120,ROWS($A$10:$A31)+2,FALSE)</f>
        <v>606</v>
      </c>
      <c r="AC31" s="25">
        <f>HLOOKUP(AC$7,$I$66:$DJ$120,ROWS($A$10:$A31)+2,FALSE)</f>
        <v>332</v>
      </c>
      <c r="AD31" s="25" t="str">
        <f>HLOOKUP(AD$7,$I$66:$DJ$120,ROWS($A$10:$A31)+2,FALSE)</f>
        <v>N/A</v>
      </c>
      <c r="AE31" s="25">
        <f>HLOOKUP(AE$7,$I$66:$DJ$120,ROWS($A$10:$A31)+2,FALSE)</f>
        <v>3977</v>
      </c>
      <c r="AF31" s="25">
        <f>HLOOKUP(AF$7,$I$66:$DJ$120,ROWS($A$10:$A31)+2,FALSE)</f>
        <v>2167</v>
      </c>
      <c r="AG31" s="25">
        <f>HLOOKUP(AG$7,$I$66:$DJ$120,ROWS($A$10:$A31)+2,FALSE)</f>
        <v>1422</v>
      </c>
      <c r="AH31" s="25">
        <f>HLOOKUP(AH$7,$I$66:$DJ$120,ROWS($A$10:$A31)+2,FALSE)</f>
        <v>581</v>
      </c>
      <c r="AI31" s="25">
        <f>HLOOKUP(AI$7,$I$66:$DJ$120,ROWS($A$10:$A31)+2,FALSE)</f>
        <v>256</v>
      </c>
      <c r="AJ31" s="25">
        <f>HLOOKUP(AJ$7,$I$66:$DJ$120,ROWS($A$10:$A31)+2,FALSE)</f>
        <v>0</v>
      </c>
      <c r="AK31" s="25">
        <f>HLOOKUP(AK$7,$I$66:$DJ$120,ROWS($A$10:$A31)+2,FALSE)</f>
        <v>132</v>
      </c>
      <c r="AL31" s="25">
        <f>HLOOKUP(AL$7,$I$66:$DJ$120,ROWS($A$10:$A31)+2,FALSE)</f>
        <v>330</v>
      </c>
      <c r="AM31" s="25">
        <f>HLOOKUP(AM$7,$I$66:$DJ$120,ROWS($A$10:$A31)+2,FALSE)</f>
        <v>1124</v>
      </c>
      <c r="AN31" s="25">
        <f>HLOOKUP(AN$7,$I$66:$DJ$120,ROWS($A$10:$A31)+2,FALSE)</f>
        <v>6260</v>
      </c>
      <c r="AO31" s="25">
        <f>HLOOKUP(AO$7,$I$66:$DJ$120,ROWS($A$10:$A31)+2,FALSE)</f>
        <v>638</v>
      </c>
      <c r="AP31" s="25">
        <f>HLOOKUP(AP$7,$I$66:$DJ$120,ROWS($A$10:$A31)+2,FALSE)</f>
        <v>11736</v>
      </c>
      <c r="AQ31" s="25">
        <f>HLOOKUP(AQ$7,$I$66:$DJ$120,ROWS($A$10:$A31)+2,FALSE)</f>
        <v>7507</v>
      </c>
      <c r="AR31" s="25">
        <f>HLOOKUP(AR$7,$I$66:$DJ$120,ROWS($A$10:$A31)+2,FALSE)</f>
        <v>116</v>
      </c>
      <c r="AS31" s="25">
        <f>HLOOKUP(AS$7,$I$66:$DJ$120,ROWS($A$10:$A31)+2,FALSE)</f>
        <v>2522</v>
      </c>
      <c r="AT31" s="25">
        <f>HLOOKUP(AT$7,$I$66:$DJ$120,ROWS($A$10:$A31)+2,FALSE)</f>
        <v>463</v>
      </c>
      <c r="AU31" s="25">
        <f>HLOOKUP(AU$7,$I$66:$DJ$120,ROWS($A$10:$A31)+2,FALSE)</f>
        <v>378</v>
      </c>
      <c r="AV31" s="25">
        <f>HLOOKUP(AV$7,$I$66:$DJ$120,ROWS($A$10:$A31)+2,FALSE)</f>
        <v>15485</v>
      </c>
      <c r="AW31" s="25">
        <f>HLOOKUP(AW$7,$I$66:$DJ$120,ROWS($A$10:$A31)+2,FALSE)</f>
        <v>82</v>
      </c>
      <c r="AX31" s="25">
        <f>HLOOKUP(AX$7,$I$66:$DJ$120,ROWS($A$10:$A31)+2,FALSE)</f>
        <v>2297</v>
      </c>
      <c r="AY31" s="25">
        <f>HLOOKUP(AY$7,$I$66:$DJ$120,ROWS($A$10:$A31)+2,FALSE)</f>
        <v>0</v>
      </c>
      <c r="AZ31" s="25">
        <f>HLOOKUP(AZ$7,$I$66:$DJ$120,ROWS($A$10:$A31)+2,FALSE)</f>
        <v>1800</v>
      </c>
      <c r="BA31" s="25">
        <f>HLOOKUP(BA$7,$I$66:$DJ$120,ROWS($A$10:$A31)+2,FALSE)</f>
        <v>5612</v>
      </c>
      <c r="BB31" s="25">
        <f>HLOOKUP(BB$7,$I$66:$DJ$120,ROWS($A$10:$A31)+2,FALSE)</f>
        <v>1061</v>
      </c>
      <c r="BC31" s="25">
        <f>HLOOKUP(BC$7,$I$66:$DJ$120,ROWS($A$10:$A31)+2,FALSE)</f>
        <v>589</v>
      </c>
      <c r="BD31" s="25">
        <f>HLOOKUP(BD$7,$I$66:$DJ$120,ROWS($A$10:$A31)+2,FALSE)</f>
        <v>20579</v>
      </c>
      <c r="BE31" s="25">
        <f>HLOOKUP(BE$7,$I$66:$DJ$120,ROWS($A$10:$A31)+2,FALSE)</f>
        <v>1431</v>
      </c>
      <c r="BF31" s="25">
        <f>HLOOKUP(BF$7,$I$66:$DJ$120,ROWS($A$10:$A31)+2,FALSE)</f>
        <v>1957</v>
      </c>
      <c r="BG31" s="25">
        <f>HLOOKUP(BG$7,$I$66:$DJ$120,ROWS($A$10:$A31)+2,FALSE)</f>
        <v>460</v>
      </c>
      <c r="BH31" s="25">
        <f>HLOOKUP(BH$7,$I$66:$DJ$120,ROWS($A$10:$A31)+2,FALSE)</f>
        <v>0</v>
      </c>
      <c r="BI31" s="25">
        <f>HLOOKUP(BI$7,$I$66:$DJ$120,ROWS($A$10:$A31)+2,FALSE)</f>
        <v>294</v>
      </c>
      <c r="BJ31" s="34">
        <f>HLOOKUP(BJ$7+0.5,$I$66:$DJ$120,ROWS($A$10:$A31)+2,FALSE)</f>
        <v>8958</v>
      </c>
      <c r="BK31" s="34">
        <f>HLOOKUP(BK$7+0.5,$I$66:$DJ$120,ROWS($A$10:$A31)+2,FALSE)</f>
        <v>713</v>
      </c>
      <c r="BL31" s="34">
        <f>HLOOKUP(BL$7+0.5,$I$66:$DJ$120,ROWS($A$10:$A31)+2,FALSE)</f>
        <v>1123</v>
      </c>
      <c r="BM31" s="34">
        <f>HLOOKUP(BM$7+0.5,$I$66:$DJ$120,ROWS($A$10:$A31)+2,FALSE)</f>
        <v>359</v>
      </c>
      <c r="BN31" s="34">
        <f>HLOOKUP(BN$7+0.5,$I$66:$DJ$120,ROWS($A$10:$A31)+2,FALSE)</f>
        <v>159</v>
      </c>
      <c r="BO31" s="34">
        <f>HLOOKUP(BO$7+0.5,$I$66:$DJ$120,ROWS($A$10:$A31)+2,FALSE)</f>
        <v>2155</v>
      </c>
      <c r="BP31" s="34">
        <f>HLOOKUP(BP$7+0.5,$I$66:$DJ$120,ROWS($A$10:$A31)+2,FALSE)</f>
        <v>609</v>
      </c>
      <c r="BQ31" s="34">
        <f>HLOOKUP(BQ$7+0.5,$I$66:$DJ$120,ROWS($A$10:$A31)+2,FALSE)</f>
        <v>516</v>
      </c>
      <c r="BR31" s="34">
        <f>HLOOKUP(BR$7+0.5,$I$66:$DJ$120,ROWS($A$10:$A31)+2,FALSE)</f>
        <v>1303</v>
      </c>
      <c r="BS31" s="34">
        <f>HLOOKUP(BS$7+0.5,$I$66:$DJ$120,ROWS($A$10:$A31)+2,FALSE)</f>
        <v>3437</v>
      </c>
      <c r="BT31" s="34">
        <f>HLOOKUP(BT$7+0.5,$I$66:$DJ$120,ROWS($A$10:$A31)+2,FALSE)</f>
        <v>2515</v>
      </c>
      <c r="BU31" s="34">
        <f>HLOOKUP(BU$7+0.5,$I$66:$DJ$120,ROWS($A$10:$A31)+2,FALSE)</f>
        <v>2430</v>
      </c>
      <c r="BV31" s="34">
        <f>HLOOKUP(BV$7+0.5,$I$66:$DJ$120,ROWS($A$10:$A31)+2,FALSE)</f>
        <v>474</v>
      </c>
      <c r="BW31" s="34">
        <f>HLOOKUP(BW$7+0.5,$I$66:$DJ$120,ROWS($A$10:$A31)+2,FALSE)</f>
        <v>444</v>
      </c>
      <c r="BX31" s="34">
        <f>HLOOKUP(BX$7+0.5,$I$66:$DJ$120,ROWS($A$10:$A31)+2,FALSE)</f>
        <v>1647</v>
      </c>
      <c r="BY31" s="34">
        <f>HLOOKUP(BY$7+0.5,$I$66:$DJ$120,ROWS($A$10:$A31)+2,FALSE)</f>
        <v>709</v>
      </c>
      <c r="BZ31" s="34">
        <f>HLOOKUP(BZ$7+0.5,$I$66:$DJ$120,ROWS($A$10:$A31)+2,FALSE)</f>
        <v>389</v>
      </c>
      <c r="CA31" s="34">
        <f>HLOOKUP(CA$7+0.5,$I$66:$DJ$120,ROWS($A$10:$A31)+2,FALSE)</f>
        <v>1123</v>
      </c>
      <c r="CB31" s="34">
        <f>HLOOKUP(CB$7+0.5,$I$66:$DJ$120,ROWS($A$10:$A31)+2,FALSE)</f>
        <v>602</v>
      </c>
      <c r="CC31" s="34">
        <f>HLOOKUP(CC$7+0.5,$I$66:$DJ$120,ROWS($A$10:$A31)+2,FALSE)</f>
        <v>441</v>
      </c>
      <c r="CD31" s="34">
        <f>HLOOKUP(CD$7+0.5,$I$66:$DJ$120,ROWS($A$10:$A31)+2,FALSE)</f>
        <v>261</v>
      </c>
      <c r="CE31" s="34" t="str">
        <f>HLOOKUP(CE$7+0.5,$I$66:$DJ$120,ROWS($A$10:$A31)+2,FALSE)</f>
        <v>N/A</v>
      </c>
      <c r="CF31" s="34">
        <f>HLOOKUP(CF$7+0.5,$I$66:$DJ$120,ROWS($A$10:$A31)+2,FALSE)</f>
        <v>1805</v>
      </c>
      <c r="CG31" s="34">
        <f>HLOOKUP(CG$7+0.5,$I$66:$DJ$120,ROWS($A$10:$A31)+2,FALSE)</f>
        <v>973</v>
      </c>
      <c r="CH31" s="34">
        <f>HLOOKUP(CH$7+0.5,$I$66:$DJ$120,ROWS($A$10:$A31)+2,FALSE)</f>
        <v>707</v>
      </c>
      <c r="CI31" s="34">
        <f>HLOOKUP(CI$7+0.5,$I$66:$DJ$120,ROWS($A$10:$A31)+2,FALSE)</f>
        <v>706</v>
      </c>
      <c r="CJ31" s="34">
        <f>HLOOKUP(CJ$7+0.5,$I$66:$DJ$120,ROWS($A$10:$A31)+2,FALSE)</f>
        <v>199</v>
      </c>
      <c r="CK31" s="34">
        <f>HLOOKUP(CK$7+0.5,$I$66:$DJ$120,ROWS($A$10:$A31)+2,FALSE)</f>
        <v>190</v>
      </c>
      <c r="CL31" s="34">
        <f>HLOOKUP(CL$7+0.5,$I$66:$DJ$120,ROWS($A$10:$A31)+2,FALSE)</f>
        <v>152</v>
      </c>
      <c r="CM31" s="34">
        <f>HLOOKUP(CM$7+0.5,$I$66:$DJ$120,ROWS($A$10:$A31)+2,FALSE)</f>
        <v>258</v>
      </c>
      <c r="CN31" s="34">
        <f>HLOOKUP(CN$7+0.5,$I$66:$DJ$120,ROWS($A$10:$A31)+2,FALSE)</f>
        <v>820</v>
      </c>
      <c r="CO31" s="34">
        <f>HLOOKUP(CO$7+0.5,$I$66:$DJ$120,ROWS($A$10:$A31)+2,FALSE)</f>
        <v>2244</v>
      </c>
      <c r="CP31" s="34">
        <f>HLOOKUP(CP$7+0.5,$I$66:$DJ$120,ROWS($A$10:$A31)+2,FALSE)</f>
        <v>453</v>
      </c>
      <c r="CQ31" s="34">
        <f>HLOOKUP(CQ$7+0.5,$I$66:$DJ$120,ROWS($A$10:$A31)+2,FALSE)</f>
        <v>2585</v>
      </c>
      <c r="CR31" s="34">
        <f>HLOOKUP(CR$7+0.5,$I$66:$DJ$120,ROWS($A$10:$A31)+2,FALSE)</f>
        <v>2284</v>
      </c>
      <c r="CS31" s="34">
        <f>HLOOKUP(CS$7+0.5,$I$66:$DJ$120,ROWS($A$10:$A31)+2,FALSE)</f>
        <v>94</v>
      </c>
      <c r="CT31" s="34">
        <f>HLOOKUP(CT$7+0.5,$I$66:$DJ$120,ROWS($A$10:$A31)+2,FALSE)</f>
        <v>1035</v>
      </c>
      <c r="CU31" s="34">
        <f>HLOOKUP(CU$7+0.5,$I$66:$DJ$120,ROWS($A$10:$A31)+2,FALSE)</f>
        <v>447</v>
      </c>
      <c r="CV31" s="34">
        <f>HLOOKUP(CV$7+0.5,$I$66:$DJ$120,ROWS($A$10:$A31)+2,FALSE)</f>
        <v>426</v>
      </c>
      <c r="CW31" s="34">
        <f>HLOOKUP(CW$7+0.5,$I$66:$DJ$120,ROWS($A$10:$A31)+2,FALSE)</f>
        <v>2922</v>
      </c>
      <c r="CX31" s="34">
        <f>HLOOKUP(CX$7+0.5,$I$66:$DJ$120,ROWS($A$10:$A31)+2,FALSE)</f>
        <v>95</v>
      </c>
      <c r="CY31" s="34">
        <f>HLOOKUP(CY$7+0.5,$I$66:$DJ$120,ROWS($A$10:$A31)+2,FALSE)</f>
        <v>1139</v>
      </c>
      <c r="CZ31" s="34">
        <f>HLOOKUP(CZ$7+0.5,$I$66:$DJ$120,ROWS($A$10:$A31)+2,FALSE)</f>
        <v>190</v>
      </c>
      <c r="DA31" s="34">
        <f>HLOOKUP(DA$7+0.5,$I$66:$DJ$120,ROWS($A$10:$A31)+2,FALSE)</f>
        <v>986</v>
      </c>
      <c r="DB31" s="34">
        <f>HLOOKUP(DB$7+0.5,$I$66:$DJ$120,ROWS($A$10:$A31)+2,FALSE)</f>
        <v>1271</v>
      </c>
      <c r="DC31" s="34">
        <f>HLOOKUP(DC$7+0.5,$I$66:$DJ$120,ROWS($A$10:$A31)+2,FALSE)</f>
        <v>831</v>
      </c>
      <c r="DD31" s="34">
        <f>HLOOKUP(DD$7+0.5,$I$66:$DJ$120,ROWS($A$10:$A31)+2,FALSE)</f>
        <v>598</v>
      </c>
      <c r="DE31" s="34">
        <f>HLOOKUP(DE$7+0.5,$I$66:$DJ$120,ROWS($A$10:$A31)+2,FALSE)</f>
        <v>2668</v>
      </c>
      <c r="DF31" s="34">
        <f>HLOOKUP(DF$7+0.5,$I$66:$DJ$120,ROWS($A$10:$A31)+2,FALSE)</f>
        <v>884</v>
      </c>
      <c r="DG31" s="34">
        <f>HLOOKUP(DG$7+0.5,$I$66:$DJ$120,ROWS($A$10:$A31)+2,FALSE)</f>
        <v>799</v>
      </c>
      <c r="DH31" s="34">
        <f>HLOOKUP(DH$7+0.5,$I$66:$DJ$120,ROWS($A$10:$A31)+2,FALSE)</f>
        <v>371</v>
      </c>
      <c r="DI31" s="34">
        <f>HLOOKUP(DI$7+0.5,$I$66:$DJ$120,ROWS($A$10:$A31)+2,FALSE)</f>
        <v>190</v>
      </c>
      <c r="DJ31" s="34">
        <f>HLOOKUP(DJ$7+0.5,$I$66:$DJ$120,ROWS($A$10:$A31)+2,FALSE)</f>
        <v>249</v>
      </c>
    </row>
    <row r="32" spans="2:114" x14ac:dyDescent="0.25">
      <c r="B32" s="38" t="s">
        <v>28</v>
      </c>
      <c r="C32" s="16">
        <v>6580641</v>
      </c>
      <c r="D32" s="17">
        <v>3587</v>
      </c>
      <c r="E32" s="16">
        <v>5752166</v>
      </c>
      <c r="F32" s="17">
        <v>19793</v>
      </c>
      <c r="G32" s="16">
        <v>626380</v>
      </c>
      <c r="H32" s="17">
        <v>17354</v>
      </c>
      <c r="I32" s="36">
        <f>HLOOKUP(I$7,$I$66:$DJ$120,ROWS($A$10:$A32)+2,FALSE)</f>
        <v>142577</v>
      </c>
      <c r="J32" s="109">
        <f>HLOOKUP(J$7,$I$66:$DJ$120,ROWS($A$10:$A32)+2,FALSE)</f>
        <v>636</v>
      </c>
      <c r="K32" s="109">
        <f>HLOOKUP(K$7,$I$66:$DJ$120,ROWS($A$10:$A32)+2,FALSE)</f>
        <v>890</v>
      </c>
      <c r="L32" s="109">
        <f>HLOOKUP(L$7,$I$66:$DJ$120,ROWS($A$10:$A32)+2,FALSE)</f>
        <v>1972</v>
      </c>
      <c r="M32" s="109">
        <f>HLOOKUP(M$7,$I$66:$DJ$120,ROWS($A$10:$A32)+2,FALSE)</f>
        <v>394</v>
      </c>
      <c r="N32" s="109">
        <f>HLOOKUP(N$7,$I$66:$DJ$120,ROWS($A$10:$A32)+2,FALSE)</f>
        <v>12770</v>
      </c>
      <c r="O32" s="109">
        <f>HLOOKUP(O$7,$I$66:$DJ$120,ROWS($A$10:$A32)+2,FALSE)</f>
        <v>980</v>
      </c>
      <c r="P32" s="109">
        <f>HLOOKUP(P$7,$I$66:$DJ$120,ROWS($A$10:$A32)+2,FALSE)</f>
        <v>10525</v>
      </c>
      <c r="Q32" s="109">
        <f>HLOOKUP(Q$7,$I$66:$DJ$120,ROWS($A$10:$A32)+2,FALSE)</f>
        <v>506</v>
      </c>
      <c r="R32" s="109">
        <f>HLOOKUP(R$7,$I$66:$DJ$120,ROWS($A$10:$A32)+2,FALSE)</f>
        <v>379</v>
      </c>
      <c r="S32" s="109">
        <f>HLOOKUP(S$7,$I$66:$DJ$120,ROWS($A$10:$A32)+2,FALSE)</f>
        <v>12890</v>
      </c>
      <c r="T32" s="109">
        <f>HLOOKUP(T$7,$I$66:$DJ$120,ROWS($A$10:$A32)+2,FALSE)</f>
        <v>2789</v>
      </c>
      <c r="U32" s="109">
        <f>HLOOKUP(U$7,$I$66:$DJ$120,ROWS($A$10:$A32)+2,FALSE)</f>
        <v>1108</v>
      </c>
      <c r="V32" s="109">
        <f>HLOOKUP(V$7,$I$66:$DJ$120,ROWS($A$10:$A32)+2,FALSE)</f>
        <v>188</v>
      </c>
      <c r="W32" s="109">
        <f>HLOOKUP(W$7,$I$66:$DJ$120,ROWS($A$10:$A32)+2,FALSE)</f>
        <v>2886</v>
      </c>
      <c r="X32" s="109">
        <f>HLOOKUP(X$7,$I$66:$DJ$120,ROWS($A$10:$A32)+2,FALSE)</f>
        <v>677</v>
      </c>
      <c r="Y32" s="109">
        <f>HLOOKUP(Y$7,$I$66:$DJ$120,ROWS($A$10:$A32)+2,FALSE)</f>
        <v>151</v>
      </c>
      <c r="Z32" s="109">
        <f>HLOOKUP(Z$7,$I$66:$DJ$120,ROWS($A$10:$A32)+2,FALSE)</f>
        <v>565</v>
      </c>
      <c r="AA32" s="109">
        <f>HLOOKUP(AA$7,$I$66:$DJ$120,ROWS($A$10:$A32)+2,FALSE)</f>
        <v>52</v>
      </c>
      <c r="AB32" s="109">
        <f>HLOOKUP(AB$7,$I$66:$DJ$120,ROWS($A$10:$A32)+2,FALSE)</f>
        <v>1556</v>
      </c>
      <c r="AC32" s="109">
        <f>HLOOKUP(AC$7,$I$66:$DJ$120,ROWS($A$10:$A32)+2,FALSE)</f>
        <v>3907</v>
      </c>
      <c r="AD32" s="109">
        <f>HLOOKUP(AD$7,$I$66:$DJ$120,ROWS($A$10:$A32)+2,FALSE)</f>
        <v>2381</v>
      </c>
      <c r="AE32" s="109" t="str">
        <f>HLOOKUP(AE$7,$I$66:$DJ$120,ROWS($A$10:$A32)+2,FALSE)</f>
        <v>N/A</v>
      </c>
      <c r="AF32" s="109">
        <f>HLOOKUP(AF$7,$I$66:$DJ$120,ROWS($A$10:$A32)+2,FALSE)</f>
        <v>1337</v>
      </c>
      <c r="AG32" s="109">
        <f>HLOOKUP(AG$7,$I$66:$DJ$120,ROWS($A$10:$A32)+2,FALSE)</f>
        <v>966</v>
      </c>
      <c r="AH32" s="109">
        <f>HLOOKUP(AH$7,$I$66:$DJ$120,ROWS($A$10:$A32)+2,FALSE)</f>
        <v>155</v>
      </c>
      <c r="AI32" s="109">
        <f>HLOOKUP(AI$7,$I$66:$DJ$120,ROWS($A$10:$A32)+2,FALSE)</f>
        <v>453</v>
      </c>
      <c r="AJ32" s="109">
        <f>HLOOKUP(AJ$7,$I$66:$DJ$120,ROWS($A$10:$A32)+2,FALSE)</f>
        <v>49</v>
      </c>
      <c r="AK32" s="109">
        <f>HLOOKUP(AK$7,$I$66:$DJ$120,ROWS($A$10:$A32)+2,FALSE)</f>
        <v>182</v>
      </c>
      <c r="AL32" s="109">
        <f>HLOOKUP(AL$7,$I$66:$DJ$120,ROWS($A$10:$A32)+2,FALSE)</f>
        <v>787</v>
      </c>
      <c r="AM32" s="109">
        <f>HLOOKUP(AM$7,$I$66:$DJ$120,ROWS($A$10:$A32)+2,FALSE)</f>
        <v>13331</v>
      </c>
      <c r="AN32" s="109">
        <f>HLOOKUP(AN$7,$I$66:$DJ$120,ROWS($A$10:$A32)+2,FALSE)</f>
        <v>8046</v>
      </c>
      <c r="AO32" s="109">
        <f>HLOOKUP(AO$7,$I$66:$DJ$120,ROWS($A$10:$A32)+2,FALSE)</f>
        <v>521</v>
      </c>
      <c r="AP32" s="109">
        <f>HLOOKUP(AP$7,$I$66:$DJ$120,ROWS($A$10:$A32)+2,FALSE)</f>
        <v>19467</v>
      </c>
      <c r="AQ32" s="109">
        <f>HLOOKUP(AQ$7,$I$66:$DJ$120,ROWS($A$10:$A32)+2,FALSE)</f>
        <v>2514</v>
      </c>
      <c r="AR32" s="109">
        <f>HLOOKUP(AR$7,$I$66:$DJ$120,ROWS($A$10:$A32)+2,FALSE)</f>
        <v>81</v>
      </c>
      <c r="AS32" s="109">
        <f>HLOOKUP(AS$7,$I$66:$DJ$120,ROWS($A$10:$A32)+2,FALSE)</f>
        <v>1829</v>
      </c>
      <c r="AT32" s="109">
        <f>HLOOKUP(AT$7,$I$66:$DJ$120,ROWS($A$10:$A32)+2,FALSE)</f>
        <v>297</v>
      </c>
      <c r="AU32" s="109">
        <f>HLOOKUP(AU$7,$I$66:$DJ$120,ROWS($A$10:$A32)+2,FALSE)</f>
        <v>1528</v>
      </c>
      <c r="AV32" s="109">
        <f>HLOOKUP(AV$7,$I$66:$DJ$120,ROWS($A$10:$A32)+2,FALSE)</f>
        <v>8236</v>
      </c>
      <c r="AW32" s="109">
        <f>HLOOKUP(AW$7,$I$66:$DJ$120,ROWS($A$10:$A32)+2,FALSE)</f>
        <v>6863</v>
      </c>
      <c r="AX32" s="109">
        <f>HLOOKUP(AX$7,$I$66:$DJ$120,ROWS($A$10:$A32)+2,FALSE)</f>
        <v>2477</v>
      </c>
      <c r="AY32" s="109">
        <f>HLOOKUP(AY$7,$I$66:$DJ$120,ROWS($A$10:$A32)+2,FALSE)</f>
        <v>194</v>
      </c>
      <c r="AZ32" s="109">
        <f>HLOOKUP(AZ$7,$I$66:$DJ$120,ROWS($A$10:$A32)+2,FALSE)</f>
        <v>823</v>
      </c>
      <c r="BA32" s="109">
        <f>HLOOKUP(BA$7,$I$66:$DJ$120,ROWS($A$10:$A32)+2,FALSE)</f>
        <v>3694</v>
      </c>
      <c r="BB32" s="109">
        <f>HLOOKUP(BB$7,$I$66:$DJ$120,ROWS($A$10:$A32)+2,FALSE)</f>
        <v>1027</v>
      </c>
      <c r="BC32" s="109">
        <f>HLOOKUP(BC$7,$I$66:$DJ$120,ROWS($A$10:$A32)+2,FALSE)</f>
        <v>2534</v>
      </c>
      <c r="BD32" s="109">
        <f>HLOOKUP(BD$7,$I$66:$DJ$120,ROWS($A$10:$A32)+2,FALSE)</f>
        <v>4098</v>
      </c>
      <c r="BE32" s="109">
        <f>HLOOKUP(BE$7,$I$66:$DJ$120,ROWS($A$10:$A32)+2,FALSE)</f>
        <v>1653</v>
      </c>
      <c r="BF32" s="109">
        <f>HLOOKUP(BF$7,$I$66:$DJ$120,ROWS($A$10:$A32)+2,FALSE)</f>
        <v>385</v>
      </c>
      <c r="BG32" s="109">
        <f>HLOOKUP(BG$7,$I$66:$DJ$120,ROWS($A$10:$A32)+2,FALSE)</f>
        <v>584</v>
      </c>
      <c r="BH32" s="109">
        <f>HLOOKUP(BH$7,$I$66:$DJ$120,ROWS($A$10:$A32)+2,FALSE)</f>
        <v>264</v>
      </c>
      <c r="BI32" s="25">
        <f>HLOOKUP(BI$7,$I$66:$DJ$120,ROWS($A$10:$A32)+2,FALSE)</f>
        <v>4056</v>
      </c>
      <c r="BJ32" s="34">
        <f>HLOOKUP(BJ$7+0.5,$I$66:$DJ$120,ROWS($A$10:$A32)+2,FALSE)</f>
        <v>7863</v>
      </c>
      <c r="BK32" s="34">
        <f>HLOOKUP(BK$7+0.5,$I$66:$DJ$120,ROWS($A$10:$A32)+2,FALSE)</f>
        <v>622</v>
      </c>
      <c r="BL32" s="34">
        <f>HLOOKUP(BL$7+0.5,$I$66:$DJ$120,ROWS($A$10:$A32)+2,FALSE)</f>
        <v>600</v>
      </c>
      <c r="BM32" s="34">
        <f>HLOOKUP(BM$7+0.5,$I$66:$DJ$120,ROWS($A$10:$A32)+2,FALSE)</f>
        <v>979</v>
      </c>
      <c r="BN32" s="34">
        <f>HLOOKUP(BN$7+0.5,$I$66:$DJ$120,ROWS($A$10:$A32)+2,FALSE)</f>
        <v>340</v>
      </c>
      <c r="BO32" s="34">
        <f>HLOOKUP(BO$7+0.5,$I$66:$DJ$120,ROWS($A$10:$A32)+2,FALSE)</f>
        <v>2994</v>
      </c>
      <c r="BP32" s="34">
        <f>HLOOKUP(BP$7+0.5,$I$66:$DJ$120,ROWS($A$10:$A32)+2,FALSE)</f>
        <v>438</v>
      </c>
      <c r="BQ32" s="34">
        <f>HLOOKUP(BQ$7+0.5,$I$66:$DJ$120,ROWS($A$10:$A32)+2,FALSE)</f>
        <v>2062</v>
      </c>
      <c r="BR32" s="34">
        <f>HLOOKUP(BR$7+0.5,$I$66:$DJ$120,ROWS($A$10:$A32)+2,FALSE)</f>
        <v>505</v>
      </c>
      <c r="BS32" s="34">
        <f>HLOOKUP(BS$7+0.5,$I$66:$DJ$120,ROWS($A$10:$A32)+2,FALSE)</f>
        <v>219</v>
      </c>
      <c r="BT32" s="34">
        <f>HLOOKUP(BT$7+0.5,$I$66:$DJ$120,ROWS($A$10:$A32)+2,FALSE)</f>
        <v>2568</v>
      </c>
      <c r="BU32" s="34">
        <f>HLOOKUP(BU$7+0.5,$I$66:$DJ$120,ROWS($A$10:$A32)+2,FALSE)</f>
        <v>1129</v>
      </c>
      <c r="BV32" s="34">
        <f>HLOOKUP(BV$7+0.5,$I$66:$DJ$120,ROWS($A$10:$A32)+2,FALSE)</f>
        <v>564</v>
      </c>
      <c r="BW32" s="34">
        <f>HLOOKUP(BW$7+0.5,$I$66:$DJ$120,ROWS($A$10:$A32)+2,FALSE)</f>
        <v>164</v>
      </c>
      <c r="BX32" s="34">
        <f>HLOOKUP(BX$7+0.5,$I$66:$DJ$120,ROWS($A$10:$A32)+2,FALSE)</f>
        <v>1041</v>
      </c>
      <c r="BY32" s="34">
        <f>HLOOKUP(BY$7+0.5,$I$66:$DJ$120,ROWS($A$10:$A32)+2,FALSE)</f>
        <v>497</v>
      </c>
      <c r="BZ32" s="34">
        <f>HLOOKUP(BZ$7+0.5,$I$66:$DJ$120,ROWS($A$10:$A32)+2,FALSE)</f>
        <v>251</v>
      </c>
      <c r="CA32" s="34">
        <f>HLOOKUP(CA$7+0.5,$I$66:$DJ$120,ROWS($A$10:$A32)+2,FALSE)</f>
        <v>429</v>
      </c>
      <c r="CB32" s="34">
        <f>HLOOKUP(CB$7+0.5,$I$66:$DJ$120,ROWS($A$10:$A32)+2,FALSE)</f>
        <v>87</v>
      </c>
      <c r="CC32" s="34">
        <f>HLOOKUP(CC$7+0.5,$I$66:$DJ$120,ROWS($A$10:$A32)+2,FALSE)</f>
        <v>742</v>
      </c>
      <c r="CD32" s="34">
        <f>HLOOKUP(CD$7+0.5,$I$66:$DJ$120,ROWS($A$10:$A32)+2,FALSE)</f>
        <v>1349</v>
      </c>
      <c r="CE32" s="34">
        <f>HLOOKUP(CE$7+0.5,$I$66:$DJ$120,ROWS($A$10:$A32)+2,FALSE)</f>
        <v>895</v>
      </c>
      <c r="CF32" s="34" t="str">
        <f>HLOOKUP(CF$7+0.5,$I$66:$DJ$120,ROWS($A$10:$A32)+2,FALSE)</f>
        <v>N/A</v>
      </c>
      <c r="CG32" s="34">
        <f>HLOOKUP(CG$7+0.5,$I$66:$DJ$120,ROWS($A$10:$A32)+2,FALSE)</f>
        <v>680</v>
      </c>
      <c r="CH32" s="34">
        <f>HLOOKUP(CH$7+0.5,$I$66:$DJ$120,ROWS($A$10:$A32)+2,FALSE)</f>
        <v>367</v>
      </c>
      <c r="CI32" s="34">
        <f>HLOOKUP(CI$7+0.5,$I$66:$DJ$120,ROWS($A$10:$A32)+2,FALSE)</f>
        <v>186</v>
      </c>
      <c r="CJ32" s="34">
        <f>HLOOKUP(CJ$7+0.5,$I$66:$DJ$120,ROWS($A$10:$A32)+2,FALSE)</f>
        <v>218</v>
      </c>
      <c r="CK32" s="34">
        <f>HLOOKUP(CK$7+0.5,$I$66:$DJ$120,ROWS($A$10:$A32)+2,FALSE)</f>
        <v>81</v>
      </c>
      <c r="CL32" s="34">
        <f>HLOOKUP(CL$7+0.5,$I$66:$DJ$120,ROWS($A$10:$A32)+2,FALSE)</f>
        <v>189</v>
      </c>
      <c r="CM32" s="34">
        <f>HLOOKUP(CM$7+0.5,$I$66:$DJ$120,ROWS($A$10:$A32)+2,FALSE)</f>
        <v>544</v>
      </c>
      <c r="CN32" s="34">
        <f>HLOOKUP(CN$7+0.5,$I$66:$DJ$120,ROWS($A$10:$A32)+2,FALSE)</f>
        <v>2144</v>
      </c>
      <c r="CO32" s="34">
        <f>HLOOKUP(CO$7+0.5,$I$66:$DJ$120,ROWS($A$10:$A32)+2,FALSE)</f>
        <v>1874</v>
      </c>
      <c r="CP32" s="34">
        <f>HLOOKUP(CP$7+0.5,$I$66:$DJ$120,ROWS($A$10:$A32)+2,FALSE)</f>
        <v>364</v>
      </c>
      <c r="CQ32" s="34">
        <f>HLOOKUP(CQ$7+0.5,$I$66:$DJ$120,ROWS($A$10:$A32)+2,FALSE)</f>
        <v>2432</v>
      </c>
      <c r="CR32" s="34">
        <f>HLOOKUP(CR$7+0.5,$I$66:$DJ$120,ROWS($A$10:$A32)+2,FALSE)</f>
        <v>1003</v>
      </c>
      <c r="CS32" s="34">
        <f>HLOOKUP(CS$7+0.5,$I$66:$DJ$120,ROWS($A$10:$A32)+2,FALSE)</f>
        <v>133</v>
      </c>
      <c r="CT32" s="34">
        <f>HLOOKUP(CT$7+0.5,$I$66:$DJ$120,ROWS($A$10:$A32)+2,FALSE)</f>
        <v>772</v>
      </c>
      <c r="CU32" s="34">
        <f>HLOOKUP(CU$7+0.5,$I$66:$DJ$120,ROWS($A$10:$A32)+2,FALSE)</f>
        <v>206</v>
      </c>
      <c r="CV32" s="34">
        <f>HLOOKUP(CV$7+0.5,$I$66:$DJ$120,ROWS($A$10:$A32)+2,FALSE)</f>
        <v>1359</v>
      </c>
      <c r="CW32" s="34">
        <f>HLOOKUP(CW$7+0.5,$I$66:$DJ$120,ROWS($A$10:$A32)+2,FALSE)</f>
        <v>1924</v>
      </c>
      <c r="CX32" s="34">
        <f>HLOOKUP(CX$7+0.5,$I$66:$DJ$120,ROWS($A$10:$A32)+2,FALSE)</f>
        <v>1317</v>
      </c>
      <c r="CY32" s="34">
        <f>HLOOKUP(CY$7+0.5,$I$66:$DJ$120,ROWS($A$10:$A32)+2,FALSE)</f>
        <v>1120</v>
      </c>
      <c r="CZ32" s="34">
        <f>HLOOKUP(CZ$7+0.5,$I$66:$DJ$120,ROWS($A$10:$A32)+2,FALSE)</f>
        <v>326</v>
      </c>
      <c r="DA32" s="34">
        <f>HLOOKUP(DA$7+0.5,$I$66:$DJ$120,ROWS($A$10:$A32)+2,FALSE)</f>
        <v>342</v>
      </c>
      <c r="DB32" s="34">
        <f>HLOOKUP(DB$7+0.5,$I$66:$DJ$120,ROWS($A$10:$A32)+2,FALSE)</f>
        <v>1078</v>
      </c>
      <c r="DC32" s="34">
        <f>HLOOKUP(DC$7+0.5,$I$66:$DJ$120,ROWS($A$10:$A32)+2,FALSE)</f>
        <v>666</v>
      </c>
      <c r="DD32" s="34">
        <f>HLOOKUP(DD$7+0.5,$I$66:$DJ$120,ROWS($A$10:$A32)+2,FALSE)</f>
        <v>913</v>
      </c>
      <c r="DE32" s="34">
        <f>HLOOKUP(DE$7+0.5,$I$66:$DJ$120,ROWS($A$10:$A32)+2,FALSE)</f>
        <v>1470</v>
      </c>
      <c r="DF32" s="34">
        <f>HLOOKUP(DF$7+0.5,$I$66:$DJ$120,ROWS($A$10:$A32)+2,FALSE)</f>
        <v>696</v>
      </c>
      <c r="DG32" s="34">
        <f>HLOOKUP(DG$7+0.5,$I$66:$DJ$120,ROWS($A$10:$A32)+2,FALSE)</f>
        <v>569</v>
      </c>
      <c r="DH32" s="34">
        <f>HLOOKUP(DH$7+0.5,$I$66:$DJ$120,ROWS($A$10:$A32)+2,FALSE)</f>
        <v>445</v>
      </c>
      <c r="DI32" s="34">
        <f>HLOOKUP(DI$7+0.5,$I$66:$DJ$120,ROWS($A$10:$A32)+2,FALSE)</f>
        <v>404</v>
      </c>
      <c r="DJ32" s="34">
        <f>HLOOKUP(DJ$7+0.5,$I$66:$DJ$120,ROWS($A$10:$A32)+2,FALSE)</f>
        <v>1883</v>
      </c>
    </row>
    <row r="33" spans="2:114" x14ac:dyDescent="0.25">
      <c r="B33" s="38" t="s">
        <v>29</v>
      </c>
      <c r="C33" s="16">
        <v>9778980</v>
      </c>
      <c r="D33" s="17">
        <v>4263</v>
      </c>
      <c r="E33" s="16">
        <v>8330990</v>
      </c>
      <c r="F33" s="17">
        <v>24803</v>
      </c>
      <c r="G33" s="16">
        <v>1268105</v>
      </c>
      <c r="H33" s="17">
        <v>23226</v>
      </c>
      <c r="I33" s="36">
        <f>HLOOKUP(I$7,$I$66:$DJ$120,ROWS($A$10:$A33)+2,FALSE)</f>
        <v>133981</v>
      </c>
      <c r="J33" s="25">
        <f>HLOOKUP(J$7,$I$66:$DJ$120,ROWS($A$10:$A33)+2,FALSE)</f>
        <v>2341</v>
      </c>
      <c r="K33" s="25">
        <f>HLOOKUP(K$7,$I$66:$DJ$120,ROWS($A$10:$A33)+2,FALSE)</f>
        <v>1152</v>
      </c>
      <c r="L33" s="25">
        <f>HLOOKUP(L$7,$I$66:$DJ$120,ROWS($A$10:$A33)+2,FALSE)</f>
        <v>7168</v>
      </c>
      <c r="M33" s="25">
        <f>HLOOKUP(M$7,$I$66:$DJ$120,ROWS($A$10:$A33)+2,FALSE)</f>
        <v>906</v>
      </c>
      <c r="N33" s="25">
        <f>HLOOKUP(N$7,$I$66:$DJ$120,ROWS($A$10:$A33)+2,FALSE)</f>
        <v>8085</v>
      </c>
      <c r="O33" s="25">
        <f>HLOOKUP(O$7,$I$66:$DJ$120,ROWS($A$10:$A33)+2,FALSE)</f>
        <v>2363</v>
      </c>
      <c r="P33" s="25">
        <f>HLOOKUP(P$7,$I$66:$DJ$120,ROWS($A$10:$A33)+2,FALSE)</f>
        <v>798</v>
      </c>
      <c r="Q33" s="25">
        <f>HLOOKUP(Q$7,$I$66:$DJ$120,ROWS($A$10:$A33)+2,FALSE)</f>
        <v>114</v>
      </c>
      <c r="R33" s="25">
        <f>HLOOKUP(R$7,$I$66:$DJ$120,ROWS($A$10:$A33)+2,FALSE)</f>
        <v>274</v>
      </c>
      <c r="S33" s="25">
        <f>HLOOKUP(S$7,$I$66:$DJ$120,ROWS($A$10:$A33)+2,FALSE)</f>
        <v>13146</v>
      </c>
      <c r="T33" s="25">
        <f>HLOOKUP(T$7,$I$66:$DJ$120,ROWS($A$10:$A33)+2,FALSE)</f>
        <v>4270</v>
      </c>
      <c r="U33" s="25">
        <f>HLOOKUP(U$7,$I$66:$DJ$120,ROWS($A$10:$A33)+2,FALSE)</f>
        <v>291</v>
      </c>
      <c r="V33" s="25">
        <f>HLOOKUP(V$7,$I$66:$DJ$120,ROWS($A$10:$A33)+2,FALSE)</f>
        <v>242</v>
      </c>
      <c r="W33" s="25">
        <f>HLOOKUP(W$7,$I$66:$DJ$120,ROWS($A$10:$A33)+2,FALSE)</f>
        <v>10047</v>
      </c>
      <c r="X33" s="25">
        <f>HLOOKUP(X$7,$I$66:$DJ$120,ROWS($A$10:$A33)+2,FALSE)</f>
        <v>10976</v>
      </c>
      <c r="Y33" s="25">
        <f>HLOOKUP(Y$7,$I$66:$DJ$120,ROWS($A$10:$A33)+2,FALSE)</f>
        <v>993</v>
      </c>
      <c r="Z33" s="25">
        <f>HLOOKUP(Z$7,$I$66:$DJ$120,ROWS($A$10:$A33)+2,FALSE)</f>
        <v>805</v>
      </c>
      <c r="AA33" s="25">
        <f>HLOOKUP(AA$7,$I$66:$DJ$120,ROWS($A$10:$A33)+2,FALSE)</f>
        <v>3409</v>
      </c>
      <c r="AB33" s="25">
        <f>HLOOKUP(AB$7,$I$66:$DJ$120,ROWS($A$10:$A33)+2,FALSE)</f>
        <v>1284</v>
      </c>
      <c r="AC33" s="25">
        <f>HLOOKUP(AC$7,$I$66:$DJ$120,ROWS($A$10:$A33)+2,FALSE)</f>
        <v>261</v>
      </c>
      <c r="AD33" s="25">
        <f>HLOOKUP(AD$7,$I$66:$DJ$120,ROWS($A$10:$A33)+2,FALSE)</f>
        <v>2201</v>
      </c>
      <c r="AE33" s="25">
        <f>HLOOKUP(AE$7,$I$66:$DJ$120,ROWS($A$10:$A33)+2,FALSE)</f>
        <v>1720</v>
      </c>
      <c r="AF33" s="25" t="str">
        <f>HLOOKUP(AF$7,$I$66:$DJ$120,ROWS($A$10:$A33)+2,FALSE)</f>
        <v>N/A</v>
      </c>
      <c r="AG33" s="25">
        <f>HLOOKUP(AG$7,$I$66:$DJ$120,ROWS($A$10:$A33)+2,FALSE)</f>
        <v>1127</v>
      </c>
      <c r="AH33" s="25">
        <f>HLOOKUP(AH$7,$I$66:$DJ$120,ROWS($A$10:$A33)+2,FALSE)</f>
        <v>922</v>
      </c>
      <c r="AI33" s="25">
        <f>HLOOKUP(AI$7,$I$66:$DJ$120,ROWS($A$10:$A33)+2,FALSE)</f>
        <v>2206</v>
      </c>
      <c r="AJ33" s="25">
        <f>HLOOKUP(AJ$7,$I$66:$DJ$120,ROWS($A$10:$A33)+2,FALSE)</f>
        <v>218</v>
      </c>
      <c r="AK33" s="25">
        <f>HLOOKUP(AK$7,$I$66:$DJ$120,ROWS($A$10:$A33)+2,FALSE)</f>
        <v>113</v>
      </c>
      <c r="AL33" s="25">
        <f>HLOOKUP(AL$7,$I$66:$DJ$120,ROWS($A$10:$A33)+2,FALSE)</f>
        <v>1354</v>
      </c>
      <c r="AM33" s="25">
        <f>HLOOKUP(AM$7,$I$66:$DJ$120,ROWS($A$10:$A33)+2,FALSE)</f>
        <v>446</v>
      </c>
      <c r="AN33" s="25">
        <f>HLOOKUP(AN$7,$I$66:$DJ$120,ROWS($A$10:$A33)+2,FALSE)</f>
        <v>1617</v>
      </c>
      <c r="AO33" s="25">
        <f>HLOOKUP(AO$7,$I$66:$DJ$120,ROWS($A$10:$A33)+2,FALSE)</f>
        <v>1318</v>
      </c>
      <c r="AP33" s="25">
        <f>HLOOKUP(AP$7,$I$66:$DJ$120,ROWS($A$10:$A33)+2,FALSE)</f>
        <v>5731</v>
      </c>
      <c r="AQ33" s="25">
        <f>HLOOKUP(AQ$7,$I$66:$DJ$120,ROWS($A$10:$A33)+2,FALSE)</f>
        <v>3912</v>
      </c>
      <c r="AR33" s="25">
        <f>HLOOKUP(AR$7,$I$66:$DJ$120,ROWS($A$10:$A33)+2,FALSE)</f>
        <v>265</v>
      </c>
      <c r="AS33" s="25">
        <f>HLOOKUP(AS$7,$I$66:$DJ$120,ROWS($A$10:$A33)+2,FALSE)</f>
        <v>11318</v>
      </c>
      <c r="AT33" s="25">
        <f>HLOOKUP(AT$7,$I$66:$DJ$120,ROWS($A$10:$A33)+2,FALSE)</f>
        <v>705</v>
      </c>
      <c r="AU33" s="25">
        <f>HLOOKUP(AU$7,$I$66:$DJ$120,ROWS($A$10:$A33)+2,FALSE)</f>
        <v>811</v>
      </c>
      <c r="AV33" s="25">
        <f>HLOOKUP(AV$7,$I$66:$DJ$120,ROWS($A$10:$A33)+2,FALSE)</f>
        <v>2739</v>
      </c>
      <c r="AW33" s="25">
        <f>HLOOKUP(AW$7,$I$66:$DJ$120,ROWS($A$10:$A33)+2,FALSE)</f>
        <v>68</v>
      </c>
      <c r="AX33" s="25">
        <f>HLOOKUP(AX$7,$I$66:$DJ$120,ROWS($A$10:$A33)+2,FALSE)</f>
        <v>1822</v>
      </c>
      <c r="AY33" s="25">
        <f>HLOOKUP(AY$7,$I$66:$DJ$120,ROWS($A$10:$A33)+2,FALSE)</f>
        <v>66</v>
      </c>
      <c r="AZ33" s="25">
        <f>HLOOKUP(AZ$7,$I$66:$DJ$120,ROWS($A$10:$A33)+2,FALSE)</f>
        <v>3259</v>
      </c>
      <c r="BA33" s="25">
        <f>HLOOKUP(BA$7,$I$66:$DJ$120,ROWS($A$10:$A33)+2,FALSE)</f>
        <v>8638</v>
      </c>
      <c r="BB33" s="25">
        <f>HLOOKUP(BB$7,$I$66:$DJ$120,ROWS($A$10:$A33)+2,FALSE)</f>
        <v>819</v>
      </c>
      <c r="BC33" s="25">
        <f>HLOOKUP(BC$7,$I$66:$DJ$120,ROWS($A$10:$A33)+2,FALSE)</f>
        <v>60</v>
      </c>
      <c r="BD33" s="25">
        <f>HLOOKUP(BD$7,$I$66:$DJ$120,ROWS($A$10:$A33)+2,FALSE)</f>
        <v>3057</v>
      </c>
      <c r="BE33" s="25">
        <f>HLOOKUP(BE$7,$I$66:$DJ$120,ROWS($A$10:$A33)+2,FALSE)</f>
        <v>2146</v>
      </c>
      <c r="BF33" s="25">
        <f>HLOOKUP(BF$7,$I$66:$DJ$120,ROWS($A$10:$A33)+2,FALSE)</f>
        <v>353</v>
      </c>
      <c r="BG33" s="25">
        <f>HLOOKUP(BG$7,$I$66:$DJ$120,ROWS($A$10:$A33)+2,FALSE)</f>
        <v>4768</v>
      </c>
      <c r="BH33" s="25">
        <f>HLOOKUP(BH$7,$I$66:$DJ$120,ROWS($A$10:$A33)+2,FALSE)</f>
        <v>1277</v>
      </c>
      <c r="BI33" s="25">
        <f>HLOOKUP(BI$7,$I$66:$DJ$120,ROWS($A$10:$A33)+2,FALSE)</f>
        <v>782</v>
      </c>
      <c r="BJ33" s="34">
        <f>HLOOKUP(BJ$7+0.5,$I$66:$DJ$120,ROWS($A$10:$A33)+2,FALSE)</f>
        <v>8566</v>
      </c>
      <c r="BK33" s="34">
        <f>HLOOKUP(BK$7+0.5,$I$66:$DJ$120,ROWS($A$10:$A33)+2,FALSE)</f>
        <v>1013</v>
      </c>
      <c r="BL33" s="34">
        <f>HLOOKUP(BL$7+0.5,$I$66:$DJ$120,ROWS($A$10:$A33)+2,FALSE)</f>
        <v>685</v>
      </c>
      <c r="BM33" s="34">
        <f>HLOOKUP(BM$7+0.5,$I$66:$DJ$120,ROWS($A$10:$A33)+2,FALSE)</f>
        <v>3100</v>
      </c>
      <c r="BN33" s="34">
        <f>HLOOKUP(BN$7+0.5,$I$66:$DJ$120,ROWS($A$10:$A33)+2,FALSE)</f>
        <v>559</v>
      </c>
      <c r="BO33" s="34">
        <f>HLOOKUP(BO$7+0.5,$I$66:$DJ$120,ROWS($A$10:$A33)+2,FALSE)</f>
        <v>1721</v>
      </c>
      <c r="BP33" s="34">
        <f>HLOOKUP(BP$7+0.5,$I$66:$DJ$120,ROWS($A$10:$A33)+2,FALSE)</f>
        <v>967</v>
      </c>
      <c r="BQ33" s="34">
        <f>HLOOKUP(BQ$7+0.5,$I$66:$DJ$120,ROWS($A$10:$A33)+2,FALSE)</f>
        <v>506</v>
      </c>
      <c r="BR33" s="34">
        <f>HLOOKUP(BR$7+0.5,$I$66:$DJ$120,ROWS($A$10:$A33)+2,FALSE)</f>
        <v>164</v>
      </c>
      <c r="BS33" s="34">
        <f>HLOOKUP(BS$7+0.5,$I$66:$DJ$120,ROWS($A$10:$A33)+2,FALSE)</f>
        <v>282</v>
      </c>
      <c r="BT33" s="34">
        <f>HLOOKUP(BT$7+0.5,$I$66:$DJ$120,ROWS($A$10:$A33)+2,FALSE)</f>
        <v>3306</v>
      </c>
      <c r="BU33" s="34">
        <f>HLOOKUP(BU$7+0.5,$I$66:$DJ$120,ROWS($A$10:$A33)+2,FALSE)</f>
        <v>1652</v>
      </c>
      <c r="BV33" s="34">
        <f>HLOOKUP(BV$7+0.5,$I$66:$DJ$120,ROWS($A$10:$A33)+2,FALSE)</f>
        <v>238</v>
      </c>
      <c r="BW33" s="34">
        <f>HLOOKUP(BW$7+0.5,$I$66:$DJ$120,ROWS($A$10:$A33)+2,FALSE)</f>
        <v>371</v>
      </c>
      <c r="BX33" s="34">
        <f>HLOOKUP(BX$7+0.5,$I$66:$DJ$120,ROWS($A$10:$A33)+2,FALSE)</f>
        <v>1702</v>
      </c>
      <c r="BY33" s="34">
        <f>HLOOKUP(BY$7+0.5,$I$66:$DJ$120,ROWS($A$10:$A33)+2,FALSE)</f>
        <v>2324</v>
      </c>
      <c r="BZ33" s="34">
        <f>HLOOKUP(BZ$7+0.5,$I$66:$DJ$120,ROWS($A$10:$A33)+2,FALSE)</f>
        <v>495</v>
      </c>
      <c r="CA33" s="34">
        <f>HLOOKUP(CA$7+0.5,$I$66:$DJ$120,ROWS($A$10:$A33)+2,FALSE)</f>
        <v>608</v>
      </c>
      <c r="CB33" s="34">
        <f>HLOOKUP(CB$7+0.5,$I$66:$DJ$120,ROWS($A$10:$A33)+2,FALSE)</f>
        <v>1388</v>
      </c>
      <c r="CC33" s="34">
        <f>HLOOKUP(CC$7+0.5,$I$66:$DJ$120,ROWS($A$10:$A33)+2,FALSE)</f>
        <v>662</v>
      </c>
      <c r="CD33" s="34">
        <f>HLOOKUP(CD$7+0.5,$I$66:$DJ$120,ROWS($A$10:$A33)+2,FALSE)</f>
        <v>218</v>
      </c>
      <c r="CE33" s="34">
        <f>HLOOKUP(CE$7+0.5,$I$66:$DJ$120,ROWS($A$10:$A33)+2,FALSE)</f>
        <v>1094</v>
      </c>
      <c r="CF33" s="34">
        <f>HLOOKUP(CF$7+0.5,$I$66:$DJ$120,ROWS($A$10:$A33)+2,FALSE)</f>
        <v>764</v>
      </c>
      <c r="CG33" s="34" t="str">
        <f>HLOOKUP(CG$7+0.5,$I$66:$DJ$120,ROWS($A$10:$A33)+2,FALSE)</f>
        <v>N/A</v>
      </c>
      <c r="CH33" s="34">
        <f>HLOOKUP(CH$7+0.5,$I$66:$DJ$120,ROWS($A$10:$A33)+2,FALSE)</f>
        <v>512</v>
      </c>
      <c r="CI33" s="34">
        <f>HLOOKUP(CI$7+0.5,$I$66:$DJ$120,ROWS($A$10:$A33)+2,FALSE)</f>
        <v>671</v>
      </c>
      <c r="CJ33" s="34">
        <f>HLOOKUP(CJ$7+0.5,$I$66:$DJ$120,ROWS($A$10:$A33)+2,FALSE)</f>
        <v>695</v>
      </c>
      <c r="CK33" s="34">
        <f>HLOOKUP(CK$7+0.5,$I$66:$DJ$120,ROWS($A$10:$A33)+2,FALSE)</f>
        <v>171</v>
      </c>
      <c r="CL33" s="34">
        <f>HLOOKUP(CL$7+0.5,$I$66:$DJ$120,ROWS($A$10:$A33)+2,FALSE)</f>
        <v>137</v>
      </c>
      <c r="CM33" s="34">
        <f>HLOOKUP(CM$7+0.5,$I$66:$DJ$120,ROWS($A$10:$A33)+2,FALSE)</f>
        <v>715</v>
      </c>
      <c r="CN33" s="34">
        <f>HLOOKUP(CN$7+0.5,$I$66:$DJ$120,ROWS($A$10:$A33)+2,FALSE)</f>
        <v>342</v>
      </c>
      <c r="CO33" s="34">
        <f>HLOOKUP(CO$7+0.5,$I$66:$DJ$120,ROWS($A$10:$A33)+2,FALSE)</f>
        <v>721</v>
      </c>
      <c r="CP33" s="34">
        <f>HLOOKUP(CP$7+0.5,$I$66:$DJ$120,ROWS($A$10:$A33)+2,FALSE)</f>
        <v>685</v>
      </c>
      <c r="CQ33" s="34">
        <f>HLOOKUP(CQ$7+0.5,$I$66:$DJ$120,ROWS($A$10:$A33)+2,FALSE)</f>
        <v>1680</v>
      </c>
      <c r="CR33" s="34">
        <f>HLOOKUP(CR$7+0.5,$I$66:$DJ$120,ROWS($A$10:$A33)+2,FALSE)</f>
        <v>1056</v>
      </c>
      <c r="CS33" s="34">
        <f>HLOOKUP(CS$7+0.5,$I$66:$DJ$120,ROWS($A$10:$A33)+2,FALSE)</f>
        <v>202</v>
      </c>
      <c r="CT33" s="34">
        <f>HLOOKUP(CT$7+0.5,$I$66:$DJ$120,ROWS($A$10:$A33)+2,FALSE)</f>
        <v>2251</v>
      </c>
      <c r="CU33" s="34">
        <f>HLOOKUP(CU$7+0.5,$I$66:$DJ$120,ROWS($A$10:$A33)+2,FALSE)</f>
        <v>307</v>
      </c>
      <c r="CV33" s="34">
        <f>HLOOKUP(CV$7+0.5,$I$66:$DJ$120,ROWS($A$10:$A33)+2,FALSE)</f>
        <v>440</v>
      </c>
      <c r="CW33" s="34">
        <f>HLOOKUP(CW$7+0.5,$I$66:$DJ$120,ROWS($A$10:$A33)+2,FALSE)</f>
        <v>686</v>
      </c>
      <c r="CX33" s="34">
        <f>HLOOKUP(CX$7+0.5,$I$66:$DJ$120,ROWS($A$10:$A33)+2,FALSE)</f>
        <v>114</v>
      </c>
      <c r="CY33" s="34">
        <f>HLOOKUP(CY$7+0.5,$I$66:$DJ$120,ROWS($A$10:$A33)+2,FALSE)</f>
        <v>797</v>
      </c>
      <c r="CZ33" s="34">
        <f>HLOOKUP(CZ$7+0.5,$I$66:$DJ$120,ROWS($A$10:$A33)+2,FALSE)</f>
        <v>77</v>
      </c>
      <c r="DA33" s="34">
        <f>HLOOKUP(DA$7+0.5,$I$66:$DJ$120,ROWS($A$10:$A33)+2,FALSE)</f>
        <v>997</v>
      </c>
      <c r="DB33" s="34">
        <f>HLOOKUP(DB$7+0.5,$I$66:$DJ$120,ROWS($A$10:$A33)+2,FALSE)</f>
        <v>2574</v>
      </c>
      <c r="DC33" s="34">
        <f>HLOOKUP(DC$7+0.5,$I$66:$DJ$120,ROWS($A$10:$A33)+2,FALSE)</f>
        <v>534</v>
      </c>
      <c r="DD33" s="34">
        <f>HLOOKUP(DD$7+0.5,$I$66:$DJ$120,ROWS($A$10:$A33)+2,FALSE)</f>
        <v>120</v>
      </c>
      <c r="DE33" s="34">
        <f>HLOOKUP(DE$7+0.5,$I$66:$DJ$120,ROWS($A$10:$A33)+2,FALSE)</f>
        <v>855</v>
      </c>
      <c r="DF33" s="34">
        <f>HLOOKUP(DF$7+0.5,$I$66:$DJ$120,ROWS($A$10:$A33)+2,FALSE)</f>
        <v>839</v>
      </c>
      <c r="DG33" s="34">
        <f>HLOOKUP(DG$7+0.5,$I$66:$DJ$120,ROWS($A$10:$A33)+2,FALSE)</f>
        <v>279</v>
      </c>
      <c r="DH33" s="34">
        <f>HLOOKUP(DH$7+0.5,$I$66:$DJ$120,ROWS($A$10:$A33)+2,FALSE)</f>
        <v>1111</v>
      </c>
      <c r="DI33" s="34">
        <f>HLOOKUP(DI$7+0.5,$I$66:$DJ$120,ROWS($A$10:$A33)+2,FALSE)</f>
        <v>862</v>
      </c>
      <c r="DJ33" s="34">
        <f>HLOOKUP(DJ$7+0.5,$I$66:$DJ$120,ROWS($A$10:$A33)+2,FALSE)</f>
        <v>797</v>
      </c>
    </row>
    <row r="34" spans="2:114" x14ac:dyDescent="0.25">
      <c r="B34" s="38" t="s">
        <v>30</v>
      </c>
      <c r="C34" s="16">
        <v>5315228</v>
      </c>
      <c r="D34" s="17">
        <v>2787</v>
      </c>
      <c r="E34" s="16">
        <v>4536303</v>
      </c>
      <c r="F34" s="17">
        <v>18312</v>
      </c>
      <c r="G34" s="16">
        <v>653012</v>
      </c>
      <c r="H34" s="17">
        <v>17074</v>
      </c>
      <c r="I34" s="36">
        <f>HLOOKUP(I$7,$I$66:$DJ$120,ROWS($A$10:$A34)+2,FALSE)</f>
        <v>101042</v>
      </c>
      <c r="J34" s="25">
        <f>HLOOKUP(J$7,$I$66:$DJ$120,ROWS($A$10:$A34)+2,FALSE)</f>
        <v>1299</v>
      </c>
      <c r="K34" s="25">
        <f>HLOOKUP(K$7,$I$66:$DJ$120,ROWS($A$10:$A34)+2,FALSE)</f>
        <v>523</v>
      </c>
      <c r="L34" s="25">
        <f>HLOOKUP(L$7,$I$66:$DJ$120,ROWS($A$10:$A34)+2,FALSE)</f>
        <v>3065</v>
      </c>
      <c r="M34" s="25">
        <f>HLOOKUP(M$7,$I$66:$DJ$120,ROWS($A$10:$A34)+2,FALSE)</f>
        <v>375</v>
      </c>
      <c r="N34" s="25">
        <f>HLOOKUP(N$7,$I$66:$DJ$120,ROWS($A$10:$A34)+2,FALSE)</f>
        <v>8086</v>
      </c>
      <c r="O34" s="25">
        <f>HLOOKUP(O$7,$I$66:$DJ$120,ROWS($A$10:$A34)+2,FALSE)</f>
        <v>3565</v>
      </c>
      <c r="P34" s="25">
        <f>HLOOKUP(P$7,$I$66:$DJ$120,ROWS($A$10:$A34)+2,FALSE)</f>
        <v>696</v>
      </c>
      <c r="Q34" s="25">
        <f>HLOOKUP(Q$7,$I$66:$DJ$120,ROWS($A$10:$A34)+2,FALSE)</f>
        <v>0</v>
      </c>
      <c r="R34" s="25">
        <f>HLOOKUP(R$7,$I$66:$DJ$120,ROWS($A$10:$A34)+2,FALSE)</f>
        <v>310</v>
      </c>
      <c r="S34" s="25">
        <f>HLOOKUP(S$7,$I$66:$DJ$120,ROWS($A$10:$A34)+2,FALSE)</f>
        <v>2372</v>
      </c>
      <c r="T34" s="25">
        <f>HLOOKUP(T$7,$I$66:$DJ$120,ROWS($A$10:$A34)+2,FALSE)</f>
        <v>2235</v>
      </c>
      <c r="U34" s="25">
        <f>HLOOKUP(U$7,$I$66:$DJ$120,ROWS($A$10:$A34)+2,FALSE)</f>
        <v>1277</v>
      </c>
      <c r="V34" s="25">
        <f>HLOOKUP(V$7,$I$66:$DJ$120,ROWS($A$10:$A34)+2,FALSE)</f>
        <v>575</v>
      </c>
      <c r="W34" s="25">
        <f>HLOOKUP(W$7,$I$66:$DJ$120,ROWS($A$10:$A34)+2,FALSE)</f>
        <v>5896</v>
      </c>
      <c r="X34" s="25">
        <f>HLOOKUP(X$7,$I$66:$DJ$120,ROWS($A$10:$A34)+2,FALSE)</f>
        <v>2026</v>
      </c>
      <c r="Y34" s="25">
        <f>HLOOKUP(Y$7,$I$66:$DJ$120,ROWS($A$10:$A34)+2,FALSE)</f>
        <v>7220</v>
      </c>
      <c r="Z34" s="25">
        <f>HLOOKUP(Z$7,$I$66:$DJ$120,ROWS($A$10:$A34)+2,FALSE)</f>
        <v>924</v>
      </c>
      <c r="AA34" s="25">
        <f>HLOOKUP(AA$7,$I$66:$DJ$120,ROWS($A$10:$A34)+2,FALSE)</f>
        <v>57</v>
      </c>
      <c r="AB34" s="25">
        <f>HLOOKUP(AB$7,$I$66:$DJ$120,ROWS($A$10:$A34)+2,FALSE)</f>
        <v>791</v>
      </c>
      <c r="AC34" s="25">
        <f>HLOOKUP(AC$7,$I$66:$DJ$120,ROWS($A$10:$A34)+2,FALSE)</f>
        <v>187</v>
      </c>
      <c r="AD34" s="25">
        <f>HLOOKUP(AD$7,$I$66:$DJ$120,ROWS($A$10:$A34)+2,FALSE)</f>
        <v>1841</v>
      </c>
      <c r="AE34" s="25">
        <f>HLOOKUP(AE$7,$I$66:$DJ$120,ROWS($A$10:$A34)+2,FALSE)</f>
        <v>814</v>
      </c>
      <c r="AF34" s="25">
        <f>HLOOKUP(AF$7,$I$66:$DJ$120,ROWS($A$10:$A34)+2,FALSE)</f>
        <v>2212</v>
      </c>
      <c r="AG34" s="25" t="str">
        <f>HLOOKUP(AG$7,$I$66:$DJ$120,ROWS($A$10:$A34)+2,FALSE)</f>
        <v>N/A</v>
      </c>
      <c r="AH34" s="25">
        <f>HLOOKUP(AH$7,$I$66:$DJ$120,ROWS($A$10:$A34)+2,FALSE)</f>
        <v>202</v>
      </c>
      <c r="AI34" s="25">
        <f>HLOOKUP(AI$7,$I$66:$DJ$120,ROWS($A$10:$A34)+2,FALSE)</f>
        <v>1709</v>
      </c>
      <c r="AJ34" s="25">
        <f>HLOOKUP(AJ$7,$I$66:$DJ$120,ROWS($A$10:$A34)+2,FALSE)</f>
        <v>1257</v>
      </c>
      <c r="AK34" s="25">
        <f>HLOOKUP(AK$7,$I$66:$DJ$120,ROWS($A$10:$A34)+2,FALSE)</f>
        <v>992</v>
      </c>
      <c r="AL34" s="25">
        <f>HLOOKUP(AL$7,$I$66:$DJ$120,ROWS($A$10:$A34)+2,FALSE)</f>
        <v>932</v>
      </c>
      <c r="AM34" s="25">
        <f>HLOOKUP(AM$7,$I$66:$DJ$120,ROWS($A$10:$A34)+2,FALSE)</f>
        <v>0</v>
      </c>
      <c r="AN34" s="25">
        <f>HLOOKUP(AN$7,$I$66:$DJ$120,ROWS($A$10:$A34)+2,FALSE)</f>
        <v>1038</v>
      </c>
      <c r="AO34" s="25">
        <f>HLOOKUP(AO$7,$I$66:$DJ$120,ROWS($A$10:$A34)+2,FALSE)</f>
        <v>322</v>
      </c>
      <c r="AP34" s="25">
        <f>HLOOKUP(AP$7,$I$66:$DJ$120,ROWS($A$10:$A34)+2,FALSE)</f>
        <v>1849</v>
      </c>
      <c r="AQ34" s="25">
        <f>HLOOKUP(AQ$7,$I$66:$DJ$120,ROWS($A$10:$A34)+2,FALSE)</f>
        <v>1745</v>
      </c>
      <c r="AR34" s="25">
        <f>HLOOKUP(AR$7,$I$66:$DJ$120,ROWS($A$10:$A34)+2,FALSE)</f>
        <v>6672</v>
      </c>
      <c r="AS34" s="25">
        <f>HLOOKUP(AS$7,$I$66:$DJ$120,ROWS($A$10:$A34)+2,FALSE)</f>
        <v>2635</v>
      </c>
      <c r="AT34" s="25">
        <f>HLOOKUP(AT$7,$I$66:$DJ$120,ROWS($A$10:$A34)+2,FALSE)</f>
        <v>1212</v>
      </c>
      <c r="AU34" s="25">
        <f>HLOOKUP(AU$7,$I$66:$DJ$120,ROWS($A$10:$A34)+2,FALSE)</f>
        <v>781</v>
      </c>
      <c r="AV34" s="25">
        <f>HLOOKUP(AV$7,$I$66:$DJ$120,ROWS($A$10:$A34)+2,FALSE)</f>
        <v>1106</v>
      </c>
      <c r="AW34" s="25">
        <f>HLOOKUP(AW$7,$I$66:$DJ$120,ROWS($A$10:$A34)+2,FALSE)</f>
        <v>299</v>
      </c>
      <c r="AX34" s="25">
        <f>HLOOKUP(AX$7,$I$66:$DJ$120,ROWS($A$10:$A34)+2,FALSE)</f>
        <v>1705</v>
      </c>
      <c r="AY34" s="25">
        <f>HLOOKUP(AY$7,$I$66:$DJ$120,ROWS($A$10:$A34)+2,FALSE)</f>
        <v>3442</v>
      </c>
      <c r="AZ34" s="25">
        <f>HLOOKUP(AZ$7,$I$66:$DJ$120,ROWS($A$10:$A34)+2,FALSE)</f>
        <v>1738</v>
      </c>
      <c r="BA34" s="25">
        <f>HLOOKUP(BA$7,$I$66:$DJ$120,ROWS($A$10:$A34)+2,FALSE)</f>
        <v>4001</v>
      </c>
      <c r="BB34" s="25">
        <f>HLOOKUP(BB$7,$I$66:$DJ$120,ROWS($A$10:$A34)+2,FALSE)</f>
        <v>429</v>
      </c>
      <c r="BC34" s="25">
        <f>HLOOKUP(BC$7,$I$66:$DJ$120,ROWS($A$10:$A34)+2,FALSE)</f>
        <v>77</v>
      </c>
      <c r="BD34" s="25">
        <f>HLOOKUP(BD$7,$I$66:$DJ$120,ROWS($A$10:$A34)+2,FALSE)</f>
        <v>1037</v>
      </c>
      <c r="BE34" s="25">
        <f>HLOOKUP(BE$7,$I$66:$DJ$120,ROWS($A$10:$A34)+2,FALSE)</f>
        <v>1685</v>
      </c>
      <c r="BF34" s="25">
        <f>HLOOKUP(BF$7,$I$66:$DJ$120,ROWS($A$10:$A34)+2,FALSE)</f>
        <v>0</v>
      </c>
      <c r="BG34" s="25">
        <f>HLOOKUP(BG$7,$I$66:$DJ$120,ROWS($A$10:$A34)+2,FALSE)</f>
        <v>17618</v>
      </c>
      <c r="BH34" s="25">
        <f>HLOOKUP(BH$7,$I$66:$DJ$120,ROWS($A$10:$A34)+2,FALSE)</f>
        <v>213</v>
      </c>
      <c r="BI34" s="25">
        <f>HLOOKUP(BI$7,$I$66:$DJ$120,ROWS($A$10:$A34)+2,FALSE)</f>
        <v>134</v>
      </c>
      <c r="BJ34" s="34">
        <f>HLOOKUP(BJ$7+0.5,$I$66:$DJ$120,ROWS($A$10:$A34)+2,FALSE)</f>
        <v>6534</v>
      </c>
      <c r="BK34" s="34">
        <f>HLOOKUP(BK$7+0.5,$I$66:$DJ$120,ROWS($A$10:$A34)+2,FALSE)</f>
        <v>919</v>
      </c>
      <c r="BL34" s="34">
        <f>HLOOKUP(BL$7+0.5,$I$66:$DJ$120,ROWS($A$10:$A34)+2,FALSE)</f>
        <v>312</v>
      </c>
      <c r="BM34" s="34">
        <f>HLOOKUP(BM$7+0.5,$I$66:$DJ$120,ROWS($A$10:$A34)+2,FALSE)</f>
        <v>861</v>
      </c>
      <c r="BN34" s="34">
        <f>HLOOKUP(BN$7+0.5,$I$66:$DJ$120,ROWS($A$10:$A34)+2,FALSE)</f>
        <v>222</v>
      </c>
      <c r="BO34" s="34">
        <f>HLOOKUP(BO$7+0.5,$I$66:$DJ$120,ROWS($A$10:$A34)+2,FALSE)</f>
        <v>2263</v>
      </c>
      <c r="BP34" s="34">
        <f>HLOOKUP(BP$7+0.5,$I$66:$DJ$120,ROWS($A$10:$A34)+2,FALSE)</f>
        <v>1095</v>
      </c>
      <c r="BQ34" s="34">
        <f>HLOOKUP(BQ$7+0.5,$I$66:$DJ$120,ROWS($A$10:$A34)+2,FALSE)</f>
        <v>360</v>
      </c>
      <c r="BR34" s="34">
        <f>HLOOKUP(BR$7+0.5,$I$66:$DJ$120,ROWS($A$10:$A34)+2,FALSE)</f>
        <v>139</v>
      </c>
      <c r="BS34" s="34">
        <f>HLOOKUP(BS$7+0.5,$I$66:$DJ$120,ROWS($A$10:$A34)+2,FALSE)</f>
        <v>353</v>
      </c>
      <c r="BT34" s="34">
        <f>HLOOKUP(BT$7+0.5,$I$66:$DJ$120,ROWS($A$10:$A34)+2,FALSE)</f>
        <v>752</v>
      </c>
      <c r="BU34" s="34">
        <f>HLOOKUP(BU$7+0.5,$I$66:$DJ$120,ROWS($A$10:$A34)+2,FALSE)</f>
        <v>1482</v>
      </c>
      <c r="BV34" s="34">
        <f>HLOOKUP(BV$7+0.5,$I$66:$DJ$120,ROWS($A$10:$A34)+2,FALSE)</f>
        <v>1179</v>
      </c>
      <c r="BW34" s="34">
        <f>HLOOKUP(BW$7+0.5,$I$66:$DJ$120,ROWS($A$10:$A34)+2,FALSE)</f>
        <v>531</v>
      </c>
      <c r="BX34" s="34">
        <f>HLOOKUP(BX$7+0.5,$I$66:$DJ$120,ROWS($A$10:$A34)+2,FALSE)</f>
        <v>1405</v>
      </c>
      <c r="BY34" s="34">
        <f>HLOOKUP(BY$7+0.5,$I$66:$DJ$120,ROWS($A$10:$A34)+2,FALSE)</f>
        <v>1057</v>
      </c>
      <c r="BZ34" s="34">
        <f>HLOOKUP(BZ$7+0.5,$I$66:$DJ$120,ROWS($A$10:$A34)+2,FALSE)</f>
        <v>1774</v>
      </c>
      <c r="CA34" s="34">
        <f>HLOOKUP(CA$7+0.5,$I$66:$DJ$120,ROWS($A$10:$A34)+2,FALSE)</f>
        <v>513</v>
      </c>
      <c r="CB34" s="34">
        <f>HLOOKUP(CB$7+0.5,$I$66:$DJ$120,ROWS($A$10:$A34)+2,FALSE)</f>
        <v>103</v>
      </c>
      <c r="CC34" s="34">
        <f>HLOOKUP(CC$7+0.5,$I$66:$DJ$120,ROWS($A$10:$A34)+2,FALSE)</f>
        <v>858</v>
      </c>
      <c r="CD34" s="34">
        <f>HLOOKUP(CD$7+0.5,$I$66:$DJ$120,ROWS($A$10:$A34)+2,FALSE)</f>
        <v>136</v>
      </c>
      <c r="CE34" s="34">
        <f>HLOOKUP(CE$7+0.5,$I$66:$DJ$120,ROWS($A$10:$A34)+2,FALSE)</f>
        <v>2080</v>
      </c>
      <c r="CF34" s="34">
        <f>HLOOKUP(CF$7+0.5,$I$66:$DJ$120,ROWS($A$10:$A34)+2,FALSE)</f>
        <v>434</v>
      </c>
      <c r="CG34" s="34">
        <f>HLOOKUP(CG$7+0.5,$I$66:$DJ$120,ROWS($A$10:$A34)+2,FALSE)</f>
        <v>822</v>
      </c>
      <c r="CH34" s="34" t="str">
        <f>HLOOKUP(CH$7+0.5,$I$66:$DJ$120,ROWS($A$10:$A34)+2,FALSE)</f>
        <v>N/A</v>
      </c>
      <c r="CI34" s="34">
        <f>HLOOKUP(CI$7+0.5,$I$66:$DJ$120,ROWS($A$10:$A34)+2,FALSE)</f>
        <v>323</v>
      </c>
      <c r="CJ34" s="34">
        <f>HLOOKUP(CJ$7+0.5,$I$66:$DJ$120,ROWS($A$10:$A34)+2,FALSE)</f>
        <v>750</v>
      </c>
      <c r="CK34" s="34">
        <f>HLOOKUP(CK$7+0.5,$I$66:$DJ$120,ROWS($A$10:$A34)+2,FALSE)</f>
        <v>900</v>
      </c>
      <c r="CL34" s="34">
        <f>HLOOKUP(CL$7+0.5,$I$66:$DJ$120,ROWS($A$10:$A34)+2,FALSE)</f>
        <v>477</v>
      </c>
      <c r="CM34" s="34">
        <f>HLOOKUP(CM$7+0.5,$I$66:$DJ$120,ROWS($A$10:$A34)+2,FALSE)</f>
        <v>542</v>
      </c>
      <c r="CN34" s="34">
        <f>HLOOKUP(CN$7+0.5,$I$66:$DJ$120,ROWS($A$10:$A34)+2,FALSE)</f>
        <v>139</v>
      </c>
      <c r="CO34" s="34">
        <f>HLOOKUP(CO$7+0.5,$I$66:$DJ$120,ROWS($A$10:$A34)+2,FALSE)</f>
        <v>546</v>
      </c>
      <c r="CP34" s="34">
        <f>HLOOKUP(CP$7+0.5,$I$66:$DJ$120,ROWS($A$10:$A34)+2,FALSE)</f>
        <v>224</v>
      </c>
      <c r="CQ34" s="34">
        <f>HLOOKUP(CQ$7+0.5,$I$66:$DJ$120,ROWS($A$10:$A34)+2,FALSE)</f>
        <v>732</v>
      </c>
      <c r="CR34" s="34">
        <f>HLOOKUP(CR$7+0.5,$I$66:$DJ$120,ROWS($A$10:$A34)+2,FALSE)</f>
        <v>956</v>
      </c>
      <c r="CS34" s="34">
        <f>HLOOKUP(CS$7+0.5,$I$66:$DJ$120,ROWS($A$10:$A34)+2,FALSE)</f>
        <v>1485</v>
      </c>
      <c r="CT34" s="34">
        <f>HLOOKUP(CT$7+0.5,$I$66:$DJ$120,ROWS($A$10:$A34)+2,FALSE)</f>
        <v>1248</v>
      </c>
      <c r="CU34" s="34">
        <f>HLOOKUP(CU$7+0.5,$I$66:$DJ$120,ROWS($A$10:$A34)+2,FALSE)</f>
        <v>894</v>
      </c>
      <c r="CV34" s="34">
        <f>HLOOKUP(CV$7+0.5,$I$66:$DJ$120,ROWS($A$10:$A34)+2,FALSE)</f>
        <v>513</v>
      </c>
      <c r="CW34" s="34">
        <f>HLOOKUP(CW$7+0.5,$I$66:$DJ$120,ROWS($A$10:$A34)+2,FALSE)</f>
        <v>570</v>
      </c>
      <c r="CX34" s="34">
        <f>HLOOKUP(CX$7+0.5,$I$66:$DJ$120,ROWS($A$10:$A34)+2,FALSE)</f>
        <v>226</v>
      </c>
      <c r="CY34" s="34">
        <f>HLOOKUP(CY$7+0.5,$I$66:$DJ$120,ROWS($A$10:$A34)+2,FALSE)</f>
        <v>1448</v>
      </c>
      <c r="CZ34" s="34">
        <f>HLOOKUP(CZ$7+0.5,$I$66:$DJ$120,ROWS($A$10:$A34)+2,FALSE)</f>
        <v>990</v>
      </c>
      <c r="DA34" s="34">
        <f>HLOOKUP(DA$7+0.5,$I$66:$DJ$120,ROWS($A$10:$A34)+2,FALSE)</f>
        <v>1141</v>
      </c>
      <c r="DB34" s="34">
        <f>HLOOKUP(DB$7+0.5,$I$66:$DJ$120,ROWS($A$10:$A34)+2,FALSE)</f>
        <v>1244</v>
      </c>
      <c r="DC34" s="34">
        <f>HLOOKUP(DC$7+0.5,$I$66:$DJ$120,ROWS($A$10:$A34)+2,FALSE)</f>
        <v>312</v>
      </c>
      <c r="DD34" s="34">
        <f>HLOOKUP(DD$7+0.5,$I$66:$DJ$120,ROWS($A$10:$A34)+2,FALSE)</f>
        <v>126</v>
      </c>
      <c r="DE34" s="34">
        <f>HLOOKUP(DE$7+0.5,$I$66:$DJ$120,ROWS($A$10:$A34)+2,FALSE)</f>
        <v>434</v>
      </c>
      <c r="DF34" s="34">
        <f>HLOOKUP(DF$7+0.5,$I$66:$DJ$120,ROWS($A$10:$A34)+2,FALSE)</f>
        <v>678</v>
      </c>
      <c r="DG34" s="34">
        <f>HLOOKUP(DG$7+0.5,$I$66:$DJ$120,ROWS($A$10:$A34)+2,FALSE)</f>
        <v>139</v>
      </c>
      <c r="DH34" s="34">
        <f>HLOOKUP(DH$7+0.5,$I$66:$DJ$120,ROWS($A$10:$A34)+2,FALSE)</f>
        <v>2358</v>
      </c>
      <c r="DI34" s="34">
        <f>HLOOKUP(DI$7+0.5,$I$66:$DJ$120,ROWS($A$10:$A34)+2,FALSE)</f>
        <v>213</v>
      </c>
      <c r="DJ34" s="34">
        <f>HLOOKUP(DJ$7+0.5,$I$66:$DJ$120,ROWS($A$10:$A34)+2,FALSE)</f>
        <v>136</v>
      </c>
    </row>
    <row r="35" spans="2:114" x14ac:dyDescent="0.25">
      <c r="B35" s="38" t="s">
        <v>31</v>
      </c>
      <c r="C35" s="16">
        <v>2947696</v>
      </c>
      <c r="D35" s="17">
        <v>2744</v>
      </c>
      <c r="E35" s="16">
        <v>2529377</v>
      </c>
      <c r="F35" s="17">
        <v>17940</v>
      </c>
      <c r="G35" s="16">
        <v>339807</v>
      </c>
      <c r="H35" s="17">
        <v>16126</v>
      </c>
      <c r="I35" s="36">
        <f>HLOOKUP(I$7,$I$66:$DJ$120,ROWS($A$10:$A35)+2,FALSE)</f>
        <v>73500</v>
      </c>
      <c r="J35" s="25">
        <f>HLOOKUP(J$7,$I$66:$DJ$120,ROWS($A$10:$A35)+2,FALSE)</f>
        <v>5141</v>
      </c>
      <c r="K35" s="25">
        <f>HLOOKUP(K$7,$I$66:$DJ$120,ROWS($A$10:$A35)+2,FALSE)</f>
        <v>0</v>
      </c>
      <c r="L35" s="25">
        <f>HLOOKUP(L$7,$I$66:$DJ$120,ROWS($A$10:$A35)+2,FALSE)</f>
        <v>710</v>
      </c>
      <c r="M35" s="25">
        <f>HLOOKUP(M$7,$I$66:$DJ$120,ROWS($A$10:$A35)+2,FALSE)</f>
        <v>2680</v>
      </c>
      <c r="N35" s="25">
        <f>HLOOKUP(N$7,$I$66:$DJ$120,ROWS($A$10:$A35)+2,FALSE)</f>
        <v>4371</v>
      </c>
      <c r="O35" s="25">
        <f>HLOOKUP(O$7,$I$66:$DJ$120,ROWS($A$10:$A35)+2,FALSE)</f>
        <v>799</v>
      </c>
      <c r="P35" s="25">
        <f>HLOOKUP(P$7,$I$66:$DJ$120,ROWS($A$10:$A35)+2,FALSE)</f>
        <v>106</v>
      </c>
      <c r="Q35" s="25">
        <f>HLOOKUP(Q$7,$I$66:$DJ$120,ROWS($A$10:$A35)+2,FALSE)</f>
        <v>0</v>
      </c>
      <c r="R35" s="25">
        <f>HLOOKUP(R$7,$I$66:$DJ$120,ROWS($A$10:$A35)+2,FALSE)</f>
        <v>97</v>
      </c>
      <c r="S35" s="25">
        <f>HLOOKUP(S$7,$I$66:$DJ$120,ROWS($A$10:$A35)+2,FALSE)</f>
        <v>4676</v>
      </c>
      <c r="T35" s="25">
        <f>HLOOKUP(T$7,$I$66:$DJ$120,ROWS($A$10:$A35)+2,FALSE)</f>
        <v>2669</v>
      </c>
      <c r="U35" s="25">
        <f>HLOOKUP(U$7,$I$66:$DJ$120,ROWS($A$10:$A35)+2,FALSE)</f>
        <v>184</v>
      </c>
      <c r="V35" s="25">
        <f>HLOOKUP(V$7,$I$66:$DJ$120,ROWS($A$10:$A35)+2,FALSE)</f>
        <v>586</v>
      </c>
      <c r="W35" s="25">
        <f>HLOOKUP(W$7,$I$66:$DJ$120,ROWS($A$10:$A35)+2,FALSE)</f>
        <v>2703</v>
      </c>
      <c r="X35" s="25">
        <f>HLOOKUP(X$7,$I$66:$DJ$120,ROWS($A$10:$A35)+2,FALSE)</f>
        <v>1200</v>
      </c>
      <c r="Y35" s="25">
        <f>HLOOKUP(Y$7,$I$66:$DJ$120,ROWS($A$10:$A35)+2,FALSE)</f>
        <v>160</v>
      </c>
      <c r="Z35" s="25">
        <f>HLOOKUP(Z$7,$I$66:$DJ$120,ROWS($A$10:$A35)+2,FALSE)</f>
        <v>400</v>
      </c>
      <c r="AA35" s="25">
        <f>HLOOKUP(AA$7,$I$66:$DJ$120,ROWS($A$10:$A35)+2,FALSE)</f>
        <v>446</v>
      </c>
      <c r="AB35" s="25">
        <f>HLOOKUP(AB$7,$I$66:$DJ$120,ROWS($A$10:$A35)+2,FALSE)</f>
        <v>8588</v>
      </c>
      <c r="AC35" s="25">
        <f>HLOOKUP(AC$7,$I$66:$DJ$120,ROWS($A$10:$A35)+2,FALSE)</f>
        <v>163</v>
      </c>
      <c r="AD35" s="25">
        <f>HLOOKUP(AD$7,$I$66:$DJ$120,ROWS($A$10:$A35)+2,FALSE)</f>
        <v>379</v>
      </c>
      <c r="AE35" s="25">
        <f>HLOOKUP(AE$7,$I$66:$DJ$120,ROWS($A$10:$A35)+2,FALSE)</f>
        <v>67</v>
      </c>
      <c r="AF35" s="25">
        <f>HLOOKUP(AF$7,$I$66:$DJ$120,ROWS($A$10:$A35)+2,FALSE)</f>
        <v>1768</v>
      </c>
      <c r="AG35" s="25">
        <f>HLOOKUP(AG$7,$I$66:$DJ$120,ROWS($A$10:$A35)+2,FALSE)</f>
        <v>568</v>
      </c>
      <c r="AH35" s="25" t="str">
        <f>HLOOKUP(AH$7,$I$66:$DJ$120,ROWS($A$10:$A35)+2,FALSE)</f>
        <v>N/A</v>
      </c>
      <c r="AI35" s="25">
        <f>HLOOKUP(AI$7,$I$66:$DJ$120,ROWS($A$10:$A35)+2,FALSE)</f>
        <v>2634</v>
      </c>
      <c r="AJ35" s="25">
        <f>HLOOKUP(AJ$7,$I$66:$DJ$120,ROWS($A$10:$A35)+2,FALSE)</f>
        <v>166</v>
      </c>
      <c r="AK35" s="25">
        <f>HLOOKUP(AK$7,$I$66:$DJ$120,ROWS($A$10:$A35)+2,FALSE)</f>
        <v>138</v>
      </c>
      <c r="AL35" s="25">
        <f>HLOOKUP(AL$7,$I$66:$DJ$120,ROWS($A$10:$A35)+2,FALSE)</f>
        <v>526</v>
      </c>
      <c r="AM35" s="25">
        <f>HLOOKUP(AM$7,$I$66:$DJ$120,ROWS($A$10:$A35)+2,FALSE)</f>
        <v>60</v>
      </c>
      <c r="AN35" s="25">
        <f>HLOOKUP(AN$7,$I$66:$DJ$120,ROWS($A$10:$A35)+2,FALSE)</f>
        <v>2127</v>
      </c>
      <c r="AO35" s="25">
        <f>HLOOKUP(AO$7,$I$66:$DJ$120,ROWS($A$10:$A35)+2,FALSE)</f>
        <v>86</v>
      </c>
      <c r="AP35" s="25">
        <f>HLOOKUP(AP$7,$I$66:$DJ$120,ROWS($A$10:$A35)+2,FALSE)</f>
        <v>1492</v>
      </c>
      <c r="AQ35" s="25">
        <f>HLOOKUP(AQ$7,$I$66:$DJ$120,ROWS($A$10:$A35)+2,FALSE)</f>
        <v>1709</v>
      </c>
      <c r="AR35" s="25">
        <f>HLOOKUP(AR$7,$I$66:$DJ$120,ROWS($A$10:$A35)+2,FALSE)</f>
        <v>98</v>
      </c>
      <c r="AS35" s="25">
        <f>HLOOKUP(AS$7,$I$66:$DJ$120,ROWS($A$10:$A35)+2,FALSE)</f>
        <v>896</v>
      </c>
      <c r="AT35" s="25">
        <f>HLOOKUP(AT$7,$I$66:$DJ$120,ROWS($A$10:$A35)+2,FALSE)</f>
        <v>562</v>
      </c>
      <c r="AU35" s="25">
        <f>HLOOKUP(AU$7,$I$66:$DJ$120,ROWS($A$10:$A35)+2,FALSE)</f>
        <v>465</v>
      </c>
      <c r="AV35" s="25">
        <f>HLOOKUP(AV$7,$I$66:$DJ$120,ROWS($A$10:$A35)+2,FALSE)</f>
        <v>613</v>
      </c>
      <c r="AW35" s="25">
        <f>HLOOKUP(AW$7,$I$66:$DJ$120,ROWS($A$10:$A35)+2,FALSE)</f>
        <v>185</v>
      </c>
      <c r="AX35" s="25">
        <f>HLOOKUP(AX$7,$I$66:$DJ$120,ROWS($A$10:$A35)+2,FALSE)</f>
        <v>596</v>
      </c>
      <c r="AY35" s="25">
        <f>HLOOKUP(AY$7,$I$66:$DJ$120,ROWS($A$10:$A35)+2,FALSE)</f>
        <v>79</v>
      </c>
      <c r="AZ35" s="25">
        <f>HLOOKUP(AZ$7,$I$66:$DJ$120,ROWS($A$10:$A35)+2,FALSE)</f>
        <v>11643</v>
      </c>
      <c r="BA35" s="25">
        <f>HLOOKUP(BA$7,$I$66:$DJ$120,ROWS($A$10:$A35)+2,FALSE)</f>
        <v>7230</v>
      </c>
      <c r="BB35" s="25">
        <f>HLOOKUP(BB$7,$I$66:$DJ$120,ROWS($A$10:$A35)+2,FALSE)</f>
        <v>454</v>
      </c>
      <c r="BC35" s="25">
        <f>HLOOKUP(BC$7,$I$66:$DJ$120,ROWS($A$10:$A35)+2,FALSE)</f>
        <v>0</v>
      </c>
      <c r="BD35" s="25">
        <f>HLOOKUP(BD$7,$I$66:$DJ$120,ROWS($A$10:$A35)+2,FALSE)</f>
        <v>1929</v>
      </c>
      <c r="BE35" s="25">
        <f>HLOOKUP(BE$7,$I$66:$DJ$120,ROWS($A$10:$A35)+2,FALSE)</f>
        <v>433</v>
      </c>
      <c r="BF35" s="25">
        <f>HLOOKUP(BF$7,$I$66:$DJ$120,ROWS($A$10:$A35)+2,FALSE)</f>
        <v>0</v>
      </c>
      <c r="BG35" s="25">
        <f>HLOOKUP(BG$7,$I$66:$DJ$120,ROWS($A$10:$A35)+2,FALSE)</f>
        <v>611</v>
      </c>
      <c r="BH35" s="25">
        <f>HLOOKUP(BH$7,$I$66:$DJ$120,ROWS($A$10:$A35)+2,FALSE)</f>
        <v>307</v>
      </c>
      <c r="BI35" s="25">
        <f>HLOOKUP(BI$7,$I$66:$DJ$120,ROWS($A$10:$A35)+2,FALSE)</f>
        <v>81</v>
      </c>
      <c r="BJ35" s="34">
        <f>HLOOKUP(BJ$7+0.5,$I$66:$DJ$120,ROWS($A$10:$A35)+2,FALSE)</f>
        <v>7080</v>
      </c>
      <c r="BK35" s="34">
        <f>HLOOKUP(BK$7+0.5,$I$66:$DJ$120,ROWS($A$10:$A35)+2,FALSE)</f>
        <v>1870</v>
      </c>
      <c r="BL35" s="34">
        <f>HLOOKUP(BL$7+0.5,$I$66:$DJ$120,ROWS($A$10:$A35)+2,FALSE)</f>
        <v>198</v>
      </c>
      <c r="BM35" s="34">
        <f>HLOOKUP(BM$7+0.5,$I$66:$DJ$120,ROWS($A$10:$A35)+2,FALSE)</f>
        <v>509</v>
      </c>
      <c r="BN35" s="34">
        <f>HLOOKUP(BN$7+0.5,$I$66:$DJ$120,ROWS($A$10:$A35)+2,FALSE)</f>
        <v>1447</v>
      </c>
      <c r="BO35" s="34">
        <f>HLOOKUP(BO$7+0.5,$I$66:$DJ$120,ROWS($A$10:$A35)+2,FALSE)</f>
        <v>1070</v>
      </c>
      <c r="BP35" s="34">
        <f>HLOOKUP(BP$7+0.5,$I$66:$DJ$120,ROWS($A$10:$A35)+2,FALSE)</f>
        <v>426</v>
      </c>
      <c r="BQ35" s="34">
        <f>HLOOKUP(BQ$7+0.5,$I$66:$DJ$120,ROWS($A$10:$A35)+2,FALSE)</f>
        <v>147</v>
      </c>
      <c r="BR35" s="34">
        <f>HLOOKUP(BR$7+0.5,$I$66:$DJ$120,ROWS($A$10:$A35)+2,FALSE)</f>
        <v>198</v>
      </c>
      <c r="BS35" s="34">
        <f>HLOOKUP(BS$7+0.5,$I$66:$DJ$120,ROWS($A$10:$A35)+2,FALSE)</f>
        <v>164</v>
      </c>
      <c r="BT35" s="34">
        <f>HLOOKUP(BT$7+0.5,$I$66:$DJ$120,ROWS($A$10:$A35)+2,FALSE)</f>
        <v>1396</v>
      </c>
      <c r="BU35" s="34">
        <f>HLOOKUP(BU$7+0.5,$I$66:$DJ$120,ROWS($A$10:$A35)+2,FALSE)</f>
        <v>865</v>
      </c>
      <c r="BV35" s="34">
        <f>HLOOKUP(BV$7+0.5,$I$66:$DJ$120,ROWS($A$10:$A35)+2,FALSE)</f>
        <v>191</v>
      </c>
      <c r="BW35" s="34">
        <f>HLOOKUP(BW$7+0.5,$I$66:$DJ$120,ROWS($A$10:$A35)+2,FALSE)</f>
        <v>597</v>
      </c>
      <c r="BX35" s="34">
        <f>HLOOKUP(BX$7+0.5,$I$66:$DJ$120,ROWS($A$10:$A35)+2,FALSE)</f>
        <v>933</v>
      </c>
      <c r="BY35" s="34">
        <f>HLOOKUP(BY$7+0.5,$I$66:$DJ$120,ROWS($A$10:$A35)+2,FALSE)</f>
        <v>621</v>
      </c>
      <c r="BZ35" s="34">
        <f>HLOOKUP(BZ$7+0.5,$I$66:$DJ$120,ROWS($A$10:$A35)+2,FALSE)</f>
        <v>275</v>
      </c>
      <c r="CA35" s="34">
        <f>HLOOKUP(CA$7+0.5,$I$66:$DJ$120,ROWS($A$10:$A35)+2,FALSE)</f>
        <v>339</v>
      </c>
      <c r="CB35" s="34">
        <f>HLOOKUP(CB$7+0.5,$I$66:$DJ$120,ROWS($A$10:$A35)+2,FALSE)</f>
        <v>276</v>
      </c>
      <c r="CC35" s="34">
        <f>HLOOKUP(CC$7+0.5,$I$66:$DJ$120,ROWS($A$10:$A35)+2,FALSE)</f>
        <v>2293</v>
      </c>
      <c r="CD35" s="34">
        <f>HLOOKUP(CD$7+0.5,$I$66:$DJ$120,ROWS($A$10:$A35)+2,FALSE)</f>
        <v>167</v>
      </c>
      <c r="CE35" s="34">
        <f>HLOOKUP(CE$7+0.5,$I$66:$DJ$120,ROWS($A$10:$A35)+2,FALSE)</f>
        <v>262</v>
      </c>
      <c r="CF35" s="34">
        <f>HLOOKUP(CF$7+0.5,$I$66:$DJ$120,ROWS($A$10:$A35)+2,FALSE)</f>
        <v>113</v>
      </c>
      <c r="CG35" s="34">
        <f>HLOOKUP(CG$7+0.5,$I$66:$DJ$120,ROWS($A$10:$A35)+2,FALSE)</f>
        <v>1071</v>
      </c>
      <c r="CH35" s="34">
        <f>HLOOKUP(CH$7+0.5,$I$66:$DJ$120,ROWS($A$10:$A35)+2,FALSE)</f>
        <v>385</v>
      </c>
      <c r="CI35" s="34" t="str">
        <f>HLOOKUP(CI$7+0.5,$I$66:$DJ$120,ROWS($A$10:$A35)+2,FALSE)</f>
        <v>N/A</v>
      </c>
      <c r="CJ35" s="34">
        <f>HLOOKUP(CJ$7+0.5,$I$66:$DJ$120,ROWS($A$10:$A35)+2,FALSE)</f>
        <v>1581</v>
      </c>
      <c r="CK35" s="34">
        <f>HLOOKUP(CK$7+0.5,$I$66:$DJ$120,ROWS($A$10:$A35)+2,FALSE)</f>
        <v>168</v>
      </c>
      <c r="CL35" s="34">
        <f>HLOOKUP(CL$7+0.5,$I$66:$DJ$120,ROWS($A$10:$A35)+2,FALSE)</f>
        <v>159</v>
      </c>
      <c r="CM35" s="34">
        <f>HLOOKUP(CM$7+0.5,$I$66:$DJ$120,ROWS($A$10:$A35)+2,FALSE)</f>
        <v>342</v>
      </c>
      <c r="CN35" s="34">
        <f>HLOOKUP(CN$7+0.5,$I$66:$DJ$120,ROWS($A$10:$A35)+2,FALSE)</f>
        <v>117</v>
      </c>
      <c r="CO35" s="34">
        <f>HLOOKUP(CO$7+0.5,$I$66:$DJ$120,ROWS($A$10:$A35)+2,FALSE)</f>
        <v>1495</v>
      </c>
      <c r="CP35" s="34">
        <f>HLOOKUP(CP$7+0.5,$I$66:$DJ$120,ROWS($A$10:$A35)+2,FALSE)</f>
        <v>102</v>
      </c>
      <c r="CQ35" s="34">
        <f>HLOOKUP(CQ$7+0.5,$I$66:$DJ$120,ROWS($A$10:$A35)+2,FALSE)</f>
        <v>660</v>
      </c>
      <c r="CR35" s="34">
        <f>HLOOKUP(CR$7+0.5,$I$66:$DJ$120,ROWS($A$10:$A35)+2,FALSE)</f>
        <v>609</v>
      </c>
      <c r="CS35" s="34">
        <f>HLOOKUP(CS$7+0.5,$I$66:$DJ$120,ROWS($A$10:$A35)+2,FALSE)</f>
        <v>118</v>
      </c>
      <c r="CT35" s="34">
        <f>HLOOKUP(CT$7+0.5,$I$66:$DJ$120,ROWS($A$10:$A35)+2,FALSE)</f>
        <v>703</v>
      </c>
      <c r="CU35" s="34">
        <f>HLOOKUP(CU$7+0.5,$I$66:$DJ$120,ROWS($A$10:$A35)+2,FALSE)</f>
        <v>352</v>
      </c>
      <c r="CV35" s="34">
        <f>HLOOKUP(CV$7+0.5,$I$66:$DJ$120,ROWS($A$10:$A35)+2,FALSE)</f>
        <v>768</v>
      </c>
      <c r="CW35" s="34">
        <f>HLOOKUP(CW$7+0.5,$I$66:$DJ$120,ROWS($A$10:$A35)+2,FALSE)</f>
        <v>434</v>
      </c>
      <c r="CX35" s="34">
        <f>HLOOKUP(CX$7+0.5,$I$66:$DJ$120,ROWS($A$10:$A35)+2,FALSE)</f>
        <v>229</v>
      </c>
      <c r="CY35" s="34">
        <f>HLOOKUP(CY$7+0.5,$I$66:$DJ$120,ROWS($A$10:$A35)+2,FALSE)</f>
        <v>469</v>
      </c>
      <c r="CZ35" s="34">
        <f>HLOOKUP(CZ$7+0.5,$I$66:$DJ$120,ROWS($A$10:$A35)+2,FALSE)</f>
        <v>129</v>
      </c>
      <c r="DA35" s="34">
        <f>HLOOKUP(DA$7+0.5,$I$66:$DJ$120,ROWS($A$10:$A35)+2,FALSE)</f>
        <v>2856</v>
      </c>
      <c r="DB35" s="34">
        <f>HLOOKUP(DB$7+0.5,$I$66:$DJ$120,ROWS($A$10:$A35)+2,FALSE)</f>
        <v>2491</v>
      </c>
      <c r="DC35" s="34">
        <f>HLOOKUP(DC$7+0.5,$I$66:$DJ$120,ROWS($A$10:$A35)+2,FALSE)</f>
        <v>724</v>
      </c>
      <c r="DD35" s="34">
        <f>HLOOKUP(DD$7+0.5,$I$66:$DJ$120,ROWS($A$10:$A35)+2,FALSE)</f>
        <v>198</v>
      </c>
      <c r="DE35" s="34">
        <f>HLOOKUP(DE$7+0.5,$I$66:$DJ$120,ROWS($A$10:$A35)+2,FALSE)</f>
        <v>1285</v>
      </c>
      <c r="DF35" s="34">
        <f>HLOOKUP(DF$7+0.5,$I$66:$DJ$120,ROWS($A$10:$A35)+2,FALSE)</f>
        <v>309</v>
      </c>
      <c r="DG35" s="34">
        <f>HLOOKUP(DG$7+0.5,$I$66:$DJ$120,ROWS($A$10:$A35)+2,FALSE)</f>
        <v>198</v>
      </c>
      <c r="DH35" s="34">
        <f>HLOOKUP(DH$7+0.5,$I$66:$DJ$120,ROWS($A$10:$A35)+2,FALSE)</f>
        <v>521</v>
      </c>
      <c r="DI35" s="34">
        <f>HLOOKUP(DI$7+0.5,$I$66:$DJ$120,ROWS($A$10:$A35)+2,FALSE)</f>
        <v>287</v>
      </c>
      <c r="DJ35" s="34">
        <f>HLOOKUP(DJ$7+0.5,$I$66:$DJ$120,ROWS($A$10:$A35)+2,FALSE)</f>
        <v>108</v>
      </c>
    </row>
    <row r="36" spans="2:114" x14ac:dyDescent="0.25">
      <c r="B36" s="38" t="s">
        <v>32</v>
      </c>
      <c r="C36" s="16">
        <v>5951913</v>
      </c>
      <c r="D36" s="17">
        <v>3866</v>
      </c>
      <c r="E36" s="16">
        <v>4965459</v>
      </c>
      <c r="F36" s="17">
        <v>21306</v>
      </c>
      <c r="G36" s="16">
        <v>801093</v>
      </c>
      <c r="H36" s="17">
        <v>19635</v>
      </c>
      <c r="I36" s="36">
        <f>HLOOKUP(I$7,$I$66:$DJ$120,ROWS($A$10:$A36)+2,FALSE)</f>
        <v>162930</v>
      </c>
      <c r="J36" s="25">
        <f>HLOOKUP(J$7,$I$66:$DJ$120,ROWS($A$10:$A36)+2,FALSE)</f>
        <v>1333</v>
      </c>
      <c r="K36" s="25">
        <f>HLOOKUP(K$7,$I$66:$DJ$120,ROWS($A$10:$A36)+2,FALSE)</f>
        <v>2186</v>
      </c>
      <c r="L36" s="25">
        <f>HLOOKUP(L$7,$I$66:$DJ$120,ROWS($A$10:$A36)+2,FALSE)</f>
        <v>2297</v>
      </c>
      <c r="M36" s="25">
        <f>HLOOKUP(M$7,$I$66:$DJ$120,ROWS($A$10:$A36)+2,FALSE)</f>
        <v>9434</v>
      </c>
      <c r="N36" s="25">
        <f>HLOOKUP(N$7,$I$66:$DJ$120,ROWS($A$10:$A36)+2,FALSE)</f>
        <v>10717</v>
      </c>
      <c r="O36" s="25">
        <f>HLOOKUP(O$7,$I$66:$DJ$120,ROWS($A$10:$A36)+2,FALSE)</f>
        <v>3798</v>
      </c>
      <c r="P36" s="25">
        <f>HLOOKUP(P$7,$I$66:$DJ$120,ROWS($A$10:$A36)+2,FALSE)</f>
        <v>410</v>
      </c>
      <c r="Q36" s="25">
        <f>HLOOKUP(Q$7,$I$66:$DJ$120,ROWS($A$10:$A36)+2,FALSE)</f>
        <v>234</v>
      </c>
      <c r="R36" s="25">
        <f>HLOOKUP(R$7,$I$66:$DJ$120,ROWS($A$10:$A36)+2,FALSE)</f>
        <v>144</v>
      </c>
      <c r="S36" s="25">
        <f>HLOOKUP(S$7,$I$66:$DJ$120,ROWS($A$10:$A36)+2,FALSE)</f>
        <v>8374</v>
      </c>
      <c r="T36" s="25">
        <f>HLOOKUP(T$7,$I$66:$DJ$120,ROWS($A$10:$A36)+2,FALSE)</f>
        <v>3451</v>
      </c>
      <c r="U36" s="25">
        <f>HLOOKUP(U$7,$I$66:$DJ$120,ROWS($A$10:$A36)+2,FALSE)</f>
        <v>2114</v>
      </c>
      <c r="V36" s="25">
        <f>HLOOKUP(V$7,$I$66:$DJ$120,ROWS($A$10:$A36)+2,FALSE)</f>
        <v>596</v>
      </c>
      <c r="W36" s="25">
        <f>HLOOKUP(W$7,$I$66:$DJ$120,ROWS($A$10:$A36)+2,FALSE)</f>
        <v>22001</v>
      </c>
      <c r="X36" s="25">
        <f>HLOOKUP(X$7,$I$66:$DJ$120,ROWS($A$10:$A36)+2,FALSE)</f>
        <v>4184</v>
      </c>
      <c r="Y36" s="25">
        <f>HLOOKUP(Y$7,$I$66:$DJ$120,ROWS($A$10:$A36)+2,FALSE)</f>
        <v>5956</v>
      </c>
      <c r="Z36" s="25">
        <f>HLOOKUP(Z$7,$I$66:$DJ$120,ROWS($A$10:$A36)+2,FALSE)</f>
        <v>20218</v>
      </c>
      <c r="AA36" s="25">
        <f>HLOOKUP(AA$7,$I$66:$DJ$120,ROWS($A$10:$A36)+2,FALSE)</f>
        <v>2291</v>
      </c>
      <c r="AB36" s="25">
        <f>HLOOKUP(AB$7,$I$66:$DJ$120,ROWS($A$10:$A36)+2,FALSE)</f>
        <v>1178</v>
      </c>
      <c r="AC36" s="25">
        <f>HLOOKUP(AC$7,$I$66:$DJ$120,ROWS($A$10:$A36)+2,FALSE)</f>
        <v>996</v>
      </c>
      <c r="AD36" s="25">
        <f>HLOOKUP(AD$7,$I$66:$DJ$120,ROWS($A$10:$A36)+2,FALSE)</f>
        <v>1246</v>
      </c>
      <c r="AE36" s="25">
        <f>HLOOKUP(AE$7,$I$66:$DJ$120,ROWS($A$10:$A36)+2,FALSE)</f>
        <v>810</v>
      </c>
      <c r="AF36" s="25">
        <f>HLOOKUP(AF$7,$I$66:$DJ$120,ROWS($A$10:$A36)+2,FALSE)</f>
        <v>2964</v>
      </c>
      <c r="AG36" s="25">
        <f>HLOOKUP(AG$7,$I$66:$DJ$120,ROWS($A$10:$A36)+2,FALSE)</f>
        <v>2798</v>
      </c>
      <c r="AH36" s="25">
        <f>HLOOKUP(AH$7,$I$66:$DJ$120,ROWS($A$10:$A36)+2,FALSE)</f>
        <v>1110</v>
      </c>
      <c r="AI36" s="25" t="str">
        <f>HLOOKUP(AI$7,$I$66:$DJ$120,ROWS($A$10:$A36)+2,FALSE)</f>
        <v>N/A</v>
      </c>
      <c r="AJ36" s="25">
        <f>HLOOKUP(AJ$7,$I$66:$DJ$120,ROWS($A$10:$A36)+2,FALSE)</f>
        <v>511</v>
      </c>
      <c r="AK36" s="25">
        <f>HLOOKUP(AK$7,$I$66:$DJ$120,ROWS($A$10:$A36)+2,FALSE)</f>
        <v>1999</v>
      </c>
      <c r="AL36" s="25">
        <f>HLOOKUP(AL$7,$I$66:$DJ$120,ROWS($A$10:$A36)+2,FALSE)</f>
        <v>836</v>
      </c>
      <c r="AM36" s="25">
        <f>HLOOKUP(AM$7,$I$66:$DJ$120,ROWS($A$10:$A36)+2,FALSE)</f>
        <v>35</v>
      </c>
      <c r="AN36" s="25">
        <f>HLOOKUP(AN$7,$I$66:$DJ$120,ROWS($A$10:$A36)+2,FALSE)</f>
        <v>960</v>
      </c>
      <c r="AO36" s="25">
        <f>HLOOKUP(AO$7,$I$66:$DJ$120,ROWS($A$10:$A36)+2,FALSE)</f>
        <v>451</v>
      </c>
      <c r="AP36" s="25">
        <f>HLOOKUP(AP$7,$I$66:$DJ$120,ROWS($A$10:$A36)+2,FALSE)</f>
        <v>2834</v>
      </c>
      <c r="AQ36" s="25">
        <f>HLOOKUP(AQ$7,$I$66:$DJ$120,ROWS($A$10:$A36)+2,FALSE)</f>
        <v>3988</v>
      </c>
      <c r="AR36" s="25">
        <f>HLOOKUP(AR$7,$I$66:$DJ$120,ROWS($A$10:$A36)+2,FALSE)</f>
        <v>636</v>
      </c>
      <c r="AS36" s="25">
        <f>HLOOKUP(AS$7,$I$66:$DJ$120,ROWS($A$10:$A36)+2,FALSE)</f>
        <v>3557</v>
      </c>
      <c r="AT36" s="25">
        <f>HLOOKUP(AT$7,$I$66:$DJ$120,ROWS($A$10:$A36)+2,FALSE)</f>
        <v>5298</v>
      </c>
      <c r="AU36" s="25">
        <f>HLOOKUP(AU$7,$I$66:$DJ$120,ROWS($A$10:$A36)+2,FALSE)</f>
        <v>1186</v>
      </c>
      <c r="AV36" s="25">
        <f>HLOOKUP(AV$7,$I$66:$DJ$120,ROWS($A$10:$A36)+2,FALSE)</f>
        <v>1535</v>
      </c>
      <c r="AW36" s="25">
        <f>HLOOKUP(AW$7,$I$66:$DJ$120,ROWS($A$10:$A36)+2,FALSE)</f>
        <v>361</v>
      </c>
      <c r="AX36" s="25">
        <f>HLOOKUP(AX$7,$I$66:$DJ$120,ROWS($A$10:$A36)+2,FALSE)</f>
        <v>2856</v>
      </c>
      <c r="AY36" s="25">
        <f>HLOOKUP(AY$7,$I$66:$DJ$120,ROWS($A$10:$A36)+2,FALSE)</f>
        <v>527</v>
      </c>
      <c r="AZ36" s="25">
        <f>HLOOKUP(AZ$7,$I$66:$DJ$120,ROWS($A$10:$A36)+2,FALSE)</f>
        <v>3122</v>
      </c>
      <c r="BA36" s="25">
        <f>HLOOKUP(BA$7,$I$66:$DJ$120,ROWS($A$10:$A36)+2,FALSE)</f>
        <v>9278</v>
      </c>
      <c r="BB36" s="25">
        <f>HLOOKUP(BB$7,$I$66:$DJ$120,ROWS($A$10:$A36)+2,FALSE)</f>
        <v>3287</v>
      </c>
      <c r="BC36" s="25">
        <f>HLOOKUP(BC$7,$I$66:$DJ$120,ROWS($A$10:$A36)+2,FALSE)</f>
        <v>318</v>
      </c>
      <c r="BD36" s="25">
        <f>HLOOKUP(BD$7,$I$66:$DJ$120,ROWS($A$10:$A36)+2,FALSE)</f>
        <v>2609</v>
      </c>
      <c r="BE36" s="25">
        <f>HLOOKUP(BE$7,$I$66:$DJ$120,ROWS($A$10:$A36)+2,FALSE)</f>
        <v>2312</v>
      </c>
      <c r="BF36" s="25">
        <f>HLOOKUP(BF$7,$I$66:$DJ$120,ROWS($A$10:$A36)+2,FALSE)</f>
        <v>148</v>
      </c>
      <c r="BG36" s="25">
        <f>HLOOKUP(BG$7,$I$66:$DJ$120,ROWS($A$10:$A36)+2,FALSE)</f>
        <v>2636</v>
      </c>
      <c r="BH36" s="25">
        <f>HLOOKUP(BH$7,$I$66:$DJ$120,ROWS($A$10:$A36)+2,FALSE)</f>
        <v>810</v>
      </c>
      <c r="BI36" s="25">
        <f>HLOOKUP(BI$7,$I$66:$DJ$120,ROWS($A$10:$A36)+2,FALSE)</f>
        <v>826</v>
      </c>
      <c r="BJ36" s="34">
        <f>HLOOKUP(BJ$7+0.5,$I$66:$DJ$120,ROWS($A$10:$A36)+2,FALSE)</f>
        <v>8034</v>
      </c>
      <c r="BK36" s="34">
        <f>HLOOKUP(BK$7+0.5,$I$66:$DJ$120,ROWS($A$10:$A36)+2,FALSE)</f>
        <v>768</v>
      </c>
      <c r="BL36" s="34">
        <f>HLOOKUP(BL$7+0.5,$I$66:$DJ$120,ROWS($A$10:$A36)+2,FALSE)</f>
        <v>1289</v>
      </c>
      <c r="BM36" s="34">
        <f>HLOOKUP(BM$7+0.5,$I$66:$DJ$120,ROWS($A$10:$A36)+2,FALSE)</f>
        <v>741</v>
      </c>
      <c r="BN36" s="34">
        <f>HLOOKUP(BN$7+0.5,$I$66:$DJ$120,ROWS($A$10:$A36)+2,FALSE)</f>
        <v>2224</v>
      </c>
      <c r="BO36" s="34">
        <f>HLOOKUP(BO$7+0.5,$I$66:$DJ$120,ROWS($A$10:$A36)+2,FALSE)</f>
        <v>2409</v>
      </c>
      <c r="BP36" s="34">
        <f>HLOOKUP(BP$7+0.5,$I$66:$DJ$120,ROWS($A$10:$A36)+2,FALSE)</f>
        <v>1371</v>
      </c>
      <c r="BQ36" s="34">
        <f>HLOOKUP(BQ$7+0.5,$I$66:$DJ$120,ROWS($A$10:$A36)+2,FALSE)</f>
        <v>331</v>
      </c>
      <c r="BR36" s="34">
        <f>HLOOKUP(BR$7+0.5,$I$66:$DJ$120,ROWS($A$10:$A36)+2,FALSE)</f>
        <v>314</v>
      </c>
      <c r="BS36" s="34">
        <f>HLOOKUP(BS$7+0.5,$I$66:$DJ$120,ROWS($A$10:$A36)+2,FALSE)</f>
        <v>172</v>
      </c>
      <c r="BT36" s="34">
        <f>HLOOKUP(BT$7+0.5,$I$66:$DJ$120,ROWS($A$10:$A36)+2,FALSE)</f>
        <v>1990</v>
      </c>
      <c r="BU36" s="34">
        <f>HLOOKUP(BU$7+0.5,$I$66:$DJ$120,ROWS($A$10:$A36)+2,FALSE)</f>
        <v>1391</v>
      </c>
      <c r="BV36" s="34">
        <f>HLOOKUP(BV$7+0.5,$I$66:$DJ$120,ROWS($A$10:$A36)+2,FALSE)</f>
        <v>1271</v>
      </c>
      <c r="BW36" s="34">
        <f>HLOOKUP(BW$7+0.5,$I$66:$DJ$120,ROWS($A$10:$A36)+2,FALSE)</f>
        <v>478</v>
      </c>
      <c r="BX36" s="34">
        <f>HLOOKUP(BX$7+0.5,$I$66:$DJ$120,ROWS($A$10:$A36)+2,FALSE)</f>
        <v>2893</v>
      </c>
      <c r="BY36" s="34">
        <f>HLOOKUP(BY$7+0.5,$I$66:$DJ$120,ROWS($A$10:$A36)+2,FALSE)</f>
        <v>1267</v>
      </c>
      <c r="BZ36" s="34">
        <f>HLOOKUP(BZ$7+0.5,$I$66:$DJ$120,ROWS($A$10:$A36)+2,FALSE)</f>
        <v>1324</v>
      </c>
      <c r="CA36" s="34">
        <f>HLOOKUP(CA$7+0.5,$I$66:$DJ$120,ROWS($A$10:$A36)+2,FALSE)</f>
        <v>3673</v>
      </c>
      <c r="CB36" s="34">
        <f>HLOOKUP(CB$7+0.5,$I$66:$DJ$120,ROWS($A$10:$A36)+2,FALSE)</f>
        <v>1067</v>
      </c>
      <c r="CC36" s="34">
        <f>HLOOKUP(CC$7+0.5,$I$66:$DJ$120,ROWS($A$10:$A36)+2,FALSE)</f>
        <v>651</v>
      </c>
      <c r="CD36" s="34">
        <f>HLOOKUP(CD$7+0.5,$I$66:$DJ$120,ROWS($A$10:$A36)+2,FALSE)</f>
        <v>1247</v>
      </c>
      <c r="CE36" s="34">
        <f>HLOOKUP(CE$7+0.5,$I$66:$DJ$120,ROWS($A$10:$A36)+2,FALSE)</f>
        <v>717</v>
      </c>
      <c r="CF36" s="34">
        <f>HLOOKUP(CF$7+0.5,$I$66:$DJ$120,ROWS($A$10:$A36)+2,FALSE)</f>
        <v>486</v>
      </c>
      <c r="CG36" s="34">
        <f>HLOOKUP(CG$7+0.5,$I$66:$DJ$120,ROWS($A$10:$A36)+2,FALSE)</f>
        <v>1169</v>
      </c>
      <c r="CH36" s="34">
        <f>HLOOKUP(CH$7+0.5,$I$66:$DJ$120,ROWS($A$10:$A36)+2,FALSE)</f>
        <v>1265</v>
      </c>
      <c r="CI36" s="34">
        <f>HLOOKUP(CI$7+0.5,$I$66:$DJ$120,ROWS($A$10:$A36)+2,FALSE)</f>
        <v>532</v>
      </c>
      <c r="CJ36" s="34" t="str">
        <f>HLOOKUP(CJ$7+0.5,$I$66:$DJ$120,ROWS($A$10:$A36)+2,FALSE)</f>
        <v>N/A</v>
      </c>
      <c r="CK36" s="34">
        <f>HLOOKUP(CK$7+0.5,$I$66:$DJ$120,ROWS($A$10:$A36)+2,FALSE)</f>
        <v>506</v>
      </c>
      <c r="CL36" s="34">
        <f>HLOOKUP(CL$7+0.5,$I$66:$DJ$120,ROWS($A$10:$A36)+2,FALSE)</f>
        <v>833</v>
      </c>
      <c r="CM36" s="34">
        <f>HLOOKUP(CM$7+0.5,$I$66:$DJ$120,ROWS($A$10:$A36)+2,FALSE)</f>
        <v>366</v>
      </c>
      <c r="CN36" s="34">
        <f>HLOOKUP(CN$7+0.5,$I$66:$DJ$120,ROWS($A$10:$A36)+2,FALSE)</f>
        <v>58</v>
      </c>
      <c r="CO36" s="34">
        <f>HLOOKUP(CO$7+0.5,$I$66:$DJ$120,ROWS($A$10:$A36)+2,FALSE)</f>
        <v>536</v>
      </c>
      <c r="CP36" s="34">
        <f>HLOOKUP(CP$7+0.5,$I$66:$DJ$120,ROWS($A$10:$A36)+2,FALSE)</f>
        <v>309</v>
      </c>
      <c r="CQ36" s="34">
        <f>HLOOKUP(CQ$7+0.5,$I$66:$DJ$120,ROWS($A$10:$A36)+2,FALSE)</f>
        <v>918</v>
      </c>
      <c r="CR36" s="34">
        <f>HLOOKUP(CR$7+0.5,$I$66:$DJ$120,ROWS($A$10:$A36)+2,FALSE)</f>
        <v>1420</v>
      </c>
      <c r="CS36" s="34">
        <f>HLOOKUP(CS$7+0.5,$I$66:$DJ$120,ROWS($A$10:$A36)+2,FALSE)</f>
        <v>462</v>
      </c>
      <c r="CT36" s="34">
        <f>HLOOKUP(CT$7+0.5,$I$66:$DJ$120,ROWS($A$10:$A36)+2,FALSE)</f>
        <v>1317</v>
      </c>
      <c r="CU36" s="34">
        <f>HLOOKUP(CU$7+0.5,$I$66:$DJ$120,ROWS($A$10:$A36)+2,FALSE)</f>
        <v>2199</v>
      </c>
      <c r="CV36" s="34">
        <f>HLOOKUP(CV$7+0.5,$I$66:$DJ$120,ROWS($A$10:$A36)+2,FALSE)</f>
        <v>899</v>
      </c>
      <c r="CW36" s="34">
        <f>HLOOKUP(CW$7+0.5,$I$66:$DJ$120,ROWS($A$10:$A36)+2,FALSE)</f>
        <v>639</v>
      </c>
      <c r="CX36" s="34">
        <f>HLOOKUP(CX$7+0.5,$I$66:$DJ$120,ROWS($A$10:$A36)+2,FALSE)</f>
        <v>582</v>
      </c>
      <c r="CY36" s="34">
        <f>HLOOKUP(CY$7+0.5,$I$66:$DJ$120,ROWS($A$10:$A36)+2,FALSE)</f>
        <v>1625</v>
      </c>
      <c r="CZ36" s="34">
        <f>HLOOKUP(CZ$7+0.5,$I$66:$DJ$120,ROWS($A$10:$A36)+2,FALSE)</f>
        <v>542</v>
      </c>
      <c r="DA36" s="34">
        <f>HLOOKUP(DA$7+0.5,$I$66:$DJ$120,ROWS($A$10:$A36)+2,FALSE)</f>
        <v>1350</v>
      </c>
      <c r="DB36" s="34">
        <f>HLOOKUP(DB$7+0.5,$I$66:$DJ$120,ROWS($A$10:$A36)+2,FALSE)</f>
        <v>2841</v>
      </c>
      <c r="DC36" s="34">
        <f>HLOOKUP(DC$7+0.5,$I$66:$DJ$120,ROWS($A$10:$A36)+2,FALSE)</f>
        <v>1733</v>
      </c>
      <c r="DD36" s="34">
        <f>HLOOKUP(DD$7+0.5,$I$66:$DJ$120,ROWS($A$10:$A36)+2,FALSE)</f>
        <v>413</v>
      </c>
      <c r="DE36" s="34">
        <f>HLOOKUP(DE$7+0.5,$I$66:$DJ$120,ROWS($A$10:$A36)+2,FALSE)</f>
        <v>1081</v>
      </c>
      <c r="DF36" s="34">
        <f>HLOOKUP(DF$7+0.5,$I$66:$DJ$120,ROWS($A$10:$A36)+2,FALSE)</f>
        <v>1093</v>
      </c>
      <c r="DG36" s="34">
        <f>HLOOKUP(DG$7+0.5,$I$66:$DJ$120,ROWS($A$10:$A36)+2,FALSE)</f>
        <v>181</v>
      </c>
      <c r="DH36" s="34">
        <f>HLOOKUP(DH$7+0.5,$I$66:$DJ$120,ROWS($A$10:$A36)+2,FALSE)</f>
        <v>999</v>
      </c>
      <c r="DI36" s="34">
        <f>HLOOKUP(DI$7+0.5,$I$66:$DJ$120,ROWS($A$10:$A36)+2,FALSE)</f>
        <v>452</v>
      </c>
      <c r="DJ36" s="34">
        <f>HLOOKUP(DJ$7+0.5,$I$66:$DJ$120,ROWS($A$10:$A36)+2,FALSE)</f>
        <v>958</v>
      </c>
    </row>
    <row r="37" spans="2:114" x14ac:dyDescent="0.25">
      <c r="B37" s="38" t="s">
        <v>33</v>
      </c>
      <c r="C37" s="16">
        <v>995544</v>
      </c>
      <c r="D37" s="17">
        <v>947</v>
      </c>
      <c r="E37" s="16">
        <v>829489</v>
      </c>
      <c r="F37" s="17">
        <v>8669</v>
      </c>
      <c r="G37" s="16">
        <v>126463</v>
      </c>
      <c r="H37" s="17">
        <v>7466</v>
      </c>
      <c r="I37" s="36">
        <f>HLOOKUP(I$7,$I$66:$DJ$120,ROWS($A$10:$A37)+2,FALSE)</f>
        <v>37690</v>
      </c>
      <c r="J37" s="25">
        <f>HLOOKUP(J$7,$I$66:$DJ$120,ROWS($A$10:$A37)+2,FALSE)</f>
        <v>31</v>
      </c>
      <c r="K37" s="25">
        <f>HLOOKUP(K$7,$I$66:$DJ$120,ROWS($A$10:$A37)+2,FALSE)</f>
        <v>726</v>
      </c>
      <c r="L37" s="25">
        <f>HLOOKUP(L$7,$I$66:$DJ$120,ROWS($A$10:$A37)+2,FALSE)</f>
        <v>1548</v>
      </c>
      <c r="M37" s="25">
        <f>HLOOKUP(M$7,$I$66:$DJ$120,ROWS($A$10:$A37)+2,FALSE)</f>
        <v>63</v>
      </c>
      <c r="N37" s="25">
        <f>HLOOKUP(N$7,$I$66:$DJ$120,ROWS($A$10:$A37)+2,FALSE)</f>
        <v>5428</v>
      </c>
      <c r="O37" s="25">
        <f>HLOOKUP(O$7,$I$66:$DJ$120,ROWS($A$10:$A37)+2,FALSE)</f>
        <v>2135</v>
      </c>
      <c r="P37" s="25">
        <f>HLOOKUP(P$7,$I$66:$DJ$120,ROWS($A$10:$A37)+2,FALSE)</f>
        <v>0</v>
      </c>
      <c r="Q37" s="25">
        <f>HLOOKUP(Q$7,$I$66:$DJ$120,ROWS($A$10:$A37)+2,FALSE)</f>
        <v>0</v>
      </c>
      <c r="R37" s="25">
        <f>HLOOKUP(R$7,$I$66:$DJ$120,ROWS($A$10:$A37)+2,FALSE)</f>
        <v>0</v>
      </c>
      <c r="S37" s="25">
        <f>HLOOKUP(S$7,$I$66:$DJ$120,ROWS($A$10:$A37)+2,FALSE)</f>
        <v>1875</v>
      </c>
      <c r="T37" s="25">
        <f>HLOOKUP(T$7,$I$66:$DJ$120,ROWS($A$10:$A37)+2,FALSE)</f>
        <v>292</v>
      </c>
      <c r="U37" s="25">
        <f>HLOOKUP(U$7,$I$66:$DJ$120,ROWS($A$10:$A37)+2,FALSE)</f>
        <v>556</v>
      </c>
      <c r="V37" s="25">
        <f>HLOOKUP(V$7,$I$66:$DJ$120,ROWS($A$10:$A37)+2,FALSE)</f>
        <v>3385</v>
      </c>
      <c r="W37" s="25">
        <f>HLOOKUP(W$7,$I$66:$DJ$120,ROWS($A$10:$A37)+2,FALSE)</f>
        <v>542</v>
      </c>
      <c r="X37" s="25">
        <f>HLOOKUP(X$7,$I$66:$DJ$120,ROWS($A$10:$A37)+2,FALSE)</f>
        <v>163</v>
      </c>
      <c r="Y37" s="25">
        <f>HLOOKUP(Y$7,$I$66:$DJ$120,ROWS($A$10:$A37)+2,FALSE)</f>
        <v>415</v>
      </c>
      <c r="Z37" s="25">
        <f>HLOOKUP(Z$7,$I$66:$DJ$120,ROWS($A$10:$A37)+2,FALSE)</f>
        <v>224</v>
      </c>
      <c r="AA37" s="25">
        <f>HLOOKUP(AA$7,$I$66:$DJ$120,ROWS($A$10:$A37)+2,FALSE)</f>
        <v>367</v>
      </c>
      <c r="AB37" s="25">
        <f>HLOOKUP(AB$7,$I$66:$DJ$120,ROWS($A$10:$A37)+2,FALSE)</f>
        <v>0</v>
      </c>
      <c r="AC37" s="25">
        <f>HLOOKUP(AC$7,$I$66:$DJ$120,ROWS($A$10:$A37)+2,FALSE)</f>
        <v>225</v>
      </c>
      <c r="AD37" s="25">
        <f>HLOOKUP(AD$7,$I$66:$DJ$120,ROWS($A$10:$A37)+2,FALSE)</f>
        <v>33</v>
      </c>
      <c r="AE37" s="25">
        <f>HLOOKUP(AE$7,$I$66:$DJ$120,ROWS($A$10:$A37)+2,FALSE)</f>
        <v>97</v>
      </c>
      <c r="AF37" s="25">
        <f>HLOOKUP(AF$7,$I$66:$DJ$120,ROWS($A$10:$A37)+2,FALSE)</f>
        <v>822</v>
      </c>
      <c r="AG37" s="25">
        <f>HLOOKUP(AG$7,$I$66:$DJ$120,ROWS($A$10:$A37)+2,FALSE)</f>
        <v>481</v>
      </c>
      <c r="AH37" s="25">
        <f>HLOOKUP(AH$7,$I$66:$DJ$120,ROWS($A$10:$A37)+2,FALSE)</f>
        <v>32</v>
      </c>
      <c r="AI37" s="25">
        <f>HLOOKUP(AI$7,$I$66:$DJ$120,ROWS($A$10:$A37)+2,FALSE)</f>
        <v>447</v>
      </c>
      <c r="AJ37" s="25" t="str">
        <f>HLOOKUP(AJ$7,$I$66:$DJ$120,ROWS($A$10:$A37)+2,FALSE)</f>
        <v>N/A</v>
      </c>
      <c r="AK37" s="25">
        <f>HLOOKUP(AK$7,$I$66:$DJ$120,ROWS($A$10:$A37)+2,FALSE)</f>
        <v>108</v>
      </c>
      <c r="AL37" s="25">
        <f>HLOOKUP(AL$7,$I$66:$DJ$120,ROWS($A$10:$A37)+2,FALSE)</f>
        <v>968</v>
      </c>
      <c r="AM37" s="25">
        <f>HLOOKUP(AM$7,$I$66:$DJ$120,ROWS($A$10:$A37)+2,FALSE)</f>
        <v>115</v>
      </c>
      <c r="AN37" s="25">
        <f>HLOOKUP(AN$7,$I$66:$DJ$120,ROWS($A$10:$A37)+2,FALSE)</f>
        <v>156</v>
      </c>
      <c r="AO37" s="25">
        <f>HLOOKUP(AO$7,$I$66:$DJ$120,ROWS($A$10:$A37)+2,FALSE)</f>
        <v>259</v>
      </c>
      <c r="AP37" s="25">
        <f>HLOOKUP(AP$7,$I$66:$DJ$120,ROWS($A$10:$A37)+2,FALSE)</f>
        <v>482</v>
      </c>
      <c r="AQ37" s="25">
        <f>HLOOKUP(AQ$7,$I$66:$DJ$120,ROWS($A$10:$A37)+2,FALSE)</f>
        <v>1082</v>
      </c>
      <c r="AR37" s="25">
        <f>HLOOKUP(AR$7,$I$66:$DJ$120,ROWS($A$10:$A37)+2,FALSE)</f>
        <v>977</v>
      </c>
      <c r="AS37" s="25">
        <f>HLOOKUP(AS$7,$I$66:$DJ$120,ROWS($A$10:$A37)+2,FALSE)</f>
        <v>402</v>
      </c>
      <c r="AT37" s="25">
        <f>HLOOKUP(AT$7,$I$66:$DJ$120,ROWS($A$10:$A37)+2,FALSE)</f>
        <v>1018</v>
      </c>
      <c r="AU37" s="25">
        <f>HLOOKUP(AU$7,$I$66:$DJ$120,ROWS($A$10:$A37)+2,FALSE)</f>
        <v>2950</v>
      </c>
      <c r="AV37" s="25">
        <f>HLOOKUP(AV$7,$I$66:$DJ$120,ROWS($A$10:$A37)+2,FALSE)</f>
        <v>457</v>
      </c>
      <c r="AW37" s="25">
        <f>HLOOKUP(AW$7,$I$66:$DJ$120,ROWS($A$10:$A37)+2,FALSE)</f>
        <v>0</v>
      </c>
      <c r="AX37" s="25">
        <f>HLOOKUP(AX$7,$I$66:$DJ$120,ROWS($A$10:$A37)+2,FALSE)</f>
        <v>230</v>
      </c>
      <c r="AY37" s="25">
        <f>HLOOKUP(AY$7,$I$66:$DJ$120,ROWS($A$10:$A37)+2,FALSE)</f>
        <v>191</v>
      </c>
      <c r="AZ37" s="25">
        <f>HLOOKUP(AZ$7,$I$66:$DJ$120,ROWS($A$10:$A37)+2,FALSE)</f>
        <v>45</v>
      </c>
      <c r="BA37" s="25">
        <f>HLOOKUP(BA$7,$I$66:$DJ$120,ROWS($A$10:$A37)+2,FALSE)</f>
        <v>1393</v>
      </c>
      <c r="BB37" s="25">
        <f>HLOOKUP(BB$7,$I$66:$DJ$120,ROWS($A$10:$A37)+2,FALSE)</f>
        <v>260</v>
      </c>
      <c r="BC37" s="25">
        <f>HLOOKUP(BC$7,$I$66:$DJ$120,ROWS($A$10:$A37)+2,FALSE)</f>
        <v>87</v>
      </c>
      <c r="BD37" s="25">
        <f>HLOOKUP(BD$7,$I$66:$DJ$120,ROWS($A$10:$A37)+2,FALSE)</f>
        <v>156</v>
      </c>
      <c r="BE37" s="25">
        <f>HLOOKUP(BE$7,$I$66:$DJ$120,ROWS($A$10:$A37)+2,FALSE)</f>
        <v>4783</v>
      </c>
      <c r="BF37" s="25">
        <f>HLOOKUP(BF$7,$I$66:$DJ$120,ROWS($A$10:$A37)+2,FALSE)</f>
        <v>0</v>
      </c>
      <c r="BG37" s="25">
        <f>HLOOKUP(BG$7,$I$66:$DJ$120,ROWS($A$10:$A37)+2,FALSE)</f>
        <v>750</v>
      </c>
      <c r="BH37" s="25">
        <f>HLOOKUP(BH$7,$I$66:$DJ$120,ROWS($A$10:$A37)+2,FALSE)</f>
        <v>934</v>
      </c>
      <c r="BI37" s="25">
        <f>HLOOKUP(BI$7,$I$66:$DJ$120,ROWS($A$10:$A37)+2,FALSE)</f>
        <v>0</v>
      </c>
      <c r="BJ37" s="34">
        <f>HLOOKUP(BJ$7+0.5,$I$66:$DJ$120,ROWS($A$10:$A37)+2,FALSE)</f>
        <v>4305</v>
      </c>
      <c r="BK37" s="34">
        <f>HLOOKUP(BK$7+0.5,$I$66:$DJ$120,ROWS($A$10:$A37)+2,FALSE)</f>
        <v>55</v>
      </c>
      <c r="BL37" s="34">
        <f>HLOOKUP(BL$7+0.5,$I$66:$DJ$120,ROWS($A$10:$A37)+2,FALSE)</f>
        <v>442</v>
      </c>
      <c r="BM37" s="34">
        <f>HLOOKUP(BM$7+0.5,$I$66:$DJ$120,ROWS($A$10:$A37)+2,FALSE)</f>
        <v>938</v>
      </c>
      <c r="BN37" s="34">
        <f>HLOOKUP(BN$7+0.5,$I$66:$DJ$120,ROWS($A$10:$A37)+2,FALSE)</f>
        <v>102</v>
      </c>
      <c r="BO37" s="34">
        <f>HLOOKUP(BO$7+0.5,$I$66:$DJ$120,ROWS($A$10:$A37)+2,FALSE)</f>
        <v>2229</v>
      </c>
      <c r="BP37" s="34">
        <f>HLOOKUP(BP$7+0.5,$I$66:$DJ$120,ROWS($A$10:$A37)+2,FALSE)</f>
        <v>896</v>
      </c>
      <c r="BQ37" s="34">
        <f>HLOOKUP(BQ$7+0.5,$I$66:$DJ$120,ROWS($A$10:$A37)+2,FALSE)</f>
        <v>157</v>
      </c>
      <c r="BR37" s="34">
        <f>HLOOKUP(BR$7+0.5,$I$66:$DJ$120,ROWS($A$10:$A37)+2,FALSE)</f>
        <v>157</v>
      </c>
      <c r="BS37" s="34">
        <f>HLOOKUP(BS$7+0.5,$I$66:$DJ$120,ROWS($A$10:$A37)+2,FALSE)</f>
        <v>157</v>
      </c>
      <c r="BT37" s="34">
        <f>HLOOKUP(BT$7+0.5,$I$66:$DJ$120,ROWS($A$10:$A37)+2,FALSE)</f>
        <v>1029</v>
      </c>
      <c r="BU37" s="34">
        <f>HLOOKUP(BU$7+0.5,$I$66:$DJ$120,ROWS($A$10:$A37)+2,FALSE)</f>
        <v>270</v>
      </c>
      <c r="BV37" s="34">
        <f>HLOOKUP(BV$7+0.5,$I$66:$DJ$120,ROWS($A$10:$A37)+2,FALSE)</f>
        <v>572</v>
      </c>
      <c r="BW37" s="34">
        <f>HLOOKUP(BW$7+0.5,$I$66:$DJ$120,ROWS($A$10:$A37)+2,FALSE)</f>
        <v>1349</v>
      </c>
      <c r="BX37" s="34">
        <f>HLOOKUP(BX$7+0.5,$I$66:$DJ$120,ROWS($A$10:$A37)+2,FALSE)</f>
        <v>371</v>
      </c>
      <c r="BY37" s="34">
        <f>HLOOKUP(BY$7+0.5,$I$66:$DJ$120,ROWS($A$10:$A37)+2,FALSE)</f>
        <v>164</v>
      </c>
      <c r="BZ37" s="34">
        <f>HLOOKUP(BZ$7+0.5,$I$66:$DJ$120,ROWS($A$10:$A37)+2,FALSE)</f>
        <v>384</v>
      </c>
      <c r="CA37" s="34">
        <f>HLOOKUP(CA$7+0.5,$I$66:$DJ$120,ROWS($A$10:$A37)+2,FALSE)</f>
        <v>268</v>
      </c>
      <c r="CB37" s="34">
        <f>HLOOKUP(CB$7+0.5,$I$66:$DJ$120,ROWS($A$10:$A37)+2,FALSE)</f>
        <v>352</v>
      </c>
      <c r="CC37" s="34">
        <f>HLOOKUP(CC$7+0.5,$I$66:$DJ$120,ROWS($A$10:$A37)+2,FALSE)</f>
        <v>157</v>
      </c>
      <c r="CD37" s="34">
        <f>HLOOKUP(CD$7+0.5,$I$66:$DJ$120,ROWS($A$10:$A37)+2,FALSE)</f>
        <v>269</v>
      </c>
      <c r="CE37" s="34">
        <f>HLOOKUP(CE$7+0.5,$I$66:$DJ$120,ROWS($A$10:$A37)+2,FALSE)</f>
        <v>65</v>
      </c>
      <c r="CF37" s="34">
        <f>HLOOKUP(CF$7+0.5,$I$66:$DJ$120,ROWS($A$10:$A37)+2,FALSE)</f>
        <v>109</v>
      </c>
      <c r="CG37" s="34">
        <f>HLOOKUP(CG$7+0.5,$I$66:$DJ$120,ROWS($A$10:$A37)+2,FALSE)</f>
        <v>760</v>
      </c>
      <c r="CH37" s="34">
        <f>HLOOKUP(CH$7+0.5,$I$66:$DJ$120,ROWS($A$10:$A37)+2,FALSE)</f>
        <v>297</v>
      </c>
      <c r="CI37" s="34">
        <f>HLOOKUP(CI$7+0.5,$I$66:$DJ$120,ROWS($A$10:$A37)+2,FALSE)</f>
        <v>58</v>
      </c>
      <c r="CJ37" s="34">
        <f>HLOOKUP(CJ$7+0.5,$I$66:$DJ$120,ROWS($A$10:$A37)+2,FALSE)</f>
        <v>385</v>
      </c>
      <c r="CK37" s="34" t="str">
        <f>HLOOKUP(CK$7+0.5,$I$66:$DJ$120,ROWS($A$10:$A37)+2,FALSE)</f>
        <v>N/A</v>
      </c>
      <c r="CL37" s="34">
        <f>HLOOKUP(CL$7+0.5,$I$66:$DJ$120,ROWS($A$10:$A37)+2,FALSE)</f>
        <v>149</v>
      </c>
      <c r="CM37" s="34">
        <f>HLOOKUP(CM$7+0.5,$I$66:$DJ$120,ROWS($A$10:$A37)+2,FALSE)</f>
        <v>499</v>
      </c>
      <c r="CN37" s="34">
        <f>HLOOKUP(CN$7+0.5,$I$66:$DJ$120,ROWS($A$10:$A37)+2,FALSE)</f>
        <v>177</v>
      </c>
      <c r="CO37" s="34">
        <f>HLOOKUP(CO$7+0.5,$I$66:$DJ$120,ROWS($A$10:$A37)+2,FALSE)</f>
        <v>198</v>
      </c>
      <c r="CP37" s="34">
        <f>HLOOKUP(CP$7+0.5,$I$66:$DJ$120,ROWS($A$10:$A37)+2,FALSE)</f>
        <v>178</v>
      </c>
      <c r="CQ37" s="34">
        <f>HLOOKUP(CQ$7+0.5,$I$66:$DJ$120,ROWS($A$10:$A37)+2,FALSE)</f>
        <v>371</v>
      </c>
      <c r="CR37" s="34">
        <f>HLOOKUP(CR$7+0.5,$I$66:$DJ$120,ROWS($A$10:$A37)+2,FALSE)</f>
        <v>808</v>
      </c>
      <c r="CS37" s="34">
        <f>HLOOKUP(CS$7+0.5,$I$66:$DJ$120,ROWS($A$10:$A37)+2,FALSE)</f>
        <v>604</v>
      </c>
      <c r="CT37" s="34">
        <f>HLOOKUP(CT$7+0.5,$I$66:$DJ$120,ROWS($A$10:$A37)+2,FALSE)</f>
        <v>332</v>
      </c>
      <c r="CU37" s="34">
        <f>HLOOKUP(CU$7+0.5,$I$66:$DJ$120,ROWS($A$10:$A37)+2,FALSE)</f>
        <v>948</v>
      </c>
      <c r="CV37" s="34">
        <f>HLOOKUP(CV$7+0.5,$I$66:$DJ$120,ROWS($A$10:$A37)+2,FALSE)</f>
        <v>1687</v>
      </c>
      <c r="CW37" s="34">
        <f>HLOOKUP(CW$7+0.5,$I$66:$DJ$120,ROWS($A$10:$A37)+2,FALSE)</f>
        <v>362</v>
      </c>
      <c r="CX37" s="34">
        <f>HLOOKUP(CX$7+0.5,$I$66:$DJ$120,ROWS($A$10:$A37)+2,FALSE)</f>
        <v>157</v>
      </c>
      <c r="CY37" s="34">
        <f>HLOOKUP(CY$7+0.5,$I$66:$DJ$120,ROWS($A$10:$A37)+2,FALSE)</f>
        <v>304</v>
      </c>
      <c r="CZ37" s="34">
        <f>HLOOKUP(CZ$7+0.5,$I$66:$DJ$120,ROWS($A$10:$A37)+2,FALSE)</f>
        <v>142</v>
      </c>
      <c r="DA37" s="34">
        <f>HLOOKUP(DA$7+0.5,$I$66:$DJ$120,ROWS($A$10:$A37)+2,FALSE)</f>
        <v>40</v>
      </c>
      <c r="DB37" s="34">
        <f>HLOOKUP(DB$7+0.5,$I$66:$DJ$120,ROWS($A$10:$A37)+2,FALSE)</f>
        <v>612</v>
      </c>
      <c r="DC37" s="34">
        <f>HLOOKUP(DC$7+0.5,$I$66:$DJ$120,ROWS($A$10:$A37)+2,FALSE)</f>
        <v>261</v>
      </c>
      <c r="DD37" s="34">
        <f>HLOOKUP(DD$7+0.5,$I$66:$DJ$120,ROWS($A$10:$A37)+2,FALSE)</f>
        <v>135</v>
      </c>
      <c r="DE37" s="34">
        <f>HLOOKUP(DE$7+0.5,$I$66:$DJ$120,ROWS($A$10:$A37)+2,FALSE)</f>
        <v>153</v>
      </c>
      <c r="DF37" s="34">
        <f>HLOOKUP(DF$7+0.5,$I$66:$DJ$120,ROWS($A$10:$A37)+2,FALSE)</f>
        <v>1555</v>
      </c>
      <c r="DG37" s="34">
        <f>HLOOKUP(DG$7+0.5,$I$66:$DJ$120,ROWS($A$10:$A37)+2,FALSE)</f>
        <v>157</v>
      </c>
      <c r="DH37" s="34">
        <f>HLOOKUP(DH$7+0.5,$I$66:$DJ$120,ROWS($A$10:$A37)+2,FALSE)</f>
        <v>425</v>
      </c>
      <c r="DI37" s="34">
        <f>HLOOKUP(DI$7+0.5,$I$66:$DJ$120,ROWS($A$10:$A37)+2,FALSE)</f>
        <v>387</v>
      </c>
      <c r="DJ37" s="34">
        <f>HLOOKUP(DJ$7+0.5,$I$66:$DJ$120,ROWS($A$10:$A37)+2,FALSE)</f>
        <v>157</v>
      </c>
    </row>
    <row r="38" spans="2:114" x14ac:dyDescent="0.25">
      <c r="B38" s="38" t="s">
        <v>34</v>
      </c>
      <c r="C38" s="16">
        <v>1829420</v>
      </c>
      <c r="D38" s="17">
        <v>2101</v>
      </c>
      <c r="E38" s="16">
        <v>1540361</v>
      </c>
      <c r="F38" s="17">
        <v>9074</v>
      </c>
      <c r="G38" s="16">
        <v>237937</v>
      </c>
      <c r="H38" s="17">
        <v>9736</v>
      </c>
      <c r="I38" s="36">
        <f>HLOOKUP(I$7,$I$66:$DJ$120,ROWS($A$10:$A38)+2,FALSE)</f>
        <v>43266</v>
      </c>
      <c r="J38" s="25">
        <f>HLOOKUP(J$7,$I$66:$DJ$120,ROWS($A$10:$A38)+2,FALSE)</f>
        <v>245</v>
      </c>
      <c r="K38" s="25">
        <f>HLOOKUP(K$7,$I$66:$DJ$120,ROWS($A$10:$A38)+2,FALSE)</f>
        <v>626</v>
      </c>
      <c r="L38" s="25">
        <f>HLOOKUP(L$7,$I$66:$DJ$120,ROWS($A$10:$A38)+2,FALSE)</f>
        <v>2406</v>
      </c>
      <c r="M38" s="25">
        <f>HLOOKUP(M$7,$I$66:$DJ$120,ROWS($A$10:$A38)+2,FALSE)</f>
        <v>363</v>
      </c>
      <c r="N38" s="25">
        <f>HLOOKUP(N$7,$I$66:$DJ$120,ROWS($A$10:$A38)+2,FALSE)</f>
        <v>3438</v>
      </c>
      <c r="O38" s="25">
        <f>HLOOKUP(O$7,$I$66:$DJ$120,ROWS($A$10:$A38)+2,FALSE)</f>
        <v>2023</v>
      </c>
      <c r="P38" s="25">
        <f>HLOOKUP(P$7,$I$66:$DJ$120,ROWS($A$10:$A38)+2,FALSE)</f>
        <v>0</v>
      </c>
      <c r="Q38" s="25">
        <f>HLOOKUP(Q$7,$I$66:$DJ$120,ROWS($A$10:$A38)+2,FALSE)</f>
        <v>0</v>
      </c>
      <c r="R38" s="25">
        <f>HLOOKUP(R$7,$I$66:$DJ$120,ROWS($A$10:$A38)+2,FALSE)</f>
        <v>0</v>
      </c>
      <c r="S38" s="25">
        <f>HLOOKUP(S$7,$I$66:$DJ$120,ROWS($A$10:$A38)+2,FALSE)</f>
        <v>1368</v>
      </c>
      <c r="T38" s="25">
        <f>HLOOKUP(T$7,$I$66:$DJ$120,ROWS($A$10:$A38)+2,FALSE)</f>
        <v>786</v>
      </c>
      <c r="U38" s="25">
        <f>HLOOKUP(U$7,$I$66:$DJ$120,ROWS($A$10:$A38)+2,FALSE)</f>
        <v>165</v>
      </c>
      <c r="V38" s="25">
        <f>HLOOKUP(V$7,$I$66:$DJ$120,ROWS($A$10:$A38)+2,FALSE)</f>
        <v>315</v>
      </c>
      <c r="W38" s="25">
        <f>HLOOKUP(W$7,$I$66:$DJ$120,ROWS($A$10:$A38)+2,FALSE)</f>
        <v>1193</v>
      </c>
      <c r="X38" s="25">
        <f>HLOOKUP(X$7,$I$66:$DJ$120,ROWS($A$10:$A38)+2,FALSE)</f>
        <v>290</v>
      </c>
      <c r="Y38" s="25">
        <f>HLOOKUP(Y$7,$I$66:$DJ$120,ROWS($A$10:$A38)+2,FALSE)</f>
        <v>6815</v>
      </c>
      <c r="Z38" s="25">
        <f>HLOOKUP(Z$7,$I$66:$DJ$120,ROWS($A$10:$A38)+2,FALSE)</f>
        <v>3103</v>
      </c>
      <c r="AA38" s="25">
        <f>HLOOKUP(AA$7,$I$66:$DJ$120,ROWS($A$10:$A38)+2,FALSE)</f>
        <v>131</v>
      </c>
      <c r="AB38" s="25">
        <f>HLOOKUP(AB$7,$I$66:$DJ$120,ROWS($A$10:$A38)+2,FALSE)</f>
        <v>411</v>
      </c>
      <c r="AC38" s="25">
        <f>HLOOKUP(AC$7,$I$66:$DJ$120,ROWS($A$10:$A38)+2,FALSE)</f>
        <v>68</v>
      </c>
      <c r="AD38" s="25">
        <f>HLOOKUP(AD$7,$I$66:$DJ$120,ROWS($A$10:$A38)+2,FALSE)</f>
        <v>129</v>
      </c>
      <c r="AE38" s="25">
        <f>HLOOKUP(AE$7,$I$66:$DJ$120,ROWS($A$10:$A38)+2,FALSE)</f>
        <v>195</v>
      </c>
      <c r="AF38" s="25">
        <f>HLOOKUP(AF$7,$I$66:$DJ$120,ROWS($A$10:$A38)+2,FALSE)</f>
        <v>258</v>
      </c>
      <c r="AG38" s="25">
        <f>HLOOKUP(AG$7,$I$66:$DJ$120,ROWS($A$10:$A38)+2,FALSE)</f>
        <v>1489</v>
      </c>
      <c r="AH38" s="25">
        <f>HLOOKUP(AH$7,$I$66:$DJ$120,ROWS($A$10:$A38)+2,FALSE)</f>
        <v>176</v>
      </c>
      <c r="AI38" s="25">
        <f>HLOOKUP(AI$7,$I$66:$DJ$120,ROWS($A$10:$A38)+2,FALSE)</f>
        <v>2223</v>
      </c>
      <c r="AJ38" s="25">
        <f>HLOOKUP(AJ$7,$I$66:$DJ$120,ROWS($A$10:$A38)+2,FALSE)</f>
        <v>108</v>
      </c>
      <c r="AK38" s="25" t="str">
        <f>HLOOKUP(AK$7,$I$66:$DJ$120,ROWS($A$10:$A38)+2,FALSE)</f>
        <v>N/A</v>
      </c>
      <c r="AL38" s="25">
        <f>HLOOKUP(AL$7,$I$66:$DJ$120,ROWS($A$10:$A38)+2,FALSE)</f>
        <v>233</v>
      </c>
      <c r="AM38" s="25">
        <f>HLOOKUP(AM$7,$I$66:$DJ$120,ROWS($A$10:$A38)+2,FALSE)</f>
        <v>0</v>
      </c>
      <c r="AN38" s="25">
        <f>HLOOKUP(AN$7,$I$66:$DJ$120,ROWS($A$10:$A38)+2,FALSE)</f>
        <v>524</v>
      </c>
      <c r="AO38" s="25">
        <f>HLOOKUP(AO$7,$I$66:$DJ$120,ROWS($A$10:$A38)+2,FALSE)</f>
        <v>158</v>
      </c>
      <c r="AP38" s="25">
        <f>HLOOKUP(AP$7,$I$66:$DJ$120,ROWS($A$10:$A38)+2,FALSE)</f>
        <v>318</v>
      </c>
      <c r="AQ38" s="25">
        <f>HLOOKUP(AQ$7,$I$66:$DJ$120,ROWS($A$10:$A38)+2,FALSE)</f>
        <v>874</v>
      </c>
      <c r="AR38" s="25">
        <f>HLOOKUP(AR$7,$I$66:$DJ$120,ROWS($A$10:$A38)+2,FALSE)</f>
        <v>497</v>
      </c>
      <c r="AS38" s="25">
        <f>HLOOKUP(AS$7,$I$66:$DJ$120,ROWS($A$10:$A38)+2,FALSE)</f>
        <v>563</v>
      </c>
      <c r="AT38" s="25">
        <f>HLOOKUP(AT$7,$I$66:$DJ$120,ROWS($A$10:$A38)+2,FALSE)</f>
        <v>587</v>
      </c>
      <c r="AU38" s="25">
        <f>HLOOKUP(AU$7,$I$66:$DJ$120,ROWS($A$10:$A38)+2,FALSE)</f>
        <v>106</v>
      </c>
      <c r="AV38" s="25">
        <f>HLOOKUP(AV$7,$I$66:$DJ$120,ROWS($A$10:$A38)+2,FALSE)</f>
        <v>702</v>
      </c>
      <c r="AW38" s="25">
        <f>HLOOKUP(AW$7,$I$66:$DJ$120,ROWS($A$10:$A38)+2,FALSE)</f>
        <v>0</v>
      </c>
      <c r="AX38" s="25">
        <f>HLOOKUP(AX$7,$I$66:$DJ$120,ROWS($A$10:$A38)+2,FALSE)</f>
        <v>456</v>
      </c>
      <c r="AY38" s="25">
        <f>HLOOKUP(AY$7,$I$66:$DJ$120,ROWS($A$10:$A38)+2,FALSE)</f>
        <v>2507</v>
      </c>
      <c r="AZ38" s="25">
        <f>HLOOKUP(AZ$7,$I$66:$DJ$120,ROWS($A$10:$A38)+2,FALSE)</f>
        <v>232</v>
      </c>
      <c r="BA38" s="25">
        <f>HLOOKUP(BA$7,$I$66:$DJ$120,ROWS($A$10:$A38)+2,FALSE)</f>
        <v>3130</v>
      </c>
      <c r="BB38" s="25">
        <f>HLOOKUP(BB$7,$I$66:$DJ$120,ROWS($A$10:$A38)+2,FALSE)</f>
        <v>229</v>
      </c>
      <c r="BC38" s="25">
        <f>HLOOKUP(BC$7,$I$66:$DJ$120,ROWS($A$10:$A38)+2,FALSE)</f>
        <v>79</v>
      </c>
      <c r="BD38" s="25">
        <f>HLOOKUP(BD$7,$I$66:$DJ$120,ROWS($A$10:$A38)+2,FALSE)</f>
        <v>1076</v>
      </c>
      <c r="BE38" s="25">
        <f>HLOOKUP(BE$7,$I$66:$DJ$120,ROWS($A$10:$A38)+2,FALSE)</f>
        <v>1327</v>
      </c>
      <c r="BF38" s="25">
        <f>HLOOKUP(BF$7,$I$66:$DJ$120,ROWS($A$10:$A38)+2,FALSE)</f>
        <v>111</v>
      </c>
      <c r="BG38" s="25">
        <f>HLOOKUP(BG$7,$I$66:$DJ$120,ROWS($A$10:$A38)+2,FALSE)</f>
        <v>316</v>
      </c>
      <c r="BH38" s="25">
        <f>HLOOKUP(BH$7,$I$66:$DJ$120,ROWS($A$10:$A38)+2,FALSE)</f>
        <v>917</v>
      </c>
      <c r="BI38" s="25">
        <f>HLOOKUP(BI$7,$I$66:$DJ$120,ROWS($A$10:$A38)+2,FALSE)</f>
        <v>0</v>
      </c>
      <c r="BJ38" s="34">
        <f>HLOOKUP(BJ$7+0.5,$I$66:$DJ$120,ROWS($A$10:$A38)+2,FALSE)</f>
        <v>4512</v>
      </c>
      <c r="BK38" s="34">
        <f>HLOOKUP(BK$7+0.5,$I$66:$DJ$120,ROWS($A$10:$A38)+2,FALSE)</f>
        <v>275</v>
      </c>
      <c r="BL38" s="34">
        <f>HLOOKUP(BL$7+0.5,$I$66:$DJ$120,ROWS($A$10:$A38)+2,FALSE)</f>
        <v>531</v>
      </c>
      <c r="BM38" s="34">
        <f>HLOOKUP(BM$7+0.5,$I$66:$DJ$120,ROWS($A$10:$A38)+2,FALSE)</f>
        <v>1120</v>
      </c>
      <c r="BN38" s="34">
        <f>HLOOKUP(BN$7+0.5,$I$66:$DJ$120,ROWS($A$10:$A38)+2,FALSE)</f>
        <v>317</v>
      </c>
      <c r="BO38" s="34">
        <f>HLOOKUP(BO$7+0.5,$I$66:$DJ$120,ROWS($A$10:$A38)+2,FALSE)</f>
        <v>1425</v>
      </c>
      <c r="BP38" s="34">
        <f>HLOOKUP(BP$7+0.5,$I$66:$DJ$120,ROWS($A$10:$A38)+2,FALSE)</f>
        <v>791</v>
      </c>
      <c r="BQ38" s="34">
        <f>HLOOKUP(BQ$7+0.5,$I$66:$DJ$120,ROWS($A$10:$A38)+2,FALSE)</f>
        <v>149</v>
      </c>
      <c r="BR38" s="34">
        <f>HLOOKUP(BR$7+0.5,$I$66:$DJ$120,ROWS($A$10:$A38)+2,FALSE)</f>
        <v>149</v>
      </c>
      <c r="BS38" s="34">
        <f>HLOOKUP(BS$7+0.5,$I$66:$DJ$120,ROWS($A$10:$A38)+2,FALSE)</f>
        <v>149</v>
      </c>
      <c r="BT38" s="34">
        <f>HLOOKUP(BT$7+0.5,$I$66:$DJ$120,ROWS($A$10:$A38)+2,FALSE)</f>
        <v>978</v>
      </c>
      <c r="BU38" s="34">
        <f>HLOOKUP(BU$7+0.5,$I$66:$DJ$120,ROWS($A$10:$A38)+2,FALSE)</f>
        <v>482</v>
      </c>
      <c r="BV38" s="34">
        <f>HLOOKUP(BV$7+0.5,$I$66:$DJ$120,ROWS($A$10:$A38)+2,FALSE)</f>
        <v>149</v>
      </c>
      <c r="BW38" s="34">
        <f>HLOOKUP(BW$7+0.5,$I$66:$DJ$120,ROWS($A$10:$A38)+2,FALSE)</f>
        <v>374</v>
      </c>
      <c r="BX38" s="34">
        <f>HLOOKUP(BX$7+0.5,$I$66:$DJ$120,ROWS($A$10:$A38)+2,FALSE)</f>
        <v>546</v>
      </c>
      <c r="BY38" s="34">
        <f>HLOOKUP(BY$7+0.5,$I$66:$DJ$120,ROWS($A$10:$A38)+2,FALSE)</f>
        <v>214</v>
      </c>
      <c r="BZ38" s="34">
        <f>HLOOKUP(BZ$7+0.5,$I$66:$DJ$120,ROWS($A$10:$A38)+2,FALSE)</f>
        <v>2803</v>
      </c>
      <c r="CA38" s="34">
        <f>HLOOKUP(CA$7+0.5,$I$66:$DJ$120,ROWS($A$10:$A38)+2,FALSE)</f>
        <v>822</v>
      </c>
      <c r="CB38" s="34">
        <f>HLOOKUP(CB$7+0.5,$I$66:$DJ$120,ROWS($A$10:$A38)+2,FALSE)</f>
        <v>133</v>
      </c>
      <c r="CC38" s="34">
        <f>HLOOKUP(CC$7+0.5,$I$66:$DJ$120,ROWS($A$10:$A38)+2,FALSE)</f>
        <v>371</v>
      </c>
      <c r="CD38" s="34">
        <f>HLOOKUP(CD$7+0.5,$I$66:$DJ$120,ROWS($A$10:$A38)+2,FALSE)</f>
        <v>90</v>
      </c>
      <c r="CE38" s="34">
        <f>HLOOKUP(CE$7+0.5,$I$66:$DJ$120,ROWS($A$10:$A38)+2,FALSE)</f>
        <v>126</v>
      </c>
      <c r="CF38" s="34">
        <f>HLOOKUP(CF$7+0.5,$I$66:$DJ$120,ROWS($A$10:$A38)+2,FALSE)</f>
        <v>112</v>
      </c>
      <c r="CG38" s="34">
        <f>HLOOKUP(CG$7+0.5,$I$66:$DJ$120,ROWS($A$10:$A38)+2,FALSE)</f>
        <v>197</v>
      </c>
      <c r="CH38" s="34">
        <f>HLOOKUP(CH$7+0.5,$I$66:$DJ$120,ROWS($A$10:$A38)+2,FALSE)</f>
        <v>1049</v>
      </c>
      <c r="CI38" s="34">
        <f>HLOOKUP(CI$7+0.5,$I$66:$DJ$120,ROWS($A$10:$A38)+2,FALSE)</f>
        <v>132</v>
      </c>
      <c r="CJ38" s="34">
        <f>HLOOKUP(CJ$7+0.5,$I$66:$DJ$120,ROWS($A$10:$A38)+2,FALSE)</f>
        <v>836</v>
      </c>
      <c r="CK38" s="34">
        <f>HLOOKUP(CK$7+0.5,$I$66:$DJ$120,ROWS($A$10:$A38)+2,FALSE)</f>
        <v>156</v>
      </c>
      <c r="CL38" s="34" t="str">
        <f>HLOOKUP(CL$7+0.5,$I$66:$DJ$120,ROWS($A$10:$A38)+2,FALSE)</f>
        <v>N/A</v>
      </c>
      <c r="CM38" s="34">
        <f>HLOOKUP(CM$7+0.5,$I$66:$DJ$120,ROWS($A$10:$A38)+2,FALSE)</f>
        <v>178</v>
      </c>
      <c r="CN38" s="34">
        <f>HLOOKUP(CN$7+0.5,$I$66:$DJ$120,ROWS($A$10:$A38)+2,FALSE)</f>
        <v>149</v>
      </c>
      <c r="CO38" s="34">
        <f>HLOOKUP(CO$7+0.5,$I$66:$DJ$120,ROWS($A$10:$A38)+2,FALSE)</f>
        <v>363</v>
      </c>
      <c r="CP38" s="34">
        <f>HLOOKUP(CP$7+0.5,$I$66:$DJ$120,ROWS($A$10:$A38)+2,FALSE)</f>
        <v>187</v>
      </c>
      <c r="CQ38" s="34">
        <f>HLOOKUP(CQ$7+0.5,$I$66:$DJ$120,ROWS($A$10:$A38)+2,FALSE)</f>
        <v>246</v>
      </c>
      <c r="CR38" s="34">
        <f>HLOOKUP(CR$7+0.5,$I$66:$DJ$120,ROWS($A$10:$A38)+2,FALSE)</f>
        <v>414</v>
      </c>
      <c r="CS38" s="34">
        <f>HLOOKUP(CS$7+0.5,$I$66:$DJ$120,ROWS($A$10:$A38)+2,FALSE)</f>
        <v>492</v>
      </c>
      <c r="CT38" s="34">
        <f>HLOOKUP(CT$7+0.5,$I$66:$DJ$120,ROWS($A$10:$A38)+2,FALSE)</f>
        <v>373</v>
      </c>
      <c r="CU38" s="34">
        <f>HLOOKUP(CU$7+0.5,$I$66:$DJ$120,ROWS($A$10:$A38)+2,FALSE)</f>
        <v>408</v>
      </c>
      <c r="CV38" s="34">
        <f>HLOOKUP(CV$7+0.5,$I$66:$DJ$120,ROWS($A$10:$A38)+2,FALSE)</f>
        <v>113</v>
      </c>
      <c r="CW38" s="34">
        <f>HLOOKUP(CW$7+0.5,$I$66:$DJ$120,ROWS($A$10:$A38)+2,FALSE)</f>
        <v>528</v>
      </c>
      <c r="CX38" s="34">
        <f>HLOOKUP(CX$7+0.5,$I$66:$DJ$120,ROWS($A$10:$A38)+2,FALSE)</f>
        <v>149</v>
      </c>
      <c r="CY38" s="34">
        <f>HLOOKUP(CY$7+0.5,$I$66:$DJ$120,ROWS($A$10:$A38)+2,FALSE)</f>
        <v>381</v>
      </c>
      <c r="CZ38" s="34">
        <f>HLOOKUP(CZ$7+0.5,$I$66:$DJ$120,ROWS($A$10:$A38)+2,FALSE)</f>
        <v>677</v>
      </c>
      <c r="DA38" s="34">
        <f>HLOOKUP(DA$7+0.5,$I$66:$DJ$120,ROWS($A$10:$A38)+2,FALSE)</f>
        <v>184</v>
      </c>
      <c r="DB38" s="34">
        <f>HLOOKUP(DB$7+0.5,$I$66:$DJ$120,ROWS($A$10:$A38)+2,FALSE)</f>
        <v>1218</v>
      </c>
      <c r="DC38" s="34">
        <f>HLOOKUP(DC$7+0.5,$I$66:$DJ$120,ROWS($A$10:$A38)+2,FALSE)</f>
        <v>230</v>
      </c>
      <c r="DD38" s="34">
        <f>HLOOKUP(DD$7+0.5,$I$66:$DJ$120,ROWS($A$10:$A38)+2,FALSE)</f>
        <v>131</v>
      </c>
      <c r="DE38" s="34">
        <f>HLOOKUP(DE$7+0.5,$I$66:$DJ$120,ROWS($A$10:$A38)+2,FALSE)</f>
        <v>758</v>
      </c>
      <c r="DF38" s="34">
        <f>HLOOKUP(DF$7+0.5,$I$66:$DJ$120,ROWS($A$10:$A38)+2,FALSE)</f>
        <v>673</v>
      </c>
      <c r="DG38" s="34">
        <f>HLOOKUP(DG$7+0.5,$I$66:$DJ$120,ROWS($A$10:$A38)+2,FALSE)</f>
        <v>152</v>
      </c>
      <c r="DH38" s="34">
        <f>HLOOKUP(DH$7+0.5,$I$66:$DJ$120,ROWS($A$10:$A38)+2,FALSE)</f>
        <v>218</v>
      </c>
      <c r="DI38" s="34">
        <f>HLOOKUP(DI$7+0.5,$I$66:$DJ$120,ROWS($A$10:$A38)+2,FALSE)</f>
        <v>371</v>
      </c>
      <c r="DJ38" s="34">
        <f>HLOOKUP(DJ$7+0.5,$I$66:$DJ$120,ROWS($A$10:$A38)+2,FALSE)</f>
        <v>149</v>
      </c>
    </row>
    <row r="39" spans="2:114" x14ac:dyDescent="0.25">
      <c r="B39" s="38" t="s">
        <v>35</v>
      </c>
      <c r="C39" s="16">
        <v>2725280</v>
      </c>
      <c r="D39" s="17">
        <v>3005</v>
      </c>
      <c r="E39" s="16">
        <v>2105070</v>
      </c>
      <c r="F39" s="17">
        <v>21984</v>
      </c>
      <c r="G39" s="16">
        <v>481496</v>
      </c>
      <c r="H39" s="17">
        <v>19389</v>
      </c>
      <c r="I39" s="36">
        <f>HLOOKUP(I$7,$I$66:$DJ$120,ROWS($A$10:$A39)+2,FALSE)</f>
        <v>124285</v>
      </c>
      <c r="J39" s="25">
        <f>HLOOKUP(J$7,$I$66:$DJ$120,ROWS($A$10:$A39)+2,FALSE)</f>
        <v>761</v>
      </c>
      <c r="K39" s="25">
        <f>HLOOKUP(K$7,$I$66:$DJ$120,ROWS($A$10:$A39)+2,FALSE)</f>
        <v>2161</v>
      </c>
      <c r="L39" s="25">
        <f>HLOOKUP(L$7,$I$66:$DJ$120,ROWS($A$10:$A39)+2,FALSE)</f>
        <v>8748</v>
      </c>
      <c r="M39" s="25">
        <f>HLOOKUP(M$7,$I$66:$DJ$120,ROWS($A$10:$A39)+2,FALSE)</f>
        <v>353</v>
      </c>
      <c r="N39" s="25">
        <f>HLOOKUP(N$7,$I$66:$DJ$120,ROWS($A$10:$A39)+2,FALSE)</f>
        <v>49978</v>
      </c>
      <c r="O39" s="25">
        <f>HLOOKUP(O$7,$I$66:$DJ$120,ROWS($A$10:$A39)+2,FALSE)</f>
        <v>6402</v>
      </c>
      <c r="P39" s="25">
        <f>HLOOKUP(P$7,$I$66:$DJ$120,ROWS($A$10:$A39)+2,FALSE)</f>
        <v>143</v>
      </c>
      <c r="Q39" s="25">
        <f>HLOOKUP(Q$7,$I$66:$DJ$120,ROWS($A$10:$A39)+2,FALSE)</f>
        <v>373</v>
      </c>
      <c r="R39" s="25">
        <f>HLOOKUP(R$7,$I$66:$DJ$120,ROWS($A$10:$A39)+2,FALSE)</f>
        <v>468</v>
      </c>
      <c r="S39" s="25">
        <f>HLOOKUP(S$7,$I$66:$DJ$120,ROWS($A$10:$A39)+2,FALSE)</f>
        <v>3381</v>
      </c>
      <c r="T39" s="25">
        <f>HLOOKUP(T$7,$I$66:$DJ$120,ROWS($A$10:$A39)+2,FALSE)</f>
        <v>745</v>
      </c>
      <c r="U39" s="25">
        <f>HLOOKUP(U$7,$I$66:$DJ$120,ROWS($A$10:$A39)+2,FALSE)</f>
        <v>2053</v>
      </c>
      <c r="V39" s="25">
        <f>HLOOKUP(V$7,$I$66:$DJ$120,ROWS($A$10:$A39)+2,FALSE)</f>
        <v>1503</v>
      </c>
      <c r="W39" s="25">
        <f>HLOOKUP(W$7,$I$66:$DJ$120,ROWS($A$10:$A39)+2,FALSE)</f>
        <v>2822</v>
      </c>
      <c r="X39" s="25">
        <f>HLOOKUP(X$7,$I$66:$DJ$120,ROWS($A$10:$A39)+2,FALSE)</f>
        <v>362</v>
      </c>
      <c r="Y39" s="25">
        <f>HLOOKUP(Y$7,$I$66:$DJ$120,ROWS($A$10:$A39)+2,FALSE)</f>
        <v>714</v>
      </c>
      <c r="Z39" s="25">
        <f>HLOOKUP(Z$7,$I$66:$DJ$120,ROWS($A$10:$A39)+2,FALSE)</f>
        <v>1202</v>
      </c>
      <c r="AA39" s="25">
        <f>HLOOKUP(AA$7,$I$66:$DJ$120,ROWS($A$10:$A39)+2,FALSE)</f>
        <v>952</v>
      </c>
      <c r="AB39" s="25">
        <f>HLOOKUP(AB$7,$I$66:$DJ$120,ROWS($A$10:$A39)+2,FALSE)</f>
        <v>421</v>
      </c>
      <c r="AC39" s="25">
        <f>HLOOKUP(AC$7,$I$66:$DJ$120,ROWS($A$10:$A39)+2,FALSE)</f>
        <v>209</v>
      </c>
      <c r="AD39" s="25">
        <f>HLOOKUP(AD$7,$I$66:$DJ$120,ROWS($A$10:$A39)+2,FALSE)</f>
        <v>934</v>
      </c>
      <c r="AE39" s="25">
        <f>HLOOKUP(AE$7,$I$66:$DJ$120,ROWS($A$10:$A39)+2,FALSE)</f>
        <v>318</v>
      </c>
      <c r="AF39" s="25">
        <f>HLOOKUP(AF$7,$I$66:$DJ$120,ROWS($A$10:$A39)+2,FALSE)</f>
        <v>1235</v>
      </c>
      <c r="AG39" s="25">
        <f>HLOOKUP(AG$7,$I$66:$DJ$120,ROWS($A$10:$A39)+2,FALSE)</f>
        <v>1157</v>
      </c>
      <c r="AH39" s="25">
        <f>HLOOKUP(AH$7,$I$66:$DJ$120,ROWS($A$10:$A39)+2,FALSE)</f>
        <v>783</v>
      </c>
      <c r="AI39" s="25">
        <f>HLOOKUP(AI$7,$I$66:$DJ$120,ROWS($A$10:$A39)+2,FALSE)</f>
        <v>694</v>
      </c>
      <c r="AJ39" s="25">
        <f>HLOOKUP(AJ$7,$I$66:$DJ$120,ROWS($A$10:$A39)+2,FALSE)</f>
        <v>1086</v>
      </c>
      <c r="AK39" s="25">
        <f>HLOOKUP(AK$7,$I$66:$DJ$120,ROWS($A$10:$A39)+2,FALSE)</f>
        <v>714</v>
      </c>
      <c r="AL39" s="25" t="str">
        <f>HLOOKUP(AL$7,$I$66:$DJ$120,ROWS($A$10:$A39)+2,FALSE)</f>
        <v>N/A</v>
      </c>
      <c r="AM39" s="25">
        <f>HLOOKUP(AM$7,$I$66:$DJ$120,ROWS($A$10:$A39)+2,FALSE)</f>
        <v>175</v>
      </c>
      <c r="AN39" s="25">
        <f>HLOOKUP(AN$7,$I$66:$DJ$120,ROWS($A$10:$A39)+2,FALSE)</f>
        <v>912</v>
      </c>
      <c r="AO39" s="25">
        <f>HLOOKUP(AO$7,$I$66:$DJ$120,ROWS($A$10:$A39)+2,FALSE)</f>
        <v>1138</v>
      </c>
      <c r="AP39" s="25">
        <f>HLOOKUP(AP$7,$I$66:$DJ$120,ROWS($A$10:$A39)+2,FALSE)</f>
        <v>3521</v>
      </c>
      <c r="AQ39" s="25">
        <f>HLOOKUP(AQ$7,$I$66:$DJ$120,ROWS($A$10:$A39)+2,FALSE)</f>
        <v>767</v>
      </c>
      <c r="AR39" s="25">
        <f>HLOOKUP(AR$7,$I$66:$DJ$120,ROWS($A$10:$A39)+2,FALSE)</f>
        <v>702</v>
      </c>
      <c r="AS39" s="25">
        <f>HLOOKUP(AS$7,$I$66:$DJ$120,ROWS($A$10:$A39)+2,FALSE)</f>
        <v>1407</v>
      </c>
      <c r="AT39" s="25">
        <f>HLOOKUP(AT$7,$I$66:$DJ$120,ROWS($A$10:$A39)+2,FALSE)</f>
        <v>1520</v>
      </c>
      <c r="AU39" s="25">
        <f>HLOOKUP(AU$7,$I$66:$DJ$120,ROWS($A$10:$A39)+2,FALSE)</f>
        <v>3101</v>
      </c>
      <c r="AV39" s="25">
        <f>HLOOKUP(AV$7,$I$66:$DJ$120,ROWS($A$10:$A39)+2,FALSE)</f>
        <v>1601</v>
      </c>
      <c r="AW39" s="25">
        <f>HLOOKUP(AW$7,$I$66:$DJ$120,ROWS($A$10:$A39)+2,FALSE)</f>
        <v>336</v>
      </c>
      <c r="AX39" s="25">
        <f>HLOOKUP(AX$7,$I$66:$DJ$120,ROWS($A$10:$A39)+2,FALSE)</f>
        <v>480</v>
      </c>
      <c r="AY39" s="25">
        <f>HLOOKUP(AY$7,$I$66:$DJ$120,ROWS($A$10:$A39)+2,FALSE)</f>
        <v>0</v>
      </c>
      <c r="AZ39" s="25">
        <f>HLOOKUP(AZ$7,$I$66:$DJ$120,ROWS($A$10:$A39)+2,FALSE)</f>
        <v>1699</v>
      </c>
      <c r="BA39" s="25">
        <f>HLOOKUP(BA$7,$I$66:$DJ$120,ROWS($A$10:$A39)+2,FALSE)</f>
        <v>5484</v>
      </c>
      <c r="BB39" s="25">
        <f>HLOOKUP(BB$7,$I$66:$DJ$120,ROWS($A$10:$A39)+2,FALSE)</f>
        <v>4605</v>
      </c>
      <c r="BC39" s="25">
        <f>HLOOKUP(BC$7,$I$66:$DJ$120,ROWS($A$10:$A39)+2,FALSE)</f>
        <v>121</v>
      </c>
      <c r="BD39" s="25">
        <f>HLOOKUP(BD$7,$I$66:$DJ$120,ROWS($A$10:$A39)+2,FALSE)</f>
        <v>1135</v>
      </c>
      <c r="BE39" s="25">
        <f>HLOOKUP(BE$7,$I$66:$DJ$120,ROWS($A$10:$A39)+2,FALSE)</f>
        <v>2997</v>
      </c>
      <c r="BF39" s="25">
        <f>HLOOKUP(BF$7,$I$66:$DJ$120,ROWS($A$10:$A39)+2,FALSE)</f>
        <v>100</v>
      </c>
      <c r="BG39" s="25">
        <f>HLOOKUP(BG$7,$I$66:$DJ$120,ROWS($A$10:$A39)+2,FALSE)</f>
        <v>1046</v>
      </c>
      <c r="BH39" s="25">
        <f>HLOOKUP(BH$7,$I$66:$DJ$120,ROWS($A$10:$A39)+2,FALSE)</f>
        <v>766</v>
      </c>
      <c r="BI39" s="25">
        <f>HLOOKUP(BI$7,$I$66:$DJ$120,ROWS($A$10:$A39)+2,FALSE)</f>
        <v>237</v>
      </c>
      <c r="BJ39" s="34">
        <f>HLOOKUP(BJ$7+0.5,$I$66:$DJ$120,ROWS($A$10:$A39)+2,FALSE)</f>
        <v>9956</v>
      </c>
      <c r="BK39" s="34">
        <f>HLOOKUP(BK$7+0.5,$I$66:$DJ$120,ROWS($A$10:$A39)+2,FALSE)</f>
        <v>724</v>
      </c>
      <c r="BL39" s="34">
        <f>HLOOKUP(BL$7+0.5,$I$66:$DJ$120,ROWS($A$10:$A39)+2,FALSE)</f>
        <v>1047</v>
      </c>
      <c r="BM39" s="34">
        <f>HLOOKUP(BM$7+0.5,$I$66:$DJ$120,ROWS($A$10:$A39)+2,FALSE)</f>
        <v>2540</v>
      </c>
      <c r="BN39" s="34">
        <f>HLOOKUP(BN$7+0.5,$I$66:$DJ$120,ROWS($A$10:$A39)+2,FALSE)</f>
        <v>404</v>
      </c>
      <c r="BO39" s="34">
        <f>HLOOKUP(BO$7+0.5,$I$66:$DJ$120,ROWS($A$10:$A39)+2,FALSE)</f>
        <v>7637</v>
      </c>
      <c r="BP39" s="34">
        <f>HLOOKUP(BP$7+0.5,$I$66:$DJ$120,ROWS($A$10:$A39)+2,FALSE)</f>
        <v>2736</v>
      </c>
      <c r="BQ39" s="34">
        <f>HLOOKUP(BQ$7+0.5,$I$66:$DJ$120,ROWS($A$10:$A39)+2,FALSE)</f>
        <v>181</v>
      </c>
      <c r="BR39" s="34">
        <f>HLOOKUP(BR$7+0.5,$I$66:$DJ$120,ROWS($A$10:$A39)+2,FALSE)</f>
        <v>521</v>
      </c>
      <c r="BS39" s="34">
        <f>HLOOKUP(BS$7+0.5,$I$66:$DJ$120,ROWS($A$10:$A39)+2,FALSE)</f>
        <v>759</v>
      </c>
      <c r="BT39" s="34">
        <f>HLOOKUP(BT$7+0.5,$I$66:$DJ$120,ROWS($A$10:$A39)+2,FALSE)</f>
        <v>1488</v>
      </c>
      <c r="BU39" s="34">
        <f>HLOOKUP(BU$7+0.5,$I$66:$DJ$120,ROWS($A$10:$A39)+2,FALSE)</f>
        <v>477</v>
      </c>
      <c r="BV39" s="34">
        <f>HLOOKUP(BV$7+0.5,$I$66:$DJ$120,ROWS($A$10:$A39)+2,FALSE)</f>
        <v>949</v>
      </c>
      <c r="BW39" s="34">
        <f>HLOOKUP(BW$7+0.5,$I$66:$DJ$120,ROWS($A$10:$A39)+2,FALSE)</f>
        <v>743</v>
      </c>
      <c r="BX39" s="34">
        <f>HLOOKUP(BX$7+0.5,$I$66:$DJ$120,ROWS($A$10:$A39)+2,FALSE)</f>
        <v>1412</v>
      </c>
      <c r="BY39" s="34">
        <f>HLOOKUP(BY$7+0.5,$I$66:$DJ$120,ROWS($A$10:$A39)+2,FALSE)</f>
        <v>341</v>
      </c>
      <c r="BZ39" s="34">
        <f>HLOOKUP(BZ$7+0.5,$I$66:$DJ$120,ROWS($A$10:$A39)+2,FALSE)</f>
        <v>592</v>
      </c>
      <c r="CA39" s="34">
        <f>HLOOKUP(CA$7+0.5,$I$66:$DJ$120,ROWS($A$10:$A39)+2,FALSE)</f>
        <v>1085</v>
      </c>
      <c r="CB39" s="34">
        <f>HLOOKUP(CB$7+0.5,$I$66:$DJ$120,ROWS($A$10:$A39)+2,FALSE)</f>
        <v>651</v>
      </c>
      <c r="CC39" s="34">
        <f>HLOOKUP(CC$7+0.5,$I$66:$DJ$120,ROWS($A$10:$A39)+2,FALSE)</f>
        <v>296</v>
      </c>
      <c r="CD39" s="34">
        <f>HLOOKUP(CD$7+0.5,$I$66:$DJ$120,ROWS($A$10:$A39)+2,FALSE)</f>
        <v>286</v>
      </c>
      <c r="CE39" s="34">
        <f>HLOOKUP(CE$7+0.5,$I$66:$DJ$120,ROWS($A$10:$A39)+2,FALSE)</f>
        <v>689</v>
      </c>
      <c r="CF39" s="34">
        <f>HLOOKUP(CF$7+0.5,$I$66:$DJ$120,ROWS($A$10:$A39)+2,FALSE)</f>
        <v>267</v>
      </c>
      <c r="CG39" s="34">
        <f>HLOOKUP(CG$7+0.5,$I$66:$DJ$120,ROWS($A$10:$A39)+2,FALSE)</f>
        <v>574</v>
      </c>
      <c r="CH39" s="34">
        <f>HLOOKUP(CH$7+0.5,$I$66:$DJ$120,ROWS($A$10:$A39)+2,FALSE)</f>
        <v>718</v>
      </c>
      <c r="CI39" s="34">
        <f>HLOOKUP(CI$7+0.5,$I$66:$DJ$120,ROWS($A$10:$A39)+2,FALSE)</f>
        <v>658</v>
      </c>
      <c r="CJ39" s="34">
        <f>HLOOKUP(CJ$7+0.5,$I$66:$DJ$120,ROWS($A$10:$A39)+2,FALSE)</f>
        <v>516</v>
      </c>
      <c r="CK39" s="34">
        <f>HLOOKUP(CK$7+0.5,$I$66:$DJ$120,ROWS($A$10:$A39)+2,FALSE)</f>
        <v>605</v>
      </c>
      <c r="CL39" s="34">
        <f>HLOOKUP(CL$7+0.5,$I$66:$DJ$120,ROWS($A$10:$A39)+2,FALSE)</f>
        <v>551</v>
      </c>
      <c r="CM39" s="34" t="str">
        <f>HLOOKUP(CM$7+0.5,$I$66:$DJ$120,ROWS($A$10:$A39)+2,FALSE)</f>
        <v>N/A</v>
      </c>
      <c r="CN39" s="34">
        <f>HLOOKUP(CN$7+0.5,$I$66:$DJ$120,ROWS($A$10:$A39)+2,FALSE)</f>
        <v>230</v>
      </c>
      <c r="CO39" s="34">
        <f>HLOOKUP(CO$7+0.5,$I$66:$DJ$120,ROWS($A$10:$A39)+2,FALSE)</f>
        <v>600</v>
      </c>
      <c r="CP39" s="34">
        <f>HLOOKUP(CP$7+0.5,$I$66:$DJ$120,ROWS($A$10:$A39)+2,FALSE)</f>
        <v>665</v>
      </c>
      <c r="CQ39" s="34">
        <f>HLOOKUP(CQ$7+0.5,$I$66:$DJ$120,ROWS($A$10:$A39)+2,FALSE)</f>
        <v>1460</v>
      </c>
      <c r="CR39" s="34">
        <f>HLOOKUP(CR$7+0.5,$I$66:$DJ$120,ROWS($A$10:$A39)+2,FALSE)</f>
        <v>589</v>
      </c>
      <c r="CS39" s="34">
        <f>HLOOKUP(CS$7+0.5,$I$66:$DJ$120,ROWS($A$10:$A39)+2,FALSE)</f>
        <v>661</v>
      </c>
      <c r="CT39" s="34">
        <f>HLOOKUP(CT$7+0.5,$I$66:$DJ$120,ROWS($A$10:$A39)+2,FALSE)</f>
        <v>791</v>
      </c>
      <c r="CU39" s="34">
        <f>HLOOKUP(CU$7+0.5,$I$66:$DJ$120,ROWS($A$10:$A39)+2,FALSE)</f>
        <v>1384</v>
      </c>
      <c r="CV39" s="34">
        <f>HLOOKUP(CV$7+0.5,$I$66:$DJ$120,ROWS($A$10:$A39)+2,FALSE)</f>
        <v>1186</v>
      </c>
      <c r="CW39" s="34">
        <f>HLOOKUP(CW$7+0.5,$I$66:$DJ$120,ROWS($A$10:$A39)+2,FALSE)</f>
        <v>1078</v>
      </c>
      <c r="CX39" s="34">
        <f>HLOOKUP(CX$7+0.5,$I$66:$DJ$120,ROWS($A$10:$A39)+2,FALSE)</f>
        <v>548</v>
      </c>
      <c r="CY39" s="34">
        <f>HLOOKUP(CY$7+0.5,$I$66:$DJ$120,ROWS($A$10:$A39)+2,FALSE)</f>
        <v>403</v>
      </c>
      <c r="CZ39" s="34">
        <f>HLOOKUP(CZ$7+0.5,$I$66:$DJ$120,ROWS($A$10:$A39)+2,FALSE)</f>
        <v>200</v>
      </c>
      <c r="DA39" s="34">
        <f>HLOOKUP(DA$7+0.5,$I$66:$DJ$120,ROWS($A$10:$A39)+2,FALSE)</f>
        <v>822</v>
      </c>
      <c r="DB39" s="34">
        <f>HLOOKUP(DB$7+0.5,$I$66:$DJ$120,ROWS($A$10:$A39)+2,FALSE)</f>
        <v>1772</v>
      </c>
      <c r="DC39" s="34">
        <f>HLOOKUP(DC$7+0.5,$I$66:$DJ$120,ROWS($A$10:$A39)+2,FALSE)</f>
        <v>1899</v>
      </c>
      <c r="DD39" s="34">
        <f>HLOOKUP(DD$7+0.5,$I$66:$DJ$120,ROWS($A$10:$A39)+2,FALSE)</f>
        <v>222</v>
      </c>
      <c r="DE39" s="34">
        <f>HLOOKUP(DE$7+0.5,$I$66:$DJ$120,ROWS($A$10:$A39)+2,FALSE)</f>
        <v>832</v>
      </c>
      <c r="DF39" s="34">
        <f>HLOOKUP(DF$7+0.5,$I$66:$DJ$120,ROWS($A$10:$A39)+2,FALSE)</f>
        <v>1103</v>
      </c>
      <c r="DG39" s="34">
        <f>HLOOKUP(DG$7+0.5,$I$66:$DJ$120,ROWS($A$10:$A39)+2,FALSE)</f>
        <v>161</v>
      </c>
      <c r="DH39" s="34">
        <f>HLOOKUP(DH$7+0.5,$I$66:$DJ$120,ROWS($A$10:$A39)+2,FALSE)</f>
        <v>666</v>
      </c>
      <c r="DI39" s="34">
        <f>HLOOKUP(DI$7+0.5,$I$66:$DJ$120,ROWS($A$10:$A39)+2,FALSE)</f>
        <v>706</v>
      </c>
      <c r="DJ39" s="34">
        <f>HLOOKUP(DJ$7+0.5,$I$66:$DJ$120,ROWS($A$10:$A39)+2,FALSE)</f>
        <v>356</v>
      </c>
    </row>
    <row r="40" spans="2:114" x14ac:dyDescent="0.25">
      <c r="B40" s="38" t="s">
        <v>36</v>
      </c>
      <c r="C40" s="16">
        <v>1309203</v>
      </c>
      <c r="D40" s="17">
        <v>1504</v>
      </c>
      <c r="E40" s="16">
        <v>1127376</v>
      </c>
      <c r="F40" s="17">
        <v>9730</v>
      </c>
      <c r="G40" s="16">
        <v>125118</v>
      </c>
      <c r="H40" s="17">
        <v>9101</v>
      </c>
      <c r="I40" s="36">
        <f>HLOOKUP(I$7,$I$66:$DJ$120,ROWS($A$10:$A40)+2,FALSE)</f>
        <v>50484</v>
      </c>
      <c r="J40" s="25">
        <f>HLOOKUP(J$7,$I$66:$DJ$120,ROWS($A$10:$A40)+2,FALSE)</f>
        <v>0</v>
      </c>
      <c r="K40" s="25">
        <f>HLOOKUP(K$7,$I$66:$DJ$120,ROWS($A$10:$A40)+2,FALSE)</f>
        <v>437</v>
      </c>
      <c r="L40" s="25">
        <f>HLOOKUP(L$7,$I$66:$DJ$120,ROWS($A$10:$A40)+2,FALSE)</f>
        <v>440</v>
      </c>
      <c r="M40" s="25">
        <f>HLOOKUP(M$7,$I$66:$DJ$120,ROWS($A$10:$A40)+2,FALSE)</f>
        <v>0</v>
      </c>
      <c r="N40" s="25">
        <f>HLOOKUP(N$7,$I$66:$DJ$120,ROWS($A$10:$A40)+2,FALSE)</f>
        <v>1514</v>
      </c>
      <c r="O40" s="25">
        <f>HLOOKUP(O$7,$I$66:$DJ$120,ROWS($A$10:$A40)+2,FALSE)</f>
        <v>572</v>
      </c>
      <c r="P40" s="25">
        <f>HLOOKUP(P$7,$I$66:$DJ$120,ROWS($A$10:$A40)+2,FALSE)</f>
        <v>1345</v>
      </c>
      <c r="Q40" s="25">
        <f>HLOOKUP(Q$7,$I$66:$DJ$120,ROWS($A$10:$A40)+2,FALSE)</f>
        <v>0</v>
      </c>
      <c r="R40" s="25">
        <f>HLOOKUP(R$7,$I$66:$DJ$120,ROWS($A$10:$A40)+2,FALSE)</f>
        <v>101</v>
      </c>
      <c r="S40" s="25">
        <f>HLOOKUP(S$7,$I$66:$DJ$120,ROWS($A$10:$A40)+2,FALSE)</f>
        <v>2746</v>
      </c>
      <c r="T40" s="25">
        <f>HLOOKUP(T$7,$I$66:$DJ$120,ROWS($A$10:$A40)+2,FALSE)</f>
        <v>470</v>
      </c>
      <c r="U40" s="25">
        <f>HLOOKUP(U$7,$I$66:$DJ$120,ROWS($A$10:$A40)+2,FALSE)</f>
        <v>43</v>
      </c>
      <c r="V40" s="25">
        <f>HLOOKUP(V$7,$I$66:$DJ$120,ROWS($A$10:$A40)+2,FALSE)</f>
        <v>20</v>
      </c>
      <c r="W40" s="25">
        <f>HLOOKUP(W$7,$I$66:$DJ$120,ROWS($A$10:$A40)+2,FALSE)</f>
        <v>673</v>
      </c>
      <c r="X40" s="25">
        <f>HLOOKUP(X$7,$I$66:$DJ$120,ROWS($A$10:$A40)+2,FALSE)</f>
        <v>297</v>
      </c>
      <c r="Y40" s="25">
        <f>HLOOKUP(Y$7,$I$66:$DJ$120,ROWS($A$10:$A40)+2,FALSE)</f>
        <v>53</v>
      </c>
      <c r="Z40" s="25">
        <f>HLOOKUP(Z$7,$I$66:$DJ$120,ROWS($A$10:$A40)+2,FALSE)</f>
        <v>102</v>
      </c>
      <c r="AA40" s="25">
        <f>HLOOKUP(AA$7,$I$66:$DJ$120,ROWS($A$10:$A40)+2,FALSE)</f>
        <v>284</v>
      </c>
      <c r="AB40" s="25">
        <f>HLOOKUP(AB$7,$I$66:$DJ$120,ROWS($A$10:$A40)+2,FALSE)</f>
        <v>7</v>
      </c>
      <c r="AC40" s="25">
        <f>HLOOKUP(AC$7,$I$66:$DJ$120,ROWS($A$10:$A40)+2,FALSE)</f>
        <v>6118</v>
      </c>
      <c r="AD40" s="25">
        <f>HLOOKUP(AD$7,$I$66:$DJ$120,ROWS($A$10:$A40)+2,FALSE)</f>
        <v>33</v>
      </c>
      <c r="AE40" s="25">
        <f>HLOOKUP(AE$7,$I$66:$DJ$120,ROWS($A$10:$A40)+2,FALSE)</f>
        <v>18990</v>
      </c>
      <c r="AF40" s="25">
        <f>HLOOKUP(AF$7,$I$66:$DJ$120,ROWS($A$10:$A40)+2,FALSE)</f>
        <v>426</v>
      </c>
      <c r="AG40" s="25">
        <f>HLOOKUP(AG$7,$I$66:$DJ$120,ROWS($A$10:$A40)+2,FALSE)</f>
        <v>0</v>
      </c>
      <c r="AH40" s="25">
        <f>HLOOKUP(AH$7,$I$66:$DJ$120,ROWS($A$10:$A40)+2,FALSE)</f>
        <v>0</v>
      </c>
      <c r="AI40" s="25">
        <f>HLOOKUP(AI$7,$I$66:$DJ$120,ROWS($A$10:$A40)+2,FALSE)</f>
        <v>289</v>
      </c>
      <c r="AJ40" s="25">
        <f>HLOOKUP(AJ$7,$I$66:$DJ$120,ROWS($A$10:$A40)+2,FALSE)</f>
        <v>0</v>
      </c>
      <c r="AK40" s="25">
        <f>HLOOKUP(AK$7,$I$66:$DJ$120,ROWS($A$10:$A40)+2,FALSE)</f>
        <v>110</v>
      </c>
      <c r="AL40" s="25">
        <f>HLOOKUP(AL$7,$I$66:$DJ$120,ROWS($A$10:$A40)+2,FALSE)</f>
        <v>0</v>
      </c>
      <c r="AM40" s="25" t="str">
        <f>HLOOKUP(AM$7,$I$66:$DJ$120,ROWS($A$10:$A40)+2,FALSE)</f>
        <v>N/A</v>
      </c>
      <c r="AN40" s="25">
        <f>HLOOKUP(AN$7,$I$66:$DJ$120,ROWS($A$10:$A40)+2,FALSE)</f>
        <v>591</v>
      </c>
      <c r="AO40" s="25">
        <f>HLOOKUP(AO$7,$I$66:$DJ$120,ROWS($A$10:$A40)+2,FALSE)</f>
        <v>223</v>
      </c>
      <c r="AP40" s="25">
        <f>HLOOKUP(AP$7,$I$66:$DJ$120,ROWS($A$10:$A40)+2,FALSE)</f>
        <v>2905</v>
      </c>
      <c r="AQ40" s="25">
        <f>HLOOKUP(AQ$7,$I$66:$DJ$120,ROWS($A$10:$A40)+2,FALSE)</f>
        <v>1609</v>
      </c>
      <c r="AR40" s="25">
        <f>HLOOKUP(AR$7,$I$66:$DJ$120,ROWS($A$10:$A40)+2,FALSE)</f>
        <v>0</v>
      </c>
      <c r="AS40" s="25">
        <f>HLOOKUP(AS$7,$I$66:$DJ$120,ROWS($A$10:$A40)+2,FALSE)</f>
        <v>324</v>
      </c>
      <c r="AT40" s="25">
        <f>HLOOKUP(AT$7,$I$66:$DJ$120,ROWS($A$10:$A40)+2,FALSE)</f>
        <v>186</v>
      </c>
      <c r="AU40" s="25">
        <f>HLOOKUP(AU$7,$I$66:$DJ$120,ROWS($A$10:$A40)+2,FALSE)</f>
        <v>208</v>
      </c>
      <c r="AV40" s="25">
        <f>HLOOKUP(AV$7,$I$66:$DJ$120,ROWS($A$10:$A40)+2,FALSE)</f>
        <v>890</v>
      </c>
      <c r="AW40" s="25">
        <f>HLOOKUP(AW$7,$I$66:$DJ$120,ROWS($A$10:$A40)+2,FALSE)</f>
        <v>1248</v>
      </c>
      <c r="AX40" s="25">
        <f>HLOOKUP(AX$7,$I$66:$DJ$120,ROWS($A$10:$A40)+2,FALSE)</f>
        <v>323</v>
      </c>
      <c r="AY40" s="25">
        <f>HLOOKUP(AY$7,$I$66:$DJ$120,ROWS($A$10:$A40)+2,FALSE)</f>
        <v>0</v>
      </c>
      <c r="AZ40" s="25">
        <f>HLOOKUP(AZ$7,$I$66:$DJ$120,ROWS($A$10:$A40)+2,FALSE)</f>
        <v>77</v>
      </c>
      <c r="BA40" s="25">
        <f>HLOOKUP(BA$7,$I$66:$DJ$120,ROWS($A$10:$A40)+2,FALSE)</f>
        <v>2150</v>
      </c>
      <c r="BB40" s="25">
        <f>HLOOKUP(BB$7,$I$66:$DJ$120,ROWS($A$10:$A40)+2,FALSE)</f>
        <v>557</v>
      </c>
      <c r="BC40" s="25">
        <f>HLOOKUP(BC$7,$I$66:$DJ$120,ROWS($A$10:$A40)+2,FALSE)</f>
        <v>2960</v>
      </c>
      <c r="BD40" s="25">
        <f>HLOOKUP(BD$7,$I$66:$DJ$120,ROWS($A$10:$A40)+2,FALSE)</f>
        <v>660</v>
      </c>
      <c r="BE40" s="25">
        <f>HLOOKUP(BE$7,$I$66:$DJ$120,ROWS($A$10:$A40)+2,FALSE)</f>
        <v>113</v>
      </c>
      <c r="BF40" s="25">
        <f>HLOOKUP(BF$7,$I$66:$DJ$120,ROWS($A$10:$A40)+2,FALSE)</f>
        <v>80</v>
      </c>
      <c r="BG40" s="25">
        <f>HLOOKUP(BG$7,$I$66:$DJ$120,ROWS($A$10:$A40)+2,FALSE)</f>
        <v>239</v>
      </c>
      <c r="BH40" s="25">
        <f>HLOOKUP(BH$7,$I$66:$DJ$120,ROWS($A$10:$A40)+2,FALSE)</f>
        <v>71</v>
      </c>
      <c r="BI40" s="25">
        <f>HLOOKUP(BI$7,$I$66:$DJ$120,ROWS($A$10:$A40)+2,FALSE)</f>
        <v>75</v>
      </c>
      <c r="BJ40" s="34">
        <f>HLOOKUP(BJ$7+0.5,$I$66:$DJ$120,ROWS($A$10:$A40)+2,FALSE)</f>
        <v>5282</v>
      </c>
      <c r="BK40" s="34">
        <f>HLOOKUP(BK$7+0.5,$I$66:$DJ$120,ROWS($A$10:$A40)+2,FALSE)</f>
        <v>181</v>
      </c>
      <c r="BL40" s="34">
        <f>HLOOKUP(BL$7+0.5,$I$66:$DJ$120,ROWS($A$10:$A40)+2,FALSE)</f>
        <v>378</v>
      </c>
      <c r="BM40" s="34">
        <f>HLOOKUP(BM$7+0.5,$I$66:$DJ$120,ROWS($A$10:$A40)+2,FALSE)</f>
        <v>413</v>
      </c>
      <c r="BN40" s="34">
        <f>HLOOKUP(BN$7+0.5,$I$66:$DJ$120,ROWS($A$10:$A40)+2,FALSE)</f>
        <v>181</v>
      </c>
      <c r="BO40" s="34">
        <f>HLOOKUP(BO$7+0.5,$I$66:$DJ$120,ROWS($A$10:$A40)+2,FALSE)</f>
        <v>935</v>
      </c>
      <c r="BP40" s="34">
        <f>HLOOKUP(BP$7+0.5,$I$66:$DJ$120,ROWS($A$10:$A40)+2,FALSE)</f>
        <v>637</v>
      </c>
      <c r="BQ40" s="34">
        <f>HLOOKUP(BQ$7+0.5,$I$66:$DJ$120,ROWS($A$10:$A40)+2,FALSE)</f>
        <v>478</v>
      </c>
      <c r="BR40" s="34">
        <f>HLOOKUP(BR$7+0.5,$I$66:$DJ$120,ROWS($A$10:$A40)+2,FALSE)</f>
        <v>181</v>
      </c>
      <c r="BS40" s="34">
        <f>HLOOKUP(BS$7+0.5,$I$66:$DJ$120,ROWS($A$10:$A40)+2,FALSE)</f>
        <v>131</v>
      </c>
      <c r="BT40" s="34">
        <f>HLOOKUP(BT$7+0.5,$I$66:$DJ$120,ROWS($A$10:$A40)+2,FALSE)</f>
        <v>1312</v>
      </c>
      <c r="BU40" s="34">
        <f>HLOOKUP(BU$7+0.5,$I$66:$DJ$120,ROWS($A$10:$A40)+2,FALSE)</f>
        <v>324</v>
      </c>
      <c r="BV40" s="34">
        <f>HLOOKUP(BV$7+0.5,$I$66:$DJ$120,ROWS($A$10:$A40)+2,FALSE)</f>
        <v>78</v>
      </c>
      <c r="BW40" s="34">
        <f>HLOOKUP(BW$7+0.5,$I$66:$DJ$120,ROWS($A$10:$A40)+2,FALSE)</f>
        <v>38</v>
      </c>
      <c r="BX40" s="34">
        <f>HLOOKUP(BX$7+0.5,$I$66:$DJ$120,ROWS($A$10:$A40)+2,FALSE)</f>
        <v>608</v>
      </c>
      <c r="BY40" s="34">
        <f>HLOOKUP(BY$7+0.5,$I$66:$DJ$120,ROWS($A$10:$A40)+2,FALSE)</f>
        <v>365</v>
      </c>
      <c r="BZ40" s="34">
        <f>HLOOKUP(BZ$7+0.5,$I$66:$DJ$120,ROWS($A$10:$A40)+2,FALSE)</f>
        <v>89</v>
      </c>
      <c r="CA40" s="34">
        <f>HLOOKUP(CA$7+0.5,$I$66:$DJ$120,ROWS($A$10:$A40)+2,FALSE)</f>
        <v>161</v>
      </c>
      <c r="CB40" s="34">
        <f>HLOOKUP(CB$7+0.5,$I$66:$DJ$120,ROWS($A$10:$A40)+2,FALSE)</f>
        <v>250</v>
      </c>
      <c r="CC40" s="34">
        <f>HLOOKUP(CC$7+0.5,$I$66:$DJ$120,ROWS($A$10:$A40)+2,FALSE)</f>
        <v>13</v>
      </c>
      <c r="CD40" s="34">
        <f>HLOOKUP(CD$7+0.5,$I$66:$DJ$120,ROWS($A$10:$A40)+2,FALSE)</f>
        <v>1749</v>
      </c>
      <c r="CE40" s="34">
        <f>HLOOKUP(CE$7+0.5,$I$66:$DJ$120,ROWS($A$10:$A40)+2,FALSE)</f>
        <v>57</v>
      </c>
      <c r="CF40" s="34">
        <f>HLOOKUP(CF$7+0.5,$I$66:$DJ$120,ROWS($A$10:$A40)+2,FALSE)</f>
        <v>3350</v>
      </c>
      <c r="CG40" s="34">
        <f>HLOOKUP(CG$7+0.5,$I$66:$DJ$120,ROWS($A$10:$A40)+2,FALSE)</f>
        <v>441</v>
      </c>
      <c r="CH40" s="34">
        <f>HLOOKUP(CH$7+0.5,$I$66:$DJ$120,ROWS($A$10:$A40)+2,FALSE)</f>
        <v>181</v>
      </c>
      <c r="CI40" s="34">
        <f>HLOOKUP(CI$7+0.5,$I$66:$DJ$120,ROWS($A$10:$A40)+2,FALSE)</f>
        <v>181</v>
      </c>
      <c r="CJ40" s="34">
        <f>HLOOKUP(CJ$7+0.5,$I$66:$DJ$120,ROWS($A$10:$A40)+2,FALSE)</f>
        <v>262</v>
      </c>
      <c r="CK40" s="34">
        <f>HLOOKUP(CK$7+0.5,$I$66:$DJ$120,ROWS($A$10:$A40)+2,FALSE)</f>
        <v>181</v>
      </c>
      <c r="CL40" s="34">
        <f>HLOOKUP(CL$7+0.5,$I$66:$DJ$120,ROWS($A$10:$A40)+2,FALSE)</f>
        <v>136</v>
      </c>
      <c r="CM40" s="34">
        <f>HLOOKUP(CM$7+0.5,$I$66:$DJ$120,ROWS($A$10:$A40)+2,FALSE)</f>
        <v>181</v>
      </c>
      <c r="CN40" s="34" t="str">
        <f>HLOOKUP(CN$7+0.5,$I$66:$DJ$120,ROWS($A$10:$A40)+2,FALSE)</f>
        <v>N/A</v>
      </c>
      <c r="CO40" s="34">
        <f>HLOOKUP(CO$7+0.5,$I$66:$DJ$120,ROWS($A$10:$A40)+2,FALSE)</f>
        <v>330</v>
      </c>
      <c r="CP40" s="34">
        <f>HLOOKUP(CP$7+0.5,$I$66:$DJ$120,ROWS($A$10:$A40)+2,FALSE)</f>
        <v>279</v>
      </c>
      <c r="CQ40" s="34">
        <f>HLOOKUP(CQ$7+0.5,$I$66:$DJ$120,ROWS($A$10:$A40)+2,FALSE)</f>
        <v>1027</v>
      </c>
      <c r="CR40" s="34">
        <f>HLOOKUP(CR$7+0.5,$I$66:$DJ$120,ROWS($A$10:$A40)+2,FALSE)</f>
        <v>1456</v>
      </c>
      <c r="CS40" s="34">
        <f>HLOOKUP(CS$7+0.5,$I$66:$DJ$120,ROWS($A$10:$A40)+2,FALSE)</f>
        <v>181</v>
      </c>
      <c r="CT40" s="34">
        <f>HLOOKUP(CT$7+0.5,$I$66:$DJ$120,ROWS($A$10:$A40)+2,FALSE)</f>
        <v>240</v>
      </c>
      <c r="CU40" s="34">
        <f>HLOOKUP(CU$7+0.5,$I$66:$DJ$120,ROWS($A$10:$A40)+2,FALSE)</f>
        <v>266</v>
      </c>
      <c r="CV40" s="34">
        <f>HLOOKUP(CV$7+0.5,$I$66:$DJ$120,ROWS($A$10:$A40)+2,FALSE)</f>
        <v>299</v>
      </c>
      <c r="CW40" s="34">
        <f>HLOOKUP(CW$7+0.5,$I$66:$DJ$120,ROWS($A$10:$A40)+2,FALSE)</f>
        <v>561</v>
      </c>
      <c r="CX40" s="34">
        <f>HLOOKUP(CX$7+0.5,$I$66:$DJ$120,ROWS($A$10:$A40)+2,FALSE)</f>
        <v>819</v>
      </c>
      <c r="CY40" s="34">
        <f>HLOOKUP(CY$7+0.5,$I$66:$DJ$120,ROWS($A$10:$A40)+2,FALSE)</f>
        <v>257</v>
      </c>
      <c r="CZ40" s="34">
        <f>HLOOKUP(CZ$7+0.5,$I$66:$DJ$120,ROWS($A$10:$A40)+2,FALSE)</f>
        <v>181</v>
      </c>
      <c r="DA40" s="34">
        <f>HLOOKUP(DA$7+0.5,$I$66:$DJ$120,ROWS($A$10:$A40)+2,FALSE)</f>
        <v>133</v>
      </c>
      <c r="DB40" s="34">
        <f>HLOOKUP(DB$7+0.5,$I$66:$DJ$120,ROWS($A$10:$A40)+2,FALSE)</f>
        <v>1715</v>
      </c>
      <c r="DC40" s="34">
        <f>HLOOKUP(DC$7+0.5,$I$66:$DJ$120,ROWS($A$10:$A40)+2,FALSE)</f>
        <v>762</v>
      </c>
      <c r="DD40" s="34">
        <f>HLOOKUP(DD$7+0.5,$I$66:$DJ$120,ROWS($A$10:$A40)+2,FALSE)</f>
        <v>1339</v>
      </c>
      <c r="DE40" s="34">
        <f>HLOOKUP(DE$7+0.5,$I$66:$DJ$120,ROWS($A$10:$A40)+2,FALSE)</f>
        <v>433</v>
      </c>
      <c r="DF40" s="34">
        <f>HLOOKUP(DF$7+0.5,$I$66:$DJ$120,ROWS($A$10:$A40)+2,FALSE)</f>
        <v>119</v>
      </c>
      <c r="DG40" s="34">
        <f>HLOOKUP(DG$7+0.5,$I$66:$DJ$120,ROWS($A$10:$A40)+2,FALSE)</f>
        <v>131</v>
      </c>
      <c r="DH40" s="34">
        <f>HLOOKUP(DH$7+0.5,$I$66:$DJ$120,ROWS($A$10:$A40)+2,FALSE)</f>
        <v>277</v>
      </c>
      <c r="DI40" s="34">
        <f>HLOOKUP(DI$7+0.5,$I$66:$DJ$120,ROWS($A$10:$A40)+2,FALSE)</f>
        <v>120</v>
      </c>
      <c r="DJ40" s="34">
        <f>HLOOKUP(DJ$7+0.5,$I$66:$DJ$120,ROWS($A$10:$A40)+2,FALSE)</f>
        <v>123</v>
      </c>
    </row>
    <row r="41" spans="2:114" x14ac:dyDescent="0.25">
      <c r="B41" s="38" t="s">
        <v>37</v>
      </c>
      <c r="C41" s="15">
        <v>8772744</v>
      </c>
      <c r="D41" s="14">
        <v>4541</v>
      </c>
      <c r="E41" s="15">
        <v>7929570</v>
      </c>
      <c r="F41" s="14">
        <v>23298</v>
      </c>
      <c r="G41" s="15">
        <v>655465</v>
      </c>
      <c r="H41" s="14">
        <v>21808</v>
      </c>
      <c r="I41" s="36">
        <f>HLOOKUP(I$7,$I$66:$DJ$120,ROWS($A$10:$A41)+2,FALSE)</f>
        <v>130223</v>
      </c>
      <c r="J41" s="25">
        <f>HLOOKUP(J$7,$I$66:$DJ$120,ROWS($A$10:$A41)+2,FALSE)</f>
        <v>779</v>
      </c>
      <c r="K41" s="25">
        <f>HLOOKUP(K$7,$I$66:$DJ$120,ROWS($A$10:$A41)+2,FALSE)</f>
        <v>359</v>
      </c>
      <c r="L41" s="25">
        <f>HLOOKUP(L$7,$I$66:$DJ$120,ROWS($A$10:$A41)+2,FALSE)</f>
        <v>1328</v>
      </c>
      <c r="M41" s="25">
        <f>HLOOKUP(M$7,$I$66:$DJ$120,ROWS($A$10:$A41)+2,FALSE)</f>
        <v>57</v>
      </c>
      <c r="N41" s="25">
        <f>HLOOKUP(N$7,$I$66:$DJ$120,ROWS($A$10:$A41)+2,FALSE)</f>
        <v>4330</v>
      </c>
      <c r="O41" s="25">
        <f>HLOOKUP(O$7,$I$66:$DJ$120,ROWS($A$10:$A41)+2,FALSE)</f>
        <v>380</v>
      </c>
      <c r="P41" s="25">
        <f>HLOOKUP(P$7,$I$66:$DJ$120,ROWS($A$10:$A41)+2,FALSE)</f>
        <v>3466</v>
      </c>
      <c r="Q41" s="25">
        <f>HLOOKUP(Q$7,$I$66:$DJ$120,ROWS($A$10:$A41)+2,FALSE)</f>
        <v>1921</v>
      </c>
      <c r="R41" s="25">
        <f>HLOOKUP(R$7,$I$66:$DJ$120,ROWS($A$10:$A41)+2,FALSE)</f>
        <v>840</v>
      </c>
      <c r="S41" s="25">
        <f>HLOOKUP(S$7,$I$66:$DJ$120,ROWS($A$10:$A41)+2,FALSE)</f>
        <v>10649</v>
      </c>
      <c r="T41" s="25">
        <f>HLOOKUP(T$7,$I$66:$DJ$120,ROWS($A$10:$A41)+2,FALSE)</f>
        <v>3002</v>
      </c>
      <c r="U41" s="25">
        <f>HLOOKUP(U$7,$I$66:$DJ$120,ROWS($A$10:$A41)+2,FALSE)</f>
        <v>22</v>
      </c>
      <c r="V41" s="25">
        <f>HLOOKUP(V$7,$I$66:$DJ$120,ROWS($A$10:$A41)+2,FALSE)</f>
        <v>113</v>
      </c>
      <c r="W41" s="25">
        <f>HLOOKUP(W$7,$I$66:$DJ$120,ROWS($A$10:$A41)+2,FALSE)</f>
        <v>2052</v>
      </c>
      <c r="X41" s="25">
        <f>HLOOKUP(X$7,$I$66:$DJ$120,ROWS($A$10:$A41)+2,FALSE)</f>
        <v>1039</v>
      </c>
      <c r="Y41" s="25">
        <f>HLOOKUP(Y$7,$I$66:$DJ$120,ROWS($A$10:$A41)+2,FALSE)</f>
        <v>357</v>
      </c>
      <c r="Z41" s="25">
        <f>HLOOKUP(Z$7,$I$66:$DJ$120,ROWS($A$10:$A41)+2,FALSE)</f>
        <v>426</v>
      </c>
      <c r="AA41" s="25">
        <f>HLOOKUP(AA$7,$I$66:$DJ$120,ROWS($A$10:$A41)+2,FALSE)</f>
        <v>631</v>
      </c>
      <c r="AB41" s="25">
        <f>HLOOKUP(AB$7,$I$66:$DJ$120,ROWS($A$10:$A41)+2,FALSE)</f>
        <v>339</v>
      </c>
      <c r="AC41" s="25">
        <f>HLOOKUP(AC$7,$I$66:$DJ$120,ROWS($A$10:$A41)+2,FALSE)</f>
        <v>430</v>
      </c>
      <c r="AD41" s="25">
        <f>HLOOKUP(AD$7,$I$66:$DJ$120,ROWS($A$10:$A41)+2,FALSE)</f>
        <v>3474</v>
      </c>
      <c r="AE41" s="25">
        <f>HLOOKUP(AE$7,$I$66:$DJ$120,ROWS($A$10:$A41)+2,FALSE)</f>
        <v>4907</v>
      </c>
      <c r="AF41" s="25">
        <f>HLOOKUP(AF$7,$I$66:$DJ$120,ROWS($A$10:$A41)+2,FALSE)</f>
        <v>324</v>
      </c>
      <c r="AG41" s="25">
        <f>HLOOKUP(AG$7,$I$66:$DJ$120,ROWS($A$10:$A41)+2,FALSE)</f>
        <v>570</v>
      </c>
      <c r="AH41" s="25">
        <f>HLOOKUP(AH$7,$I$66:$DJ$120,ROWS($A$10:$A41)+2,FALSE)</f>
        <v>106</v>
      </c>
      <c r="AI41" s="25">
        <f>HLOOKUP(AI$7,$I$66:$DJ$120,ROWS($A$10:$A41)+2,FALSE)</f>
        <v>384</v>
      </c>
      <c r="AJ41" s="25">
        <f>HLOOKUP(AJ$7,$I$66:$DJ$120,ROWS($A$10:$A41)+2,FALSE)</f>
        <v>67</v>
      </c>
      <c r="AK41" s="25">
        <f>HLOOKUP(AK$7,$I$66:$DJ$120,ROWS($A$10:$A41)+2,FALSE)</f>
        <v>35</v>
      </c>
      <c r="AL41" s="25">
        <f>HLOOKUP(AL$7,$I$66:$DJ$120,ROWS($A$10:$A41)+2,FALSE)</f>
        <v>908</v>
      </c>
      <c r="AM41" s="25">
        <f>HLOOKUP(AM$7,$I$66:$DJ$120,ROWS($A$10:$A41)+2,FALSE)</f>
        <v>126</v>
      </c>
      <c r="AN41" s="25" t="str">
        <f>HLOOKUP(AN$7,$I$66:$DJ$120,ROWS($A$10:$A41)+2,FALSE)</f>
        <v>N/A</v>
      </c>
      <c r="AO41" s="25">
        <f>HLOOKUP(AO$7,$I$66:$DJ$120,ROWS($A$10:$A41)+2,FALSE)</f>
        <v>45</v>
      </c>
      <c r="AP41" s="25">
        <f>HLOOKUP(AP$7,$I$66:$DJ$120,ROWS($A$10:$A41)+2,FALSE)</f>
        <v>40495</v>
      </c>
      <c r="AQ41" s="25">
        <f>HLOOKUP(AQ$7,$I$66:$DJ$120,ROWS($A$10:$A41)+2,FALSE)</f>
        <v>3236</v>
      </c>
      <c r="AR41" s="25">
        <f>HLOOKUP(AR$7,$I$66:$DJ$120,ROWS($A$10:$A41)+2,FALSE)</f>
        <v>55</v>
      </c>
      <c r="AS41" s="25">
        <f>HLOOKUP(AS$7,$I$66:$DJ$120,ROWS($A$10:$A41)+2,FALSE)</f>
        <v>1452</v>
      </c>
      <c r="AT41" s="25">
        <f>HLOOKUP(AT$7,$I$66:$DJ$120,ROWS($A$10:$A41)+2,FALSE)</f>
        <v>1540</v>
      </c>
      <c r="AU41" s="25">
        <f>HLOOKUP(AU$7,$I$66:$DJ$120,ROWS($A$10:$A41)+2,FALSE)</f>
        <v>760</v>
      </c>
      <c r="AV41" s="25">
        <f>HLOOKUP(AV$7,$I$66:$DJ$120,ROWS($A$10:$A41)+2,FALSE)</f>
        <v>23597</v>
      </c>
      <c r="AW41" s="25">
        <f>HLOOKUP(AW$7,$I$66:$DJ$120,ROWS($A$10:$A41)+2,FALSE)</f>
        <v>429</v>
      </c>
      <c r="AX41" s="25">
        <f>HLOOKUP(AX$7,$I$66:$DJ$120,ROWS($A$10:$A41)+2,FALSE)</f>
        <v>2372</v>
      </c>
      <c r="AY41" s="25">
        <f>HLOOKUP(AY$7,$I$66:$DJ$120,ROWS($A$10:$A41)+2,FALSE)</f>
        <v>581</v>
      </c>
      <c r="AZ41" s="25">
        <f>HLOOKUP(AZ$7,$I$66:$DJ$120,ROWS($A$10:$A41)+2,FALSE)</f>
        <v>1400</v>
      </c>
      <c r="BA41" s="25">
        <f>HLOOKUP(BA$7,$I$66:$DJ$120,ROWS($A$10:$A41)+2,FALSE)</f>
        <v>2509</v>
      </c>
      <c r="BB41" s="25">
        <f>HLOOKUP(BB$7,$I$66:$DJ$120,ROWS($A$10:$A41)+2,FALSE)</f>
        <v>425</v>
      </c>
      <c r="BC41" s="25">
        <f>HLOOKUP(BC$7,$I$66:$DJ$120,ROWS($A$10:$A41)+2,FALSE)</f>
        <v>35</v>
      </c>
      <c r="BD41" s="25">
        <f>HLOOKUP(BD$7,$I$66:$DJ$120,ROWS($A$10:$A41)+2,FALSE)</f>
        <v>5024</v>
      </c>
      <c r="BE41" s="25">
        <f>HLOOKUP(BE$7,$I$66:$DJ$120,ROWS($A$10:$A41)+2,FALSE)</f>
        <v>1847</v>
      </c>
      <c r="BF41" s="25">
        <f>HLOOKUP(BF$7,$I$66:$DJ$120,ROWS($A$10:$A41)+2,FALSE)</f>
        <v>297</v>
      </c>
      <c r="BG41" s="25">
        <f>HLOOKUP(BG$7,$I$66:$DJ$120,ROWS($A$10:$A41)+2,FALSE)</f>
        <v>680</v>
      </c>
      <c r="BH41" s="25">
        <f>HLOOKUP(BH$7,$I$66:$DJ$120,ROWS($A$10:$A41)+2,FALSE)</f>
        <v>23</v>
      </c>
      <c r="BI41" s="25">
        <f>HLOOKUP(BI$7,$I$66:$DJ$120,ROWS($A$10:$A41)+2,FALSE)</f>
        <v>2574</v>
      </c>
      <c r="BJ41" s="34">
        <f>HLOOKUP(BJ$7+0.5,$I$66:$DJ$120,ROWS($A$10:$A41)+2,FALSE)</f>
        <v>7649</v>
      </c>
      <c r="BK41" s="34">
        <f>HLOOKUP(BK$7+0.5,$I$66:$DJ$120,ROWS($A$10:$A41)+2,FALSE)</f>
        <v>509</v>
      </c>
      <c r="BL41" s="34">
        <f>HLOOKUP(BL$7+0.5,$I$66:$DJ$120,ROWS($A$10:$A41)+2,FALSE)</f>
        <v>437</v>
      </c>
      <c r="BM41" s="34">
        <f>HLOOKUP(BM$7+0.5,$I$66:$DJ$120,ROWS($A$10:$A41)+2,FALSE)</f>
        <v>704</v>
      </c>
      <c r="BN41" s="34">
        <f>HLOOKUP(BN$7+0.5,$I$66:$DJ$120,ROWS($A$10:$A41)+2,FALSE)</f>
        <v>70</v>
      </c>
      <c r="BO41" s="34">
        <f>HLOOKUP(BO$7+0.5,$I$66:$DJ$120,ROWS($A$10:$A41)+2,FALSE)</f>
        <v>1070</v>
      </c>
      <c r="BP41" s="34">
        <f>HLOOKUP(BP$7+0.5,$I$66:$DJ$120,ROWS($A$10:$A41)+2,FALSE)</f>
        <v>264</v>
      </c>
      <c r="BQ41" s="34">
        <f>HLOOKUP(BQ$7+0.5,$I$66:$DJ$120,ROWS($A$10:$A41)+2,FALSE)</f>
        <v>1711</v>
      </c>
      <c r="BR41" s="34">
        <f>HLOOKUP(BR$7+0.5,$I$66:$DJ$120,ROWS($A$10:$A41)+2,FALSE)</f>
        <v>1383</v>
      </c>
      <c r="BS41" s="34">
        <f>HLOOKUP(BS$7+0.5,$I$66:$DJ$120,ROWS($A$10:$A41)+2,FALSE)</f>
        <v>637</v>
      </c>
      <c r="BT41" s="34">
        <f>HLOOKUP(BT$7+0.5,$I$66:$DJ$120,ROWS($A$10:$A41)+2,FALSE)</f>
        <v>2430</v>
      </c>
      <c r="BU41" s="34">
        <f>HLOOKUP(BU$7+0.5,$I$66:$DJ$120,ROWS($A$10:$A41)+2,FALSE)</f>
        <v>1032</v>
      </c>
      <c r="BV41" s="34">
        <f>HLOOKUP(BV$7+0.5,$I$66:$DJ$120,ROWS($A$10:$A41)+2,FALSE)</f>
        <v>41</v>
      </c>
      <c r="BW41" s="34">
        <f>HLOOKUP(BW$7+0.5,$I$66:$DJ$120,ROWS($A$10:$A41)+2,FALSE)</f>
        <v>134</v>
      </c>
      <c r="BX41" s="34">
        <f>HLOOKUP(BX$7+0.5,$I$66:$DJ$120,ROWS($A$10:$A41)+2,FALSE)</f>
        <v>874</v>
      </c>
      <c r="BY41" s="34">
        <f>HLOOKUP(BY$7+0.5,$I$66:$DJ$120,ROWS($A$10:$A41)+2,FALSE)</f>
        <v>559</v>
      </c>
      <c r="BZ41" s="34">
        <f>HLOOKUP(BZ$7+0.5,$I$66:$DJ$120,ROWS($A$10:$A41)+2,FALSE)</f>
        <v>405</v>
      </c>
      <c r="CA41" s="34">
        <f>HLOOKUP(CA$7+0.5,$I$66:$DJ$120,ROWS($A$10:$A41)+2,FALSE)</f>
        <v>405</v>
      </c>
      <c r="CB41" s="34">
        <f>HLOOKUP(CB$7+0.5,$I$66:$DJ$120,ROWS($A$10:$A41)+2,FALSE)</f>
        <v>614</v>
      </c>
      <c r="CC41" s="34">
        <f>HLOOKUP(CC$7+0.5,$I$66:$DJ$120,ROWS($A$10:$A41)+2,FALSE)</f>
        <v>343</v>
      </c>
      <c r="CD41" s="34">
        <f>HLOOKUP(CD$7+0.5,$I$66:$DJ$120,ROWS($A$10:$A41)+2,FALSE)</f>
        <v>388</v>
      </c>
      <c r="CE41" s="34">
        <f>HLOOKUP(CE$7+0.5,$I$66:$DJ$120,ROWS($A$10:$A41)+2,FALSE)</f>
        <v>1241</v>
      </c>
      <c r="CF41" s="34">
        <f>HLOOKUP(CF$7+0.5,$I$66:$DJ$120,ROWS($A$10:$A41)+2,FALSE)</f>
        <v>1730</v>
      </c>
      <c r="CG41" s="34">
        <f>HLOOKUP(CG$7+0.5,$I$66:$DJ$120,ROWS($A$10:$A41)+2,FALSE)</f>
        <v>191</v>
      </c>
      <c r="CH41" s="34">
        <f>HLOOKUP(CH$7+0.5,$I$66:$DJ$120,ROWS($A$10:$A41)+2,FALSE)</f>
        <v>429</v>
      </c>
      <c r="CI41" s="34">
        <f>HLOOKUP(CI$7+0.5,$I$66:$DJ$120,ROWS($A$10:$A41)+2,FALSE)</f>
        <v>165</v>
      </c>
      <c r="CJ41" s="34">
        <f>HLOOKUP(CJ$7+0.5,$I$66:$DJ$120,ROWS($A$10:$A41)+2,FALSE)</f>
        <v>363</v>
      </c>
      <c r="CK41" s="34">
        <f>HLOOKUP(CK$7+0.5,$I$66:$DJ$120,ROWS($A$10:$A41)+2,FALSE)</f>
        <v>112</v>
      </c>
      <c r="CL41" s="34">
        <f>HLOOKUP(CL$7+0.5,$I$66:$DJ$120,ROWS($A$10:$A41)+2,FALSE)</f>
        <v>58</v>
      </c>
      <c r="CM41" s="34">
        <f>HLOOKUP(CM$7+0.5,$I$66:$DJ$120,ROWS($A$10:$A41)+2,FALSE)</f>
        <v>526</v>
      </c>
      <c r="CN41" s="34">
        <f>HLOOKUP(CN$7+0.5,$I$66:$DJ$120,ROWS($A$10:$A41)+2,FALSE)</f>
        <v>219</v>
      </c>
      <c r="CO41" s="34" t="str">
        <f>HLOOKUP(CO$7+0.5,$I$66:$DJ$120,ROWS($A$10:$A41)+2,FALSE)</f>
        <v>N/A</v>
      </c>
      <c r="CP41" s="34">
        <f>HLOOKUP(CP$7+0.5,$I$66:$DJ$120,ROWS($A$10:$A41)+2,FALSE)</f>
        <v>75</v>
      </c>
      <c r="CQ41" s="34">
        <f>HLOOKUP(CQ$7+0.5,$I$66:$DJ$120,ROWS($A$10:$A41)+2,FALSE)</f>
        <v>4293</v>
      </c>
      <c r="CR41" s="34">
        <f>HLOOKUP(CR$7+0.5,$I$66:$DJ$120,ROWS($A$10:$A41)+2,FALSE)</f>
        <v>1238</v>
      </c>
      <c r="CS41" s="34">
        <f>HLOOKUP(CS$7+0.5,$I$66:$DJ$120,ROWS($A$10:$A41)+2,FALSE)</f>
        <v>93</v>
      </c>
      <c r="CT41" s="34">
        <f>HLOOKUP(CT$7+0.5,$I$66:$DJ$120,ROWS($A$10:$A41)+2,FALSE)</f>
        <v>596</v>
      </c>
      <c r="CU41" s="34">
        <f>HLOOKUP(CU$7+0.5,$I$66:$DJ$120,ROWS($A$10:$A41)+2,FALSE)</f>
        <v>1537</v>
      </c>
      <c r="CV41" s="34">
        <f>HLOOKUP(CV$7+0.5,$I$66:$DJ$120,ROWS($A$10:$A41)+2,FALSE)</f>
        <v>587</v>
      </c>
      <c r="CW41" s="34">
        <f>HLOOKUP(CW$7+0.5,$I$66:$DJ$120,ROWS($A$10:$A41)+2,FALSE)</f>
        <v>2976</v>
      </c>
      <c r="CX41" s="34">
        <f>HLOOKUP(CX$7+0.5,$I$66:$DJ$120,ROWS($A$10:$A41)+2,FALSE)</f>
        <v>410</v>
      </c>
      <c r="CY41" s="34">
        <f>HLOOKUP(CY$7+0.5,$I$66:$DJ$120,ROWS($A$10:$A41)+2,FALSE)</f>
        <v>1386</v>
      </c>
      <c r="CZ41" s="34">
        <f>HLOOKUP(CZ$7+0.5,$I$66:$DJ$120,ROWS($A$10:$A41)+2,FALSE)</f>
        <v>644</v>
      </c>
      <c r="DA41" s="34">
        <f>HLOOKUP(DA$7+0.5,$I$66:$DJ$120,ROWS($A$10:$A41)+2,FALSE)</f>
        <v>612</v>
      </c>
      <c r="DB41" s="34">
        <f>HLOOKUP(DB$7+0.5,$I$66:$DJ$120,ROWS($A$10:$A41)+2,FALSE)</f>
        <v>1335</v>
      </c>
      <c r="DC41" s="34">
        <f>HLOOKUP(DC$7+0.5,$I$66:$DJ$120,ROWS($A$10:$A41)+2,FALSE)</f>
        <v>341</v>
      </c>
      <c r="DD41" s="34">
        <f>HLOOKUP(DD$7+0.5,$I$66:$DJ$120,ROWS($A$10:$A41)+2,FALSE)</f>
        <v>57</v>
      </c>
      <c r="DE41" s="34">
        <f>HLOOKUP(DE$7+0.5,$I$66:$DJ$120,ROWS($A$10:$A41)+2,FALSE)</f>
        <v>1899</v>
      </c>
      <c r="DF41" s="34">
        <f>HLOOKUP(DF$7+0.5,$I$66:$DJ$120,ROWS($A$10:$A41)+2,FALSE)</f>
        <v>1244</v>
      </c>
      <c r="DG41" s="34">
        <f>HLOOKUP(DG$7+0.5,$I$66:$DJ$120,ROWS($A$10:$A41)+2,FALSE)</f>
        <v>201</v>
      </c>
      <c r="DH41" s="34">
        <f>HLOOKUP(DH$7+0.5,$I$66:$DJ$120,ROWS($A$10:$A41)+2,FALSE)</f>
        <v>457</v>
      </c>
      <c r="DI41" s="34">
        <f>HLOOKUP(DI$7+0.5,$I$66:$DJ$120,ROWS($A$10:$A41)+2,FALSE)</f>
        <v>30</v>
      </c>
      <c r="DJ41" s="34">
        <f>HLOOKUP(DJ$7+0.5,$I$66:$DJ$120,ROWS($A$10:$A41)+2,FALSE)</f>
        <v>1462</v>
      </c>
    </row>
    <row r="42" spans="2:114" x14ac:dyDescent="0.25">
      <c r="B42" s="38" t="s">
        <v>38</v>
      </c>
      <c r="C42" s="15">
        <v>2060595</v>
      </c>
      <c r="D42" s="14">
        <v>2119</v>
      </c>
      <c r="E42" s="15">
        <v>1769341</v>
      </c>
      <c r="F42" s="14">
        <v>11461</v>
      </c>
      <c r="G42" s="15">
        <v>226243</v>
      </c>
      <c r="H42" s="14">
        <v>12069</v>
      </c>
      <c r="I42" s="36">
        <f>HLOOKUP(I$7,$I$66:$DJ$120,ROWS($A$10:$A42)+2,FALSE)</f>
        <v>54693</v>
      </c>
      <c r="J42" s="25">
        <f>HLOOKUP(J$7,$I$66:$DJ$120,ROWS($A$10:$A42)+2,FALSE)</f>
        <v>787</v>
      </c>
      <c r="K42" s="25">
        <f>HLOOKUP(K$7,$I$66:$DJ$120,ROWS($A$10:$A42)+2,FALSE)</f>
        <v>320</v>
      </c>
      <c r="L42" s="25">
        <f>HLOOKUP(L$7,$I$66:$DJ$120,ROWS($A$10:$A42)+2,FALSE)</f>
        <v>6391</v>
      </c>
      <c r="M42" s="25">
        <f>HLOOKUP(M$7,$I$66:$DJ$120,ROWS($A$10:$A42)+2,FALSE)</f>
        <v>410</v>
      </c>
      <c r="N42" s="25">
        <f>HLOOKUP(N$7,$I$66:$DJ$120,ROWS($A$10:$A42)+2,FALSE)</f>
        <v>4536</v>
      </c>
      <c r="O42" s="25">
        <f>HLOOKUP(O$7,$I$66:$DJ$120,ROWS($A$10:$A42)+2,FALSE)</f>
        <v>4780</v>
      </c>
      <c r="P42" s="25">
        <f>HLOOKUP(P$7,$I$66:$DJ$120,ROWS($A$10:$A42)+2,FALSE)</f>
        <v>280</v>
      </c>
      <c r="Q42" s="25">
        <f>HLOOKUP(Q$7,$I$66:$DJ$120,ROWS($A$10:$A42)+2,FALSE)</f>
        <v>100</v>
      </c>
      <c r="R42" s="25">
        <f>HLOOKUP(R$7,$I$66:$DJ$120,ROWS($A$10:$A42)+2,FALSE)</f>
        <v>25</v>
      </c>
      <c r="S42" s="25">
        <f>HLOOKUP(S$7,$I$66:$DJ$120,ROWS($A$10:$A42)+2,FALSE)</f>
        <v>4707</v>
      </c>
      <c r="T42" s="25">
        <f>HLOOKUP(T$7,$I$66:$DJ$120,ROWS($A$10:$A42)+2,FALSE)</f>
        <v>192</v>
      </c>
      <c r="U42" s="25">
        <f>HLOOKUP(U$7,$I$66:$DJ$120,ROWS($A$10:$A42)+2,FALSE)</f>
        <v>168</v>
      </c>
      <c r="V42" s="25">
        <f>HLOOKUP(V$7,$I$66:$DJ$120,ROWS($A$10:$A42)+2,FALSE)</f>
        <v>355</v>
      </c>
      <c r="W42" s="25">
        <f>HLOOKUP(W$7,$I$66:$DJ$120,ROWS($A$10:$A42)+2,FALSE)</f>
        <v>790</v>
      </c>
      <c r="X42" s="25">
        <f>HLOOKUP(X$7,$I$66:$DJ$120,ROWS($A$10:$A42)+2,FALSE)</f>
        <v>660</v>
      </c>
      <c r="Y42" s="25">
        <f>HLOOKUP(Y$7,$I$66:$DJ$120,ROWS($A$10:$A42)+2,FALSE)</f>
        <v>384</v>
      </c>
      <c r="Z42" s="25">
        <f>HLOOKUP(Z$7,$I$66:$DJ$120,ROWS($A$10:$A42)+2,FALSE)</f>
        <v>672</v>
      </c>
      <c r="AA42" s="25">
        <f>HLOOKUP(AA$7,$I$66:$DJ$120,ROWS($A$10:$A42)+2,FALSE)</f>
        <v>159</v>
      </c>
      <c r="AB42" s="25">
        <f>HLOOKUP(AB$7,$I$66:$DJ$120,ROWS($A$10:$A42)+2,FALSE)</f>
        <v>790</v>
      </c>
      <c r="AC42" s="25">
        <f>HLOOKUP(AC$7,$I$66:$DJ$120,ROWS($A$10:$A42)+2,FALSE)</f>
        <v>57</v>
      </c>
      <c r="AD42" s="25">
        <f>HLOOKUP(AD$7,$I$66:$DJ$120,ROWS($A$10:$A42)+2,FALSE)</f>
        <v>505</v>
      </c>
      <c r="AE42" s="25">
        <f>HLOOKUP(AE$7,$I$66:$DJ$120,ROWS($A$10:$A42)+2,FALSE)</f>
        <v>303</v>
      </c>
      <c r="AF42" s="25">
        <f>HLOOKUP(AF$7,$I$66:$DJ$120,ROWS($A$10:$A42)+2,FALSE)</f>
        <v>602</v>
      </c>
      <c r="AG42" s="25">
        <f>HLOOKUP(AG$7,$I$66:$DJ$120,ROWS($A$10:$A42)+2,FALSE)</f>
        <v>284</v>
      </c>
      <c r="AH42" s="25">
        <f>HLOOKUP(AH$7,$I$66:$DJ$120,ROWS($A$10:$A42)+2,FALSE)</f>
        <v>451</v>
      </c>
      <c r="AI42" s="25">
        <f>HLOOKUP(AI$7,$I$66:$DJ$120,ROWS($A$10:$A42)+2,FALSE)</f>
        <v>1216</v>
      </c>
      <c r="AJ42" s="25">
        <f>HLOOKUP(AJ$7,$I$66:$DJ$120,ROWS($A$10:$A42)+2,FALSE)</f>
        <v>139</v>
      </c>
      <c r="AK42" s="25">
        <f>HLOOKUP(AK$7,$I$66:$DJ$120,ROWS($A$10:$A42)+2,FALSE)</f>
        <v>194</v>
      </c>
      <c r="AL42" s="25">
        <f>HLOOKUP(AL$7,$I$66:$DJ$120,ROWS($A$10:$A42)+2,FALSE)</f>
        <v>604</v>
      </c>
      <c r="AM42" s="25">
        <f>HLOOKUP(AM$7,$I$66:$DJ$120,ROWS($A$10:$A42)+2,FALSE)</f>
        <v>268</v>
      </c>
      <c r="AN42" s="25">
        <f>HLOOKUP(AN$7,$I$66:$DJ$120,ROWS($A$10:$A42)+2,FALSE)</f>
        <v>252</v>
      </c>
      <c r="AO42" s="25" t="str">
        <f>HLOOKUP(AO$7,$I$66:$DJ$120,ROWS($A$10:$A42)+2,FALSE)</f>
        <v>N/A</v>
      </c>
      <c r="AP42" s="25">
        <f>HLOOKUP(AP$7,$I$66:$DJ$120,ROWS($A$10:$A42)+2,FALSE)</f>
        <v>1111</v>
      </c>
      <c r="AQ42" s="25">
        <f>HLOOKUP(AQ$7,$I$66:$DJ$120,ROWS($A$10:$A42)+2,FALSE)</f>
        <v>335</v>
      </c>
      <c r="AR42" s="25">
        <f>HLOOKUP(AR$7,$I$66:$DJ$120,ROWS($A$10:$A42)+2,FALSE)</f>
        <v>41</v>
      </c>
      <c r="AS42" s="25">
        <f>HLOOKUP(AS$7,$I$66:$DJ$120,ROWS($A$10:$A42)+2,FALSE)</f>
        <v>1178</v>
      </c>
      <c r="AT42" s="25">
        <f>HLOOKUP(AT$7,$I$66:$DJ$120,ROWS($A$10:$A42)+2,FALSE)</f>
        <v>1076</v>
      </c>
      <c r="AU42" s="25">
        <f>HLOOKUP(AU$7,$I$66:$DJ$120,ROWS($A$10:$A42)+2,FALSE)</f>
        <v>932</v>
      </c>
      <c r="AV42" s="25">
        <f>HLOOKUP(AV$7,$I$66:$DJ$120,ROWS($A$10:$A42)+2,FALSE)</f>
        <v>822</v>
      </c>
      <c r="AW42" s="25">
        <f>HLOOKUP(AW$7,$I$66:$DJ$120,ROWS($A$10:$A42)+2,FALSE)</f>
        <v>0</v>
      </c>
      <c r="AX42" s="25">
        <f>HLOOKUP(AX$7,$I$66:$DJ$120,ROWS($A$10:$A42)+2,FALSE)</f>
        <v>325</v>
      </c>
      <c r="AY42" s="25">
        <f>HLOOKUP(AY$7,$I$66:$DJ$120,ROWS($A$10:$A42)+2,FALSE)</f>
        <v>509</v>
      </c>
      <c r="AZ42" s="25">
        <f>HLOOKUP(AZ$7,$I$66:$DJ$120,ROWS($A$10:$A42)+2,FALSE)</f>
        <v>338</v>
      </c>
      <c r="BA42" s="25">
        <f>HLOOKUP(BA$7,$I$66:$DJ$120,ROWS($A$10:$A42)+2,FALSE)</f>
        <v>11955</v>
      </c>
      <c r="BB42" s="25">
        <f>HLOOKUP(BB$7,$I$66:$DJ$120,ROWS($A$10:$A42)+2,FALSE)</f>
        <v>1382</v>
      </c>
      <c r="BC42" s="25">
        <f>HLOOKUP(BC$7,$I$66:$DJ$120,ROWS($A$10:$A42)+2,FALSE)</f>
        <v>81</v>
      </c>
      <c r="BD42" s="25">
        <f>HLOOKUP(BD$7,$I$66:$DJ$120,ROWS($A$10:$A42)+2,FALSE)</f>
        <v>1560</v>
      </c>
      <c r="BE42" s="25">
        <f>HLOOKUP(BE$7,$I$66:$DJ$120,ROWS($A$10:$A42)+2,FALSE)</f>
        <v>1251</v>
      </c>
      <c r="BF42" s="25">
        <f>HLOOKUP(BF$7,$I$66:$DJ$120,ROWS($A$10:$A42)+2,FALSE)</f>
        <v>0</v>
      </c>
      <c r="BG42" s="25">
        <f>HLOOKUP(BG$7,$I$66:$DJ$120,ROWS($A$10:$A42)+2,FALSE)</f>
        <v>321</v>
      </c>
      <c r="BH42" s="25">
        <f>HLOOKUP(BH$7,$I$66:$DJ$120,ROWS($A$10:$A42)+2,FALSE)</f>
        <v>95</v>
      </c>
      <c r="BI42" s="25">
        <f>HLOOKUP(BI$7,$I$66:$DJ$120,ROWS($A$10:$A42)+2,FALSE)</f>
        <v>429</v>
      </c>
      <c r="BJ42" s="34">
        <f>HLOOKUP(BJ$7+0.5,$I$66:$DJ$120,ROWS($A$10:$A42)+2,FALSE)</f>
        <v>5877</v>
      </c>
      <c r="BK42" s="34">
        <f>HLOOKUP(BK$7+0.5,$I$66:$DJ$120,ROWS($A$10:$A42)+2,FALSE)</f>
        <v>509</v>
      </c>
      <c r="BL42" s="34">
        <f>HLOOKUP(BL$7+0.5,$I$66:$DJ$120,ROWS($A$10:$A42)+2,FALSE)</f>
        <v>264</v>
      </c>
      <c r="BM42" s="34">
        <f>HLOOKUP(BM$7+0.5,$I$66:$DJ$120,ROWS($A$10:$A42)+2,FALSE)</f>
        <v>1673</v>
      </c>
      <c r="BN42" s="34">
        <f>HLOOKUP(BN$7+0.5,$I$66:$DJ$120,ROWS($A$10:$A42)+2,FALSE)</f>
        <v>286</v>
      </c>
      <c r="BO42" s="34">
        <f>HLOOKUP(BO$7+0.5,$I$66:$DJ$120,ROWS($A$10:$A42)+2,FALSE)</f>
        <v>1440</v>
      </c>
      <c r="BP42" s="34">
        <f>HLOOKUP(BP$7+0.5,$I$66:$DJ$120,ROWS($A$10:$A42)+2,FALSE)</f>
        <v>1546</v>
      </c>
      <c r="BQ42" s="34">
        <f>HLOOKUP(BQ$7+0.5,$I$66:$DJ$120,ROWS($A$10:$A42)+2,FALSE)</f>
        <v>250</v>
      </c>
      <c r="BR42" s="34">
        <f>HLOOKUP(BR$7+0.5,$I$66:$DJ$120,ROWS($A$10:$A42)+2,FALSE)</f>
        <v>136</v>
      </c>
      <c r="BS42" s="34">
        <f>HLOOKUP(BS$7+0.5,$I$66:$DJ$120,ROWS($A$10:$A42)+2,FALSE)</f>
        <v>51</v>
      </c>
      <c r="BT42" s="34">
        <f>HLOOKUP(BT$7+0.5,$I$66:$DJ$120,ROWS($A$10:$A42)+2,FALSE)</f>
        <v>2184</v>
      </c>
      <c r="BU42" s="34">
        <f>HLOOKUP(BU$7+0.5,$I$66:$DJ$120,ROWS($A$10:$A42)+2,FALSE)</f>
        <v>184</v>
      </c>
      <c r="BV42" s="34">
        <f>HLOOKUP(BV$7+0.5,$I$66:$DJ$120,ROWS($A$10:$A42)+2,FALSE)</f>
        <v>127</v>
      </c>
      <c r="BW42" s="34">
        <f>HLOOKUP(BW$7+0.5,$I$66:$DJ$120,ROWS($A$10:$A42)+2,FALSE)</f>
        <v>352</v>
      </c>
      <c r="BX42" s="34">
        <f>HLOOKUP(BX$7+0.5,$I$66:$DJ$120,ROWS($A$10:$A42)+2,FALSE)</f>
        <v>530</v>
      </c>
      <c r="BY42" s="34">
        <f>HLOOKUP(BY$7+0.5,$I$66:$DJ$120,ROWS($A$10:$A42)+2,FALSE)</f>
        <v>524</v>
      </c>
      <c r="BZ42" s="34">
        <f>HLOOKUP(BZ$7+0.5,$I$66:$DJ$120,ROWS($A$10:$A42)+2,FALSE)</f>
        <v>331</v>
      </c>
      <c r="CA42" s="34">
        <f>HLOOKUP(CA$7+0.5,$I$66:$DJ$120,ROWS($A$10:$A42)+2,FALSE)</f>
        <v>537</v>
      </c>
      <c r="CB42" s="34">
        <f>HLOOKUP(CB$7+0.5,$I$66:$DJ$120,ROWS($A$10:$A42)+2,FALSE)</f>
        <v>160</v>
      </c>
      <c r="CC42" s="34">
        <f>HLOOKUP(CC$7+0.5,$I$66:$DJ$120,ROWS($A$10:$A42)+2,FALSE)</f>
        <v>883</v>
      </c>
      <c r="CD42" s="34">
        <f>HLOOKUP(CD$7+0.5,$I$66:$DJ$120,ROWS($A$10:$A42)+2,FALSE)</f>
        <v>80</v>
      </c>
      <c r="CE42" s="34">
        <f>HLOOKUP(CE$7+0.5,$I$66:$DJ$120,ROWS($A$10:$A42)+2,FALSE)</f>
        <v>355</v>
      </c>
      <c r="CF42" s="34">
        <f>HLOOKUP(CF$7+0.5,$I$66:$DJ$120,ROWS($A$10:$A42)+2,FALSE)</f>
        <v>298</v>
      </c>
      <c r="CG42" s="34">
        <f>HLOOKUP(CG$7+0.5,$I$66:$DJ$120,ROWS($A$10:$A42)+2,FALSE)</f>
        <v>490</v>
      </c>
      <c r="CH42" s="34">
        <f>HLOOKUP(CH$7+0.5,$I$66:$DJ$120,ROWS($A$10:$A42)+2,FALSE)</f>
        <v>428</v>
      </c>
      <c r="CI42" s="34">
        <f>HLOOKUP(CI$7+0.5,$I$66:$DJ$120,ROWS($A$10:$A42)+2,FALSE)</f>
        <v>630</v>
      </c>
      <c r="CJ42" s="34">
        <f>HLOOKUP(CJ$7+0.5,$I$66:$DJ$120,ROWS($A$10:$A42)+2,FALSE)</f>
        <v>793</v>
      </c>
      <c r="CK42" s="34">
        <f>HLOOKUP(CK$7+0.5,$I$66:$DJ$120,ROWS($A$10:$A42)+2,FALSE)</f>
        <v>162</v>
      </c>
      <c r="CL42" s="34">
        <f>HLOOKUP(CL$7+0.5,$I$66:$DJ$120,ROWS($A$10:$A42)+2,FALSE)</f>
        <v>220</v>
      </c>
      <c r="CM42" s="34">
        <f>HLOOKUP(CM$7+0.5,$I$66:$DJ$120,ROWS($A$10:$A42)+2,FALSE)</f>
        <v>853</v>
      </c>
      <c r="CN42" s="34">
        <f>HLOOKUP(CN$7+0.5,$I$66:$DJ$120,ROWS($A$10:$A42)+2,FALSE)</f>
        <v>259</v>
      </c>
      <c r="CO42" s="34">
        <f>HLOOKUP(CO$7+0.5,$I$66:$DJ$120,ROWS($A$10:$A42)+2,FALSE)</f>
        <v>271</v>
      </c>
      <c r="CP42" s="34" t="str">
        <f>HLOOKUP(CP$7+0.5,$I$66:$DJ$120,ROWS($A$10:$A42)+2,FALSE)</f>
        <v>N/A</v>
      </c>
      <c r="CQ42" s="34">
        <f>HLOOKUP(CQ$7+0.5,$I$66:$DJ$120,ROWS($A$10:$A42)+2,FALSE)</f>
        <v>618</v>
      </c>
      <c r="CR42" s="34">
        <f>HLOOKUP(CR$7+0.5,$I$66:$DJ$120,ROWS($A$10:$A42)+2,FALSE)</f>
        <v>373</v>
      </c>
      <c r="CS42" s="34">
        <f>HLOOKUP(CS$7+0.5,$I$66:$DJ$120,ROWS($A$10:$A42)+2,FALSE)</f>
        <v>82</v>
      </c>
      <c r="CT42" s="34">
        <f>HLOOKUP(CT$7+0.5,$I$66:$DJ$120,ROWS($A$10:$A42)+2,FALSE)</f>
        <v>1049</v>
      </c>
      <c r="CU42" s="34">
        <f>HLOOKUP(CU$7+0.5,$I$66:$DJ$120,ROWS($A$10:$A42)+2,FALSE)</f>
        <v>568</v>
      </c>
      <c r="CV42" s="34">
        <f>HLOOKUP(CV$7+0.5,$I$66:$DJ$120,ROWS($A$10:$A42)+2,FALSE)</f>
        <v>481</v>
      </c>
      <c r="CW42" s="34">
        <f>HLOOKUP(CW$7+0.5,$I$66:$DJ$120,ROWS($A$10:$A42)+2,FALSE)</f>
        <v>666</v>
      </c>
      <c r="CX42" s="34">
        <f>HLOOKUP(CX$7+0.5,$I$66:$DJ$120,ROWS($A$10:$A42)+2,FALSE)</f>
        <v>185</v>
      </c>
      <c r="CY42" s="34">
        <f>HLOOKUP(CY$7+0.5,$I$66:$DJ$120,ROWS($A$10:$A42)+2,FALSE)</f>
        <v>260</v>
      </c>
      <c r="CZ42" s="34">
        <f>HLOOKUP(CZ$7+0.5,$I$66:$DJ$120,ROWS($A$10:$A42)+2,FALSE)</f>
        <v>547</v>
      </c>
      <c r="DA42" s="34">
        <f>HLOOKUP(DA$7+0.5,$I$66:$DJ$120,ROWS($A$10:$A42)+2,FALSE)</f>
        <v>274</v>
      </c>
      <c r="DB42" s="34">
        <f>HLOOKUP(DB$7+0.5,$I$66:$DJ$120,ROWS($A$10:$A42)+2,FALSE)</f>
        <v>2917</v>
      </c>
      <c r="DC42" s="34">
        <f>HLOOKUP(DC$7+0.5,$I$66:$DJ$120,ROWS($A$10:$A42)+2,FALSE)</f>
        <v>889</v>
      </c>
      <c r="DD42" s="34">
        <f>HLOOKUP(DD$7+0.5,$I$66:$DJ$120,ROWS($A$10:$A42)+2,FALSE)</f>
        <v>103</v>
      </c>
      <c r="DE42" s="34">
        <f>HLOOKUP(DE$7+0.5,$I$66:$DJ$120,ROWS($A$10:$A42)+2,FALSE)</f>
        <v>1330</v>
      </c>
      <c r="DF42" s="34">
        <f>HLOOKUP(DF$7+0.5,$I$66:$DJ$120,ROWS($A$10:$A42)+2,FALSE)</f>
        <v>575</v>
      </c>
      <c r="DG42" s="34">
        <f>HLOOKUP(DG$7+0.5,$I$66:$DJ$120,ROWS($A$10:$A42)+2,FALSE)</f>
        <v>185</v>
      </c>
      <c r="DH42" s="34">
        <f>HLOOKUP(DH$7+0.5,$I$66:$DJ$120,ROWS($A$10:$A42)+2,FALSE)</f>
        <v>514</v>
      </c>
      <c r="DI42" s="34">
        <f>HLOOKUP(DI$7+0.5,$I$66:$DJ$120,ROWS($A$10:$A42)+2,FALSE)</f>
        <v>100</v>
      </c>
      <c r="DJ42" s="34">
        <f>HLOOKUP(DJ$7+0.5,$I$66:$DJ$120,ROWS($A$10:$A42)+2,FALSE)</f>
        <v>466</v>
      </c>
    </row>
    <row r="43" spans="2:114" x14ac:dyDescent="0.25">
      <c r="B43" s="38" t="s">
        <v>39</v>
      </c>
      <c r="C43" s="15">
        <v>19352153</v>
      </c>
      <c r="D43" s="14">
        <v>6112</v>
      </c>
      <c r="E43" s="15">
        <v>17202134</v>
      </c>
      <c r="F43" s="14">
        <v>34343</v>
      </c>
      <c r="G43" s="15">
        <v>1723117</v>
      </c>
      <c r="H43" s="14">
        <v>30910</v>
      </c>
      <c r="I43" s="36">
        <f>HLOOKUP(I$7,$I$66:$DJ$120,ROWS($A$10:$A43)+2,FALSE)</f>
        <v>270053</v>
      </c>
      <c r="J43" s="25">
        <f>HLOOKUP(J$7,$I$66:$DJ$120,ROWS($A$10:$A43)+2,FALSE)</f>
        <v>1364</v>
      </c>
      <c r="K43" s="25">
        <f>HLOOKUP(K$7,$I$66:$DJ$120,ROWS($A$10:$A43)+2,FALSE)</f>
        <v>4002</v>
      </c>
      <c r="L43" s="25">
        <f>HLOOKUP(L$7,$I$66:$DJ$120,ROWS($A$10:$A43)+2,FALSE)</f>
        <v>4146</v>
      </c>
      <c r="M43" s="25">
        <f>HLOOKUP(M$7,$I$66:$DJ$120,ROWS($A$10:$A43)+2,FALSE)</f>
        <v>247</v>
      </c>
      <c r="N43" s="25">
        <f>HLOOKUP(N$7,$I$66:$DJ$120,ROWS($A$10:$A43)+2,FALSE)</f>
        <v>24623</v>
      </c>
      <c r="O43" s="25">
        <f>HLOOKUP(O$7,$I$66:$DJ$120,ROWS($A$10:$A43)+2,FALSE)</f>
        <v>3596</v>
      </c>
      <c r="P43" s="25">
        <f>HLOOKUP(P$7,$I$66:$DJ$120,ROWS($A$10:$A43)+2,FALSE)</f>
        <v>14595</v>
      </c>
      <c r="Q43" s="25">
        <f>HLOOKUP(Q$7,$I$66:$DJ$120,ROWS($A$10:$A43)+2,FALSE)</f>
        <v>477</v>
      </c>
      <c r="R43" s="25">
        <f>HLOOKUP(R$7,$I$66:$DJ$120,ROWS($A$10:$A43)+2,FALSE)</f>
        <v>3936</v>
      </c>
      <c r="S43" s="25">
        <f>HLOOKUP(S$7,$I$66:$DJ$120,ROWS($A$10:$A43)+2,FALSE)</f>
        <v>27392</v>
      </c>
      <c r="T43" s="25">
        <f>HLOOKUP(T$7,$I$66:$DJ$120,ROWS($A$10:$A43)+2,FALSE)</f>
        <v>7592</v>
      </c>
      <c r="U43" s="25">
        <f>HLOOKUP(U$7,$I$66:$DJ$120,ROWS($A$10:$A43)+2,FALSE)</f>
        <v>1598</v>
      </c>
      <c r="V43" s="25">
        <f>HLOOKUP(V$7,$I$66:$DJ$120,ROWS($A$10:$A43)+2,FALSE)</f>
        <v>607</v>
      </c>
      <c r="W43" s="25">
        <f>HLOOKUP(W$7,$I$66:$DJ$120,ROWS($A$10:$A43)+2,FALSE)</f>
        <v>8017</v>
      </c>
      <c r="X43" s="25">
        <f>HLOOKUP(X$7,$I$66:$DJ$120,ROWS($A$10:$A43)+2,FALSE)</f>
        <v>3040</v>
      </c>
      <c r="Y43" s="25">
        <f>HLOOKUP(Y$7,$I$66:$DJ$120,ROWS($A$10:$A43)+2,FALSE)</f>
        <v>955</v>
      </c>
      <c r="Z43" s="25">
        <f>HLOOKUP(Z$7,$I$66:$DJ$120,ROWS($A$10:$A43)+2,FALSE)</f>
        <v>1437</v>
      </c>
      <c r="AA43" s="25">
        <f>HLOOKUP(AA$7,$I$66:$DJ$120,ROWS($A$10:$A43)+2,FALSE)</f>
        <v>1753</v>
      </c>
      <c r="AB43" s="25">
        <f>HLOOKUP(AB$7,$I$66:$DJ$120,ROWS($A$10:$A43)+2,FALSE)</f>
        <v>1083</v>
      </c>
      <c r="AC43" s="25">
        <f>HLOOKUP(AC$7,$I$66:$DJ$120,ROWS($A$10:$A43)+2,FALSE)</f>
        <v>1345</v>
      </c>
      <c r="AD43" s="25">
        <f>HLOOKUP(AD$7,$I$66:$DJ$120,ROWS($A$10:$A43)+2,FALSE)</f>
        <v>7321</v>
      </c>
      <c r="AE43" s="25">
        <f>HLOOKUP(AE$7,$I$66:$DJ$120,ROWS($A$10:$A43)+2,FALSE)</f>
        <v>15073</v>
      </c>
      <c r="AF43" s="25">
        <f>HLOOKUP(AF$7,$I$66:$DJ$120,ROWS($A$10:$A43)+2,FALSE)</f>
        <v>5191</v>
      </c>
      <c r="AG43" s="25">
        <f>HLOOKUP(AG$7,$I$66:$DJ$120,ROWS($A$10:$A43)+2,FALSE)</f>
        <v>1059</v>
      </c>
      <c r="AH43" s="25">
        <f>HLOOKUP(AH$7,$I$66:$DJ$120,ROWS($A$10:$A43)+2,FALSE)</f>
        <v>773</v>
      </c>
      <c r="AI43" s="25">
        <f>HLOOKUP(AI$7,$I$66:$DJ$120,ROWS($A$10:$A43)+2,FALSE)</f>
        <v>3310</v>
      </c>
      <c r="AJ43" s="25">
        <f>HLOOKUP(AJ$7,$I$66:$DJ$120,ROWS($A$10:$A43)+2,FALSE)</f>
        <v>421</v>
      </c>
      <c r="AK43" s="25">
        <f>HLOOKUP(AK$7,$I$66:$DJ$120,ROWS($A$10:$A43)+2,FALSE)</f>
        <v>78</v>
      </c>
      <c r="AL43" s="25">
        <f>HLOOKUP(AL$7,$I$66:$DJ$120,ROWS($A$10:$A43)+2,FALSE)</f>
        <v>600</v>
      </c>
      <c r="AM43" s="25">
        <f>HLOOKUP(AM$7,$I$66:$DJ$120,ROWS($A$10:$A43)+2,FALSE)</f>
        <v>2760</v>
      </c>
      <c r="AN43" s="25">
        <f>HLOOKUP(AN$7,$I$66:$DJ$120,ROWS($A$10:$A43)+2,FALSE)</f>
        <v>42574</v>
      </c>
      <c r="AO43" s="25">
        <f>HLOOKUP(AO$7,$I$66:$DJ$120,ROWS($A$10:$A43)+2,FALSE)</f>
        <v>646</v>
      </c>
      <c r="AP43" s="25" t="str">
        <f>HLOOKUP(AP$7,$I$66:$DJ$120,ROWS($A$10:$A43)+2,FALSE)</f>
        <v>N/A</v>
      </c>
      <c r="AQ43" s="25">
        <f>HLOOKUP(AQ$7,$I$66:$DJ$120,ROWS($A$10:$A43)+2,FALSE)</f>
        <v>10544</v>
      </c>
      <c r="AR43" s="25">
        <f>HLOOKUP(AR$7,$I$66:$DJ$120,ROWS($A$10:$A43)+2,FALSE)</f>
        <v>77</v>
      </c>
      <c r="AS43" s="25">
        <f>HLOOKUP(AS$7,$I$66:$DJ$120,ROWS($A$10:$A43)+2,FALSE)</f>
        <v>4625</v>
      </c>
      <c r="AT43" s="25">
        <f>HLOOKUP(AT$7,$I$66:$DJ$120,ROWS($A$10:$A43)+2,FALSE)</f>
        <v>1327</v>
      </c>
      <c r="AU43" s="25">
        <f>HLOOKUP(AU$7,$I$66:$DJ$120,ROWS($A$10:$A43)+2,FALSE)</f>
        <v>1055</v>
      </c>
      <c r="AV43" s="25">
        <f>HLOOKUP(AV$7,$I$66:$DJ$120,ROWS($A$10:$A43)+2,FALSE)</f>
        <v>22895</v>
      </c>
      <c r="AW43" s="25">
        <f>HLOOKUP(AW$7,$I$66:$DJ$120,ROWS($A$10:$A43)+2,FALSE)</f>
        <v>3222</v>
      </c>
      <c r="AX43" s="25">
        <f>HLOOKUP(AX$7,$I$66:$DJ$120,ROWS($A$10:$A43)+2,FALSE)</f>
        <v>5952</v>
      </c>
      <c r="AY43" s="25">
        <f>HLOOKUP(AY$7,$I$66:$DJ$120,ROWS($A$10:$A43)+2,FALSE)</f>
        <v>0</v>
      </c>
      <c r="AZ43" s="25">
        <f>HLOOKUP(AZ$7,$I$66:$DJ$120,ROWS($A$10:$A43)+2,FALSE)</f>
        <v>1279</v>
      </c>
      <c r="BA43" s="25">
        <f>HLOOKUP(BA$7,$I$66:$DJ$120,ROWS($A$10:$A43)+2,FALSE)</f>
        <v>11231</v>
      </c>
      <c r="BB43" s="25">
        <f>HLOOKUP(BB$7,$I$66:$DJ$120,ROWS($A$10:$A43)+2,FALSE)</f>
        <v>622</v>
      </c>
      <c r="BC43" s="25">
        <f>HLOOKUP(BC$7,$I$66:$DJ$120,ROWS($A$10:$A43)+2,FALSE)</f>
        <v>2764</v>
      </c>
      <c r="BD43" s="25">
        <f>HLOOKUP(BD$7,$I$66:$DJ$120,ROWS($A$10:$A43)+2,FALSE)</f>
        <v>7939</v>
      </c>
      <c r="BE43" s="25">
        <f>HLOOKUP(BE$7,$I$66:$DJ$120,ROWS($A$10:$A43)+2,FALSE)</f>
        <v>2614</v>
      </c>
      <c r="BF43" s="25">
        <f>HLOOKUP(BF$7,$I$66:$DJ$120,ROWS($A$10:$A43)+2,FALSE)</f>
        <v>921</v>
      </c>
      <c r="BG43" s="25">
        <f>HLOOKUP(BG$7,$I$66:$DJ$120,ROWS($A$10:$A43)+2,FALSE)</f>
        <v>979</v>
      </c>
      <c r="BH43" s="25">
        <f>HLOOKUP(BH$7,$I$66:$DJ$120,ROWS($A$10:$A43)+2,FALSE)</f>
        <v>396</v>
      </c>
      <c r="BI43" s="25">
        <f>HLOOKUP(BI$7,$I$66:$DJ$120,ROWS($A$10:$A43)+2,FALSE)</f>
        <v>7321</v>
      </c>
      <c r="BJ43" s="34">
        <f>HLOOKUP(BJ$7+0.5,$I$66:$DJ$120,ROWS($A$10:$A43)+2,FALSE)</f>
        <v>11861</v>
      </c>
      <c r="BK43" s="34">
        <f>HLOOKUP(BK$7+0.5,$I$66:$DJ$120,ROWS($A$10:$A43)+2,FALSE)</f>
        <v>864</v>
      </c>
      <c r="BL43" s="34">
        <f>HLOOKUP(BL$7+0.5,$I$66:$DJ$120,ROWS($A$10:$A43)+2,FALSE)</f>
        <v>2016</v>
      </c>
      <c r="BM43" s="34">
        <f>HLOOKUP(BM$7+0.5,$I$66:$DJ$120,ROWS($A$10:$A43)+2,FALSE)</f>
        <v>2468</v>
      </c>
      <c r="BN43" s="34">
        <f>HLOOKUP(BN$7+0.5,$I$66:$DJ$120,ROWS($A$10:$A43)+2,FALSE)</f>
        <v>203</v>
      </c>
      <c r="BO43" s="34">
        <f>HLOOKUP(BO$7+0.5,$I$66:$DJ$120,ROWS($A$10:$A43)+2,FALSE)</f>
        <v>2557</v>
      </c>
      <c r="BP43" s="34">
        <f>HLOOKUP(BP$7+0.5,$I$66:$DJ$120,ROWS($A$10:$A43)+2,FALSE)</f>
        <v>976</v>
      </c>
      <c r="BQ43" s="34">
        <f>HLOOKUP(BQ$7+0.5,$I$66:$DJ$120,ROWS($A$10:$A43)+2,FALSE)</f>
        <v>2921</v>
      </c>
      <c r="BR43" s="34">
        <f>HLOOKUP(BR$7+0.5,$I$66:$DJ$120,ROWS($A$10:$A43)+2,FALSE)</f>
        <v>284</v>
      </c>
      <c r="BS43" s="34">
        <f>HLOOKUP(BS$7+0.5,$I$66:$DJ$120,ROWS($A$10:$A43)+2,FALSE)</f>
        <v>1392</v>
      </c>
      <c r="BT43" s="34">
        <f>HLOOKUP(BT$7+0.5,$I$66:$DJ$120,ROWS($A$10:$A43)+2,FALSE)</f>
        <v>3450</v>
      </c>
      <c r="BU43" s="34">
        <f>HLOOKUP(BU$7+0.5,$I$66:$DJ$120,ROWS($A$10:$A43)+2,FALSE)</f>
        <v>1925</v>
      </c>
      <c r="BV43" s="34">
        <f>HLOOKUP(BV$7+0.5,$I$66:$DJ$120,ROWS($A$10:$A43)+2,FALSE)</f>
        <v>734</v>
      </c>
      <c r="BW43" s="34">
        <f>HLOOKUP(BW$7+0.5,$I$66:$DJ$120,ROWS($A$10:$A43)+2,FALSE)</f>
        <v>472</v>
      </c>
      <c r="BX43" s="34">
        <f>HLOOKUP(BX$7+0.5,$I$66:$DJ$120,ROWS($A$10:$A43)+2,FALSE)</f>
        <v>2204</v>
      </c>
      <c r="BY43" s="34">
        <f>HLOOKUP(BY$7+0.5,$I$66:$DJ$120,ROWS($A$10:$A43)+2,FALSE)</f>
        <v>1128</v>
      </c>
      <c r="BZ43" s="34">
        <f>HLOOKUP(BZ$7+0.5,$I$66:$DJ$120,ROWS($A$10:$A43)+2,FALSE)</f>
        <v>658</v>
      </c>
      <c r="CA43" s="34">
        <f>HLOOKUP(CA$7+0.5,$I$66:$DJ$120,ROWS($A$10:$A43)+2,FALSE)</f>
        <v>906</v>
      </c>
      <c r="CB43" s="34">
        <f>HLOOKUP(CB$7+0.5,$I$66:$DJ$120,ROWS($A$10:$A43)+2,FALSE)</f>
        <v>808</v>
      </c>
      <c r="CC43" s="34">
        <f>HLOOKUP(CC$7+0.5,$I$66:$DJ$120,ROWS($A$10:$A43)+2,FALSE)</f>
        <v>465</v>
      </c>
      <c r="CD43" s="34">
        <f>HLOOKUP(CD$7+0.5,$I$66:$DJ$120,ROWS($A$10:$A43)+2,FALSE)</f>
        <v>536</v>
      </c>
      <c r="CE43" s="34">
        <f>HLOOKUP(CE$7+0.5,$I$66:$DJ$120,ROWS($A$10:$A43)+2,FALSE)</f>
        <v>1575</v>
      </c>
      <c r="CF43" s="34">
        <f>HLOOKUP(CF$7+0.5,$I$66:$DJ$120,ROWS($A$10:$A43)+2,FALSE)</f>
        <v>2292</v>
      </c>
      <c r="CG43" s="34">
        <f>HLOOKUP(CG$7+0.5,$I$66:$DJ$120,ROWS($A$10:$A43)+2,FALSE)</f>
        <v>1445</v>
      </c>
      <c r="CH43" s="34">
        <f>HLOOKUP(CH$7+0.5,$I$66:$DJ$120,ROWS($A$10:$A43)+2,FALSE)</f>
        <v>631</v>
      </c>
      <c r="CI43" s="34">
        <f>HLOOKUP(CI$7+0.5,$I$66:$DJ$120,ROWS($A$10:$A43)+2,FALSE)</f>
        <v>800</v>
      </c>
      <c r="CJ43" s="34">
        <f>HLOOKUP(CJ$7+0.5,$I$66:$DJ$120,ROWS($A$10:$A43)+2,FALSE)</f>
        <v>1260</v>
      </c>
      <c r="CK43" s="34">
        <f>HLOOKUP(CK$7+0.5,$I$66:$DJ$120,ROWS($A$10:$A43)+2,FALSE)</f>
        <v>424</v>
      </c>
      <c r="CL43" s="34">
        <f>HLOOKUP(CL$7+0.5,$I$66:$DJ$120,ROWS($A$10:$A43)+2,FALSE)</f>
        <v>108</v>
      </c>
      <c r="CM43" s="34">
        <f>HLOOKUP(CM$7+0.5,$I$66:$DJ$120,ROWS($A$10:$A43)+2,FALSE)</f>
        <v>382</v>
      </c>
      <c r="CN43" s="34">
        <f>HLOOKUP(CN$7+0.5,$I$66:$DJ$120,ROWS($A$10:$A43)+2,FALSE)</f>
        <v>1059</v>
      </c>
      <c r="CO43" s="34">
        <f>HLOOKUP(CO$7+0.5,$I$66:$DJ$120,ROWS($A$10:$A43)+2,FALSE)</f>
        <v>4802</v>
      </c>
      <c r="CP43" s="34">
        <f>HLOOKUP(CP$7+0.5,$I$66:$DJ$120,ROWS($A$10:$A43)+2,FALSE)</f>
        <v>445</v>
      </c>
      <c r="CQ43" s="34" t="str">
        <f>HLOOKUP(CQ$7+0.5,$I$66:$DJ$120,ROWS($A$10:$A43)+2,FALSE)</f>
        <v>N/A</v>
      </c>
      <c r="CR43" s="34">
        <f>HLOOKUP(CR$7+0.5,$I$66:$DJ$120,ROWS($A$10:$A43)+2,FALSE)</f>
        <v>2568</v>
      </c>
      <c r="CS43" s="34">
        <f>HLOOKUP(CS$7+0.5,$I$66:$DJ$120,ROWS($A$10:$A43)+2,FALSE)</f>
        <v>129</v>
      </c>
      <c r="CT43" s="34">
        <f>HLOOKUP(CT$7+0.5,$I$66:$DJ$120,ROWS($A$10:$A43)+2,FALSE)</f>
        <v>1103</v>
      </c>
      <c r="CU43" s="34">
        <f>HLOOKUP(CU$7+0.5,$I$66:$DJ$120,ROWS($A$10:$A43)+2,FALSE)</f>
        <v>652</v>
      </c>
      <c r="CV43" s="34">
        <f>HLOOKUP(CV$7+0.5,$I$66:$DJ$120,ROWS($A$10:$A43)+2,FALSE)</f>
        <v>716</v>
      </c>
      <c r="CW43" s="34">
        <f>HLOOKUP(CW$7+0.5,$I$66:$DJ$120,ROWS($A$10:$A43)+2,FALSE)</f>
        <v>3206</v>
      </c>
      <c r="CX43" s="34">
        <f>HLOOKUP(CX$7+0.5,$I$66:$DJ$120,ROWS($A$10:$A43)+2,FALSE)</f>
        <v>1538</v>
      </c>
      <c r="CY43" s="34">
        <f>HLOOKUP(CY$7+0.5,$I$66:$DJ$120,ROWS($A$10:$A43)+2,FALSE)</f>
        <v>1542</v>
      </c>
      <c r="CZ43" s="34">
        <f>HLOOKUP(CZ$7+0.5,$I$66:$DJ$120,ROWS($A$10:$A43)+2,FALSE)</f>
        <v>185</v>
      </c>
      <c r="DA43" s="34">
        <f>HLOOKUP(DA$7+0.5,$I$66:$DJ$120,ROWS($A$10:$A43)+2,FALSE)</f>
        <v>624</v>
      </c>
      <c r="DB43" s="34">
        <f>HLOOKUP(DB$7+0.5,$I$66:$DJ$120,ROWS($A$10:$A43)+2,FALSE)</f>
        <v>2384</v>
      </c>
      <c r="DC43" s="34">
        <f>HLOOKUP(DC$7+0.5,$I$66:$DJ$120,ROWS($A$10:$A43)+2,FALSE)</f>
        <v>489</v>
      </c>
      <c r="DD43" s="34">
        <f>HLOOKUP(DD$7+0.5,$I$66:$DJ$120,ROWS($A$10:$A43)+2,FALSE)</f>
        <v>1025</v>
      </c>
      <c r="DE43" s="34">
        <f>HLOOKUP(DE$7+0.5,$I$66:$DJ$120,ROWS($A$10:$A43)+2,FALSE)</f>
        <v>2109</v>
      </c>
      <c r="DF43" s="34">
        <f>HLOOKUP(DF$7+0.5,$I$66:$DJ$120,ROWS($A$10:$A43)+2,FALSE)</f>
        <v>840</v>
      </c>
      <c r="DG43" s="34">
        <f>HLOOKUP(DG$7+0.5,$I$66:$DJ$120,ROWS($A$10:$A43)+2,FALSE)</f>
        <v>689</v>
      </c>
      <c r="DH43" s="34">
        <f>HLOOKUP(DH$7+0.5,$I$66:$DJ$120,ROWS($A$10:$A43)+2,FALSE)</f>
        <v>507</v>
      </c>
      <c r="DI43" s="34">
        <f>HLOOKUP(DI$7+0.5,$I$66:$DJ$120,ROWS($A$10:$A43)+2,FALSE)</f>
        <v>370</v>
      </c>
      <c r="DJ43" s="34">
        <f>HLOOKUP(DJ$7+0.5,$I$66:$DJ$120,ROWS($A$10:$A43)+2,FALSE)</f>
        <v>1791</v>
      </c>
    </row>
    <row r="44" spans="2:114" x14ac:dyDescent="0.25">
      <c r="B44" s="38" t="s">
        <v>40</v>
      </c>
      <c r="C44" s="15">
        <v>9640490</v>
      </c>
      <c r="D44" s="14">
        <v>5097</v>
      </c>
      <c r="E44" s="15">
        <v>8167830</v>
      </c>
      <c r="F44" s="14">
        <v>27074</v>
      </c>
      <c r="G44" s="15">
        <v>1149080</v>
      </c>
      <c r="H44" s="14">
        <v>24801</v>
      </c>
      <c r="I44" s="36">
        <f>HLOOKUP(I$7,$I$66:$DJ$120,ROWS($A$10:$A44)+2,FALSE)</f>
        <v>273149</v>
      </c>
      <c r="J44" s="25">
        <f>HLOOKUP(J$7,$I$66:$DJ$120,ROWS($A$10:$A44)+2,FALSE)</f>
        <v>4329</v>
      </c>
      <c r="K44" s="25">
        <f>HLOOKUP(K$7,$I$66:$DJ$120,ROWS($A$10:$A44)+2,FALSE)</f>
        <v>1458</v>
      </c>
      <c r="L44" s="25">
        <f>HLOOKUP(L$7,$I$66:$DJ$120,ROWS($A$10:$A44)+2,FALSE)</f>
        <v>3493</v>
      </c>
      <c r="M44" s="25">
        <f>HLOOKUP(M$7,$I$66:$DJ$120,ROWS($A$10:$A44)+2,FALSE)</f>
        <v>861</v>
      </c>
      <c r="N44" s="25">
        <f>HLOOKUP(N$7,$I$66:$DJ$120,ROWS($A$10:$A44)+2,FALSE)</f>
        <v>13883</v>
      </c>
      <c r="O44" s="25">
        <f>HLOOKUP(O$7,$I$66:$DJ$120,ROWS($A$10:$A44)+2,FALSE)</f>
        <v>4790</v>
      </c>
      <c r="P44" s="25">
        <f>HLOOKUP(P$7,$I$66:$DJ$120,ROWS($A$10:$A44)+2,FALSE)</f>
        <v>4914</v>
      </c>
      <c r="Q44" s="25">
        <f>HLOOKUP(Q$7,$I$66:$DJ$120,ROWS($A$10:$A44)+2,FALSE)</f>
        <v>2180</v>
      </c>
      <c r="R44" s="25">
        <f>HLOOKUP(R$7,$I$66:$DJ$120,ROWS($A$10:$A44)+2,FALSE)</f>
        <v>1801</v>
      </c>
      <c r="S44" s="25">
        <f>HLOOKUP(S$7,$I$66:$DJ$120,ROWS($A$10:$A44)+2,FALSE)</f>
        <v>26365</v>
      </c>
      <c r="T44" s="25">
        <f>HLOOKUP(T$7,$I$66:$DJ$120,ROWS($A$10:$A44)+2,FALSE)</f>
        <v>16823</v>
      </c>
      <c r="U44" s="25">
        <f>HLOOKUP(U$7,$I$66:$DJ$120,ROWS($A$10:$A44)+2,FALSE)</f>
        <v>1566</v>
      </c>
      <c r="V44" s="25">
        <f>HLOOKUP(V$7,$I$66:$DJ$120,ROWS($A$10:$A44)+2,FALSE)</f>
        <v>334</v>
      </c>
      <c r="W44" s="25">
        <f>HLOOKUP(W$7,$I$66:$DJ$120,ROWS($A$10:$A44)+2,FALSE)</f>
        <v>6378</v>
      </c>
      <c r="X44" s="25">
        <f>HLOOKUP(X$7,$I$66:$DJ$120,ROWS($A$10:$A44)+2,FALSE)</f>
        <v>4532</v>
      </c>
      <c r="Y44" s="25">
        <f>HLOOKUP(Y$7,$I$66:$DJ$120,ROWS($A$10:$A44)+2,FALSE)</f>
        <v>775</v>
      </c>
      <c r="Z44" s="25">
        <f>HLOOKUP(Z$7,$I$66:$DJ$120,ROWS($A$10:$A44)+2,FALSE)</f>
        <v>1595</v>
      </c>
      <c r="AA44" s="25">
        <f>HLOOKUP(AA$7,$I$66:$DJ$120,ROWS($A$10:$A44)+2,FALSE)</f>
        <v>1531</v>
      </c>
      <c r="AB44" s="25">
        <f>HLOOKUP(AB$7,$I$66:$DJ$120,ROWS($A$10:$A44)+2,FALSE)</f>
        <v>919</v>
      </c>
      <c r="AC44" s="25">
        <f>HLOOKUP(AC$7,$I$66:$DJ$120,ROWS($A$10:$A44)+2,FALSE)</f>
        <v>1259</v>
      </c>
      <c r="AD44" s="25">
        <f>HLOOKUP(AD$7,$I$66:$DJ$120,ROWS($A$10:$A44)+2,FALSE)</f>
        <v>9005</v>
      </c>
      <c r="AE44" s="25">
        <f>HLOOKUP(AE$7,$I$66:$DJ$120,ROWS($A$10:$A44)+2,FALSE)</f>
        <v>3710</v>
      </c>
      <c r="AF44" s="25">
        <f>HLOOKUP(AF$7,$I$66:$DJ$120,ROWS($A$10:$A44)+2,FALSE)</f>
        <v>6161</v>
      </c>
      <c r="AG44" s="25">
        <f>HLOOKUP(AG$7,$I$66:$DJ$120,ROWS($A$10:$A44)+2,FALSE)</f>
        <v>1523</v>
      </c>
      <c r="AH44" s="25">
        <f>HLOOKUP(AH$7,$I$66:$DJ$120,ROWS($A$10:$A44)+2,FALSE)</f>
        <v>2377</v>
      </c>
      <c r="AI44" s="25">
        <f>HLOOKUP(AI$7,$I$66:$DJ$120,ROWS($A$10:$A44)+2,FALSE)</f>
        <v>2623</v>
      </c>
      <c r="AJ44" s="25">
        <f>HLOOKUP(AJ$7,$I$66:$DJ$120,ROWS($A$10:$A44)+2,FALSE)</f>
        <v>244</v>
      </c>
      <c r="AK44" s="25">
        <f>HLOOKUP(AK$7,$I$66:$DJ$120,ROWS($A$10:$A44)+2,FALSE)</f>
        <v>628</v>
      </c>
      <c r="AL44" s="25">
        <f>HLOOKUP(AL$7,$I$66:$DJ$120,ROWS($A$10:$A44)+2,FALSE)</f>
        <v>1627</v>
      </c>
      <c r="AM44" s="25">
        <f>HLOOKUP(AM$7,$I$66:$DJ$120,ROWS($A$10:$A44)+2,FALSE)</f>
        <v>754</v>
      </c>
      <c r="AN44" s="25">
        <f>HLOOKUP(AN$7,$I$66:$DJ$120,ROWS($A$10:$A44)+2,FALSE)</f>
        <v>11468</v>
      </c>
      <c r="AO44" s="25">
        <f>HLOOKUP(AO$7,$I$66:$DJ$120,ROWS($A$10:$A44)+2,FALSE)</f>
        <v>1138</v>
      </c>
      <c r="AP44" s="25">
        <f>HLOOKUP(AP$7,$I$66:$DJ$120,ROWS($A$10:$A44)+2,FALSE)</f>
        <v>19891</v>
      </c>
      <c r="AQ44" s="25" t="str">
        <f>HLOOKUP(AQ$7,$I$66:$DJ$120,ROWS($A$10:$A44)+2,FALSE)</f>
        <v>N/A</v>
      </c>
      <c r="AR44" s="25">
        <f>HLOOKUP(AR$7,$I$66:$DJ$120,ROWS($A$10:$A44)+2,FALSE)</f>
        <v>206</v>
      </c>
      <c r="AS44" s="25">
        <f>HLOOKUP(AS$7,$I$66:$DJ$120,ROWS($A$10:$A44)+2,FALSE)</f>
        <v>9337</v>
      </c>
      <c r="AT44" s="25">
        <f>HLOOKUP(AT$7,$I$66:$DJ$120,ROWS($A$10:$A44)+2,FALSE)</f>
        <v>1263</v>
      </c>
      <c r="AU44" s="25">
        <f>HLOOKUP(AU$7,$I$66:$DJ$120,ROWS($A$10:$A44)+2,FALSE)</f>
        <v>1333</v>
      </c>
      <c r="AV44" s="25">
        <f>HLOOKUP(AV$7,$I$66:$DJ$120,ROWS($A$10:$A44)+2,FALSE)</f>
        <v>12179</v>
      </c>
      <c r="AW44" s="25">
        <f>HLOOKUP(AW$7,$I$66:$DJ$120,ROWS($A$10:$A44)+2,FALSE)</f>
        <v>290</v>
      </c>
      <c r="AX44" s="25">
        <f>HLOOKUP(AX$7,$I$66:$DJ$120,ROWS($A$10:$A44)+2,FALSE)</f>
        <v>25532</v>
      </c>
      <c r="AY44" s="25">
        <f>HLOOKUP(AY$7,$I$66:$DJ$120,ROWS($A$10:$A44)+2,FALSE)</f>
        <v>351</v>
      </c>
      <c r="AZ44" s="25">
        <f>HLOOKUP(AZ$7,$I$66:$DJ$120,ROWS($A$10:$A44)+2,FALSE)</f>
        <v>9230</v>
      </c>
      <c r="BA44" s="25">
        <f>HLOOKUP(BA$7,$I$66:$DJ$120,ROWS($A$10:$A44)+2,FALSE)</f>
        <v>12638</v>
      </c>
      <c r="BB44" s="25">
        <f>HLOOKUP(BB$7,$I$66:$DJ$120,ROWS($A$10:$A44)+2,FALSE)</f>
        <v>1189</v>
      </c>
      <c r="BC44" s="25">
        <f>HLOOKUP(BC$7,$I$66:$DJ$120,ROWS($A$10:$A44)+2,FALSE)</f>
        <v>445</v>
      </c>
      <c r="BD44" s="25">
        <f>HLOOKUP(BD$7,$I$66:$DJ$120,ROWS($A$10:$A44)+2,FALSE)</f>
        <v>26759</v>
      </c>
      <c r="BE44" s="25">
        <f>HLOOKUP(BE$7,$I$66:$DJ$120,ROWS($A$10:$A44)+2,FALSE)</f>
        <v>5915</v>
      </c>
      <c r="BF44" s="25">
        <f>HLOOKUP(BF$7,$I$66:$DJ$120,ROWS($A$10:$A44)+2,FALSE)</f>
        <v>2677</v>
      </c>
      <c r="BG44" s="25">
        <f>HLOOKUP(BG$7,$I$66:$DJ$120,ROWS($A$10:$A44)+2,FALSE)</f>
        <v>2266</v>
      </c>
      <c r="BH44" s="25">
        <f>HLOOKUP(BH$7,$I$66:$DJ$120,ROWS($A$10:$A44)+2,FALSE)</f>
        <v>604</v>
      </c>
      <c r="BI44" s="25">
        <f>HLOOKUP(BI$7,$I$66:$DJ$120,ROWS($A$10:$A44)+2,FALSE)</f>
        <v>2025</v>
      </c>
      <c r="BJ44" s="34">
        <f>HLOOKUP(BJ$7+0.5,$I$66:$DJ$120,ROWS($A$10:$A44)+2,FALSE)</f>
        <v>13136</v>
      </c>
      <c r="BK44" s="34">
        <f>HLOOKUP(BK$7+0.5,$I$66:$DJ$120,ROWS($A$10:$A44)+2,FALSE)</f>
        <v>1544</v>
      </c>
      <c r="BL44" s="34">
        <f>HLOOKUP(BL$7+0.5,$I$66:$DJ$120,ROWS($A$10:$A44)+2,FALSE)</f>
        <v>925</v>
      </c>
      <c r="BM44" s="34">
        <f>HLOOKUP(BM$7+0.5,$I$66:$DJ$120,ROWS($A$10:$A44)+2,FALSE)</f>
        <v>1189</v>
      </c>
      <c r="BN44" s="34">
        <f>HLOOKUP(BN$7+0.5,$I$66:$DJ$120,ROWS($A$10:$A44)+2,FALSE)</f>
        <v>649</v>
      </c>
      <c r="BO44" s="34">
        <f>HLOOKUP(BO$7+0.5,$I$66:$DJ$120,ROWS($A$10:$A44)+2,FALSE)</f>
        <v>2813</v>
      </c>
      <c r="BP44" s="34">
        <f>HLOOKUP(BP$7+0.5,$I$66:$DJ$120,ROWS($A$10:$A44)+2,FALSE)</f>
        <v>2047</v>
      </c>
      <c r="BQ44" s="34">
        <f>HLOOKUP(BQ$7+0.5,$I$66:$DJ$120,ROWS($A$10:$A44)+2,FALSE)</f>
        <v>1990</v>
      </c>
      <c r="BR44" s="34">
        <f>HLOOKUP(BR$7+0.5,$I$66:$DJ$120,ROWS($A$10:$A44)+2,FALSE)</f>
        <v>1732</v>
      </c>
      <c r="BS44" s="34">
        <f>HLOOKUP(BS$7+0.5,$I$66:$DJ$120,ROWS($A$10:$A44)+2,FALSE)</f>
        <v>687</v>
      </c>
      <c r="BT44" s="34">
        <f>HLOOKUP(BT$7+0.5,$I$66:$DJ$120,ROWS($A$10:$A44)+2,FALSE)</f>
        <v>3750</v>
      </c>
      <c r="BU44" s="34">
        <f>HLOOKUP(BU$7+0.5,$I$66:$DJ$120,ROWS($A$10:$A44)+2,FALSE)</f>
        <v>2851</v>
      </c>
      <c r="BV44" s="34">
        <f>HLOOKUP(BV$7+0.5,$I$66:$DJ$120,ROWS($A$10:$A44)+2,FALSE)</f>
        <v>921</v>
      </c>
      <c r="BW44" s="34">
        <f>HLOOKUP(BW$7+0.5,$I$66:$DJ$120,ROWS($A$10:$A44)+2,FALSE)</f>
        <v>256</v>
      </c>
      <c r="BX44" s="34">
        <f>HLOOKUP(BX$7+0.5,$I$66:$DJ$120,ROWS($A$10:$A44)+2,FALSE)</f>
        <v>2177</v>
      </c>
      <c r="BY44" s="34">
        <f>HLOOKUP(BY$7+0.5,$I$66:$DJ$120,ROWS($A$10:$A44)+2,FALSE)</f>
        <v>2259</v>
      </c>
      <c r="BZ44" s="34">
        <f>HLOOKUP(BZ$7+0.5,$I$66:$DJ$120,ROWS($A$10:$A44)+2,FALSE)</f>
        <v>524</v>
      </c>
      <c r="CA44" s="34">
        <f>HLOOKUP(CA$7+0.5,$I$66:$DJ$120,ROWS($A$10:$A44)+2,FALSE)</f>
        <v>748</v>
      </c>
      <c r="CB44" s="34">
        <f>HLOOKUP(CB$7+0.5,$I$66:$DJ$120,ROWS($A$10:$A44)+2,FALSE)</f>
        <v>794</v>
      </c>
      <c r="CC44" s="34">
        <f>HLOOKUP(CC$7+0.5,$I$66:$DJ$120,ROWS($A$10:$A44)+2,FALSE)</f>
        <v>758</v>
      </c>
      <c r="CD44" s="34">
        <f>HLOOKUP(CD$7+0.5,$I$66:$DJ$120,ROWS($A$10:$A44)+2,FALSE)</f>
        <v>972</v>
      </c>
      <c r="CE44" s="34">
        <f>HLOOKUP(CE$7+0.5,$I$66:$DJ$120,ROWS($A$10:$A44)+2,FALSE)</f>
        <v>2221</v>
      </c>
      <c r="CF44" s="34">
        <f>HLOOKUP(CF$7+0.5,$I$66:$DJ$120,ROWS($A$10:$A44)+2,FALSE)</f>
        <v>1158</v>
      </c>
      <c r="CG44" s="34">
        <f>HLOOKUP(CG$7+0.5,$I$66:$DJ$120,ROWS($A$10:$A44)+2,FALSE)</f>
        <v>2547</v>
      </c>
      <c r="CH44" s="34">
        <f>HLOOKUP(CH$7+0.5,$I$66:$DJ$120,ROWS($A$10:$A44)+2,FALSE)</f>
        <v>838</v>
      </c>
      <c r="CI44" s="34">
        <f>HLOOKUP(CI$7+0.5,$I$66:$DJ$120,ROWS($A$10:$A44)+2,FALSE)</f>
        <v>1092</v>
      </c>
      <c r="CJ44" s="34">
        <f>HLOOKUP(CJ$7+0.5,$I$66:$DJ$120,ROWS($A$10:$A44)+2,FALSE)</f>
        <v>1742</v>
      </c>
      <c r="CK44" s="34">
        <f>HLOOKUP(CK$7+0.5,$I$66:$DJ$120,ROWS($A$10:$A44)+2,FALSE)</f>
        <v>306</v>
      </c>
      <c r="CL44" s="34">
        <f>HLOOKUP(CL$7+0.5,$I$66:$DJ$120,ROWS($A$10:$A44)+2,FALSE)</f>
        <v>628</v>
      </c>
      <c r="CM44" s="34">
        <f>HLOOKUP(CM$7+0.5,$I$66:$DJ$120,ROWS($A$10:$A44)+2,FALSE)</f>
        <v>807</v>
      </c>
      <c r="CN44" s="34">
        <f>HLOOKUP(CN$7+0.5,$I$66:$DJ$120,ROWS($A$10:$A44)+2,FALSE)</f>
        <v>525</v>
      </c>
      <c r="CO44" s="34">
        <f>HLOOKUP(CO$7+0.5,$I$66:$DJ$120,ROWS($A$10:$A44)+2,FALSE)</f>
        <v>4262</v>
      </c>
      <c r="CP44" s="34">
        <f>HLOOKUP(CP$7+0.5,$I$66:$DJ$120,ROWS($A$10:$A44)+2,FALSE)</f>
        <v>705</v>
      </c>
      <c r="CQ44" s="34">
        <f>HLOOKUP(CQ$7+0.5,$I$66:$DJ$120,ROWS($A$10:$A44)+2,FALSE)</f>
        <v>3951</v>
      </c>
      <c r="CR44" s="34" t="str">
        <f>HLOOKUP(CR$7+0.5,$I$66:$DJ$120,ROWS($A$10:$A44)+2,FALSE)</f>
        <v>N/A</v>
      </c>
      <c r="CS44" s="34">
        <f>HLOOKUP(CS$7+0.5,$I$66:$DJ$120,ROWS($A$10:$A44)+2,FALSE)</f>
        <v>232</v>
      </c>
      <c r="CT44" s="34">
        <f>HLOOKUP(CT$7+0.5,$I$66:$DJ$120,ROWS($A$10:$A44)+2,FALSE)</f>
        <v>2484</v>
      </c>
      <c r="CU44" s="34">
        <f>HLOOKUP(CU$7+0.5,$I$66:$DJ$120,ROWS($A$10:$A44)+2,FALSE)</f>
        <v>753</v>
      </c>
      <c r="CV44" s="34">
        <f>HLOOKUP(CV$7+0.5,$I$66:$DJ$120,ROWS($A$10:$A44)+2,FALSE)</f>
        <v>772</v>
      </c>
      <c r="CW44" s="34">
        <f>HLOOKUP(CW$7+0.5,$I$66:$DJ$120,ROWS($A$10:$A44)+2,FALSE)</f>
        <v>2356</v>
      </c>
      <c r="CX44" s="34">
        <f>HLOOKUP(CX$7+0.5,$I$66:$DJ$120,ROWS($A$10:$A44)+2,FALSE)</f>
        <v>198</v>
      </c>
      <c r="CY44" s="34">
        <f>HLOOKUP(CY$7+0.5,$I$66:$DJ$120,ROWS($A$10:$A44)+2,FALSE)</f>
        <v>4732</v>
      </c>
      <c r="CZ44" s="34">
        <f>HLOOKUP(CZ$7+0.5,$I$66:$DJ$120,ROWS($A$10:$A44)+2,FALSE)</f>
        <v>186</v>
      </c>
      <c r="DA44" s="34">
        <f>HLOOKUP(DA$7+0.5,$I$66:$DJ$120,ROWS($A$10:$A44)+2,FALSE)</f>
        <v>2122</v>
      </c>
      <c r="DB44" s="34">
        <f>HLOOKUP(DB$7+0.5,$I$66:$DJ$120,ROWS($A$10:$A44)+2,FALSE)</f>
        <v>2381</v>
      </c>
      <c r="DC44" s="34">
        <f>HLOOKUP(DC$7+0.5,$I$66:$DJ$120,ROWS($A$10:$A44)+2,FALSE)</f>
        <v>1040</v>
      </c>
      <c r="DD44" s="34">
        <f>HLOOKUP(DD$7+0.5,$I$66:$DJ$120,ROWS($A$10:$A44)+2,FALSE)</f>
        <v>291</v>
      </c>
      <c r="DE44" s="34">
        <f>HLOOKUP(DE$7+0.5,$I$66:$DJ$120,ROWS($A$10:$A44)+2,FALSE)</f>
        <v>4229</v>
      </c>
      <c r="DF44" s="34">
        <f>HLOOKUP(DF$7+0.5,$I$66:$DJ$120,ROWS($A$10:$A44)+2,FALSE)</f>
        <v>2630</v>
      </c>
      <c r="DG44" s="34">
        <f>HLOOKUP(DG$7+0.5,$I$66:$DJ$120,ROWS($A$10:$A44)+2,FALSE)</f>
        <v>985</v>
      </c>
      <c r="DH44" s="34">
        <f>HLOOKUP(DH$7+0.5,$I$66:$DJ$120,ROWS($A$10:$A44)+2,FALSE)</f>
        <v>980</v>
      </c>
      <c r="DI44" s="34">
        <f>HLOOKUP(DI$7+0.5,$I$66:$DJ$120,ROWS($A$10:$A44)+2,FALSE)</f>
        <v>687</v>
      </c>
      <c r="DJ44" s="34">
        <f>HLOOKUP(DJ$7+0.5,$I$66:$DJ$120,ROWS($A$10:$A44)+2,FALSE)</f>
        <v>1218</v>
      </c>
    </row>
    <row r="45" spans="2:114" x14ac:dyDescent="0.25">
      <c r="B45" s="38" t="s">
        <v>41</v>
      </c>
      <c r="C45" s="15">
        <v>689838</v>
      </c>
      <c r="D45" s="14">
        <v>1379</v>
      </c>
      <c r="E45" s="15">
        <v>563978</v>
      </c>
      <c r="F45" s="14">
        <v>6361</v>
      </c>
      <c r="G45" s="15">
        <v>84294</v>
      </c>
      <c r="H45" s="14">
        <v>5380</v>
      </c>
      <c r="I45" s="36">
        <f>HLOOKUP(I$7,$I$66:$DJ$120,ROWS($A$10:$A45)+2,FALSE)</f>
        <v>38213</v>
      </c>
      <c r="J45" s="25">
        <f>HLOOKUP(J$7,$I$66:$DJ$120,ROWS($A$10:$A45)+2,FALSE)</f>
        <v>83</v>
      </c>
      <c r="K45" s="25">
        <f>HLOOKUP(K$7,$I$66:$DJ$120,ROWS($A$10:$A45)+2,FALSE)</f>
        <v>70</v>
      </c>
      <c r="L45" s="25">
        <f>HLOOKUP(L$7,$I$66:$DJ$120,ROWS($A$10:$A45)+2,FALSE)</f>
        <v>1571</v>
      </c>
      <c r="M45" s="25">
        <f>HLOOKUP(M$7,$I$66:$DJ$120,ROWS($A$10:$A45)+2,FALSE)</f>
        <v>0</v>
      </c>
      <c r="N45" s="25">
        <f>HLOOKUP(N$7,$I$66:$DJ$120,ROWS($A$10:$A45)+2,FALSE)</f>
        <v>999</v>
      </c>
      <c r="O45" s="25">
        <f>HLOOKUP(O$7,$I$66:$DJ$120,ROWS($A$10:$A45)+2,FALSE)</f>
        <v>546</v>
      </c>
      <c r="P45" s="25">
        <f>HLOOKUP(P$7,$I$66:$DJ$120,ROWS($A$10:$A45)+2,FALSE)</f>
        <v>65</v>
      </c>
      <c r="Q45" s="25">
        <f>HLOOKUP(Q$7,$I$66:$DJ$120,ROWS($A$10:$A45)+2,FALSE)</f>
        <v>0</v>
      </c>
      <c r="R45" s="25">
        <f>HLOOKUP(R$7,$I$66:$DJ$120,ROWS($A$10:$A45)+2,FALSE)</f>
        <v>70</v>
      </c>
      <c r="S45" s="25">
        <f>HLOOKUP(S$7,$I$66:$DJ$120,ROWS($A$10:$A45)+2,FALSE)</f>
        <v>950</v>
      </c>
      <c r="T45" s="25">
        <f>HLOOKUP(T$7,$I$66:$DJ$120,ROWS($A$10:$A45)+2,FALSE)</f>
        <v>98</v>
      </c>
      <c r="U45" s="25">
        <f>HLOOKUP(U$7,$I$66:$DJ$120,ROWS($A$10:$A45)+2,FALSE)</f>
        <v>160</v>
      </c>
      <c r="V45" s="25">
        <f>HLOOKUP(V$7,$I$66:$DJ$120,ROWS($A$10:$A45)+2,FALSE)</f>
        <v>540</v>
      </c>
      <c r="W45" s="25">
        <f>HLOOKUP(W$7,$I$66:$DJ$120,ROWS($A$10:$A45)+2,FALSE)</f>
        <v>799</v>
      </c>
      <c r="X45" s="25">
        <f>HLOOKUP(X$7,$I$66:$DJ$120,ROWS($A$10:$A45)+2,FALSE)</f>
        <v>55</v>
      </c>
      <c r="Y45" s="25">
        <f>HLOOKUP(Y$7,$I$66:$DJ$120,ROWS($A$10:$A45)+2,FALSE)</f>
        <v>458</v>
      </c>
      <c r="Z45" s="25">
        <f>HLOOKUP(Z$7,$I$66:$DJ$120,ROWS($A$10:$A45)+2,FALSE)</f>
        <v>161</v>
      </c>
      <c r="AA45" s="25">
        <f>HLOOKUP(AA$7,$I$66:$DJ$120,ROWS($A$10:$A45)+2,FALSE)</f>
        <v>22</v>
      </c>
      <c r="AB45" s="25">
        <f>HLOOKUP(AB$7,$I$66:$DJ$120,ROWS($A$10:$A45)+2,FALSE)</f>
        <v>18</v>
      </c>
      <c r="AC45" s="25">
        <f>HLOOKUP(AC$7,$I$66:$DJ$120,ROWS($A$10:$A45)+2,FALSE)</f>
        <v>98</v>
      </c>
      <c r="AD45" s="25">
        <f>HLOOKUP(AD$7,$I$66:$DJ$120,ROWS($A$10:$A45)+2,FALSE)</f>
        <v>232</v>
      </c>
      <c r="AE45" s="25">
        <f>HLOOKUP(AE$7,$I$66:$DJ$120,ROWS($A$10:$A45)+2,FALSE)</f>
        <v>187</v>
      </c>
      <c r="AF45" s="25">
        <f>HLOOKUP(AF$7,$I$66:$DJ$120,ROWS($A$10:$A45)+2,FALSE)</f>
        <v>757</v>
      </c>
      <c r="AG45" s="25">
        <f>HLOOKUP(AG$7,$I$66:$DJ$120,ROWS($A$10:$A45)+2,FALSE)</f>
        <v>15257</v>
      </c>
      <c r="AH45" s="25">
        <f>HLOOKUP(AH$7,$I$66:$DJ$120,ROWS($A$10:$A45)+2,FALSE)</f>
        <v>72</v>
      </c>
      <c r="AI45" s="25">
        <f>HLOOKUP(AI$7,$I$66:$DJ$120,ROWS($A$10:$A45)+2,FALSE)</f>
        <v>1490</v>
      </c>
      <c r="AJ45" s="25">
        <f>HLOOKUP(AJ$7,$I$66:$DJ$120,ROWS($A$10:$A45)+2,FALSE)</f>
        <v>1776</v>
      </c>
      <c r="AK45" s="25">
        <f>HLOOKUP(AK$7,$I$66:$DJ$120,ROWS($A$10:$A45)+2,FALSE)</f>
        <v>950</v>
      </c>
      <c r="AL45" s="25">
        <f>HLOOKUP(AL$7,$I$66:$DJ$120,ROWS($A$10:$A45)+2,FALSE)</f>
        <v>854</v>
      </c>
      <c r="AM45" s="25">
        <f>HLOOKUP(AM$7,$I$66:$DJ$120,ROWS($A$10:$A45)+2,FALSE)</f>
        <v>0</v>
      </c>
      <c r="AN45" s="25">
        <f>HLOOKUP(AN$7,$I$66:$DJ$120,ROWS($A$10:$A45)+2,FALSE)</f>
        <v>140</v>
      </c>
      <c r="AO45" s="25">
        <f>HLOOKUP(AO$7,$I$66:$DJ$120,ROWS($A$10:$A45)+2,FALSE)</f>
        <v>161</v>
      </c>
      <c r="AP45" s="25">
        <f>HLOOKUP(AP$7,$I$66:$DJ$120,ROWS($A$10:$A45)+2,FALSE)</f>
        <v>331</v>
      </c>
      <c r="AQ45" s="25">
        <f>HLOOKUP(AQ$7,$I$66:$DJ$120,ROWS($A$10:$A45)+2,FALSE)</f>
        <v>231</v>
      </c>
      <c r="AR45" s="25" t="str">
        <f>HLOOKUP(AR$7,$I$66:$DJ$120,ROWS($A$10:$A45)+2,FALSE)</f>
        <v>N/A</v>
      </c>
      <c r="AS45" s="25">
        <f>HLOOKUP(AS$7,$I$66:$DJ$120,ROWS($A$10:$A45)+2,FALSE)</f>
        <v>6</v>
      </c>
      <c r="AT45" s="25">
        <f>HLOOKUP(AT$7,$I$66:$DJ$120,ROWS($A$10:$A45)+2,FALSE)</f>
        <v>280</v>
      </c>
      <c r="AU45" s="25">
        <f>HLOOKUP(AU$7,$I$66:$DJ$120,ROWS($A$10:$A45)+2,FALSE)</f>
        <v>724</v>
      </c>
      <c r="AV45" s="25">
        <f>HLOOKUP(AV$7,$I$66:$DJ$120,ROWS($A$10:$A45)+2,FALSE)</f>
        <v>114</v>
      </c>
      <c r="AW45" s="25">
        <f>HLOOKUP(AW$7,$I$66:$DJ$120,ROWS($A$10:$A45)+2,FALSE)</f>
        <v>244</v>
      </c>
      <c r="AX45" s="25">
        <f>HLOOKUP(AX$7,$I$66:$DJ$120,ROWS($A$10:$A45)+2,FALSE)</f>
        <v>14</v>
      </c>
      <c r="AY45" s="25">
        <f>HLOOKUP(AY$7,$I$66:$DJ$120,ROWS($A$10:$A45)+2,FALSE)</f>
        <v>1754</v>
      </c>
      <c r="AZ45" s="25">
        <f>HLOOKUP(AZ$7,$I$66:$DJ$120,ROWS($A$10:$A45)+2,FALSE)</f>
        <v>746</v>
      </c>
      <c r="BA45" s="25">
        <f>HLOOKUP(BA$7,$I$66:$DJ$120,ROWS($A$10:$A45)+2,FALSE)</f>
        <v>1414</v>
      </c>
      <c r="BB45" s="25">
        <f>HLOOKUP(BB$7,$I$66:$DJ$120,ROWS($A$10:$A45)+2,FALSE)</f>
        <v>43</v>
      </c>
      <c r="BC45" s="25">
        <f>HLOOKUP(BC$7,$I$66:$DJ$120,ROWS($A$10:$A45)+2,FALSE)</f>
        <v>758</v>
      </c>
      <c r="BD45" s="25">
        <f>HLOOKUP(BD$7,$I$66:$DJ$120,ROWS($A$10:$A45)+2,FALSE)</f>
        <v>403</v>
      </c>
      <c r="BE45" s="25">
        <f>HLOOKUP(BE$7,$I$66:$DJ$120,ROWS($A$10:$A45)+2,FALSE)</f>
        <v>1604</v>
      </c>
      <c r="BF45" s="25">
        <f>HLOOKUP(BF$7,$I$66:$DJ$120,ROWS($A$10:$A45)+2,FALSE)</f>
        <v>0</v>
      </c>
      <c r="BG45" s="25">
        <f>HLOOKUP(BG$7,$I$66:$DJ$120,ROWS($A$10:$A45)+2,FALSE)</f>
        <v>543</v>
      </c>
      <c r="BH45" s="25">
        <f>HLOOKUP(BH$7,$I$66:$DJ$120,ROWS($A$10:$A45)+2,FALSE)</f>
        <v>365</v>
      </c>
      <c r="BI45" s="25">
        <f>HLOOKUP(BI$7,$I$66:$DJ$120,ROWS($A$10:$A45)+2,FALSE)</f>
        <v>0</v>
      </c>
      <c r="BJ45" s="34">
        <f>HLOOKUP(BJ$7+0.5,$I$66:$DJ$120,ROWS($A$10:$A45)+2,FALSE)</f>
        <v>3616</v>
      </c>
      <c r="BK45" s="34">
        <f>HLOOKUP(BK$7+0.5,$I$66:$DJ$120,ROWS($A$10:$A45)+2,FALSE)</f>
        <v>142</v>
      </c>
      <c r="BL45" s="34">
        <f>HLOOKUP(BL$7+0.5,$I$66:$DJ$120,ROWS($A$10:$A45)+2,FALSE)</f>
        <v>105</v>
      </c>
      <c r="BM45" s="34">
        <f>HLOOKUP(BM$7+0.5,$I$66:$DJ$120,ROWS($A$10:$A45)+2,FALSE)</f>
        <v>788</v>
      </c>
      <c r="BN45" s="34">
        <f>HLOOKUP(BN$7+0.5,$I$66:$DJ$120,ROWS($A$10:$A45)+2,FALSE)</f>
        <v>141</v>
      </c>
      <c r="BO45" s="34">
        <f>HLOOKUP(BO$7+0.5,$I$66:$DJ$120,ROWS($A$10:$A45)+2,FALSE)</f>
        <v>460</v>
      </c>
      <c r="BP45" s="34">
        <f>HLOOKUP(BP$7+0.5,$I$66:$DJ$120,ROWS($A$10:$A45)+2,FALSE)</f>
        <v>293</v>
      </c>
      <c r="BQ45" s="34">
        <f>HLOOKUP(BQ$7+0.5,$I$66:$DJ$120,ROWS($A$10:$A45)+2,FALSE)</f>
        <v>100</v>
      </c>
      <c r="BR45" s="34">
        <f>HLOOKUP(BR$7+0.5,$I$66:$DJ$120,ROWS($A$10:$A45)+2,FALSE)</f>
        <v>141</v>
      </c>
      <c r="BS45" s="34">
        <f>HLOOKUP(BS$7+0.5,$I$66:$DJ$120,ROWS($A$10:$A45)+2,FALSE)</f>
        <v>112</v>
      </c>
      <c r="BT45" s="34">
        <f>HLOOKUP(BT$7+0.5,$I$66:$DJ$120,ROWS($A$10:$A45)+2,FALSE)</f>
        <v>860</v>
      </c>
      <c r="BU45" s="34">
        <f>HLOOKUP(BU$7+0.5,$I$66:$DJ$120,ROWS($A$10:$A45)+2,FALSE)</f>
        <v>154</v>
      </c>
      <c r="BV45" s="34">
        <f>HLOOKUP(BV$7+0.5,$I$66:$DJ$120,ROWS($A$10:$A45)+2,FALSE)</f>
        <v>148</v>
      </c>
      <c r="BW45" s="34">
        <f>HLOOKUP(BW$7+0.5,$I$66:$DJ$120,ROWS($A$10:$A45)+2,FALSE)</f>
        <v>521</v>
      </c>
      <c r="BX45" s="34">
        <f>HLOOKUP(BX$7+0.5,$I$66:$DJ$120,ROWS($A$10:$A45)+2,FALSE)</f>
        <v>523</v>
      </c>
      <c r="BY45" s="34">
        <f>HLOOKUP(BY$7+0.5,$I$66:$DJ$120,ROWS($A$10:$A45)+2,FALSE)</f>
        <v>77</v>
      </c>
      <c r="BZ45" s="34">
        <f>HLOOKUP(BZ$7+0.5,$I$66:$DJ$120,ROWS($A$10:$A45)+2,FALSE)</f>
        <v>316</v>
      </c>
      <c r="CA45" s="34">
        <f>HLOOKUP(CA$7+0.5,$I$66:$DJ$120,ROWS($A$10:$A45)+2,FALSE)</f>
        <v>122</v>
      </c>
      <c r="CB45" s="34">
        <f>HLOOKUP(CB$7+0.5,$I$66:$DJ$120,ROWS($A$10:$A45)+2,FALSE)</f>
        <v>44</v>
      </c>
      <c r="CC45" s="34">
        <f>HLOOKUP(CC$7+0.5,$I$66:$DJ$120,ROWS($A$10:$A45)+2,FALSE)</f>
        <v>27</v>
      </c>
      <c r="CD45" s="34">
        <f>HLOOKUP(CD$7+0.5,$I$66:$DJ$120,ROWS($A$10:$A45)+2,FALSE)</f>
        <v>176</v>
      </c>
      <c r="CE45" s="34">
        <f>HLOOKUP(CE$7+0.5,$I$66:$DJ$120,ROWS($A$10:$A45)+2,FALSE)</f>
        <v>311</v>
      </c>
      <c r="CF45" s="34">
        <f>HLOOKUP(CF$7+0.5,$I$66:$DJ$120,ROWS($A$10:$A45)+2,FALSE)</f>
        <v>281</v>
      </c>
      <c r="CG45" s="34">
        <f>HLOOKUP(CG$7+0.5,$I$66:$DJ$120,ROWS($A$10:$A45)+2,FALSE)</f>
        <v>571</v>
      </c>
      <c r="CH45" s="34">
        <f>HLOOKUP(CH$7+0.5,$I$66:$DJ$120,ROWS($A$10:$A45)+2,FALSE)</f>
        <v>2266</v>
      </c>
      <c r="CI45" s="34">
        <f>HLOOKUP(CI$7+0.5,$I$66:$DJ$120,ROWS($A$10:$A45)+2,FALSE)</f>
        <v>109</v>
      </c>
      <c r="CJ45" s="34">
        <f>HLOOKUP(CJ$7+0.5,$I$66:$DJ$120,ROWS($A$10:$A45)+2,FALSE)</f>
        <v>1346</v>
      </c>
      <c r="CK45" s="34">
        <f>HLOOKUP(CK$7+0.5,$I$66:$DJ$120,ROWS($A$10:$A45)+2,FALSE)</f>
        <v>709</v>
      </c>
      <c r="CL45" s="34">
        <f>HLOOKUP(CL$7+0.5,$I$66:$DJ$120,ROWS($A$10:$A45)+2,FALSE)</f>
        <v>764</v>
      </c>
      <c r="CM45" s="34">
        <f>HLOOKUP(CM$7+0.5,$I$66:$DJ$120,ROWS($A$10:$A45)+2,FALSE)</f>
        <v>572</v>
      </c>
      <c r="CN45" s="34">
        <f>HLOOKUP(CN$7+0.5,$I$66:$DJ$120,ROWS($A$10:$A45)+2,FALSE)</f>
        <v>141</v>
      </c>
      <c r="CO45" s="34">
        <f>HLOOKUP(CO$7+0.5,$I$66:$DJ$120,ROWS($A$10:$A45)+2,FALSE)</f>
        <v>231</v>
      </c>
      <c r="CP45" s="34">
        <f>HLOOKUP(CP$7+0.5,$I$66:$DJ$120,ROWS($A$10:$A45)+2,FALSE)</f>
        <v>228</v>
      </c>
      <c r="CQ45" s="34">
        <f>HLOOKUP(CQ$7+0.5,$I$66:$DJ$120,ROWS($A$10:$A45)+2,FALSE)</f>
        <v>331</v>
      </c>
      <c r="CR45" s="34">
        <f>HLOOKUP(CR$7+0.5,$I$66:$DJ$120,ROWS($A$10:$A45)+2,FALSE)</f>
        <v>243</v>
      </c>
      <c r="CS45" s="34" t="str">
        <f>HLOOKUP(CS$7+0.5,$I$66:$DJ$120,ROWS($A$10:$A45)+2,FALSE)</f>
        <v>N/A</v>
      </c>
      <c r="CT45" s="34">
        <f>HLOOKUP(CT$7+0.5,$I$66:$DJ$120,ROWS($A$10:$A45)+2,FALSE)</f>
        <v>14</v>
      </c>
      <c r="CU45" s="34">
        <f>HLOOKUP(CU$7+0.5,$I$66:$DJ$120,ROWS($A$10:$A45)+2,FALSE)</f>
        <v>260</v>
      </c>
      <c r="CV45" s="34">
        <f>HLOOKUP(CV$7+0.5,$I$66:$DJ$120,ROWS($A$10:$A45)+2,FALSE)</f>
        <v>529</v>
      </c>
      <c r="CW45" s="34">
        <f>HLOOKUP(CW$7+0.5,$I$66:$DJ$120,ROWS($A$10:$A45)+2,FALSE)</f>
        <v>157</v>
      </c>
      <c r="CX45" s="34">
        <f>HLOOKUP(CX$7+0.5,$I$66:$DJ$120,ROWS($A$10:$A45)+2,FALSE)</f>
        <v>255</v>
      </c>
      <c r="CY45" s="34">
        <f>HLOOKUP(CY$7+0.5,$I$66:$DJ$120,ROWS($A$10:$A45)+2,FALSE)</f>
        <v>28</v>
      </c>
      <c r="CZ45" s="34">
        <f>HLOOKUP(CZ$7+0.5,$I$66:$DJ$120,ROWS($A$10:$A45)+2,FALSE)</f>
        <v>822</v>
      </c>
      <c r="DA45" s="34">
        <f>HLOOKUP(DA$7+0.5,$I$66:$DJ$120,ROWS($A$10:$A45)+2,FALSE)</f>
        <v>694</v>
      </c>
      <c r="DB45" s="34">
        <f>HLOOKUP(DB$7+0.5,$I$66:$DJ$120,ROWS($A$10:$A45)+2,FALSE)</f>
        <v>756</v>
      </c>
      <c r="DC45" s="34">
        <f>HLOOKUP(DC$7+0.5,$I$66:$DJ$120,ROWS($A$10:$A45)+2,FALSE)</f>
        <v>60</v>
      </c>
      <c r="DD45" s="34">
        <f>HLOOKUP(DD$7+0.5,$I$66:$DJ$120,ROWS($A$10:$A45)+2,FALSE)</f>
        <v>1014</v>
      </c>
      <c r="DE45" s="34">
        <f>HLOOKUP(DE$7+0.5,$I$66:$DJ$120,ROWS($A$10:$A45)+2,FALSE)</f>
        <v>309</v>
      </c>
      <c r="DF45" s="34">
        <f>HLOOKUP(DF$7+0.5,$I$66:$DJ$120,ROWS($A$10:$A45)+2,FALSE)</f>
        <v>796</v>
      </c>
      <c r="DG45" s="34">
        <f>HLOOKUP(DG$7+0.5,$I$66:$DJ$120,ROWS($A$10:$A45)+2,FALSE)</f>
        <v>141</v>
      </c>
      <c r="DH45" s="34">
        <f>HLOOKUP(DH$7+0.5,$I$66:$DJ$120,ROWS($A$10:$A45)+2,FALSE)</f>
        <v>327</v>
      </c>
      <c r="DI45" s="34">
        <f>HLOOKUP(DI$7+0.5,$I$66:$DJ$120,ROWS($A$10:$A45)+2,FALSE)</f>
        <v>269</v>
      </c>
      <c r="DJ45" s="34">
        <f>HLOOKUP(DJ$7+0.5,$I$66:$DJ$120,ROWS($A$10:$A45)+2,FALSE)</f>
        <v>141</v>
      </c>
    </row>
    <row r="46" spans="2:114" x14ac:dyDescent="0.25">
      <c r="B46" s="38" t="s">
        <v>42</v>
      </c>
      <c r="C46" s="15">
        <v>11414635</v>
      </c>
      <c r="D46" s="14">
        <v>5725</v>
      </c>
      <c r="E46" s="15">
        <v>9735390</v>
      </c>
      <c r="F46" s="14">
        <v>29715</v>
      </c>
      <c r="G46" s="15">
        <v>1440815</v>
      </c>
      <c r="H46" s="14">
        <v>28423</v>
      </c>
      <c r="I46" s="36">
        <f>HLOOKUP(I$7,$I$66:$DJ$120,ROWS($A$10:$A46)+2,FALSE)</f>
        <v>196391</v>
      </c>
      <c r="J46" s="25">
        <f>HLOOKUP(J$7,$I$66:$DJ$120,ROWS($A$10:$A46)+2,FALSE)</f>
        <v>3705</v>
      </c>
      <c r="K46" s="25">
        <f>HLOOKUP(K$7,$I$66:$DJ$120,ROWS($A$10:$A46)+2,FALSE)</f>
        <v>2207</v>
      </c>
      <c r="L46" s="25">
        <f>HLOOKUP(L$7,$I$66:$DJ$120,ROWS($A$10:$A46)+2,FALSE)</f>
        <v>4929</v>
      </c>
      <c r="M46" s="25">
        <f>HLOOKUP(M$7,$I$66:$DJ$120,ROWS($A$10:$A46)+2,FALSE)</f>
        <v>884</v>
      </c>
      <c r="N46" s="25">
        <f>HLOOKUP(N$7,$I$66:$DJ$120,ROWS($A$10:$A46)+2,FALSE)</f>
        <v>8995</v>
      </c>
      <c r="O46" s="25">
        <f>HLOOKUP(O$7,$I$66:$DJ$120,ROWS($A$10:$A46)+2,FALSE)</f>
        <v>3180</v>
      </c>
      <c r="P46" s="25">
        <f>HLOOKUP(P$7,$I$66:$DJ$120,ROWS($A$10:$A46)+2,FALSE)</f>
        <v>1355</v>
      </c>
      <c r="Q46" s="25">
        <f>HLOOKUP(Q$7,$I$66:$DJ$120,ROWS($A$10:$A46)+2,FALSE)</f>
        <v>1079</v>
      </c>
      <c r="R46" s="25">
        <f>HLOOKUP(R$7,$I$66:$DJ$120,ROWS($A$10:$A46)+2,FALSE)</f>
        <v>985</v>
      </c>
      <c r="S46" s="25">
        <f>HLOOKUP(S$7,$I$66:$DJ$120,ROWS($A$10:$A46)+2,FALSE)</f>
        <v>16366</v>
      </c>
      <c r="T46" s="25">
        <f>HLOOKUP(T$7,$I$66:$DJ$120,ROWS($A$10:$A46)+2,FALSE)</f>
        <v>8052</v>
      </c>
      <c r="U46" s="25">
        <f>HLOOKUP(U$7,$I$66:$DJ$120,ROWS($A$10:$A46)+2,FALSE)</f>
        <v>1198</v>
      </c>
      <c r="V46" s="25">
        <f>HLOOKUP(V$7,$I$66:$DJ$120,ROWS($A$10:$A46)+2,FALSE)</f>
        <v>412</v>
      </c>
      <c r="W46" s="25">
        <f>HLOOKUP(W$7,$I$66:$DJ$120,ROWS($A$10:$A46)+2,FALSE)</f>
        <v>9510</v>
      </c>
      <c r="X46" s="25">
        <f>HLOOKUP(X$7,$I$66:$DJ$120,ROWS($A$10:$A46)+2,FALSE)</f>
        <v>13534</v>
      </c>
      <c r="Y46" s="25">
        <f>HLOOKUP(Y$7,$I$66:$DJ$120,ROWS($A$10:$A46)+2,FALSE)</f>
        <v>1039</v>
      </c>
      <c r="Z46" s="25">
        <f>HLOOKUP(Z$7,$I$66:$DJ$120,ROWS($A$10:$A46)+2,FALSE)</f>
        <v>1166</v>
      </c>
      <c r="AA46" s="25">
        <f>HLOOKUP(AA$7,$I$66:$DJ$120,ROWS($A$10:$A46)+2,FALSE)</f>
        <v>13227</v>
      </c>
      <c r="AB46" s="25">
        <f>HLOOKUP(AB$7,$I$66:$DJ$120,ROWS($A$10:$A46)+2,FALSE)</f>
        <v>2214</v>
      </c>
      <c r="AC46" s="25">
        <f>HLOOKUP(AC$7,$I$66:$DJ$120,ROWS($A$10:$A46)+2,FALSE)</f>
        <v>1189</v>
      </c>
      <c r="AD46" s="25">
        <f>HLOOKUP(AD$7,$I$66:$DJ$120,ROWS($A$10:$A46)+2,FALSE)</f>
        <v>5026</v>
      </c>
      <c r="AE46" s="25">
        <f>HLOOKUP(AE$7,$I$66:$DJ$120,ROWS($A$10:$A46)+2,FALSE)</f>
        <v>2189</v>
      </c>
      <c r="AF46" s="25">
        <f>HLOOKUP(AF$7,$I$66:$DJ$120,ROWS($A$10:$A46)+2,FALSE)</f>
        <v>16336</v>
      </c>
      <c r="AG46" s="25">
        <f>HLOOKUP(AG$7,$I$66:$DJ$120,ROWS($A$10:$A46)+2,FALSE)</f>
        <v>1122</v>
      </c>
      <c r="AH46" s="25">
        <f>HLOOKUP(AH$7,$I$66:$DJ$120,ROWS($A$10:$A46)+2,FALSE)</f>
        <v>1017</v>
      </c>
      <c r="AI46" s="25">
        <f>HLOOKUP(AI$7,$I$66:$DJ$120,ROWS($A$10:$A46)+2,FALSE)</f>
        <v>3026</v>
      </c>
      <c r="AJ46" s="25">
        <f>HLOOKUP(AJ$7,$I$66:$DJ$120,ROWS($A$10:$A46)+2,FALSE)</f>
        <v>276</v>
      </c>
      <c r="AK46" s="25">
        <f>HLOOKUP(AK$7,$I$66:$DJ$120,ROWS($A$10:$A46)+2,FALSE)</f>
        <v>1052</v>
      </c>
      <c r="AL46" s="25">
        <f>HLOOKUP(AL$7,$I$66:$DJ$120,ROWS($A$10:$A46)+2,FALSE)</f>
        <v>907</v>
      </c>
      <c r="AM46" s="25">
        <f>HLOOKUP(AM$7,$I$66:$DJ$120,ROWS($A$10:$A46)+2,FALSE)</f>
        <v>189</v>
      </c>
      <c r="AN46" s="25">
        <f>HLOOKUP(AN$7,$I$66:$DJ$120,ROWS($A$10:$A46)+2,FALSE)</f>
        <v>4703</v>
      </c>
      <c r="AO46" s="25">
        <f>HLOOKUP(AO$7,$I$66:$DJ$120,ROWS($A$10:$A46)+2,FALSE)</f>
        <v>1361</v>
      </c>
      <c r="AP46" s="25">
        <f>HLOOKUP(AP$7,$I$66:$DJ$120,ROWS($A$10:$A46)+2,FALSE)</f>
        <v>8732</v>
      </c>
      <c r="AQ46" s="25">
        <f>HLOOKUP(AQ$7,$I$66:$DJ$120,ROWS($A$10:$A46)+2,FALSE)</f>
        <v>5498</v>
      </c>
      <c r="AR46" s="25">
        <f>HLOOKUP(AR$7,$I$66:$DJ$120,ROWS($A$10:$A46)+2,FALSE)</f>
        <v>453</v>
      </c>
      <c r="AS46" s="25" t="str">
        <f>HLOOKUP(AS$7,$I$66:$DJ$120,ROWS($A$10:$A46)+2,FALSE)</f>
        <v>N/A</v>
      </c>
      <c r="AT46" s="25">
        <f>HLOOKUP(AT$7,$I$66:$DJ$120,ROWS($A$10:$A46)+2,FALSE)</f>
        <v>858</v>
      </c>
      <c r="AU46" s="25">
        <f>HLOOKUP(AU$7,$I$66:$DJ$120,ROWS($A$10:$A46)+2,FALSE)</f>
        <v>432</v>
      </c>
      <c r="AV46" s="25">
        <f>HLOOKUP(AV$7,$I$66:$DJ$120,ROWS($A$10:$A46)+2,FALSE)</f>
        <v>14147</v>
      </c>
      <c r="AW46" s="25">
        <f>HLOOKUP(AW$7,$I$66:$DJ$120,ROWS($A$10:$A46)+2,FALSE)</f>
        <v>435</v>
      </c>
      <c r="AX46" s="25">
        <f>HLOOKUP(AX$7,$I$66:$DJ$120,ROWS($A$10:$A46)+2,FALSE)</f>
        <v>2445</v>
      </c>
      <c r="AY46" s="25">
        <f>HLOOKUP(AY$7,$I$66:$DJ$120,ROWS($A$10:$A46)+2,FALSE)</f>
        <v>47</v>
      </c>
      <c r="AZ46" s="25">
        <f>HLOOKUP(AZ$7,$I$66:$DJ$120,ROWS($A$10:$A46)+2,FALSE)</f>
        <v>3542</v>
      </c>
      <c r="BA46" s="25">
        <f>HLOOKUP(BA$7,$I$66:$DJ$120,ROWS($A$10:$A46)+2,FALSE)</f>
        <v>11760</v>
      </c>
      <c r="BB46" s="25">
        <f>HLOOKUP(BB$7,$I$66:$DJ$120,ROWS($A$10:$A46)+2,FALSE)</f>
        <v>197</v>
      </c>
      <c r="BC46" s="25">
        <f>HLOOKUP(BC$7,$I$66:$DJ$120,ROWS($A$10:$A46)+2,FALSE)</f>
        <v>364</v>
      </c>
      <c r="BD46" s="25">
        <f>HLOOKUP(BD$7,$I$66:$DJ$120,ROWS($A$10:$A46)+2,FALSE)</f>
        <v>3193</v>
      </c>
      <c r="BE46" s="25">
        <f>HLOOKUP(BE$7,$I$66:$DJ$120,ROWS($A$10:$A46)+2,FALSE)</f>
        <v>2862</v>
      </c>
      <c r="BF46" s="25">
        <f>HLOOKUP(BF$7,$I$66:$DJ$120,ROWS($A$10:$A46)+2,FALSE)</f>
        <v>7820</v>
      </c>
      <c r="BG46" s="25">
        <f>HLOOKUP(BG$7,$I$66:$DJ$120,ROWS($A$10:$A46)+2,FALSE)</f>
        <v>974</v>
      </c>
      <c r="BH46" s="25">
        <f>HLOOKUP(BH$7,$I$66:$DJ$120,ROWS($A$10:$A46)+2,FALSE)</f>
        <v>202</v>
      </c>
      <c r="BI46" s="25">
        <f>HLOOKUP(BI$7,$I$66:$DJ$120,ROWS($A$10:$A46)+2,FALSE)</f>
        <v>1403</v>
      </c>
      <c r="BJ46" s="34">
        <f>HLOOKUP(BJ$7+0.5,$I$66:$DJ$120,ROWS($A$10:$A46)+2,FALSE)</f>
        <v>9611</v>
      </c>
      <c r="BK46" s="34">
        <f>HLOOKUP(BK$7+0.5,$I$66:$DJ$120,ROWS($A$10:$A46)+2,FALSE)</f>
        <v>2297</v>
      </c>
      <c r="BL46" s="34">
        <f>HLOOKUP(BL$7+0.5,$I$66:$DJ$120,ROWS($A$10:$A46)+2,FALSE)</f>
        <v>1757</v>
      </c>
      <c r="BM46" s="34">
        <f>HLOOKUP(BM$7+0.5,$I$66:$DJ$120,ROWS($A$10:$A46)+2,FALSE)</f>
        <v>1912</v>
      </c>
      <c r="BN46" s="34">
        <f>HLOOKUP(BN$7+0.5,$I$66:$DJ$120,ROWS($A$10:$A46)+2,FALSE)</f>
        <v>604</v>
      </c>
      <c r="BO46" s="34">
        <f>HLOOKUP(BO$7+0.5,$I$66:$DJ$120,ROWS($A$10:$A46)+2,FALSE)</f>
        <v>1803</v>
      </c>
      <c r="BP46" s="34">
        <f>HLOOKUP(BP$7+0.5,$I$66:$DJ$120,ROWS($A$10:$A46)+2,FALSE)</f>
        <v>1230</v>
      </c>
      <c r="BQ46" s="34">
        <f>HLOOKUP(BQ$7+0.5,$I$66:$DJ$120,ROWS($A$10:$A46)+2,FALSE)</f>
        <v>887</v>
      </c>
      <c r="BR46" s="34">
        <f>HLOOKUP(BR$7+0.5,$I$66:$DJ$120,ROWS($A$10:$A46)+2,FALSE)</f>
        <v>696</v>
      </c>
      <c r="BS46" s="34">
        <f>HLOOKUP(BS$7+0.5,$I$66:$DJ$120,ROWS($A$10:$A46)+2,FALSE)</f>
        <v>722</v>
      </c>
      <c r="BT46" s="34">
        <f>HLOOKUP(BT$7+0.5,$I$66:$DJ$120,ROWS($A$10:$A46)+2,FALSE)</f>
        <v>2560</v>
      </c>
      <c r="BU46" s="34">
        <f>HLOOKUP(BU$7+0.5,$I$66:$DJ$120,ROWS($A$10:$A46)+2,FALSE)</f>
        <v>2973</v>
      </c>
      <c r="BV46" s="34">
        <f>HLOOKUP(BV$7+0.5,$I$66:$DJ$120,ROWS($A$10:$A46)+2,FALSE)</f>
        <v>591</v>
      </c>
      <c r="BW46" s="34">
        <f>HLOOKUP(BW$7+0.5,$I$66:$DJ$120,ROWS($A$10:$A46)+2,FALSE)</f>
        <v>295</v>
      </c>
      <c r="BX46" s="34">
        <f>HLOOKUP(BX$7+0.5,$I$66:$DJ$120,ROWS($A$10:$A46)+2,FALSE)</f>
        <v>2157</v>
      </c>
      <c r="BY46" s="34">
        <f>HLOOKUP(BY$7+0.5,$I$66:$DJ$120,ROWS($A$10:$A46)+2,FALSE)</f>
        <v>2157</v>
      </c>
      <c r="BZ46" s="34">
        <f>HLOOKUP(BZ$7+0.5,$I$66:$DJ$120,ROWS($A$10:$A46)+2,FALSE)</f>
        <v>765</v>
      </c>
      <c r="CA46" s="34">
        <f>HLOOKUP(CA$7+0.5,$I$66:$DJ$120,ROWS($A$10:$A46)+2,FALSE)</f>
        <v>617</v>
      </c>
      <c r="CB46" s="34">
        <f>HLOOKUP(CB$7+0.5,$I$66:$DJ$120,ROWS($A$10:$A46)+2,FALSE)</f>
        <v>2976</v>
      </c>
      <c r="CC46" s="34">
        <f>HLOOKUP(CC$7+0.5,$I$66:$DJ$120,ROWS($A$10:$A46)+2,FALSE)</f>
        <v>1011</v>
      </c>
      <c r="CD46" s="34">
        <f>HLOOKUP(CD$7+0.5,$I$66:$DJ$120,ROWS($A$10:$A46)+2,FALSE)</f>
        <v>889</v>
      </c>
      <c r="CE46" s="34">
        <f>HLOOKUP(CE$7+0.5,$I$66:$DJ$120,ROWS($A$10:$A46)+2,FALSE)</f>
        <v>2570</v>
      </c>
      <c r="CF46" s="34">
        <f>HLOOKUP(CF$7+0.5,$I$66:$DJ$120,ROWS($A$10:$A46)+2,FALSE)</f>
        <v>808</v>
      </c>
      <c r="CG46" s="34">
        <f>HLOOKUP(CG$7+0.5,$I$66:$DJ$120,ROWS($A$10:$A46)+2,FALSE)</f>
        <v>2656</v>
      </c>
      <c r="CH46" s="34">
        <f>HLOOKUP(CH$7+0.5,$I$66:$DJ$120,ROWS($A$10:$A46)+2,FALSE)</f>
        <v>597</v>
      </c>
      <c r="CI46" s="34">
        <f>HLOOKUP(CI$7+0.5,$I$66:$DJ$120,ROWS($A$10:$A46)+2,FALSE)</f>
        <v>865</v>
      </c>
      <c r="CJ46" s="34">
        <f>HLOOKUP(CJ$7+0.5,$I$66:$DJ$120,ROWS($A$10:$A46)+2,FALSE)</f>
        <v>1068</v>
      </c>
      <c r="CK46" s="34">
        <f>HLOOKUP(CK$7+0.5,$I$66:$DJ$120,ROWS($A$10:$A46)+2,FALSE)</f>
        <v>292</v>
      </c>
      <c r="CL46" s="34">
        <f>HLOOKUP(CL$7+0.5,$I$66:$DJ$120,ROWS($A$10:$A46)+2,FALSE)</f>
        <v>656</v>
      </c>
      <c r="CM46" s="34">
        <f>HLOOKUP(CM$7+0.5,$I$66:$DJ$120,ROWS($A$10:$A46)+2,FALSE)</f>
        <v>525</v>
      </c>
      <c r="CN46" s="34">
        <f>HLOOKUP(CN$7+0.5,$I$66:$DJ$120,ROWS($A$10:$A46)+2,FALSE)</f>
        <v>156</v>
      </c>
      <c r="CO46" s="34">
        <f>HLOOKUP(CO$7+0.5,$I$66:$DJ$120,ROWS($A$10:$A46)+2,FALSE)</f>
        <v>2119</v>
      </c>
      <c r="CP46" s="34">
        <f>HLOOKUP(CP$7+0.5,$I$66:$DJ$120,ROWS($A$10:$A46)+2,FALSE)</f>
        <v>817</v>
      </c>
      <c r="CQ46" s="34">
        <f>HLOOKUP(CQ$7+0.5,$I$66:$DJ$120,ROWS($A$10:$A46)+2,FALSE)</f>
        <v>1741</v>
      </c>
      <c r="CR46" s="34">
        <f>HLOOKUP(CR$7+0.5,$I$66:$DJ$120,ROWS($A$10:$A46)+2,FALSE)</f>
        <v>1525</v>
      </c>
      <c r="CS46" s="34">
        <f>HLOOKUP(CS$7+0.5,$I$66:$DJ$120,ROWS($A$10:$A46)+2,FALSE)</f>
        <v>346</v>
      </c>
      <c r="CT46" s="34" t="str">
        <f>HLOOKUP(CT$7+0.5,$I$66:$DJ$120,ROWS($A$10:$A46)+2,FALSE)</f>
        <v>N/A</v>
      </c>
      <c r="CU46" s="34">
        <f>HLOOKUP(CU$7+0.5,$I$66:$DJ$120,ROWS($A$10:$A46)+2,FALSE)</f>
        <v>417</v>
      </c>
      <c r="CV46" s="34">
        <f>HLOOKUP(CV$7+0.5,$I$66:$DJ$120,ROWS($A$10:$A46)+2,FALSE)</f>
        <v>307</v>
      </c>
      <c r="CW46" s="34">
        <f>HLOOKUP(CW$7+0.5,$I$66:$DJ$120,ROWS($A$10:$A46)+2,FALSE)</f>
        <v>2612</v>
      </c>
      <c r="CX46" s="34">
        <f>HLOOKUP(CX$7+0.5,$I$66:$DJ$120,ROWS($A$10:$A46)+2,FALSE)</f>
        <v>384</v>
      </c>
      <c r="CY46" s="34">
        <f>HLOOKUP(CY$7+0.5,$I$66:$DJ$120,ROWS($A$10:$A46)+2,FALSE)</f>
        <v>1029</v>
      </c>
      <c r="CZ46" s="34">
        <f>HLOOKUP(CZ$7+0.5,$I$66:$DJ$120,ROWS($A$10:$A46)+2,FALSE)</f>
        <v>76</v>
      </c>
      <c r="DA46" s="34">
        <f>HLOOKUP(DA$7+0.5,$I$66:$DJ$120,ROWS($A$10:$A46)+2,FALSE)</f>
        <v>1429</v>
      </c>
      <c r="DB46" s="34">
        <f>HLOOKUP(DB$7+0.5,$I$66:$DJ$120,ROWS($A$10:$A46)+2,FALSE)</f>
        <v>2739</v>
      </c>
      <c r="DC46" s="34">
        <f>HLOOKUP(DC$7+0.5,$I$66:$DJ$120,ROWS($A$10:$A46)+2,FALSE)</f>
        <v>211</v>
      </c>
      <c r="DD46" s="34">
        <f>HLOOKUP(DD$7+0.5,$I$66:$DJ$120,ROWS($A$10:$A46)+2,FALSE)</f>
        <v>350</v>
      </c>
      <c r="DE46" s="34">
        <f>HLOOKUP(DE$7+0.5,$I$66:$DJ$120,ROWS($A$10:$A46)+2,FALSE)</f>
        <v>1055</v>
      </c>
      <c r="DF46" s="34">
        <f>HLOOKUP(DF$7+0.5,$I$66:$DJ$120,ROWS($A$10:$A46)+2,FALSE)</f>
        <v>2150</v>
      </c>
      <c r="DG46" s="34">
        <f>HLOOKUP(DG$7+0.5,$I$66:$DJ$120,ROWS($A$10:$A46)+2,FALSE)</f>
        <v>2219</v>
      </c>
      <c r="DH46" s="34">
        <f>HLOOKUP(DH$7+0.5,$I$66:$DJ$120,ROWS($A$10:$A46)+2,FALSE)</f>
        <v>725</v>
      </c>
      <c r="DI46" s="34">
        <f>HLOOKUP(DI$7+0.5,$I$66:$DJ$120,ROWS($A$10:$A46)+2,FALSE)</f>
        <v>210</v>
      </c>
      <c r="DJ46" s="34">
        <f>HLOOKUP(DJ$7+0.5,$I$66:$DJ$120,ROWS($A$10:$A46)+2,FALSE)</f>
        <v>910</v>
      </c>
    </row>
    <row r="47" spans="2:114" x14ac:dyDescent="0.25">
      <c r="B47" s="38" t="s">
        <v>43</v>
      </c>
      <c r="C47" s="15">
        <v>3762311</v>
      </c>
      <c r="D47" s="14">
        <v>2764</v>
      </c>
      <c r="E47" s="15">
        <v>3107367</v>
      </c>
      <c r="F47" s="14">
        <v>14635</v>
      </c>
      <c r="G47" s="15">
        <v>531347</v>
      </c>
      <c r="H47" s="14">
        <v>12812</v>
      </c>
      <c r="I47" s="36">
        <f>HLOOKUP(I$7,$I$66:$DJ$120,ROWS($A$10:$A47)+2,FALSE)</f>
        <v>108972</v>
      </c>
      <c r="J47" s="25">
        <f>HLOOKUP(J$7,$I$66:$DJ$120,ROWS($A$10:$A47)+2,FALSE)</f>
        <v>1030</v>
      </c>
      <c r="K47" s="25">
        <f>HLOOKUP(K$7,$I$66:$DJ$120,ROWS($A$10:$A47)+2,FALSE)</f>
        <v>1279</v>
      </c>
      <c r="L47" s="25">
        <f>HLOOKUP(L$7,$I$66:$DJ$120,ROWS($A$10:$A47)+2,FALSE)</f>
        <v>2974</v>
      </c>
      <c r="M47" s="25">
        <f>HLOOKUP(M$7,$I$66:$DJ$120,ROWS($A$10:$A47)+2,FALSE)</f>
        <v>5777</v>
      </c>
      <c r="N47" s="25">
        <f>HLOOKUP(N$7,$I$66:$DJ$120,ROWS($A$10:$A47)+2,FALSE)</f>
        <v>8950</v>
      </c>
      <c r="O47" s="25">
        <f>HLOOKUP(O$7,$I$66:$DJ$120,ROWS($A$10:$A47)+2,FALSE)</f>
        <v>4717</v>
      </c>
      <c r="P47" s="25">
        <f>HLOOKUP(P$7,$I$66:$DJ$120,ROWS($A$10:$A47)+2,FALSE)</f>
        <v>0</v>
      </c>
      <c r="Q47" s="25">
        <f>HLOOKUP(Q$7,$I$66:$DJ$120,ROWS($A$10:$A47)+2,FALSE)</f>
        <v>380</v>
      </c>
      <c r="R47" s="25">
        <f>HLOOKUP(R$7,$I$66:$DJ$120,ROWS($A$10:$A47)+2,FALSE)</f>
        <v>151</v>
      </c>
      <c r="S47" s="25">
        <f>HLOOKUP(S$7,$I$66:$DJ$120,ROWS($A$10:$A47)+2,FALSE)</f>
        <v>5011</v>
      </c>
      <c r="T47" s="25">
        <f>HLOOKUP(T$7,$I$66:$DJ$120,ROWS($A$10:$A47)+2,FALSE)</f>
        <v>2581</v>
      </c>
      <c r="U47" s="25">
        <f>HLOOKUP(U$7,$I$66:$DJ$120,ROWS($A$10:$A47)+2,FALSE)</f>
        <v>189</v>
      </c>
      <c r="V47" s="25">
        <f>HLOOKUP(V$7,$I$66:$DJ$120,ROWS($A$10:$A47)+2,FALSE)</f>
        <v>905</v>
      </c>
      <c r="W47" s="25">
        <f>HLOOKUP(W$7,$I$66:$DJ$120,ROWS($A$10:$A47)+2,FALSE)</f>
        <v>1100</v>
      </c>
      <c r="X47" s="25">
        <f>HLOOKUP(X$7,$I$66:$DJ$120,ROWS($A$10:$A47)+2,FALSE)</f>
        <v>1490</v>
      </c>
      <c r="Y47" s="25">
        <f>HLOOKUP(Y$7,$I$66:$DJ$120,ROWS($A$10:$A47)+2,FALSE)</f>
        <v>1088</v>
      </c>
      <c r="Z47" s="25">
        <f>HLOOKUP(Z$7,$I$66:$DJ$120,ROWS($A$10:$A47)+2,FALSE)</f>
        <v>7065</v>
      </c>
      <c r="AA47" s="25">
        <f>HLOOKUP(AA$7,$I$66:$DJ$120,ROWS($A$10:$A47)+2,FALSE)</f>
        <v>1354</v>
      </c>
      <c r="AB47" s="25">
        <f>HLOOKUP(AB$7,$I$66:$DJ$120,ROWS($A$10:$A47)+2,FALSE)</f>
        <v>2562</v>
      </c>
      <c r="AC47" s="25">
        <f>HLOOKUP(AC$7,$I$66:$DJ$120,ROWS($A$10:$A47)+2,FALSE)</f>
        <v>167</v>
      </c>
      <c r="AD47" s="25">
        <f>HLOOKUP(AD$7,$I$66:$DJ$120,ROWS($A$10:$A47)+2,FALSE)</f>
        <v>750</v>
      </c>
      <c r="AE47" s="25">
        <f>HLOOKUP(AE$7,$I$66:$DJ$120,ROWS($A$10:$A47)+2,FALSE)</f>
        <v>1233</v>
      </c>
      <c r="AF47" s="25">
        <f>HLOOKUP(AF$7,$I$66:$DJ$120,ROWS($A$10:$A47)+2,FALSE)</f>
        <v>1347</v>
      </c>
      <c r="AG47" s="25">
        <f>HLOOKUP(AG$7,$I$66:$DJ$120,ROWS($A$10:$A47)+2,FALSE)</f>
        <v>906</v>
      </c>
      <c r="AH47" s="25">
        <f>HLOOKUP(AH$7,$I$66:$DJ$120,ROWS($A$10:$A47)+2,FALSE)</f>
        <v>1850</v>
      </c>
      <c r="AI47" s="25">
        <f>HLOOKUP(AI$7,$I$66:$DJ$120,ROWS($A$10:$A47)+2,FALSE)</f>
        <v>5210</v>
      </c>
      <c r="AJ47" s="25">
        <f>HLOOKUP(AJ$7,$I$66:$DJ$120,ROWS($A$10:$A47)+2,FALSE)</f>
        <v>798</v>
      </c>
      <c r="AK47" s="25">
        <f>HLOOKUP(AK$7,$I$66:$DJ$120,ROWS($A$10:$A47)+2,FALSE)</f>
        <v>300</v>
      </c>
      <c r="AL47" s="25">
        <f>HLOOKUP(AL$7,$I$66:$DJ$120,ROWS($A$10:$A47)+2,FALSE)</f>
        <v>1101</v>
      </c>
      <c r="AM47" s="25">
        <f>HLOOKUP(AM$7,$I$66:$DJ$120,ROWS($A$10:$A47)+2,FALSE)</f>
        <v>549</v>
      </c>
      <c r="AN47" s="25">
        <f>HLOOKUP(AN$7,$I$66:$DJ$120,ROWS($A$10:$A47)+2,FALSE)</f>
        <v>1523</v>
      </c>
      <c r="AO47" s="25">
        <f>HLOOKUP(AO$7,$I$66:$DJ$120,ROWS($A$10:$A47)+2,FALSE)</f>
        <v>1244</v>
      </c>
      <c r="AP47" s="25">
        <f>HLOOKUP(AP$7,$I$66:$DJ$120,ROWS($A$10:$A47)+2,FALSE)</f>
        <v>1981</v>
      </c>
      <c r="AQ47" s="25">
        <f>HLOOKUP(AQ$7,$I$66:$DJ$120,ROWS($A$10:$A47)+2,FALSE)</f>
        <v>1961</v>
      </c>
      <c r="AR47" s="25">
        <f>HLOOKUP(AR$7,$I$66:$DJ$120,ROWS($A$10:$A47)+2,FALSE)</f>
        <v>308</v>
      </c>
      <c r="AS47" s="25">
        <f>HLOOKUP(AS$7,$I$66:$DJ$120,ROWS($A$10:$A47)+2,FALSE)</f>
        <v>1148</v>
      </c>
      <c r="AT47" s="25" t="str">
        <f>HLOOKUP(AT$7,$I$66:$DJ$120,ROWS($A$10:$A47)+2,FALSE)</f>
        <v>N/A</v>
      </c>
      <c r="AU47" s="25">
        <f>HLOOKUP(AU$7,$I$66:$DJ$120,ROWS($A$10:$A47)+2,FALSE)</f>
        <v>1261</v>
      </c>
      <c r="AV47" s="25">
        <f>HLOOKUP(AV$7,$I$66:$DJ$120,ROWS($A$10:$A47)+2,FALSE)</f>
        <v>494</v>
      </c>
      <c r="AW47" s="25">
        <f>HLOOKUP(AW$7,$I$66:$DJ$120,ROWS($A$10:$A47)+2,FALSE)</f>
        <v>0</v>
      </c>
      <c r="AX47" s="25">
        <f>HLOOKUP(AX$7,$I$66:$DJ$120,ROWS($A$10:$A47)+2,FALSE)</f>
        <v>569</v>
      </c>
      <c r="AY47" s="25">
        <f>HLOOKUP(AY$7,$I$66:$DJ$120,ROWS($A$10:$A47)+2,FALSE)</f>
        <v>108</v>
      </c>
      <c r="AZ47" s="25">
        <f>HLOOKUP(AZ$7,$I$66:$DJ$120,ROWS($A$10:$A47)+2,FALSE)</f>
        <v>2471</v>
      </c>
      <c r="BA47" s="25">
        <f>HLOOKUP(BA$7,$I$66:$DJ$120,ROWS($A$10:$A47)+2,FALSE)</f>
        <v>25508</v>
      </c>
      <c r="BB47" s="25">
        <f>HLOOKUP(BB$7,$I$66:$DJ$120,ROWS($A$10:$A47)+2,FALSE)</f>
        <v>2588</v>
      </c>
      <c r="BC47" s="25">
        <f>HLOOKUP(BC$7,$I$66:$DJ$120,ROWS($A$10:$A47)+2,FALSE)</f>
        <v>197</v>
      </c>
      <c r="BD47" s="25">
        <f>HLOOKUP(BD$7,$I$66:$DJ$120,ROWS($A$10:$A47)+2,FALSE)</f>
        <v>1749</v>
      </c>
      <c r="BE47" s="25">
        <f>HLOOKUP(BE$7,$I$66:$DJ$120,ROWS($A$10:$A47)+2,FALSE)</f>
        <v>1574</v>
      </c>
      <c r="BF47" s="25">
        <f>HLOOKUP(BF$7,$I$66:$DJ$120,ROWS($A$10:$A47)+2,FALSE)</f>
        <v>368</v>
      </c>
      <c r="BG47" s="25">
        <f>HLOOKUP(BG$7,$I$66:$DJ$120,ROWS($A$10:$A47)+2,FALSE)</f>
        <v>1061</v>
      </c>
      <c r="BH47" s="25">
        <f>HLOOKUP(BH$7,$I$66:$DJ$120,ROWS($A$10:$A47)+2,FALSE)</f>
        <v>45</v>
      </c>
      <c r="BI47" s="25">
        <f>HLOOKUP(BI$7,$I$66:$DJ$120,ROWS($A$10:$A47)+2,FALSE)</f>
        <v>0</v>
      </c>
      <c r="BJ47" s="34">
        <f>HLOOKUP(BJ$7+0.5,$I$66:$DJ$120,ROWS($A$10:$A47)+2,FALSE)</f>
        <v>6570</v>
      </c>
      <c r="BK47" s="34">
        <f>HLOOKUP(BK$7+0.5,$I$66:$DJ$120,ROWS($A$10:$A47)+2,FALSE)</f>
        <v>467</v>
      </c>
      <c r="BL47" s="34">
        <f>HLOOKUP(BL$7+0.5,$I$66:$DJ$120,ROWS($A$10:$A47)+2,FALSE)</f>
        <v>600</v>
      </c>
      <c r="BM47" s="34">
        <f>HLOOKUP(BM$7+0.5,$I$66:$DJ$120,ROWS($A$10:$A47)+2,FALSE)</f>
        <v>1435</v>
      </c>
      <c r="BN47" s="34">
        <f>HLOOKUP(BN$7+0.5,$I$66:$DJ$120,ROWS($A$10:$A47)+2,FALSE)</f>
        <v>1187</v>
      </c>
      <c r="BO47" s="34">
        <f>HLOOKUP(BO$7+0.5,$I$66:$DJ$120,ROWS($A$10:$A47)+2,FALSE)</f>
        <v>2184</v>
      </c>
      <c r="BP47" s="34">
        <f>HLOOKUP(BP$7+0.5,$I$66:$DJ$120,ROWS($A$10:$A47)+2,FALSE)</f>
        <v>1556</v>
      </c>
      <c r="BQ47" s="34">
        <f>HLOOKUP(BQ$7+0.5,$I$66:$DJ$120,ROWS($A$10:$A47)+2,FALSE)</f>
        <v>149</v>
      </c>
      <c r="BR47" s="34">
        <f>HLOOKUP(BR$7+0.5,$I$66:$DJ$120,ROWS($A$10:$A47)+2,FALSE)</f>
        <v>288</v>
      </c>
      <c r="BS47" s="34">
        <f>HLOOKUP(BS$7+0.5,$I$66:$DJ$120,ROWS($A$10:$A47)+2,FALSE)</f>
        <v>148</v>
      </c>
      <c r="BT47" s="34">
        <f>HLOOKUP(BT$7+0.5,$I$66:$DJ$120,ROWS($A$10:$A47)+2,FALSE)</f>
        <v>1525</v>
      </c>
      <c r="BU47" s="34">
        <f>HLOOKUP(BU$7+0.5,$I$66:$DJ$120,ROWS($A$10:$A47)+2,FALSE)</f>
        <v>935</v>
      </c>
      <c r="BV47" s="34">
        <f>HLOOKUP(BV$7+0.5,$I$66:$DJ$120,ROWS($A$10:$A47)+2,FALSE)</f>
        <v>295</v>
      </c>
      <c r="BW47" s="34">
        <f>HLOOKUP(BW$7+0.5,$I$66:$DJ$120,ROWS($A$10:$A47)+2,FALSE)</f>
        <v>600</v>
      </c>
      <c r="BX47" s="34">
        <f>HLOOKUP(BX$7+0.5,$I$66:$DJ$120,ROWS($A$10:$A47)+2,FALSE)</f>
        <v>487</v>
      </c>
      <c r="BY47" s="34">
        <f>HLOOKUP(BY$7+0.5,$I$66:$DJ$120,ROWS($A$10:$A47)+2,FALSE)</f>
        <v>936</v>
      </c>
      <c r="BZ47" s="34">
        <f>HLOOKUP(BZ$7+0.5,$I$66:$DJ$120,ROWS($A$10:$A47)+2,FALSE)</f>
        <v>689</v>
      </c>
      <c r="CA47" s="34">
        <f>HLOOKUP(CA$7+0.5,$I$66:$DJ$120,ROWS($A$10:$A47)+2,FALSE)</f>
        <v>1535</v>
      </c>
      <c r="CB47" s="34">
        <f>HLOOKUP(CB$7+0.5,$I$66:$DJ$120,ROWS($A$10:$A47)+2,FALSE)</f>
        <v>898</v>
      </c>
      <c r="CC47" s="34">
        <f>HLOOKUP(CC$7+0.5,$I$66:$DJ$120,ROWS($A$10:$A47)+2,FALSE)</f>
        <v>1354</v>
      </c>
      <c r="CD47" s="34">
        <f>HLOOKUP(CD$7+0.5,$I$66:$DJ$120,ROWS($A$10:$A47)+2,FALSE)</f>
        <v>260</v>
      </c>
      <c r="CE47" s="34">
        <f>HLOOKUP(CE$7+0.5,$I$66:$DJ$120,ROWS($A$10:$A47)+2,FALSE)</f>
        <v>685</v>
      </c>
      <c r="CF47" s="34">
        <f>HLOOKUP(CF$7+0.5,$I$66:$DJ$120,ROWS($A$10:$A47)+2,FALSE)</f>
        <v>906</v>
      </c>
      <c r="CG47" s="34">
        <f>HLOOKUP(CG$7+0.5,$I$66:$DJ$120,ROWS($A$10:$A47)+2,FALSE)</f>
        <v>671</v>
      </c>
      <c r="CH47" s="34">
        <f>HLOOKUP(CH$7+0.5,$I$66:$DJ$120,ROWS($A$10:$A47)+2,FALSE)</f>
        <v>469</v>
      </c>
      <c r="CI47" s="34">
        <f>HLOOKUP(CI$7+0.5,$I$66:$DJ$120,ROWS($A$10:$A47)+2,FALSE)</f>
        <v>752</v>
      </c>
      <c r="CJ47" s="34">
        <f>HLOOKUP(CJ$7+0.5,$I$66:$DJ$120,ROWS($A$10:$A47)+2,FALSE)</f>
        <v>1349</v>
      </c>
      <c r="CK47" s="34">
        <f>HLOOKUP(CK$7+0.5,$I$66:$DJ$120,ROWS($A$10:$A47)+2,FALSE)</f>
        <v>710</v>
      </c>
      <c r="CL47" s="34">
        <f>HLOOKUP(CL$7+0.5,$I$66:$DJ$120,ROWS($A$10:$A47)+2,FALSE)</f>
        <v>208</v>
      </c>
      <c r="CM47" s="34">
        <f>HLOOKUP(CM$7+0.5,$I$66:$DJ$120,ROWS($A$10:$A47)+2,FALSE)</f>
        <v>799</v>
      </c>
      <c r="CN47" s="34">
        <f>HLOOKUP(CN$7+0.5,$I$66:$DJ$120,ROWS($A$10:$A47)+2,FALSE)</f>
        <v>383</v>
      </c>
      <c r="CO47" s="34">
        <f>HLOOKUP(CO$7+0.5,$I$66:$DJ$120,ROWS($A$10:$A47)+2,FALSE)</f>
        <v>748</v>
      </c>
      <c r="CP47" s="34">
        <f>HLOOKUP(CP$7+0.5,$I$66:$DJ$120,ROWS($A$10:$A47)+2,FALSE)</f>
        <v>712</v>
      </c>
      <c r="CQ47" s="34">
        <f>HLOOKUP(CQ$7+0.5,$I$66:$DJ$120,ROWS($A$10:$A47)+2,FALSE)</f>
        <v>936</v>
      </c>
      <c r="CR47" s="34">
        <f>HLOOKUP(CR$7+0.5,$I$66:$DJ$120,ROWS($A$10:$A47)+2,FALSE)</f>
        <v>912</v>
      </c>
      <c r="CS47" s="34">
        <f>HLOOKUP(CS$7+0.5,$I$66:$DJ$120,ROWS($A$10:$A47)+2,FALSE)</f>
        <v>340</v>
      </c>
      <c r="CT47" s="34">
        <f>HLOOKUP(CT$7+0.5,$I$66:$DJ$120,ROWS($A$10:$A47)+2,FALSE)</f>
        <v>533</v>
      </c>
      <c r="CU47" s="34" t="str">
        <f>HLOOKUP(CU$7+0.5,$I$66:$DJ$120,ROWS($A$10:$A47)+2,FALSE)</f>
        <v>N/A</v>
      </c>
      <c r="CV47" s="34">
        <f>HLOOKUP(CV$7+0.5,$I$66:$DJ$120,ROWS($A$10:$A47)+2,FALSE)</f>
        <v>771</v>
      </c>
      <c r="CW47" s="34">
        <f>HLOOKUP(CW$7+0.5,$I$66:$DJ$120,ROWS($A$10:$A47)+2,FALSE)</f>
        <v>285</v>
      </c>
      <c r="CX47" s="34">
        <f>HLOOKUP(CX$7+0.5,$I$66:$DJ$120,ROWS($A$10:$A47)+2,FALSE)</f>
        <v>149</v>
      </c>
      <c r="CY47" s="34">
        <f>HLOOKUP(CY$7+0.5,$I$66:$DJ$120,ROWS($A$10:$A47)+2,FALSE)</f>
        <v>346</v>
      </c>
      <c r="CZ47" s="34">
        <f>HLOOKUP(CZ$7+0.5,$I$66:$DJ$120,ROWS($A$10:$A47)+2,FALSE)</f>
        <v>154</v>
      </c>
      <c r="DA47" s="34">
        <f>HLOOKUP(DA$7+0.5,$I$66:$DJ$120,ROWS($A$10:$A47)+2,FALSE)</f>
        <v>1035</v>
      </c>
      <c r="DB47" s="34">
        <f>HLOOKUP(DB$7+0.5,$I$66:$DJ$120,ROWS($A$10:$A47)+2,FALSE)</f>
        <v>2960</v>
      </c>
      <c r="DC47" s="34">
        <f>HLOOKUP(DC$7+0.5,$I$66:$DJ$120,ROWS($A$10:$A47)+2,FALSE)</f>
        <v>1465</v>
      </c>
      <c r="DD47" s="34">
        <f>HLOOKUP(DD$7+0.5,$I$66:$DJ$120,ROWS($A$10:$A47)+2,FALSE)</f>
        <v>316</v>
      </c>
      <c r="DE47" s="34">
        <f>HLOOKUP(DE$7+0.5,$I$66:$DJ$120,ROWS($A$10:$A47)+2,FALSE)</f>
        <v>829</v>
      </c>
      <c r="DF47" s="34">
        <f>HLOOKUP(DF$7+0.5,$I$66:$DJ$120,ROWS($A$10:$A47)+2,FALSE)</f>
        <v>575</v>
      </c>
      <c r="DG47" s="34">
        <f>HLOOKUP(DG$7+0.5,$I$66:$DJ$120,ROWS($A$10:$A47)+2,FALSE)</f>
        <v>298</v>
      </c>
      <c r="DH47" s="34">
        <f>HLOOKUP(DH$7+0.5,$I$66:$DJ$120,ROWS($A$10:$A47)+2,FALSE)</f>
        <v>758</v>
      </c>
      <c r="DI47" s="34">
        <f>HLOOKUP(DI$7+0.5,$I$66:$DJ$120,ROWS($A$10:$A47)+2,FALSE)</f>
        <v>68</v>
      </c>
      <c r="DJ47" s="34">
        <f>HLOOKUP(DJ$7+0.5,$I$66:$DJ$120,ROWS($A$10:$A47)+2,FALSE)</f>
        <v>149</v>
      </c>
    </row>
    <row r="48" spans="2:114" x14ac:dyDescent="0.25">
      <c r="B48" s="38" t="s">
        <v>44</v>
      </c>
      <c r="C48" s="15">
        <v>3857465</v>
      </c>
      <c r="D48" s="14">
        <v>2984</v>
      </c>
      <c r="E48" s="15">
        <v>3158450</v>
      </c>
      <c r="F48" s="14">
        <v>19251</v>
      </c>
      <c r="G48" s="15">
        <v>560673</v>
      </c>
      <c r="H48" s="14">
        <v>17729</v>
      </c>
      <c r="I48" s="36">
        <f>HLOOKUP(I$7,$I$66:$DJ$120,ROWS($A$10:$A48)+2,FALSE)</f>
        <v>118925</v>
      </c>
      <c r="J48" s="25">
        <f>HLOOKUP(J$7,$I$66:$DJ$120,ROWS($A$10:$A48)+2,FALSE)</f>
        <v>373</v>
      </c>
      <c r="K48" s="25">
        <f>HLOOKUP(K$7,$I$66:$DJ$120,ROWS($A$10:$A48)+2,FALSE)</f>
        <v>2513</v>
      </c>
      <c r="L48" s="25">
        <f>HLOOKUP(L$7,$I$66:$DJ$120,ROWS($A$10:$A48)+2,FALSE)</f>
        <v>7954</v>
      </c>
      <c r="M48" s="25">
        <f>HLOOKUP(M$7,$I$66:$DJ$120,ROWS($A$10:$A48)+2,FALSE)</f>
        <v>165</v>
      </c>
      <c r="N48" s="25">
        <f>HLOOKUP(N$7,$I$66:$DJ$120,ROWS($A$10:$A48)+2,FALSE)</f>
        <v>31862</v>
      </c>
      <c r="O48" s="25">
        <f>HLOOKUP(O$7,$I$66:$DJ$120,ROWS($A$10:$A48)+2,FALSE)</f>
        <v>4472</v>
      </c>
      <c r="P48" s="25">
        <f>HLOOKUP(P$7,$I$66:$DJ$120,ROWS($A$10:$A48)+2,FALSE)</f>
        <v>381</v>
      </c>
      <c r="Q48" s="25">
        <f>HLOOKUP(Q$7,$I$66:$DJ$120,ROWS($A$10:$A48)+2,FALSE)</f>
        <v>0</v>
      </c>
      <c r="R48" s="25">
        <f>HLOOKUP(R$7,$I$66:$DJ$120,ROWS($A$10:$A48)+2,FALSE)</f>
        <v>696</v>
      </c>
      <c r="S48" s="25">
        <f>HLOOKUP(S$7,$I$66:$DJ$120,ROWS($A$10:$A48)+2,FALSE)</f>
        <v>1660</v>
      </c>
      <c r="T48" s="25">
        <f>HLOOKUP(T$7,$I$66:$DJ$120,ROWS($A$10:$A48)+2,FALSE)</f>
        <v>1032</v>
      </c>
      <c r="U48" s="25">
        <f>HLOOKUP(U$7,$I$66:$DJ$120,ROWS($A$10:$A48)+2,FALSE)</f>
        <v>2501</v>
      </c>
      <c r="V48" s="25">
        <f>HLOOKUP(V$7,$I$66:$DJ$120,ROWS($A$10:$A48)+2,FALSE)</f>
        <v>5093</v>
      </c>
      <c r="W48" s="25">
        <f>HLOOKUP(W$7,$I$66:$DJ$120,ROWS($A$10:$A48)+2,FALSE)</f>
        <v>1676</v>
      </c>
      <c r="X48" s="25">
        <f>HLOOKUP(X$7,$I$66:$DJ$120,ROWS($A$10:$A48)+2,FALSE)</f>
        <v>1380</v>
      </c>
      <c r="Y48" s="25">
        <f>HLOOKUP(Y$7,$I$66:$DJ$120,ROWS($A$10:$A48)+2,FALSE)</f>
        <v>834</v>
      </c>
      <c r="Z48" s="25">
        <f>HLOOKUP(Z$7,$I$66:$DJ$120,ROWS($A$10:$A48)+2,FALSE)</f>
        <v>556</v>
      </c>
      <c r="AA48" s="25">
        <f>HLOOKUP(AA$7,$I$66:$DJ$120,ROWS($A$10:$A48)+2,FALSE)</f>
        <v>202</v>
      </c>
      <c r="AB48" s="25">
        <f>HLOOKUP(AB$7,$I$66:$DJ$120,ROWS($A$10:$A48)+2,FALSE)</f>
        <v>227</v>
      </c>
      <c r="AC48" s="25">
        <f>HLOOKUP(AC$7,$I$66:$DJ$120,ROWS($A$10:$A48)+2,FALSE)</f>
        <v>446</v>
      </c>
      <c r="AD48" s="25">
        <f>HLOOKUP(AD$7,$I$66:$DJ$120,ROWS($A$10:$A48)+2,FALSE)</f>
        <v>457</v>
      </c>
      <c r="AE48" s="25">
        <f>HLOOKUP(AE$7,$I$66:$DJ$120,ROWS($A$10:$A48)+2,FALSE)</f>
        <v>760</v>
      </c>
      <c r="AF48" s="25">
        <f>HLOOKUP(AF$7,$I$66:$DJ$120,ROWS($A$10:$A48)+2,FALSE)</f>
        <v>570</v>
      </c>
      <c r="AG48" s="25">
        <f>HLOOKUP(AG$7,$I$66:$DJ$120,ROWS($A$10:$A48)+2,FALSE)</f>
        <v>1792</v>
      </c>
      <c r="AH48" s="25">
        <f>HLOOKUP(AH$7,$I$66:$DJ$120,ROWS($A$10:$A48)+2,FALSE)</f>
        <v>186</v>
      </c>
      <c r="AI48" s="25">
        <f>HLOOKUP(AI$7,$I$66:$DJ$120,ROWS($A$10:$A48)+2,FALSE)</f>
        <v>403</v>
      </c>
      <c r="AJ48" s="25">
        <f>HLOOKUP(AJ$7,$I$66:$DJ$120,ROWS($A$10:$A48)+2,FALSE)</f>
        <v>2192</v>
      </c>
      <c r="AK48" s="25">
        <f>HLOOKUP(AK$7,$I$66:$DJ$120,ROWS($A$10:$A48)+2,FALSE)</f>
        <v>570</v>
      </c>
      <c r="AL48" s="25">
        <f>HLOOKUP(AL$7,$I$66:$DJ$120,ROWS($A$10:$A48)+2,FALSE)</f>
        <v>5935</v>
      </c>
      <c r="AM48" s="25">
        <f>HLOOKUP(AM$7,$I$66:$DJ$120,ROWS($A$10:$A48)+2,FALSE)</f>
        <v>39</v>
      </c>
      <c r="AN48" s="25">
        <f>HLOOKUP(AN$7,$I$66:$DJ$120,ROWS($A$10:$A48)+2,FALSE)</f>
        <v>385</v>
      </c>
      <c r="AO48" s="25">
        <f>HLOOKUP(AO$7,$I$66:$DJ$120,ROWS($A$10:$A48)+2,FALSE)</f>
        <v>920</v>
      </c>
      <c r="AP48" s="25">
        <f>HLOOKUP(AP$7,$I$66:$DJ$120,ROWS($A$10:$A48)+2,FALSE)</f>
        <v>2379</v>
      </c>
      <c r="AQ48" s="25">
        <f>HLOOKUP(AQ$7,$I$66:$DJ$120,ROWS($A$10:$A48)+2,FALSE)</f>
        <v>1482</v>
      </c>
      <c r="AR48" s="25">
        <f>HLOOKUP(AR$7,$I$66:$DJ$120,ROWS($A$10:$A48)+2,FALSE)</f>
        <v>42</v>
      </c>
      <c r="AS48" s="25">
        <f>HLOOKUP(AS$7,$I$66:$DJ$120,ROWS($A$10:$A48)+2,FALSE)</f>
        <v>1411</v>
      </c>
      <c r="AT48" s="25">
        <f>HLOOKUP(AT$7,$I$66:$DJ$120,ROWS($A$10:$A48)+2,FALSE)</f>
        <v>725</v>
      </c>
      <c r="AU48" s="25" t="str">
        <f>HLOOKUP(AU$7,$I$66:$DJ$120,ROWS($A$10:$A48)+2,FALSE)</f>
        <v>N/A</v>
      </c>
      <c r="AV48" s="25">
        <f>HLOOKUP(AV$7,$I$66:$DJ$120,ROWS($A$10:$A48)+2,FALSE)</f>
        <v>904</v>
      </c>
      <c r="AW48" s="25">
        <f>HLOOKUP(AW$7,$I$66:$DJ$120,ROWS($A$10:$A48)+2,FALSE)</f>
        <v>177</v>
      </c>
      <c r="AX48" s="25">
        <f>HLOOKUP(AX$7,$I$66:$DJ$120,ROWS($A$10:$A48)+2,FALSE)</f>
        <v>461</v>
      </c>
      <c r="AY48" s="25">
        <f>HLOOKUP(AY$7,$I$66:$DJ$120,ROWS($A$10:$A48)+2,FALSE)</f>
        <v>119</v>
      </c>
      <c r="AZ48" s="25">
        <f>HLOOKUP(AZ$7,$I$66:$DJ$120,ROWS($A$10:$A48)+2,FALSE)</f>
        <v>802</v>
      </c>
      <c r="BA48" s="25">
        <f>HLOOKUP(BA$7,$I$66:$DJ$120,ROWS($A$10:$A48)+2,FALSE)</f>
        <v>3347</v>
      </c>
      <c r="BB48" s="25">
        <f>HLOOKUP(BB$7,$I$66:$DJ$120,ROWS($A$10:$A48)+2,FALSE)</f>
        <v>4793</v>
      </c>
      <c r="BC48" s="25">
        <f>HLOOKUP(BC$7,$I$66:$DJ$120,ROWS($A$10:$A48)+2,FALSE)</f>
        <v>367</v>
      </c>
      <c r="BD48" s="25">
        <f>HLOOKUP(BD$7,$I$66:$DJ$120,ROWS($A$10:$A48)+2,FALSE)</f>
        <v>676</v>
      </c>
      <c r="BE48" s="25">
        <f>HLOOKUP(BE$7,$I$66:$DJ$120,ROWS($A$10:$A48)+2,FALSE)</f>
        <v>21224</v>
      </c>
      <c r="BF48" s="25">
        <f>HLOOKUP(BF$7,$I$66:$DJ$120,ROWS($A$10:$A48)+2,FALSE)</f>
        <v>593</v>
      </c>
      <c r="BG48" s="25">
        <f>HLOOKUP(BG$7,$I$66:$DJ$120,ROWS($A$10:$A48)+2,FALSE)</f>
        <v>426</v>
      </c>
      <c r="BH48" s="25">
        <f>HLOOKUP(BH$7,$I$66:$DJ$120,ROWS($A$10:$A48)+2,FALSE)</f>
        <v>765</v>
      </c>
      <c r="BI48" s="25">
        <f>HLOOKUP(BI$7,$I$66:$DJ$120,ROWS($A$10:$A48)+2,FALSE)</f>
        <v>152</v>
      </c>
      <c r="BJ48" s="34">
        <f>HLOOKUP(BJ$7+0.5,$I$66:$DJ$120,ROWS($A$10:$A48)+2,FALSE)</f>
        <v>7769</v>
      </c>
      <c r="BK48" s="34">
        <f>HLOOKUP(BK$7+0.5,$I$66:$DJ$120,ROWS($A$10:$A48)+2,FALSE)</f>
        <v>425</v>
      </c>
      <c r="BL48" s="34">
        <f>HLOOKUP(BL$7+0.5,$I$66:$DJ$120,ROWS($A$10:$A48)+2,FALSE)</f>
        <v>953</v>
      </c>
      <c r="BM48" s="34">
        <f>HLOOKUP(BM$7+0.5,$I$66:$DJ$120,ROWS($A$10:$A48)+2,FALSE)</f>
        <v>2060</v>
      </c>
      <c r="BN48" s="34">
        <f>HLOOKUP(BN$7+0.5,$I$66:$DJ$120,ROWS($A$10:$A48)+2,FALSE)</f>
        <v>158</v>
      </c>
      <c r="BO48" s="34">
        <f>HLOOKUP(BO$7+0.5,$I$66:$DJ$120,ROWS($A$10:$A48)+2,FALSE)</f>
        <v>3767</v>
      </c>
      <c r="BP48" s="34">
        <f>HLOOKUP(BP$7+0.5,$I$66:$DJ$120,ROWS($A$10:$A48)+2,FALSE)</f>
        <v>2133</v>
      </c>
      <c r="BQ48" s="34">
        <f>HLOOKUP(BQ$7+0.5,$I$66:$DJ$120,ROWS($A$10:$A48)+2,FALSE)</f>
        <v>457</v>
      </c>
      <c r="BR48" s="34">
        <f>HLOOKUP(BR$7+0.5,$I$66:$DJ$120,ROWS($A$10:$A48)+2,FALSE)</f>
        <v>193</v>
      </c>
      <c r="BS48" s="34">
        <f>HLOOKUP(BS$7+0.5,$I$66:$DJ$120,ROWS($A$10:$A48)+2,FALSE)</f>
        <v>919</v>
      </c>
      <c r="BT48" s="34">
        <f>HLOOKUP(BT$7+0.5,$I$66:$DJ$120,ROWS($A$10:$A48)+2,FALSE)</f>
        <v>620</v>
      </c>
      <c r="BU48" s="34">
        <f>HLOOKUP(BU$7+0.5,$I$66:$DJ$120,ROWS($A$10:$A48)+2,FALSE)</f>
        <v>523</v>
      </c>
      <c r="BV48" s="34">
        <f>HLOOKUP(BV$7+0.5,$I$66:$DJ$120,ROWS($A$10:$A48)+2,FALSE)</f>
        <v>813</v>
      </c>
      <c r="BW48" s="34">
        <f>HLOOKUP(BW$7+0.5,$I$66:$DJ$120,ROWS($A$10:$A48)+2,FALSE)</f>
        <v>1880</v>
      </c>
      <c r="BX48" s="34">
        <f>HLOOKUP(BX$7+0.5,$I$66:$DJ$120,ROWS($A$10:$A48)+2,FALSE)</f>
        <v>1192</v>
      </c>
      <c r="BY48" s="34">
        <f>HLOOKUP(BY$7+0.5,$I$66:$DJ$120,ROWS($A$10:$A48)+2,FALSE)</f>
        <v>1000</v>
      </c>
      <c r="BZ48" s="34">
        <f>HLOOKUP(BZ$7+0.5,$I$66:$DJ$120,ROWS($A$10:$A48)+2,FALSE)</f>
        <v>781</v>
      </c>
      <c r="CA48" s="34">
        <f>HLOOKUP(CA$7+0.5,$I$66:$DJ$120,ROWS($A$10:$A48)+2,FALSE)</f>
        <v>534</v>
      </c>
      <c r="CB48" s="34">
        <f>HLOOKUP(CB$7+0.5,$I$66:$DJ$120,ROWS($A$10:$A48)+2,FALSE)</f>
        <v>261</v>
      </c>
      <c r="CC48" s="34">
        <f>HLOOKUP(CC$7+0.5,$I$66:$DJ$120,ROWS($A$10:$A48)+2,FALSE)</f>
        <v>229</v>
      </c>
      <c r="CD48" s="34">
        <f>HLOOKUP(CD$7+0.5,$I$66:$DJ$120,ROWS($A$10:$A48)+2,FALSE)</f>
        <v>353</v>
      </c>
      <c r="CE48" s="34">
        <f>HLOOKUP(CE$7+0.5,$I$66:$DJ$120,ROWS($A$10:$A48)+2,FALSE)</f>
        <v>422</v>
      </c>
      <c r="CF48" s="34">
        <f>HLOOKUP(CF$7+0.5,$I$66:$DJ$120,ROWS($A$10:$A48)+2,FALSE)</f>
        <v>604</v>
      </c>
      <c r="CG48" s="34">
        <f>HLOOKUP(CG$7+0.5,$I$66:$DJ$120,ROWS($A$10:$A48)+2,FALSE)</f>
        <v>338</v>
      </c>
      <c r="CH48" s="34">
        <f>HLOOKUP(CH$7+0.5,$I$66:$DJ$120,ROWS($A$10:$A48)+2,FALSE)</f>
        <v>799</v>
      </c>
      <c r="CI48" s="34">
        <f>HLOOKUP(CI$7+0.5,$I$66:$DJ$120,ROWS($A$10:$A48)+2,FALSE)</f>
        <v>237</v>
      </c>
      <c r="CJ48" s="34">
        <f>HLOOKUP(CJ$7+0.5,$I$66:$DJ$120,ROWS($A$10:$A48)+2,FALSE)</f>
        <v>269</v>
      </c>
      <c r="CK48" s="34">
        <f>HLOOKUP(CK$7+0.5,$I$66:$DJ$120,ROWS($A$10:$A48)+2,FALSE)</f>
        <v>968</v>
      </c>
      <c r="CL48" s="34">
        <f>HLOOKUP(CL$7+0.5,$I$66:$DJ$120,ROWS($A$10:$A48)+2,FALSE)</f>
        <v>448</v>
      </c>
      <c r="CM48" s="34">
        <f>HLOOKUP(CM$7+0.5,$I$66:$DJ$120,ROWS($A$10:$A48)+2,FALSE)</f>
        <v>2774</v>
      </c>
      <c r="CN48" s="34">
        <f>HLOOKUP(CN$7+0.5,$I$66:$DJ$120,ROWS($A$10:$A48)+2,FALSE)</f>
        <v>65</v>
      </c>
      <c r="CO48" s="34">
        <f>HLOOKUP(CO$7+0.5,$I$66:$DJ$120,ROWS($A$10:$A48)+2,FALSE)</f>
        <v>327</v>
      </c>
      <c r="CP48" s="34">
        <f>HLOOKUP(CP$7+0.5,$I$66:$DJ$120,ROWS($A$10:$A48)+2,FALSE)</f>
        <v>676</v>
      </c>
      <c r="CQ48" s="34">
        <f>HLOOKUP(CQ$7+0.5,$I$66:$DJ$120,ROWS($A$10:$A48)+2,FALSE)</f>
        <v>1032</v>
      </c>
      <c r="CR48" s="34">
        <f>HLOOKUP(CR$7+0.5,$I$66:$DJ$120,ROWS($A$10:$A48)+2,FALSE)</f>
        <v>1046</v>
      </c>
      <c r="CS48" s="34">
        <f>HLOOKUP(CS$7+0.5,$I$66:$DJ$120,ROWS($A$10:$A48)+2,FALSE)</f>
        <v>85</v>
      </c>
      <c r="CT48" s="34">
        <f>HLOOKUP(CT$7+0.5,$I$66:$DJ$120,ROWS($A$10:$A48)+2,FALSE)</f>
        <v>789</v>
      </c>
      <c r="CU48" s="34">
        <f>HLOOKUP(CU$7+0.5,$I$66:$DJ$120,ROWS($A$10:$A48)+2,FALSE)</f>
        <v>546</v>
      </c>
      <c r="CV48" s="34" t="str">
        <f>HLOOKUP(CV$7+0.5,$I$66:$DJ$120,ROWS($A$10:$A48)+2,FALSE)</f>
        <v>N/A</v>
      </c>
      <c r="CW48" s="34">
        <f>HLOOKUP(CW$7+0.5,$I$66:$DJ$120,ROWS($A$10:$A48)+2,FALSE)</f>
        <v>535</v>
      </c>
      <c r="CX48" s="34">
        <f>HLOOKUP(CX$7+0.5,$I$66:$DJ$120,ROWS($A$10:$A48)+2,FALSE)</f>
        <v>214</v>
      </c>
      <c r="CY48" s="34">
        <f>HLOOKUP(CY$7+0.5,$I$66:$DJ$120,ROWS($A$10:$A48)+2,FALSE)</f>
        <v>364</v>
      </c>
      <c r="CZ48" s="34">
        <f>HLOOKUP(CZ$7+0.5,$I$66:$DJ$120,ROWS($A$10:$A48)+2,FALSE)</f>
        <v>143</v>
      </c>
      <c r="DA48" s="34">
        <f>HLOOKUP(DA$7+0.5,$I$66:$DJ$120,ROWS($A$10:$A48)+2,FALSE)</f>
        <v>583</v>
      </c>
      <c r="DB48" s="34">
        <f>HLOOKUP(DB$7+0.5,$I$66:$DJ$120,ROWS($A$10:$A48)+2,FALSE)</f>
        <v>1277</v>
      </c>
      <c r="DC48" s="34">
        <f>HLOOKUP(DC$7+0.5,$I$66:$DJ$120,ROWS($A$10:$A48)+2,FALSE)</f>
        <v>2328</v>
      </c>
      <c r="DD48" s="34">
        <f>HLOOKUP(DD$7+0.5,$I$66:$DJ$120,ROWS($A$10:$A48)+2,FALSE)</f>
        <v>435</v>
      </c>
      <c r="DE48" s="34">
        <f>HLOOKUP(DE$7+0.5,$I$66:$DJ$120,ROWS($A$10:$A48)+2,FALSE)</f>
        <v>510</v>
      </c>
      <c r="DF48" s="34">
        <f>HLOOKUP(DF$7+0.5,$I$66:$DJ$120,ROWS($A$10:$A48)+2,FALSE)</f>
        <v>3153</v>
      </c>
      <c r="DG48" s="34">
        <f>HLOOKUP(DG$7+0.5,$I$66:$DJ$120,ROWS($A$10:$A48)+2,FALSE)</f>
        <v>502</v>
      </c>
      <c r="DH48" s="34">
        <f>HLOOKUP(DH$7+0.5,$I$66:$DJ$120,ROWS($A$10:$A48)+2,FALSE)</f>
        <v>284</v>
      </c>
      <c r="DI48" s="34">
        <f>HLOOKUP(DI$7+0.5,$I$66:$DJ$120,ROWS($A$10:$A48)+2,FALSE)</f>
        <v>664</v>
      </c>
      <c r="DJ48" s="34">
        <f>HLOOKUP(DJ$7+0.5,$I$66:$DJ$120,ROWS($A$10:$A48)+2,FALSE)</f>
        <v>177</v>
      </c>
    </row>
    <row r="49" spans="2:114" x14ac:dyDescent="0.25">
      <c r="B49" s="38" t="s">
        <v>45</v>
      </c>
      <c r="C49" s="15">
        <v>12630082</v>
      </c>
      <c r="D49" s="14">
        <v>4558</v>
      </c>
      <c r="E49" s="15">
        <v>11107110</v>
      </c>
      <c r="F49" s="14">
        <v>28998</v>
      </c>
      <c r="G49" s="15">
        <v>1252378</v>
      </c>
      <c r="H49" s="14">
        <v>26347</v>
      </c>
      <c r="I49" s="36">
        <f>HLOOKUP(I$7,$I$66:$DJ$120,ROWS($A$10:$A49)+2,FALSE)</f>
        <v>215500</v>
      </c>
      <c r="J49" s="25">
        <f>HLOOKUP(J$7,$I$66:$DJ$120,ROWS($A$10:$A49)+2,FALSE)</f>
        <v>1926</v>
      </c>
      <c r="K49" s="25">
        <f>HLOOKUP(K$7,$I$66:$DJ$120,ROWS($A$10:$A49)+2,FALSE)</f>
        <v>1658</v>
      </c>
      <c r="L49" s="25">
        <f>HLOOKUP(L$7,$I$66:$DJ$120,ROWS($A$10:$A49)+2,FALSE)</f>
        <v>3529</v>
      </c>
      <c r="M49" s="25">
        <f>HLOOKUP(M$7,$I$66:$DJ$120,ROWS($A$10:$A49)+2,FALSE)</f>
        <v>573</v>
      </c>
      <c r="N49" s="25">
        <f>HLOOKUP(N$7,$I$66:$DJ$120,ROWS($A$10:$A49)+2,FALSE)</f>
        <v>7772</v>
      </c>
      <c r="O49" s="25">
        <f>HLOOKUP(O$7,$I$66:$DJ$120,ROWS($A$10:$A49)+2,FALSE)</f>
        <v>2574</v>
      </c>
      <c r="P49" s="25">
        <f>HLOOKUP(P$7,$I$66:$DJ$120,ROWS($A$10:$A49)+2,FALSE)</f>
        <v>3311</v>
      </c>
      <c r="Q49" s="25">
        <f>HLOOKUP(Q$7,$I$66:$DJ$120,ROWS($A$10:$A49)+2,FALSE)</f>
        <v>4814</v>
      </c>
      <c r="R49" s="25">
        <f>HLOOKUP(R$7,$I$66:$DJ$120,ROWS($A$10:$A49)+2,FALSE)</f>
        <v>2921</v>
      </c>
      <c r="S49" s="25">
        <f>HLOOKUP(S$7,$I$66:$DJ$120,ROWS($A$10:$A49)+2,FALSE)</f>
        <v>14631</v>
      </c>
      <c r="T49" s="25">
        <f>HLOOKUP(T$7,$I$66:$DJ$120,ROWS($A$10:$A49)+2,FALSE)</f>
        <v>4337</v>
      </c>
      <c r="U49" s="25">
        <f>HLOOKUP(U$7,$I$66:$DJ$120,ROWS($A$10:$A49)+2,FALSE)</f>
        <v>245</v>
      </c>
      <c r="V49" s="25">
        <f>HLOOKUP(V$7,$I$66:$DJ$120,ROWS($A$10:$A49)+2,FALSE)</f>
        <v>359</v>
      </c>
      <c r="W49" s="25">
        <f>HLOOKUP(W$7,$I$66:$DJ$120,ROWS($A$10:$A49)+2,FALSE)</f>
        <v>3749</v>
      </c>
      <c r="X49" s="25">
        <f>HLOOKUP(X$7,$I$66:$DJ$120,ROWS($A$10:$A49)+2,FALSE)</f>
        <v>1599</v>
      </c>
      <c r="Y49" s="25">
        <f>HLOOKUP(Y$7,$I$66:$DJ$120,ROWS($A$10:$A49)+2,FALSE)</f>
        <v>125</v>
      </c>
      <c r="Z49" s="25">
        <f>HLOOKUP(Z$7,$I$66:$DJ$120,ROWS($A$10:$A49)+2,FALSE)</f>
        <v>967</v>
      </c>
      <c r="AA49" s="25">
        <f>HLOOKUP(AA$7,$I$66:$DJ$120,ROWS($A$10:$A49)+2,FALSE)</f>
        <v>1233</v>
      </c>
      <c r="AB49" s="25">
        <f>HLOOKUP(AB$7,$I$66:$DJ$120,ROWS($A$10:$A49)+2,FALSE)</f>
        <v>694</v>
      </c>
      <c r="AC49" s="25">
        <f>HLOOKUP(AC$7,$I$66:$DJ$120,ROWS($A$10:$A49)+2,FALSE)</f>
        <v>988</v>
      </c>
      <c r="AD49" s="25">
        <f>HLOOKUP(AD$7,$I$66:$DJ$120,ROWS($A$10:$A49)+2,FALSE)</f>
        <v>17529</v>
      </c>
      <c r="AE49" s="25">
        <f>HLOOKUP(AE$7,$I$66:$DJ$120,ROWS($A$10:$A49)+2,FALSE)</f>
        <v>5900</v>
      </c>
      <c r="AF49" s="25">
        <f>HLOOKUP(AF$7,$I$66:$DJ$120,ROWS($A$10:$A49)+2,FALSE)</f>
        <v>2642</v>
      </c>
      <c r="AG49" s="25">
        <f>HLOOKUP(AG$7,$I$66:$DJ$120,ROWS($A$10:$A49)+2,FALSE)</f>
        <v>1169</v>
      </c>
      <c r="AH49" s="25">
        <f>HLOOKUP(AH$7,$I$66:$DJ$120,ROWS($A$10:$A49)+2,FALSE)</f>
        <v>55</v>
      </c>
      <c r="AI49" s="25">
        <f>HLOOKUP(AI$7,$I$66:$DJ$120,ROWS($A$10:$A49)+2,FALSE)</f>
        <v>1171</v>
      </c>
      <c r="AJ49" s="25">
        <f>HLOOKUP(AJ$7,$I$66:$DJ$120,ROWS($A$10:$A49)+2,FALSE)</f>
        <v>135</v>
      </c>
      <c r="AK49" s="25">
        <f>HLOOKUP(AK$7,$I$66:$DJ$120,ROWS($A$10:$A49)+2,FALSE)</f>
        <v>214</v>
      </c>
      <c r="AL49" s="25">
        <f>HLOOKUP(AL$7,$I$66:$DJ$120,ROWS($A$10:$A49)+2,FALSE)</f>
        <v>1600</v>
      </c>
      <c r="AM49" s="25">
        <f>HLOOKUP(AM$7,$I$66:$DJ$120,ROWS($A$10:$A49)+2,FALSE)</f>
        <v>1138</v>
      </c>
      <c r="AN49" s="25">
        <f>HLOOKUP(AN$7,$I$66:$DJ$120,ROWS($A$10:$A49)+2,FALSE)</f>
        <v>33791</v>
      </c>
      <c r="AO49" s="25">
        <f>HLOOKUP(AO$7,$I$66:$DJ$120,ROWS($A$10:$A49)+2,FALSE)</f>
        <v>1001</v>
      </c>
      <c r="AP49" s="25">
        <f>HLOOKUP(AP$7,$I$66:$DJ$120,ROWS($A$10:$A49)+2,FALSE)</f>
        <v>32898</v>
      </c>
      <c r="AQ49" s="25">
        <f>HLOOKUP(AQ$7,$I$66:$DJ$120,ROWS($A$10:$A49)+2,FALSE)</f>
        <v>6380</v>
      </c>
      <c r="AR49" s="25">
        <f>HLOOKUP(AR$7,$I$66:$DJ$120,ROWS($A$10:$A49)+2,FALSE)</f>
        <v>166</v>
      </c>
      <c r="AS49" s="25">
        <f>HLOOKUP(AS$7,$I$66:$DJ$120,ROWS($A$10:$A49)+2,FALSE)</f>
        <v>14319</v>
      </c>
      <c r="AT49" s="25">
        <f>HLOOKUP(AT$7,$I$66:$DJ$120,ROWS($A$10:$A49)+2,FALSE)</f>
        <v>378</v>
      </c>
      <c r="AU49" s="25">
        <f>HLOOKUP(AU$7,$I$66:$DJ$120,ROWS($A$10:$A49)+2,FALSE)</f>
        <v>234</v>
      </c>
      <c r="AV49" s="25" t="str">
        <f>HLOOKUP(AV$7,$I$66:$DJ$120,ROWS($A$10:$A49)+2,FALSE)</f>
        <v>N/A</v>
      </c>
      <c r="AW49" s="25">
        <f>HLOOKUP(AW$7,$I$66:$DJ$120,ROWS($A$10:$A49)+2,FALSE)</f>
        <v>771</v>
      </c>
      <c r="AX49" s="25">
        <f>HLOOKUP(AX$7,$I$66:$DJ$120,ROWS($A$10:$A49)+2,FALSE)</f>
        <v>3023</v>
      </c>
      <c r="AY49" s="25">
        <f>HLOOKUP(AY$7,$I$66:$DJ$120,ROWS($A$10:$A49)+2,FALSE)</f>
        <v>159</v>
      </c>
      <c r="AZ49" s="25">
        <f>HLOOKUP(AZ$7,$I$66:$DJ$120,ROWS($A$10:$A49)+2,FALSE)</f>
        <v>1273</v>
      </c>
      <c r="BA49" s="25">
        <f>HLOOKUP(BA$7,$I$66:$DJ$120,ROWS($A$10:$A49)+2,FALSE)</f>
        <v>6768</v>
      </c>
      <c r="BB49" s="25">
        <f>HLOOKUP(BB$7,$I$66:$DJ$120,ROWS($A$10:$A49)+2,FALSE)</f>
        <v>1276</v>
      </c>
      <c r="BC49" s="25">
        <f>HLOOKUP(BC$7,$I$66:$DJ$120,ROWS($A$10:$A49)+2,FALSE)</f>
        <v>1012</v>
      </c>
      <c r="BD49" s="25">
        <f>HLOOKUP(BD$7,$I$66:$DJ$120,ROWS($A$10:$A49)+2,FALSE)</f>
        <v>11960</v>
      </c>
      <c r="BE49" s="25">
        <f>HLOOKUP(BE$7,$I$66:$DJ$120,ROWS($A$10:$A49)+2,FALSE)</f>
        <v>1787</v>
      </c>
      <c r="BF49" s="25">
        <f>HLOOKUP(BF$7,$I$66:$DJ$120,ROWS($A$10:$A49)+2,FALSE)</f>
        <v>6762</v>
      </c>
      <c r="BG49" s="25">
        <f>HLOOKUP(BG$7,$I$66:$DJ$120,ROWS($A$10:$A49)+2,FALSE)</f>
        <v>1550</v>
      </c>
      <c r="BH49" s="25">
        <f>HLOOKUP(BH$7,$I$66:$DJ$120,ROWS($A$10:$A49)+2,FALSE)</f>
        <v>434</v>
      </c>
      <c r="BI49" s="25">
        <f>HLOOKUP(BI$7,$I$66:$DJ$120,ROWS($A$10:$A49)+2,FALSE)</f>
        <v>7847</v>
      </c>
      <c r="BJ49" s="34">
        <f>HLOOKUP(BJ$7+0.5,$I$66:$DJ$120,ROWS($A$10:$A49)+2,FALSE)</f>
        <v>8872</v>
      </c>
      <c r="BK49" s="34">
        <f>HLOOKUP(BK$7+0.5,$I$66:$DJ$120,ROWS($A$10:$A49)+2,FALSE)</f>
        <v>1318</v>
      </c>
      <c r="BL49" s="34">
        <f>HLOOKUP(BL$7+0.5,$I$66:$DJ$120,ROWS($A$10:$A49)+2,FALSE)</f>
        <v>857</v>
      </c>
      <c r="BM49" s="34">
        <f>HLOOKUP(BM$7+0.5,$I$66:$DJ$120,ROWS($A$10:$A49)+2,FALSE)</f>
        <v>1256</v>
      </c>
      <c r="BN49" s="34">
        <f>HLOOKUP(BN$7+0.5,$I$66:$DJ$120,ROWS($A$10:$A49)+2,FALSE)</f>
        <v>315</v>
      </c>
      <c r="BO49" s="34">
        <f>HLOOKUP(BO$7+0.5,$I$66:$DJ$120,ROWS($A$10:$A49)+2,FALSE)</f>
        <v>1558</v>
      </c>
      <c r="BP49" s="34">
        <f>HLOOKUP(BP$7+0.5,$I$66:$DJ$120,ROWS($A$10:$A49)+2,FALSE)</f>
        <v>1488</v>
      </c>
      <c r="BQ49" s="34">
        <f>HLOOKUP(BQ$7+0.5,$I$66:$DJ$120,ROWS($A$10:$A49)+2,FALSE)</f>
        <v>905</v>
      </c>
      <c r="BR49" s="34">
        <f>HLOOKUP(BR$7+0.5,$I$66:$DJ$120,ROWS($A$10:$A49)+2,FALSE)</f>
        <v>1468</v>
      </c>
      <c r="BS49" s="34">
        <f>HLOOKUP(BS$7+0.5,$I$66:$DJ$120,ROWS($A$10:$A49)+2,FALSE)</f>
        <v>830</v>
      </c>
      <c r="BT49" s="34">
        <f>HLOOKUP(BT$7+0.5,$I$66:$DJ$120,ROWS($A$10:$A49)+2,FALSE)</f>
        <v>2565</v>
      </c>
      <c r="BU49" s="34">
        <f>HLOOKUP(BU$7+0.5,$I$66:$DJ$120,ROWS($A$10:$A49)+2,FALSE)</f>
        <v>1703</v>
      </c>
      <c r="BV49" s="34">
        <f>HLOOKUP(BV$7+0.5,$I$66:$DJ$120,ROWS($A$10:$A49)+2,FALSE)</f>
        <v>180</v>
      </c>
      <c r="BW49" s="34">
        <f>HLOOKUP(BW$7+0.5,$I$66:$DJ$120,ROWS($A$10:$A49)+2,FALSE)</f>
        <v>350</v>
      </c>
      <c r="BX49" s="34">
        <f>HLOOKUP(BX$7+0.5,$I$66:$DJ$120,ROWS($A$10:$A49)+2,FALSE)</f>
        <v>1137</v>
      </c>
      <c r="BY49" s="34">
        <f>HLOOKUP(BY$7+0.5,$I$66:$DJ$120,ROWS($A$10:$A49)+2,FALSE)</f>
        <v>680</v>
      </c>
      <c r="BZ49" s="34">
        <f>HLOOKUP(BZ$7+0.5,$I$66:$DJ$120,ROWS($A$10:$A49)+2,FALSE)</f>
        <v>177</v>
      </c>
      <c r="CA49" s="34">
        <f>HLOOKUP(CA$7+0.5,$I$66:$DJ$120,ROWS($A$10:$A49)+2,FALSE)</f>
        <v>860</v>
      </c>
      <c r="CB49" s="34">
        <f>HLOOKUP(CB$7+0.5,$I$66:$DJ$120,ROWS($A$10:$A49)+2,FALSE)</f>
        <v>604</v>
      </c>
      <c r="CC49" s="34">
        <f>HLOOKUP(CC$7+0.5,$I$66:$DJ$120,ROWS($A$10:$A49)+2,FALSE)</f>
        <v>431</v>
      </c>
      <c r="CD49" s="34">
        <f>HLOOKUP(CD$7+0.5,$I$66:$DJ$120,ROWS($A$10:$A49)+2,FALSE)</f>
        <v>675</v>
      </c>
      <c r="CE49" s="34">
        <f>HLOOKUP(CE$7+0.5,$I$66:$DJ$120,ROWS($A$10:$A49)+2,FALSE)</f>
        <v>3084</v>
      </c>
      <c r="CF49" s="34">
        <f>HLOOKUP(CF$7+0.5,$I$66:$DJ$120,ROWS($A$10:$A49)+2,FALSE)</f>
        <v>1368</v>
      </c>
      <c r="CG49" s="34">
        <f>HLOOKUP(CG$7+0.5,$I$66:$DJ$120,ROWS($A$10:$A49)+2,FALSE)</f>
        <v>1235</v>
      </c>
      <c r="CH49" s="34">
        <f>HLOOKUP(CH$7+0.5,$I$66:$DJ$120,ROWS($A$10:$A49)+2,FALSE)</f>
        <v>588</v>
      </c>
      <c r="CI49" s="34">
        <f>HLOOKUP(CI$7+0.5,$I$66:$DJ$120,ROWS($A$10:$A49)+2,FALSE)</f>
        <v>49</v>
      </c>
      <c r="CJ49" s="34">
        <f>HLOOKUP(CJ$7+0.5,$I$66:$DJ$120,ROWS($A$10:$A49)+2,FALSE)</f>
        <v>575</v>
      </c>
      <c r="CK49" s="34">
        <f>HLOOKUP(CK$7+0.5,$I$66:$DJ$120,ROWS($A$10:$A49)+2,FALSE)</f>
        <v>169</v>
      </c>
      <c r="CL49" s="34">
        <f>HLOOKUP(CL$7+0.5,$I$66:$DJ$120,ROWS($A$10:$A49)+2,FALSE)</f>
        <v>187</v>
      </c>
      <c r="CM49" s="34">
        <f>HLOOKUP(CM$7+0.5,$I$66:$DJ$120,ROWS($A$10:$A49)+2,FALSE)</f>
        <v>999</v>
      </c>
      <c r="CN49" s="34">
        <f>HLOOKUP(CN$7+0.5,$I$66:$DJ$120,ROWS($A$10:$A49)+2,FALSE)</f>
        <v>609</v>
      </c>
      <c r="CO49" s="34">
        <f>HLOOKUP(CO$7+0.5,$I$66:$DJ$120,ROWS($A$10:$A49)+2,FALSE)</f>
        <v>4576</v>
      </c>
      <c r="CP49" s="34">
        <f>HLOOKUP(CP$7+0.5,$I$66:$DJ$120,ROWS($A$10:$A49)+2,FALSE)</f>
        <v>740</v>
      </c>
      <c r="CQ49" s="34">
        <f>HLOOKUP(CQ$7+0.5,$I$66:$DJ$120,ROWS($A$10:$A49)+2,FALSE)</f>
        <v>4482</v>
      </c>
      <c r="CR49" s="34">
        <f>HLOOKUP(CR$7+0.5,$I$66:$DJ$120,ROWS($A$10:$A49)+2,FALSE)</f>
        <v>1734</v>
      </c>
      <c r="CS49" s="34">
        <f>HLOOKUP(CS$7+0.5,$I$66:$DJ$120,ROWS($A$10:$A49)+2,FALSE)</f>
        <v>195</v>
      </c>
      <c r="CT49" s="34">
        <f>HLOOKUP(CT$7+0.5,$I$66:$DJ$120,ROWS($A$10:$A49)+2,FALSE)</f>
        <v>2479</v>
      </c>
      <c r="CU49" s="34">
        <f>HLOOKUP(CU$7+0.5,$I$66:$DJ$120,ROWS($A$10:$A49)+2,FALSE)</f>
        <v>253</v>
      </c>
      <c r="CV49" s="34">
        <f>HLOOKUP(CV$7+0.5,$I$66:$DJ$120,ROWS($A$10:$A49)+2,FALSE)</f>
        <v>220</v>
      </c>
      <c r="CW49" s="34" t="str">
        <f>HLOOKUP(CW$7+0.5,$I$66:$DJ$120,ROWS($A$10:$A49)+2,FALSE)</f>
        <v>N/A</v>
      </c>
      <c r="CX49" s="34">
        <f>HLOOKUP(CX$7+0.5,$I$66:$DJ$120,ROWS($A$10:$A49)+2,FALSE)</f>
        <v>472</v>
      </c>
      <c r="CY49" s="34">
        <f>HLOOKUP(CY$7+0.5,$I$66:$DJ$120,ROWS($A$10:$A49)+2,FALSE)</f>
        <v>869</v>
      </c>
      <c r="CZ49" s="34">
        <f>HLOOKUP(CZ$7+0.5,$I$66:$DJ$120,ROWS($A$10:$A49)+2,FALSE)</f>
        <v>206</v>
      </c>
      <c r="DA49" s="34">
        <f>HLOOKUP(DA$7+0.5,$I$66:$DJ$120,ROWS($A$10:$A49)+2,FALSE)</f>
        <v>533</v>
      </c>
      <c r="DB49" s="34">
        <f>HLOOKUP(DB$7+0.5,$I$66:$DJ$120,ROWS($A$10:$A49)+2,FALSE)</f>
        <v>1688</v>
      </c>
      <c r="DC49" s="34">
        <f>HLOOKUP(DC$7+0.5,$I$66:$DJ$120,ROWS($A$10:$A49)+2,FALSE)</f>
        <v>804</v>
      </c>
      <c r="DD49" s="34">
        <f>HLOOKUP(DD$7+0.5,$I$66:$DJ$120,ROWS($A$10:$A49)+2,FALSE)</f>
        <v>873</v>
      </c>
      <c r="DE49" s="34">
        <f>HLOOKUP(DE$7+0.5,$I$66:$DJ$120,ROWS($A$10:$A49)+2,FALSE)</f>
        <v>2213</v>
      </c>
      <c r="DF49" s="34">
        <f>HLOOKUP(DF$7+0.5,$I$66:$DJ$120,ROWS($A$10:$A49)+2,FALSE)</f>
        <v>1202</v>
      </c>
      <c r="DG49" s="34">
        <f>HLOOKUP(DG$7+0.5,$I$66:$DJ$120,ROWS($A$10:$A49)+2,FALSE)</f>
        <v>2075</v>
      </c>
      <c r="DH49" s="34">
        <f>HLOOKUP(DH$7+0.5,$I$66:$DJ$120,ROWS($A$10:$A49)+2,FALSE)</f>
        <v>722</v>
      </c>
      <c r="DI49" s="34">
        <f>HLOOKUP(DI$7+0.5,$I$66:$DJ$120,ROWS($A$10:$A49)+2,FALSE)</f>
        <v>439</v>
      </c>
      <c r="DJ49" s="34">
        <f>HLOOKUP(DJ$7+0.5,$I$66:$DJ$120,ROWS($A$10:$A49)+2,FALSE)</f>
        <v>2646</v>
      </c>
    </row>
    <row r="50" spans="2:114" x14ac:dyDescent="0.25">
      <c r="B50" s="38" t="s">
        <v>46</v>
      </c>
      <c r="C50" s="15">
        <v>1040527</v>
      </c>
      <c r="D50" s="14">
        <v>1533</v>
      </c>
      <c r="E50" s="15">
        <v>899551</v>
      </c>
      <c r="F50" s="14">
        <v>9890</v>
      </c>
      <c r="G50" s="15">
        <v>101165</v>
      </c>
      <c r="H50" s="14">
        <v>8498</v>
      </c>
      <c r="I50" s="36">
        <f>HLOOKUP(I$7,$I$66:$DJ$120,ROWS($A$10:$A50)+2,FALSE)</f>
        <v>33446</v>
      </c>
      <c r="J50" s="25">
        <f>HLOOKUP(J$7,$I$66:$DJ$120,ROWS($A$10:$A50)+2,FALSE)</f>
        <v>20</v>
      </c>
      <c r="K50" s="25">
        <f>HLOOKUP(K$7,$I$66:$DJ$120,ROWS($A$10:$A50)+2,FALSE)</f>
        <v>0</v>
      </c>
      <c r="L50" s="25">
        <f>HLOOKUP(L$7,$I$66:$DJ$120,ROWS($A$10:$A50)+2,FALSE)</f>
        <v>93</v>
      </c>
      <c r="M50" s="25">
        <f>HLOOKUP(M$7,$I$66:$DJ$120,ROWS($A$10:$A50)+2,FALSE)</f>
        <v>0</v>
      </c>
      <c r="N50" s="25">
        <f>HLOOKUP(N$7,$I$66:$DJ$120,ROWS($A$10:$A50)+2,FALSE)</f>
        <v>2146</v>
      </c>
      <c r="O50" s="25">
        <f>HLOOKUP(O$7,$I$66:$DJ$120,ROWS($A$10:$A50)+2,FALSE)</f>
        <v>332</v>
      </c>
      <c r="P50" s="25">
        <f>HLOOKUP(P$7,$I$66:$DJ$120,ROWS($A$10:$A50)+2,FALSE)</f>
        <v>4170</v>
      </c>
      <c r="Q50" s="25">
        <f>HLOOKUP(Q$7,$I$66:$DJ$120,ROWS($A$10:$A50)+2,FALSE)</f>
        <v>0</v>
      </c>
      <c r="R50" s="25">
        <f>HLOOKUP(R$7,$I$66:$DJ$120,ROWS($A$10:$A50)+2,FALSE)</f>
        <v>313</v>
      </c>
      <c r="S50" s="25">
        <f>HLOOKUP(S$7,$I$66:$DJ$120,ROWS($A$10:$A50)+2,FALSE)</f>
        <v>2752</v>
      </c>
      <c r="T50" s="25">
        <f>HLOOKUP(T$7,$I$66:$DJ$120,ROWS($A$10:$A50)+2,FALSE)</f>
        <v>168</v>
      </c>
      <c r="U50" s="25">
        <f>HLOOKUP(U$7,$I$66:$DJ$120,ROWS($A$10:$A50)+2,FALSE)</f>
        <v>120</v>
      </c>
      <c r="V50" s="25">
        <f>HLOOKUP(V$7,$I$66:$DJ$120,ROWS($A$10:$A50)+2,FALSE)</f>
        <v>0</v>
      </c>
      <c r="W50" s="25">
        <f>HLOOKUP(W$7,$I$66:$DJ$120,ROWS($A$10:$A50)+2,FALSE)</f>
        <v>385</v>
      </c>
      <c r="X50" s="25">
        <f>HLOOKUP(X$7,$I$66:$DJ$120,ROWS($A$10:$A50)+2,FALSE)</f>
        <v>0</v>
      </c>
      <c r="Y50" s="25">
        <f>HLOOKUP(Y$7,$I$66:$DJ$120,ROWS($A$10:$A50)+2,FALSE)</f>
        <v>0</v>
      </c>
      <c r="Z50" s="25">
        <f>HLOOKUP(Z$7,$I$66:$DJ$120,ROWS($A$10:$A50)+2,FALSE)</f>
        <v>27</v>
      </c>
      <c r="AA50" s="25">
        <f>HLOOKUP(AA$7,$I$66:$DJ$120,ROWS($A$10:$A50)+2,FALSE)</f>
        <v>286</v>
      </c>
      <c r="AB50" s="25">
        <f>HLOOKUP(AB$7,$I$66:$DJ$120,ROWS($A$10:$A50)+2,FALSE)</f>
        <v>24</v>
      </c>
      <c r="AC50" s="25">
        <f>HLOOKUP(AC$7,$I$66:$DJ$120,ROWS($A$10:$A50)+2,FALSE)</f>
        <v>279</v>
      </c>
      <c r="AD50" s="25">
        <f>HLOOKUP(AD$7,$I$66:$DJ$120,ROWS($A$10:$A50)+2,FALSE)</f>
        <v>482</v>
      </c>
      <c r="AE50" s="25">
        <f>HLOOKUP(AE$7,$I$66:$DJ$120,ROWS($A$10:$A50)+2,FALSE)</f>
        <v>11253</v>
      </c>
      <c r="AF50" s="25">
        <f>HLOOKUP(AF$7,$I$66:$DJ$120,ROWS($A$10:$A50)+2,FALSE)</f>
        <v>230</v>
      </c>
      <c r="AG50" s="25">
        <f>HLOOKUP(AG$7,$I$66:$DJ$120,ROWS($A$10:$A50)+2,FALSE)</f>
        <v>131</v>
      </c>
      <c r="AH50" s="25">
        <f>HLOOKUP(AH$7,$I$66:$DJ$120,ROWS($A$10:$A50)+2,FALSE)</f>
        <v>0</v>
      </c>
      <c r="AI50" s="25">
        <f>HLOOKUP(AI$7,$I$66:$DJ$120,ROWS($A$10:$A50)+2,FALSE)</f>
        <v>210</v>
      </c>
      <c r="AJ50" s="25">
        <f>HLOOKUP(AJ$7,$I$66:$DJ$120,ROWS($A$10:$A50)+2,FALSE)</f>
        <v>0</v>
      </c>
      <c r="AK50" s="25">
        <f>HLOOKUP(AK$7,$I$66:$DJ$120,ROWS($A$10:$A50)+2,FALSE)</f>
        <v>188</v>
      </c>
      <c r="AL50" s="25">
        <f>HLOOKUP(AL$7,$I$66:$DJ$120,ROWS($A$10:$A50)+2,FALSE)</f>
        <v>25</v>
      </c>
      <c r="AM50" s="25">
        <f>HLOOKUP(AM$7,$I$66:$DJ$120,ROWS($A$10:$A50)+2,FALSE)</f>
        <v>611</v>
      </c>
      <c r="AN50" s="25">
        <f>HLOOKUP(AN$7,$I$66:$DJ$120,ROWS($A$10:$A50)+2,FALSE)</f>
        <v>1219</v>
      </c>
      <c r="AO50" s="25">
        <f>HLOOKUP(AO$7,$I$66:$DJ$120,ROWS($A$10:$A50)+2,FALSE)</f>
        <v>36</v>
      </c>
      <c r="AP50" s="25">
        <f>HLOOKUP(AP$7,$I$66:$DJ$120,ROWS($A$10:$A50)+2,FALSE)</f>
        <v>3603</v>
      </c>
      <c r="AQ50" s="25">
        <f>HLOOKUP(AQ$7,$I$66:$DJ$120,ROWS($A$10:$A50)+2,FALSE)</f>
        <v>478</v>
      </c>
      <c r="AR50" s="25">
        <f>HLOOKUP(AR$7,$I$66:$DJ$120,ROWS($A$10:$A50)+2,FALSE)</f>
        <v>0</v>
      </c>
      <c r="AS50" s="25">
        <f>HLOOKUP(AS$7,$I$66:$DJ$120,ROWS($A$10:$A50)+2,FALSE)</f>
        <v>63</v>
      </c>
      <c r="AT50" s="25">
        <f>HLOOKUP(AT$7,$I$66:$DJ$120,ROWS($A$10:$A50)+2,FALSE)</f>
        <v>0</v>
      </c>
      <c r="AU50" s="25">
        <f>HLOOKUP(AU$7,$I$66:$DJ$120,ROWS($A$10:$A50)+2,FALSE)</f>
        <v>139</v>
      </c>
      <c r="AV50" s="25">
        <f>HLOOKUP(AV$7,$I$66:$DJ$120,ROWS($A$10:$A50)+2,FALSE)</f>
        <v>735</v>
      </c>
      <c r="AW50" s="25" t="str">
        <f>HLOOKUP(AW$7,$I$66:$DJ$120,ROWS($A$10:$A50)+2,FALSE)</f>
        <v>N/A</v>
      </c>
      <c r="AX50" s="25">
        <f>HLOOKUP(AX$7,$I$66:$DJ$120,ROWS($A$10:$A50)+2,FALSE)</f>
        <v>481</v>
      </c>
      <c r="AY50" s="25">
        <f>HLOOKUP(AY$7,$I$66:$DJ$120,ROWS($A$10:$A50)+2,FALSE)</f>
        <v>0</v>
      </c>
      <c r="AZ50" s="25">
        <f>HLOOKUP(AZ$7,$I$66:$DJ$120,ROWS($A$10:$A50)+2,FALSE)</f>
        <v>120</v>
      </c>
      <c r="BA50" s="25">
        <f>HLOOKUP(BA$7,$I$66:$DJ$120,ROWS($A$10:$A50)+2,FALSE)</f>
        <v>823</v>
      </c>
      <c r="BB50" s="25">
        <f>HLOOKUP(BB$7,$I$66:$DJ$120,ROWS($A$10:$A50)+2,FALSE)</f>
        <v>0</v>
      </c>
      <c r="BC50" s="25">
        <f>HLOOKUP(BC$7,$I$66:$DJ$120,ROWS($A$10:$A50)+2,FALSE)</f>
        <v>53</v>
      </c>
      <c r="BD50" s="25">
        <f>HLOOKUP(BD$7,$I$66:$DJ$120,ROWS($A$10:$A50)+2,FALSE)</f>
        <v>1008</v>
      </c>
      <c r="BE50" s="25">
        <f>HLOOKUP(BE$7,$I$66:$DJ$120,ROWS($A$10:$A50)+2,FALSE)</f>
        <v>287</v>
      </c>
      <c r="BF50" s="25">
        <f>HLOOKUP(BF$7,$I$66:$DJ$120,ROWS($A$10:$A50)+2,FALSE)</f>
        <v>0</v>
      </c>
      <c r="BG50" s="25">
        <f>HLOOKUP(BG$7,$I$66:$DJ$120,ROWS($A$10:$A50)+2,FALSE)</f>
        <v>135</v>
      </c>
      <c r="BH50" s="25">
        <f>HLOOKUP(BH$7,$I$66:$DJ$120,ROWS($A$10:$A50)+2,FALSE)</f>
        <v>21</v>
      </c>
      <c r="BI50" s="25">
        <f>HLOOKUP(BI$7,$I$66:$DJ$120,ROWS($A$10:$A50)+2,FALSE)</f>
        <v>116</v>
      </c>
      <c r="BJ50" s="34">
        <f>HLOOKUP(BJ$7+0.5,$I$66:$DJ$120,ROWS($A$10:$A50)+2,FALSE)</f>
        <v>3551</v>
      </c>
      <c r="BK50" s="34">
        <f>HLOOKUP(BK$7+0.5,$I$66:$DJ$120,ROWS($A$10:$A50)+2,FALSE)</f>
        <v>44</v>
      </c>
      <c r="BL50" s="34">
        <f>HLOOKUP(BL$7+0.5,$I$66:$DJ$120,ROWS($A$10:$A50)+2,FALSE)</f>
        <v>200</v>
      </c>
      <c r="BM50" s="34">
        <f>HLOOKUP(BM$7+0.5,$I$66:$DJ$120,ROWS($A$10:$A50)+2,FALSE)</f>
        <v>151</v>
      </c>
      <c r="BN50" s="34">
        <f>HLOOKUP(BN$7+0.5,$I$66:$DJ$120,ROWS($A$10:$A50)+2,FALSE)</f>
        <v>200</v>
      </c>
      <c r="BO50" s="34">
        <f>HLOOKUP(BO$7+0.5,$I$66:$DJ$120,ROWS($A$10:$A50)+2,FALSE)</f>
        <v>811</v>
      </c>
      <c r="BP50" s="34">
        <f>HLOOKUP(BP$7+0.5,$I$66:$DJ$120,ROWS($A$10:$A50)+2,FALSE)</f>
        <v>315</v>
      </c>
      <c r="BQ50" s="34">
        <f>HLOOKUP(BQ$7+0.5,$I$66:$DJ$120,ROWS($A$10:$A50)+2,FALSE)</f>
        <v>1101</v>
      </c>
      <c r="BR50" s="34">
        <f>HLOOKUP(BR$7+0.5,$I$66:$DJ$120,ROWS($A$10:$A50)+2,FALSE)</f>
        <v>200</v>
      </c>
      <c r="BS50" s="34">
        <f>HLOOKUP(BS$7+0.5,$I$66:$DJ$120,ROWS($A$10:$A50)+2,FALSE)</f>
        <v>381</v>
      </c>
      <c r="BT50" s="34">
        <f>HLOOKUP(BT$7+0.5,$I$66:$DJ$120,ROWS($A$10:$A50)+2,FALSE)</f>
        <v>1143</v>
      </c>
      <c r="BU50" s="34">
        <f>HLOOKUP(BU$7+0.5,$I$66:$DJ$120,ROWS($A$10:$A50)+2,FALSE)</f>
        <v>211</v>
      </c>
      <c r="BV50" s="34">
        <f>HLOOKUP(BV$7+0.5,$I$66:$DJ$120,ROWS($A$10:$A50)+2,FALSE)</f>
        <v>145</v>
      </c>
      <c r="BW50" s="34">
        <f>HLOOKUP(BW$7+0.5,$I$66:$DJ$120,ROWS($A$10:$A50)+2,FALSE)</f>
        <v>200</v>
      </c>
      <c r="BX50" s="34">
        <f>HLOOKUP(BX$7+0.5,$I$66:$DJ$120,ROWS($A$10:$A50)+2,FALSE)</f>
        <v>382</v>
      </c>
      <c r="BY50" s="34">
        <f>HLOOKUP(BY$7+0.5,$I$66:$DJ$120,ROWS($A$10:$A50)+2,FALSE)</f>
        <v>200</v>
      </c>
      <c r="BZ50" s="34">
        <f>HLOOKUP(BZ$7+0.5,$I$66:$DJ$120,ROWS($A$10:$A50)+2,FALSE)</f>
        <v>200</v>
      </c>
      <c r="CA50" s="34">
        <f>HLOOKUP(CA$7+0.5,$I$66:$DJ$120,ROWS($A$10:$A50)+2,FALSE)</f>
        <v>47</v>
      </c>
      <c r="CB50" s="34">
        <f>HLOOKUP(CB$7+0.5,$I$66:$DJ$120,ROWS($A$10:$A50)+2,FALSE)</f>
        <v>405</v>
      </c>
      <c r="CC50" s="34">
        <f>HLOOKUP(CC$7+0.5,$I$66:$DJ$120,ROWS($A$10:$A50)+2,FALSE)</f>
        <v>45</v>
      </c>
      <c r="CD50" s="34">
        <f>HLOOKUP(CD$7+0.5,$I$66:$DJ$120,ROWS($A$10:$A50)+2,FALSE)</f>
        <v>249</v>
      </c>
      <c r="CE50" s="34">
        <f>HLOOKUP(CE$7+0.5,$I$66:$DJ$120,ROWS($A$10:$A50)+2,FALSE)</f>
        <v>325</v>
      </c>
      <c r="CF50" s="34">
        <f>HLOOKUP(CF$7+0.5,$I$66:$DJ$120,ROWS($A$10:$A50)+2,FALSE)</f>
        <v>1937</v>
      </c>
      <c r="CG50" s="34">
        <f>HLOOKUP(CG$7+0.5,$I$66:$DJ$120,ROWS($A$10:$A50)+2,FALSE)</f>
        <v>169</v>
      </c>
      <c r="CH50" s="34">
        <f>HLOOKUP(CH$7+0.5,$I$66:$DJ$120,ROWS($A$10:$A50)+2,FALSE)</f>
        <v>131</v>
      </c>
      <c r="CI50" s="34">
        <f>HLOOKUP(CI$7+0.5,$I$66:$DJ$120,ROWS($A$10:$A50)+2,FALSE)</f>
        <v>200</v>
      </c>
      <c r="CJ50" s="34">
        <f>HLOOKUP(CJ$7+0.5,$I$66:$DJ$120,ROWS($A$10:$A50)+2,FALSE)</f>
        <v>158</v>
      </c>
      <c r="CK50" s="34">
        <f>HLOOKUP(CK$7+0.5,$I$66:$DJ$120,ROWS($A$10:$A50)+2,FALSE)</f>
        <v>200</v>
      </c>
      <c r="CL50" s="34">
        <f>HLOOKUP(CL$7+0.5,$I$66:$DJ$120,ROWS($A$10:$A50)+2,FALSE)</f>
        <v>250</v>
      </c>
      <c r="CM50" s="34">
        <f>HLOOKUP(CM$7+0.5,$I$66:$DJ$120,ROWS($A$10:$A50)+2,FALSE)</f>
        <v>48</v>
      </c>
      <c r="CN50" s="34">
        <f>HLOOKUP(CN$7+0.5,$I$66:$DJ$120,ROWS($A$10:$A50)+2,FALSE)</f>
        <v>385</v>
      </c>
      <c r="CO50" s="34">
        <f>HLOOKUP(CO$7+0.5,$I$66:$DJ$120,ROWS($A$10:$A50)+2,FALSE)</f>
        <v>641</v>
      </c>
      <c r="CP50" s="34">
        <f>HLOOKUP(CP$7+0.5,$I$66:$DJ$120,ROWS($A$10:$A50)+2,FALSE)</f>
        <v>58</v>
      </c>
      <c r="CQ50" s="34">
        <f>HLOOKUP(CQ$7+0.5,$I$66:$DJ$120,ROWS($A$10:$A50)+2,FALSE)</f>
        <v>1335</v>
      </c>
      <c r="CR50" s="34">
        <f>HLOOKUP(CR$7+0.5,$I$66:$DJ$120,ROWS($A$10:$A50)+2,FALSE)</f>
        <v>508</v>
      </c>
      <c r="CS50" s="34">
        <f>HLOOKUP(CS$7+0.5,$I$66:$DJ$120,ROWS($A$10:$A50)+2,FALSE)</f>
        <v>200</v>
      </c>
      <c r="CT50" s="34">
        <f>HLOOKUP(CT$7+0.5,$I$66:$DJ$120,ROWS($A$10:$A50)+2,FALSE)</f>
        <v>80</v>
      </c>
      <c r="CU50" s="34">
        <f>HLOOKUP(CU$7+0.5,$I$66:$DJ$120,ROWS($A$10:$A50)+2,FALSE)</f>
        <v>200</v>
      </c>
      <c r="CV50" s="34">
        <f>HLOOKUP(CV$7+0.5,$I$66:$DJ$120,ROWS($A$10:$A50)+2,FALSE)</f>
        <v>235</v>
      </c>
      <c r="CW50" s="34">
        <f>HLOOKUP(CW$7+0.5,$I$66:$DJ$120,ROWS($A$10:$A50)+2,FALSE)</f>
        <v>552</v>
      </c>
      <c r="CX50" s="34" t="str">
        <f>HLOOKUP(CX$7+0.5,$I$66:$DJ$120,ROWS($A$10:$A50)+2,FALSE)</f>
        <v>N/A</v>
      </c>
      <c r="CY50" s="34">
        <f>HLOOKUP(CY$7+0.5,$I$66:$DJ$120,ROWS($A$10:$A50)+2,FALSE)</f>
        <v>609</v>
      </c>
      <c r="CZ50" s="34">
        <f>HLOOKUP(CZ$7+0.5,$I$66:$DJ$120,ROWS($A$10:$A50)+2,FALSE)</f>
        <v>200</v>
      </c>
      <c r="DA50" s="34">
        <f>HLOOKUP(DA$7+0.5,$I$66:$DJ$120,ROWS($A$10:$A50)+2,FALSE)</f>
        <v>199</v>
      </c>
      <c r="DB50" s="34">
        <f>HLOOKUP(DB$7+0.5,$I$66:$DJ$120,ROWS($A$10:$A50)+2,FALSE)</f>
        <v>433</v>
      </c>
      <c r="DC50" s="34">
        <f>HLOOKUP(DC$7+0.5,$I$66:$DJ$120,ROWS($A$10:$A50)+2,FALSE)</f>
        <v>200</v>
      </c>
      <c r="DD50" s="34">
        <f>HLOOKUP(DD$7+0.5,$I$66:$DJ$120,ROWS($A$10:$A50)+2,FALSE)</f>
        <v>76</v>
      </c>
      <c r="DE50" s="34">
        <f>HLOOKUP(DE$7+0.5,$I$66:$DJ$120,ROWS($A$10:$A50)+2,FALSE)</f>
        <v>569</v>
      </c>
      <c r="DF50" s="34">
        <f>HLOOKUP(DF$7+0.5,$I$66:$DJ$120,ROWS($A$10:$A50)+2,FALSE)</f>
        <v>320</v>
      </c>
      <c r="DG50" s="34">
        <f>HLOOKUP(DG$7+0.5,$I$66:$DJ$120,ROWS($A$10:$A50)+2,FALSE)</f>
        <v>200</v>
      </c>
      <c r="DH50" s="34">
        <f>HLOOKUP(DH$7+0.5,$I$66:$DJ$120,ROWS($A$10:$A50)+2,FALSE)</f>
        <v>124</v>
      </c>
      <c r="DI50" s="34">
        <f>HLOOKUP(DI$7+0.5,$I$66:$DJ$120,ROWS($A$10:$A50)+2,FALSE)</f>
        <v>32</v>
      </c>
      <c r="DJ50" s="34">
        <f>HLOOKUP(DJ$7+0.5,$I$66:$DJ$120,ROWS($A$10:$A50)+2,FALSE)</f>
        <v>186</v>
      </c>
    </row>
    <row r="51" spans="2:114" x14ac:dyDescent="0.25">
      <c r="B51" s="38" t="s">
        <v>47</v>
      </c>
      <c r="C51" s="15">
        <v>4668886</v>
      </c>
      <c r="D51" s="14">
        <v>3434</v>
      </c>
      <c r="E51" s="15">
        <v>3929626</v>
      </c>
      <c r="F51" s="14">
        <v>20572</v>
      </c>
      <c r="G51" s="15">
        <v>564350</v>
      </c>
      <c r="H51" s="14">
        <v>20053</v>
      </c>
      <c r="I51" s="36">
        <f>HLOOKUP(I$7,$I$66:$DJ$120,ROWS($A$10:$A51)+2,FALSE)</f>
        <v>156705</v>
      </c>
      <c r="J51" s="25">
        <f>HLOOKUP(J$7,$I$66:$DJ$120,ROWS($A$10:$A51)+2,FALSE)</f>
        <v>1665</v>
      </c>
      <c r="K51" s="25">
        <f>HLOOKUP(K$7,$I$66:$DJ$120,ROWS($A$10:$A51)+2,FALSE)</f>
        <v>1244</v>
      </c>
      <c r="L51" s="25">
        <f>HLOOKUP(L$7,$I$66:$DJ$120,ROWS($A$10:$A51)+2,FALSE)</f>
        <v>2222</v>
      </c>
      <c r="M51" s="25">
        <f>HLOOKUP(M$7,$I$66:$DJ$120,ROWS($A$10:$A51)+2,FALSE)</f>
        <v>839</v>
      </c>
      <c r="N51" s="25">
        <f>HLOOKUP(N$7,$I$66:$DJ$120,ROWS($A$10:$A51)+2,FALSE)</f>
        <v>5979</v>
      </c>
      <c r="O51" s="25">
        <f>HLOOKUP(O$7,$I$66:$DJ$120,ROWS($A$10:$A51)+2,FALSE)</f>
        <v>1915</v>
      </c>
      <c r="P51" s="25">
        <f>HLOOKUP(P$7,$I$66:$DJ$120,ROWS($A$10:$A51)+2,FALSE)</f>
        <v>1590</v>
      </c>
      <c r="Q51" s="25">
        <f>HLOOKUP(Q$7,$I$66:$DJ$120,ROWS($A$10:$A51)+2,FALSE)</f>
        <v>697</v>
      </c>
      <c r="R51" s="25">
        <f>HLOOKUP(R$7,$I$66:$DJ$120,ROWS($A$10:$A51)+2,FALSE)</f>
        <v>435</v>
      </c>
      <c r="S51" s="25">
        <f>HLOOKUP(S$7,$I$66:$DJ$120,ROWS($A$10:$A51)+2,FALSE)</f>
        <v>11552</v>
      </c>
      <c r="T51" s="25">
        <f>HLOOKUP(T$7,$I$66:$DJ$120,ROWS($A$10:$A51)+2,FALSE)</f>
        <v>18570</v>
      </c>
      <c r="U51" s="25">
        <f>HLOOKUP(U$7,$I$66:$DJ$120,ROWS($A$10:$A51)+2,FALSE)</f>
        <v>638</v>
      </c>
      <c r="V51" s="25">
        <f>HLOOKUP(V$7,$I$66:$DJ$120,ROWS($A$10:$A51)+2,FALSE)</f>
        <v>198</v>
      </c>
      <c r="W51" s="25">
        <f>HLOOKUP(W$7,$I$66:$DJ$120,ROWS($A$10:$A51)+2,FALSE)</f>
        <v>2125</v>
      </c>
      <c r="X51" s="25">
        <f>HLOOKUP(X$7,$I$66:$DJ$120,ROWS($A$10:$A51)+2,FALSE)</f>
        <v>3802</v>
      </c>
      <c r="Y51" s="25">
        <f>HLOOKUP(Y$7,$I$66:$DJ$120,ROWS($A$10:$A51)+2,FALSE)</f>
        <v>643</v>
      </c>
      <c r="Z51" s="25">
        <f>HLOOKUP(Z$7,$I$66:$DJ$120,ROWS($A$10:$A51)+2,FALSE)</f>
        <v>1064</v>
      </c>
      <c r="AA51" s="25">
        <f>HLOOKUP(AA$7,$I$66:$DJ$120,ROWS($A$10:$A51)+2,FALSE)</f>
        <v>1924</v>
      </c>
      <c r="AB51" s="25">
        <f>HLOOKUP(AB$7,$I$66:$DJ$120,ROWS($A$10:$A51)+2,FALSE)</f>
        <v>2709</v>
      </c>
      <c r="AC51" s="25">
        <f>HLOOKUP(AC$7,$I$66:$DJ$120,ROWS($A$10:$A51)+2,FALSE)</f>
        <v>2077</v>
      </c>
      <c r="AD51" s="25">
        <f>HLOOKUP(AD$7,$I$66:$DJ$120,ROWS($A$10:$A51)+2,FALSE)</f>
        <v>3565</v>
      </c>
      <c r="AE51" s="25">
        <f>HLOOKUP(AE$7,$I$66:$DJ$120,ROWS($A$10:$A51)+2,FALSE)</f>
        <v>2313</v>
      </c>
      <c r="AF51" s="25">
        <f>HLOOKUP(AF$7,$I$66:$DJ$120,ROWS($A$10:$A51)+2,FALSE)</f>
        <v>2966</v>
      </c>
      <c r="AG51" s="25">
        <f>HLOOKUP(AG$7,$I$66:$DJ$120,ROWS($A$10:$A51)+2,FALSE)</f>
        <v>757</v>
      </c>
      <c r="AH51" s="25">
        <f>HLOOKUP(AH$7,$I$66:$DJ$120,ROWS($A$10:$A51)+2,FALSE)</f>
        <v>1407</v>
      </c>
      <c r="AI51" s="25">
        <f>HLOOKUP(AI$7,$I$66:$DJ$120,ROWS($A$10:$A51)+2,FALSE)</f>
        <v>1884</v>
      </c>
      <c r="AJ51" s="25">
        <f>HLOOKUP(AJ$7,$I$66:$DJ$120,ROWS($A$10:$A51)+2,FALSE)</f>
        <v>93</v>
      </c>
      <c r="AK51" s="25">
        <f>HLOOKUP(AK$7,$I$66:$DJ$120,ROWS($A$10:$A51)+2,FALSE)</f>
        <v>158</v>
      </c>
      <c r="AL51" s="25">
        <f>HLOOKUP(AL$7,$I$66:$DJ$120,ROWS($A$10:$A51)+2,FALSE)</f>
        <v>1025</v>
      </c>
      <c r="AM51" s="25">
        <f>HLOOKUP(AM$7,$I$66:$DJ$120,ROWS($A$10:$A51)+2,FALSE)</f>
        <v>917</v>
      </c>
      <c r="AN51" s="25">
        <f>HLOOKUP(AN$7,$I$66:$DJ$120,ROWS($A$10:$A51)+2,FALSE)</f>
        <v>6517</v>
      </c>
      <c r="AO51" s="25">
        <f>HLOOKUP(AO$7,$I$66:$DJ$120,ROWS($A$10:$A51)+2,FALSE)</f>
        <v>1052</v>
      </c>
      <c r="AP51" s="25">
        <f>HLOOKUP(AP$7,$I$66:$DJ$120,ROWS($A$10:$A51)+2,FALSE)</f>
        <v>10746</v>
      </c>
      <c r="AQ51" s="25">
        <f>HLOOKUP(AQ$7,$I$66:$DJ$120,ROWS($A$10:$A51)+2,FALSE)</f>
        <v>24764</v>
      </c>
      <c r="AR51" s="25">
        <f>HLOOKUP(AR$7,$I$66:$DJ$120,ROWS($A$10:$A51)+2,FALSE)</f>
        <v>656</v>
      </c>
      <c r="AS51" s="25">
        <f>HLOOKUP(AS$7,$I$66:$DJ$120,ROWS($A$10:$A51)+2,FALSE)</f>
        <v>4388</v>
      </c>
      <c r="AT51" s="25">
        <f>HLOOKUP(AT$7,$I$66:$DJ$120,ROWS($A$10:$A51)+2,FALSE)</f>
        <v>555</v>
      </c>
      <c r="AU51" s="25">
        <f>HLOOKUP(AU$7,$I$66:$DJ$120,ROWS($A$10:$A51)+2,FALSE)</f>
        <v>255</v>
      </c>
      <c r="AV51" s="25">
        <f>HLOOKUP(AV$7,$I$66:$DJ$120,ROWS($A$10:$A51)+2,FALSE)</f>
        <v>6497</v>
      </c>
      <c r="AW51" s="25">
        <f>HLOOKUP(AW$7,$I$66:$DJ$120,ROWS($A$10:$A51)+2,FALSE)</f>
        <v>538</v>
      </c>
      <c r="AX51" s="25" t="str">
        <f>HLOOKUP(AX$7,$I$66:$DJ$120,ROWS($A$10:$A51)+2,FALSE)</f>
        <v>N/A</v>
      </c>
      <c r="AY51" s="25">
        <f>HLOOKUP(AY$7,$I$66:$DJ$120,ROWS($A$10:$A51)+2,FALSE)</f>
        <v>816</v>
      </c>
      <c r="AZ51" s="25">
        <f>HLOOKUP(AZ$7,$I$66:$DJ$120,ROWS($A$10:$A51)+2,FALSE)</f>
        <v>3550</v>
      </c>
      <c r="BA51" s="25">
        <f>HLOOKUP(BA$7,$I$66:$DJ$120,ROWS($A$10:$A51)+2,FALSE)</f>
        <v>5351</v>
      </c>
      <c r="BB51" s="25">
        <f>HLOOKUP(BB$7,$I$66:$DJ$120,ROWS($A$10:$A51)+2,FALSE)</f>
        <v>566</v>
      </c>
      <c r="BC51" s="25">
        <f>HLOOKUP(BC$7,$I$66:$DJ$120,ROWS($A$10:$A51)+2,FALSE)</f>
        <v>298</v>
      </c>
      <c r="BD51" s="25">
        <f>HLOOKUP(BD$7,$I$66:$DJ$120,ROWS($A$10:$A51)+2,FALSE)</f>
        <v>9377</v>
      </c>
      <c r="BE51" s="25">
        <f>HLOOKUP(BE$7,$I$66:$DJ$120,ROWS($A$10:$A51)+2,FALSE)</f>
        <v>1629</v>
      </c>
      <c r="BF51" s="25">
        <f>HLOOKUP(BF$7,$I$66:$DJ$120,ROWS($A$10:$A51)+2,FALSE)</f>
        <v>1345</v>
      </c>
      <c r="BG51" s="25">
        <f>HLOOKUP(BG$7,$I$66:$DJ$120,ROWS($A$10:$A51)+2,FALSE)</f>
        <v>832</v>
      </c>
      <c r="BH51" s="25">
        <f>HLOOKUP(BH$7,$I$66:$DJ$120,ROWS($A$10:$A51)+2,FALSE)</f>
        <v>0</v>
      </c>
      <c r="BI51" s="25">
        <f>HLOOKUP(BI$7,$I$66:$DJ$120,ROWS($A$10:$A51)+2,FALSE)</f>
        <v>1070</v>
      </c>
      <c r="BJ51" s="34">
        <f>HLOOKUP(BJ$7+0.5,$I$66:$DJ$120,ROWS($A$10:$A51)+2,FALSE)</f>
        <v>9611</v>
      </c>
      <c r="BK51" s="34">
        <f>HLOOKUP(BK$7+0.5,$I$66:$DJ$120,ROWS($A$10:$A51)+2,FALSE)</f>
        <v>635</v>
      </c>
      <c r="BL51" s="34">
        <f>HLOOKUP(BL$7+0.5,$I$66:$DJ$120,ROWS($A$10:$A51)+2,FALSE)</f>
        <v>1016</v>
      </c>
      <c r="BM51" s="34">
        <f>HLOOKUP(BM$7+0.5,$I$66:$DJ$120,ROWS($A$10:$A51)+2,FALSE)</f>
        <v>1160</v>
      </c>
      <c r="BN51" s="34">
        <f>HLOOKUP(BN$7+0.5,$I$66:$DJ$120,ROWS($A$10:$A51)+2,FALSE)</f>
        <v>526</v>
      </c>
      <c r="BO51" s="34">
        <f>HLOOKUP(BO$7+0.5,$I$66:$DJ$120,ROWS($A$10:$A51)+2,FALSE)</f>
        <v>1473</v>
      </c>
      <c r="BP51" s="34">
        <f>HLOOKUP(BP$7+0.5,$I$66:$DJ$120,ROWS($A$10:$A51)+2,FALSE)</f>
        <v>1059</v>
      </c>
      <c r="BQ51" s="34">
        <f>HLOOKUP(BQ$7+0.5,$I$66:$DJ$120,ROWS($A$10:$A51)+2,FALSE)</f>
        <v>729</v>
      </c>
      <c r="BR51" s="34">
        <f>HLOOKUP(BR$7+0.5,$I$66:$DJ$120,ROWS($A$10:$A51)+2,FALSE)</f>
        <v>492</v>
      </c>
      <c r="BS51" s="34">
        <f>HLOOKUP(BS$7+0.5,$I$66:$DJ$120,ROWS($A$10:$A51)+2,FALSE)</f>
        <v>352</v>
      </c>
      <c r="BT51" s="34">
        <f>HLOOKUP(BT$7+0.5,$I$66:$DJ$120,ROWS($A$10:$A51)+2,FALSE)</f>
        <v>2367</v>
      </c>
      <c r="BU51" s="34">
        <f>HLOOKUP(BU$7+0.5,$I$66:$DJ$120,ROWS($A$10:$A51)+2,FALSE)</f>
        <v>3616</v>
      </c>
      <c r="BV51" s="34">
        <f>HLOOKUP(BV$7+0.5,$I$66:$DJ$120,ROWS($A$10:$A51)+2,FALSE)</f>
        <v>493</v>
      </c>
      <c r="BW51" s="34">
        <f>HLOOKUP(BW$7+0.5,$I$66:$DJ$120,ROWS($A$10:$A51)+2,FALSE)</f>
        <v>321</v>
      </c>
      <c r="BX51" s="34">
        <f>HLOOKUP(BX$7+0.5,$I$66:$DJ$120,ROWS($A$10:$A51)+2,FALSE)</f>
        <v>1128</v>
      </c>
      <c r="BY51" s="34">
        <f>HLOOKUP(BY$7+0.5,$I$66:$DJ$120,ROWS($A$10:$A51)+2,FALSE)</f>
        <v>1911</v>
      </c>
      <c r="BZ51" s="34">
        <f>HLOOKUP(BZ$7+0.5,$I$66:$DJ$120,ROWS($A$10:$A51)+2,FALSE)</f>
        <v>437</v>
      </c>
      <c r="CA51" s="34">
        <f>HLOOKUP(CA$7+0.5,$I$66:$DJ$120,ROWS($A$10:$A51)+2,FALSE)</f>
        <v>855</v>
      </c>
      <c r="CB51" s="34">
        <f>HLOOKUP(CB$7+0.5,$I$66:$DJ$120,ROWS($A$10:$A51)+2,FALSE)</f>
        <v>991</v>
      </c>
      <c r="CC51" s="34">
        <f>HLOOKUP(CC$7+0.5,$I$66:$DJ$120,ROWS($A$10:$A51)+2,FALSE)</f>
        <v>2265</v>
      </c>
      <c r="CD51" s="34">
        <f>HLOOKUP(CD$7+0.5,$I$66:$DJ$120,ROWS($A$10:$A51)+2,FALSE)</f>
        <v>942</v>
      </c>
      <c r="CE51" s="34">
        <f>HLOOKUP(CE$7+0.5,$I$66:$DJ$120,ROWS($A$10:$A51)+2,FALSE)</f>
        <v>1205</v>
      </c>
      <c r="CF51" s="34">
        <f>HLOOKUP(CF$7+0.5,$I$66:$DJ$120,ROWS($A$10:$A51)+2,FALSE)</f>
        <v>826</v>
      </c>
      <c r="CG51" s="34">
        <f>HLOOKUP(CG$7+0.5,$I$66:$DJ$120,ROWS($A$10:$A51)+2,FALSE)</f>
        <v>1289</v>
      </c>
      <c r="CH51" s="34">
        <f>HLOOKUP(CH$7+0.5,$I$66:$DJ$120,ROWS($A$10:$A51)+2,FALSE)</f>
        <v>582</v>
      </c>
      <c r="CI51" s="34">
        <f>HLOOKUP(CI$7+0.5,$I$66:$DJ$120,ROWS($A$10:$A51)+2,FALSE)</f>
        <v>802</v>
      </c>
      <c r="CJ51" s="34">
        <f>HLOOKUP(CJ$7+0.5,$I$66:$DJ$120,ROWS($A$10:$A51)+2,FALSE)</f>
        <v>724</v>
      </c>
      <c r="CK51" s="34">
        <f>HLOOKUP(CK$7+0.5,$I$66:$DJ$120,ROWS($A$10:$A51)+2,FALSE)</f>
        <v>127</v>
      </c>
      <c r="CL51" s="34">
        <f>HLOOKUP(CL$7+0.5,$I$66:$DJ$120,ROWS($A$10:$A51)+2,FALSE)</f>
        <v>165</v>
      </c>
      <c r="CM51" s="34">
        <f>HLOOKUP(CM$7+0.5,$I$66:$DJ$120,ROWS($A$10:$A51)+2,FALSE)</f>
        <v>834</v>
      </c>
      <c r="CN51" s="34">
        <f>HLOOKUP(CN$7+0.5,$I$66:$DJ$120,ROWS($A$10:$A51)+2,FALSE)</f>
        <v>696</v>
      </c>
      <c r="CO51" s="34">
        <f>HLOOKUP(CO$7+0.5,$I$66:$DJ$120,ROWS($A$10:$A51)+2,FALSE)</f>
        <v>2181</v>
      </c>
      <c r="CP51" s="34">
        <f>HLOOKUP(CP$7+0.5,$I$66:$DJ$120,ROWS($A$10:$A51)+2,FALSE)</f>
        <v>1085</v>
      </c>
      <c r="CQ51" s="34">
        <f>HLOOKUP(CQ$7+0.5,$I$66:$DJ$120,ROWS($A$10:$A51)+2,FALSE)</f>
        <v>3642</v>
      </c>
      <c r="CR51" s="34">
        <f>HLOOKUP(CR$7+0.5,$I$66:$DJ$120,ROWS($A$10:$A51)+2,FALSE)</f>
        <v>3907</v>
      </c>
      <c r="CS51" s="34">
        <f>HLOOKUP(CS$7+0.5,$I$66:$DJ$120,ROWS($A$10:$A51)+2,FALSE)</f>
        <v>650</v>
      </c>
      <c r="CT51" s="34">
        <f>HLOOKUP(CT$7+0.5,$I$66:$DJ$120,ROWS($A$10:$A51)+2,FALSE)</f>
        <v>1326</v>
      </c>
      <c r="CU51" s="34">
        <f>HLOOKUP(CU$7+0.5,$I$66:$DJ$120,ROWS($A$10:$A51)+2,FALSE)</f>
        <v>354</v>
      </c>
      <c r="CV51" s="34">
        <f>HLOOKUP(CV$7+0.5,$I$66:$DJ$120,ROWS($A$10:$A51)+2,FALSE)</f>
        <v>202</v>
      </c>
      <c r="CW51" s="34">
        <f>HLOOKUP(CW$7+0.5,$I$66:$DJ$120,ROWS($A$10:$A51)+2,FALSE)</f>
        <v>2067</v>
      </c>
      <c r="CX51" s="34">
        <f>HLOOKUP(CX$7+0.5,$I$66:$DJ$120,ROWS($A$10:$A51)+2,FALSE)</f>
        <v>332</v>
      </c>
      <c r="CY51" s="34" t="str">
        <f>HLOOKUP(CY$7+0.5,$I$66:$DJ$120,ROWS($A$10:$A51)+2,FALSE)</f>
        <v>N/A</v>
      </c>
      <c r="CZ51" s="34">
        <f>HLOOKUP(CZ$7+0.5,$I$66:$DJ$120,ROWS($A$10:$A51)+2,FALSE)</f>
        <v>1252</v>
      </c>
      <c r="DA51" s="34">
        <f>HLOOKUP(DA$7+0.5,$I$66:$DJ$120,ROWS($A$10:$A51)+2,FALSE)</f>
        <v>1136</v>
      </c>
      <c r="DB51" s="34">
        <f>HLOOKUP(DB$7+0.5,$I$66:$DJ$120,ROWS($A$10:$A51)+2,FALSE)</f>
        <v>1482</v>
      </c>
      <c r="DC51" s="34">
        <f>HLOOKUP(DC$7+0.5,$I$66:$DJ$120,ROWS($A$10:$A51)+2,FALSE)</f>
        <v>425</v>
      </c>
      <c r="DD51" s="34">
        <f>HLOOKUP(DD$7+0.5,$I$66:$DJ$120,ROWS($A$10:$A51)+2,FALSE)</f>
        <v>244</v>
      </c>
      <c r="DE51" s="34">
        <f>HLOOKUP(DE$7+0.5,$I$66:$DJ$120,ROWS($A$10:$A51)+2,FALSE)</f>
        <v>3040</v>
      </c>
      <c r="DF51" s="34">
        <f>HLOOKUP(DF$7+0.5,$I$66:$DJ$120,ROWS($A$10:$A51)+2,FALSE)</f>
        <v>1165</v>
      </c>
      <c r="DG51" s="34">
        <f>HLOOKUP(DG$7+0.5,$I$66:$DJ$120,ROWS($A$10:$A51)+2,FALSE)</f>
        <v>720</v>
      </c>
      <c r="DH51" s="34">
        <f>HLOOKUP(DH$7+0.5,$I$66:$DJ$120,ROWS($A$10:$A51)+2,FALSE)</f>
        <v>570</v>
      </c>
      <c r="DI51" s="34">
        <f>HLOOKUP(DI$7+0.5,$I$66:$DJ$120,ROWS($A$10:$A51)+2,FALSE)</f>
        <v>197</v>
      </c>
      <c r="DJ51" s="34">
        <f>HLOOKUP(DJ$7+0.5,$I$66:$DJ$120,ROWS($A$10:$A51)+2,FALSE)</f>
        <v>890</v>
      </c>
    </row>
    <row r="52" spans="2:114" x14ac:dyDescent="0.25">
      <c r="B52" s="38" t="s">
        <v>48</v>
      </c>
      <c r="C52" s="15">
        <v>821669</v>
      </c>
      <c r="D52" s="14">
        <v>1036</v>
      </c>
      <c r="E52" s="15">
        <v>676014</v>
      </c>
      <c r="F52" s="14">
        <v>7752</v>
      </c>
      <c r="G52" s="15">
        <v>115606</v>
      </c>
      <c r="H52" s="14">
        <v>7423</v>
      </c>
      <c r="I52" s="36">
        <f>HLOOKUP(I$7,$I$66:$DJ$120,ROWS($A$10:$A52)+2,FALSE)</f>
        <v>26051</v>
      </c>
      <c r="J52" s="25">
        <f>HLOOKUP(J$7,$I$66:$DJ$120,ROWS($A$10:$A52)+2,FALSE)</f>
        <v>0</v>
      </c>
      <c r="K52" s="25">
        <f>HLOOKUP(K$7,$I$66:$DJ$120,ROWS($A$10:$A52)+2,FALSE)</f>
        <v>855</v>
      </c>
      <c r="L52" s="25">
        <f>HLOOKUP(L$7,$I$66:$DJ$120,ROWS($A$10:$A52)+2,FALSE)</f>
        <v>435</v>
      </c>
      <c r="M52" s="25">
        <f>HLOOKUP(M$7,$I$66:$DJ$120,ROWS($A$10:$A52)+2,FALSE)</f>
        <v>227</v>
      </c>
      <c r="N52" s="25">
        <f>HLOOKUP(N$7,$I$66:$DJ$120,ROWS($A$10:$A52)+2,FALSE)</f>
        <v>1494</v>
      </c>
      <c r="O52" s="25">
        <f>HLOOKUP(O$7,$I$66:$DJ$120,ROWS($A$10:$A52)+2,FALSE)</f>
        <v>1744</v>
      </c>
      <c r="P52" s="25">
        <f>HLOOKUP(P$7,$I$66:$DJ$120,ROWS($A$10:$A52)+2,FALSE)</f>
        <v>2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970</v>
      </c>
      <c r="T52" s="25">
        <f>HLOOKUP(T$7,$I$66:$DJ$120,ROWS($A$10:$A52)+2,FALSE)</f>
        <v>122</v>
      </c>
      <c r="U52" s="25">
        <f>HLOOKUP(U$7,$I$66:$DJ$120,ROWS($A$10:$A52)+2,FALSE)</f>
        <v>8</v>
      </c>
      <c r="V52" s="25">
        <f>HLOOKUP(V$7,$I$66:$DJ$120,ROWS($A$10:$A52)+2,FALSE)</f>
        <v>78</v>
      </c>
      <c r="W52" s="25">
        <f>HLOOKUP(W$7,$I$66:$DJ$120,ROWS($A$10:$A52)+2,FALSE)</f>
        <v>74</v>
      </c>
      <c r="X52" s="25">
        <f>HLOOKUP(X$7,$I$66:$DJ$120,ROWS($A$10:$A52)+2,FALSE)</f>
        <v>210</v>
      </c>
      <c r="Y52" s="25">
        <f>HLOOKUP(Y$7,$I$66:$DJ$120,ROWS($A$10:$A52)+2,FALSE)</f>
        <v>2441</v>
      </c>
      <c r="Z52" s="25">
        <f>HLOOKUP(Z$7,$I$66:$DJ$120,ROWS($A$10:$A52)+2,FALSE)</f>
        <v>403</v>
      </c>
      <c r="AA52" s="25">
        <f>HLOOKUP(AA$7,$I$66:$DJ$120,ROWS($A$10:$A52)+2,FALSE)</f>
        <v>0</v>
      </c>
      <c r="AB52" s="25">
        <f>HLOOKUP(AB$7,$I$66:$DJ$120,ROWS($A$10:$A52)+2,FALSE)</f>
        <v>0</v>
      </c>
      <c r="AC52" s="25">
        <f>HLOOKUP(AC$7,$I$66:$DJ$120,ROWS($A$10:$A52)+2,FALSE)</f>
        <v>0</v>
      </c>
      <c r="AD52" s="25">
        <f>HLOOKUP(AD$7,$I$66:$DJ$120,ROWS($A$10:$A52)+2,FALSE)</f>
        <v>60</v>
      </c>
      <c r="AE52" s="25">
        <f>HLOOKUP(AE$7,$I$66:$DJ$120,ROWS($A$10:$A52)+2,FALSE)</f>
        <v>61</v>
      </c>
      <c r="AF52" s="25">
        <f>HLOOKUP(AF$7,$I$66:$DJ$120,ROWS($A$10:$A52)+2,FALSE)</f>
        <v>892</v>
      </c>
      <c r="AG52" s="25">
        <f>HLOOKUP(AG$7,$I$66:$DJ$120,ROWS($A$10:$A52)+2,FALSE)</f>
        <v>3568</v>
      </c>
      <c r="AH52" s="25">
        <f>HLOOKUP(AH$7,$I$66:$DJ$120,ROWS($A$10:$A52)+2,FALSE)</f>
        <v>34</v>
      </c>
      <c r="AI52" s="25">
        <f>HLOOKUP(AI$7,$I$66:$DJ$120,ROWS($A$10:$A52)+2,FALSE)</f>
        <v>474</v>
      </c>
      <c r="AJ52" s="25">
        <f>HLOOKUP(AJ$7,$I$66:$DJ$120,ROWS($A$10:$A52)+2,FALSE)</f>
        <v>248</v>
      </c>
      <c r="AK52" s="25">
        <f>HLOOKUP(AK$7,$I$66:$DJ$120,ROWS($A$10:$A52)+2,FALSE)</f>
        <v>2175</v>
      </c>
      <c r="AL52" s="25">
        <f>HLOOKUP(AL$7,$I$66:$DJ$120,ROWS($A$10:$A52)+2,FALSE)</f>
        <v>135</v>
      </c>
      <c r="AM52" s="25">
        <f>HLOOKUP(AM$7,$I$66:$DJ$120,ROWS($A$10:$A52)+2,FALSE)</f>
        <v>0</v>
      </c>
      <c r="AN52" s="25">
        <f>HLOOKUP(AN$7,$I$66:$DJ$120,ROWS($A$10:$A52)+2,FALSE)</f>
        <v>0</v>
      </c>
      <c r="AO52" s="25">
        <f>HLOOKUP(AO$7,$I$66:$DJ$120,ROWS($A$10:$A52)+2,FALSE)</f>
        <v>175</v>
      </c>
      <c r="AP52" s="25">
        <f>HLOOKUP(AP$7,$I$66:$DJ$120,ROWS($A$10:$A52)+2,FALSE)</f>
        <v>371</v>
      </c>
      <c r="AQ52" s="25">
        <f>HLOOKUP(AQ$7,$I$66:$DJ$120,ROWS($A$10:$A52)+2,FALSE)</f>
        <v>240</v>
      </c>
      <c r="AR52" s="25">
        <f>HLOOKUP(AR$7,$I$66:$DJ$120,ROWS($A$10:$A52)+2,FALSE)</f>
        <v>1725</v>
      </c>
      <c r="AS52" s="25">
        <f>HLOOKUP(AS$7,$I$66:$DJ$120,ROWS($A$10:$A52)+2,FALSE)</f>
        <v>64</v>
      </c>
      <c r="AT52" s="25">
        <f>HLOOKUP(AT$7,$I$66:$DJ$120,ROWS($A$10:$A52)+2,FALSE)</f>
        <v>21</v>
      </c>
      <c r="AU52" s="25">
        <f>HLOOKUP(AU$7,$I$66:$DJ$120,ROWS($A$10:$A52)+2,FALSE)</f>
        <v>667</v>
      </c>
      <c r="AV52" s="25">
        <f>HLOOKUP(AV$7,$I$66:$DJ$120,ROWS($A$10:$A52)+2,FALSE)</f>
        <v>515</v>
      </c>
      <c r="AW52" s="25">
        <f>HLOOKUP(AW$7,$I$66:$DJ$120,ROWS($A$10:$A52)+2,FALSE)</f>
        <v>0</v>
      </c>
      <c r="AX52" s="25">
        <f>HLOOKUP(AX$7,$I$66:$DJ$120,ROWS($A$10:$A52)+2,FALSE)</f>
        <v>158</v>
      </c>
      <c r="AY52" s="25" t="str">
        <f>HLOOKUP(AY$7,$I$66:$DJ$120,ROWS($A$10:$A52)+2,FALSE)</f>
        <v>N/A</v>
      </c>
      <c r="AZ52" s="25">
        <f>HLOOKUP(AZ$7,$I$66:$DJ$120,ROWS($A$10:$A52)+2,FALSE)</f>
        <v>507</v>
      </c>
      <c r="BA52" s="25">
        <f>HLOOKUP(BA$7,$I$66:$DJ$120,ROWS($A$10:$A52)+2,FALSE)</f>
        <v>1715</v>
      </c>
      <c r="BB52" s="25">
        <f>HLOOKUP(BB$7,$I$66:$DJ$120,ROWS($A$10:$A52)+2,FALSE)</f>
        <v>388</v>
      </c>
      <c r="BC52" s="25">
        <f>HLOOKUP(BC$7,$I$66:$DJ$120,ROWS($A$10:$A52)+2,FALSE)</f>
        <v>5</v>
      </c>
      <c r="BD52" s="25">
        <f>HLOOKUP(BD$7,$I$66:$DJ$120,ROWS($A$10:$A52)+2,FALSE)</f>
        <v>340</v>
      </c>
      <c r="BE52" s="25">
        <f>HLOOKUP(BE$7,$I$66:$DJ$120,ROWS($A$10:$A52)+2,FALSE)</f>
        <v>1026</v>
      </c>
      <c r="BF52" s="25">
        <f>HLOOKUP(BF$7,$I$66:$DJ$120,ROWS($A$10:$A52)+2,FALSE)</f>
        <v>131</v>
      </c>
      <c r="BG52" s="25">
        <f>HLOOKUP(BG$7,$I$66:$DJ$120,ROWS($A$10:$A52)+2,FALSE)</f>
        <v>314</v>
      </c>
      <c r="BH52" s="25">
        <f>HLOOKUP(BH$7,$I$66:$DJ$120,ROWS($A$10:$A52)+2,FALSE)</f>
        <v>979</v>
      </c>
      <c r="BI52" s="25">
        <f>HLOOKUP(BI$7,$I$66:$DJ$120,ROWS($A$10:$A52)+2,FALSE)</f>
        <v>134</v>
      </c>
      <c r="BJ52" s="34">
        <f>HLOOKUP(BJ$7+0.5,$I$66:$DJ$120,ROWS($A$10:$A52)+2,FALSE)</f>
        <v>2891</v>
      </c>
      <c r="BK52" s="34">
        <f>HLOOKUP(BK$7+0.5,$I$66:$DJ$120,ROWS($A$10:$A52)+2,FALSE)</f>
        <v>147</v>
      </c>
      <c r="BL52" s="34">
        <f>HLOOKUP(BL$7+0.5,$I$66:$DJ$120,ROWS($A$10:$A52)+2,FALSE)</f>
        <v>1127</v>
      </c>
      <c r="BM52" s="34">
        <f>HLOOKUP(BM$7+0.5,$I$66:$DJ$120,ROWS($A$10:$A52)+2,FALSE)</f>
        <v>333</v>
      </c>
      <c r="BN52" s="34">
        <f>HLOOKUP(BN$7+0.5,$I$66:$DJ$120,ROWS($A$10:$A52)+2,FALSE)</f>
        <v>354</v>
      </c>
      <c r="BO52" s="34">
        <f>HLOOKUP(BO$7+0.5,$I$66:$DJ$120,ROWS($A$10:$A52)+2,FALSE)</f>
        <v>663</v>
      </c>
      <c r="BP52" s="34">
        <f>HLOOKUP(BP$7+0.5,$I$66:$DJ$120,ROWS($A$10:$A52)+2,FALSE)</f>
        <v>839</v>
      </c>
      <c r="BQ52" s="34">
        <f>HLOOKUP(BQ$7+0.5,$I$66:$DJ$120,ROWS($A$10:$A52)+2,FALSE)</f>
        <v>4</v>
      </c>
      <c r="BR52" s="34">
        <f>HLOOKUP(BR$7+0.5,$I$66:$DJ$120,ROWS($A$10:$A52)+2,FALSE)</f>
        <v>147</v>
      </c>
      <c r="BS52" s="34">
        <f>HLOOKUP(BS$7+0.5,$I$66:$DJ$120,ROWS($A$10:$A52)+2,FALSE)</f>
        <v>147</v>
      </c>
      <c r="BT52" s="34">
        <f>HLOOKUP(BT$7+0.5,$I$66:$DJ$120,ROWS($A$10:$A52)+2,FALSE)</f>
        <v>638</v>
      </c>
      <c r="BU52" s="34">
        <f>HLOOKUP(BU$7+0.5,$I$66:$DJ$120,ROWS($A$10:$A52)+2,FALSE)</f>
        <v>130</v>
      </c>
      <c r="BV52" s="34">
        <f>HLOOKUP(BV$7+0.5,$I$66:$DJ$120,ROWS($A$10:$A52)+2,FALSE)</f>
        <v>13</v>
      </c>
      <c r="BW52" s="34">
        <f>HLOOKUP(BW$7+0.5,$I$66:$DJ$120,ROWS($A$10:$A52)+2,FALSE)</f>
        <v>104</v>
      </c>
      <c r="BX52" s="34">
        <f>HLOOKUP(BX$7+0.5,$I$66:$DJ$120,ROWS($A$10:$A52)+2,FALSE)</f>
        <v>102</v>
      </c>
      <c r="BY52" s="34">
        <f>HLOOKUP(BY$7+0.5,$I$66:$DJ$120,ROWS($A$10:$A52)+2,FALSE)</f>
        <v>289</v>
      </c>
      <c r="BZ52" s="34">
        <f>HLOOKUP(BZ$7+0.5,$I$66:$DJ$120,ROWS($A$10:$A52)+2,FALSE)</f>
        <v>932</v>
      </c>
      <c r="CA52" s="34">
        <f>HLOOKUP(CA$7+0.5,$I$66:$DJ$120,ROWS($A$10:$A52)+2,FALSE)</f>
        <v>295</v>
      </c>
      <c r="CB52" s="34">
        <f>HLOOKUP(CB$7+0.5,$I$66:$DJ$120,ROWS($A$10:$A52)+2,FALSE)</f>
        <v>147</v>
      </c>
      <c r="CC52" s="34">
        <f>HLOOKUP(CC$7+0.5,$I$66:$DJ$120,ROWS($A$10:$A52)+2,FALSE)</f>
        <v>147</v>
      </c>
      <c r="CD52" s="34">
        <f>HLOOKUP(CD$7+0.5,$I$66:$DJ$120,ROWS($A$10:$A52)+2,FALSE)</f>
        <v>147</v>
      </c>
      <c r="CE52" s="34">
        <f>HLOOKUP(CE$7+0.5,$I$66:$DJ$120,ROWS($A$10:$A52)+2,FALSE)</f>
        <v>65</v>
      </c>
      <c r="CF52" s="34">
        <f>HLOOKUP(CF$7+0.5,$I$66:$DJ$120,ROWS($A$10:$A52)+2,FALSE)</f>
        <v>101</v>
      </c>
      <c r="CG52" s="34">
        <f>HLOOKUP(CG$7+0.5,$I$66:$DJ$120,ROWS($A$10:$A52)+2,FALSE)</f>
        <v>747</v>
      </c>
      <c r="CH52" s="34">
        <f>HLOOKUP(CH$7+0.5,$I$66:$DJ$120,ROWS($A$10:$A52)+2,FALSE)</f>
        <v>1023</v>
      </c>
      <c r="CI52" s="34">
        <f>HLOOKUP(CI$7+0.5,$I$66:$DJ$120,ROWS($A$10:$A52)+2,FALSE)</f>
        <v>48</v>
      </c>
      <c r="CJ52" s="34">
        <f>HLOOKUP(CJ$7+0.5,$I$66:$DJ$120,ROWS($A$10:$A52)+2,FALSE)</f>
        <v>274</v>
      </c>
      <c r="CK52" s="34">
        <f>HLOOKUP(CK$7+0.5,$I$66:$DJ$120,ROWS($A$10:$A52)+2,FALSE)</f>
        <v>208</v>
      </c>
      <c r="CL52" s="34">
        <f>HLOOKUP(CL$7+0.5,$I$66:$DJ$120,ROWS($A$10:$A52)+2,FALSE)</f>
        <v>801</v>
      </c>
      <c r="CM52" s="34">
        <f>HLOOKUP(CM$7+0.5,$I$66:$DJ$120,ROWS($A$10:$A52)+2,FALSE)</f>
        <v>171</v>
      </c>
      <c r="CN52" s="34">
        <f>HLOOKUP(CN$7+0.5,$I$66:$DJ$120,ROWS($A$10:$A52)+2,FALSE)</f>
        <v>147</v>
      </c>
      <c r="CO52" s="34">
        <f>HLOOKUP(CO$7+0.5,$I$66:$DJ$120,ROWS($A$10:$A52)+2,FALSE)</f>
        <v>147</v>
      </c>
      <c r="CP52" s="34">
        <f>HLOOKUP(CP$7+0.5,$I$66:$DJ$120,ROWS($A$10:$A52)+2,FALSE)</f>
        <v>187</v>
      </c>
      <c r="CQ52" s="34">
        <f>HLOOKUP(CQ$7+0.5,$I$66:$DJ$120,ROWS($A$10:$A52)+2,FALSE)</f>
        <v>317</v>
      </c>
      <c r="CR52" s="34">
        <f>HLOOKUP(CR$7+0.5,$I$66:$DJ$120,ROWS($A$10:$A52)+2,FALSE)</f>
        <v>220</v>
      </c>
      <c r="CS52" s="34">
        <f>HLOOKUP(CS$7+0.5,$I$66:$DJ$120,ROWS($A$10:$A52)+2,FALSE)</f>
        <v>823</v>
      </c>
      <c r="CT52" s="34">
        <f>HLOOKUP(CT$7+0.5,$I$66:$DJ$120,ROWS($A$10:$A52)+2,FALSE)</f>
        <v>77</v>
      </c>
      <c r="CU52" s="34">
        <f>HLOOKUP(CU$7+0.5,$I$66:$DJ$120,ROWS($A$10:$A52)+2,FALSE)</f>
        <v>36</v>
      </c>
      <c r="CV52" s="34">
        <f>HLOOKUP(CV$7+0.5,$I$66:$DJ$120,ROWS($A$10:$A52)+2,FALSE)</f>
        <v>583</v>
      </c>
      <c r="CW52" s="34">
        <f>HLOOKUP(CW$7+0.5,$I$66:$DJ$120,ROWS($A$10:$A52)+2,FALSE)</f>
        <v>633</v>
      </c>
      <c r="CX52" s="34">
        <f>HLOOKUP(CX$7+0.5,$I$66:$DJ$120,ROWS($A$10:$A52)+2,FALSE)</f>
        <v>147</v>
      </c>
      <c r="CY52" s="34">
        <f>HLOOKUP(CY$7+0.5,$I$66:$DJ$120,ROWS($A$10:$A52)+2,FALSE)</f>
        <v>159</v>
      </c>
      <c r="CZ52" s="34" t="str">
        <f>HLOOKUP(CZ$7+0.5,$I$66:$DJ$120,ROWS($A$10:$A52)+2,FALSE)</f>
        <v>N/A</v>
      </c>
      <c r="DA52" s="34">
        <f>HLOOKUP(DA$7+0.5,$I$66:$DJ$120,ROWS($A$10:$A52)+2,FALSE)</f>
        <v>346</v>
      </c>
      <c r="DB52" s="34">
        <f>HLOOKUP(DB$7+0.5,$I$66:$DJ$120,ROWS($A$10:$A52)+2,FALSE)</f>
        <v>1067</v>
      </c>
      <c r="DC52" s="34">
        <f>HLOOKUP(DC$7+0.5,$I$66:$DJ$120,ROWS($A$10:$A52)+2,FALSE)</f>
        <v>372</v>
      </c>
      <c r="DD52" s="34">
        <f>HLOOKUP(DD$7+0.5,$I$66:$DJ$120,ROWS($A$10:$A52)+2,FALSE)</f>
        <v>9</v>
      </c>
      <c r="DE52" s="34">
        <f>HLOOKUP(DE$7+0.5,$I$66:$DJ$120,ROWS($A$10:$A52)+2,FALSE)</f>
        <v>300</v>
      </c>
      <c r="DF52" s="34">
        <f>HLOOKUP(DF$7+0.5,$I$66:$DJ$120,ROWS($A$10:$A52)+2,FALSE)</f>
        <v>681</v>
      </c>
      <c r="DG52" s="34">
        <f>HLOOKUP(DG$7+0.5,$I$66:$DJ$120,ROWS($A$10:$A52)+2,FALSE)</f>
        <v>216</v>
      </c>
      <c r="DH52" s="34">
        <f>HLOOKUP(DH$7+0.5,$I$66:$DJ$120,ROWS($A$10:$A52)+2,FALSE)</f>
        <v>413</v>
      </c>
      <c r="DI52" s="34">
        <f>HLOOKUP(DI$7+0.5,$I$66:$DJ$120,ROWS($A$10:$A52)+2,FALSE)</f>
        <v>735</v>
      </c>
      <c r="DJ52" s="34">
        <f>HLOOKUP(DJ$7+0.5,$I$66:$DJ$120,ROWS($A$10:$A52)+2,FALSE)</f>
        <v>235</v>
      </c>
    </row>
    <row r="53" spans="2:114" x14ac:dyDescent="0.25">
      <c r="B53" s="38" t="s">
        <v>49</v>
      </c>
      <c r="C53" s="15">
        <v>6378278</v>
      </c>
      <c r="D53" s="14">
        <v>4412</v>
      </c>
      <c r="E53" s="15">
        <v>5396833</v>
      </c>
      <c r="F53" s="14">
        <v>24470</v>
      </c>
      <c r="G53" s="15">
        <v>783077</v>
      </c>
      <c r="H53" s="14">
        <v>21860</v>
      </c>
      <c r="I53" s="36">
        <f>HLOOKUP(I$7,$I$66:$DJ$120,ROWS($A$10:$A53)+2,FALSE)</f>
        <v>177098</v>
      </c>
      <c r="J53" s="25">
        <f>HLOOKUP(J$7,$I$66:$DJ$120,ROWS($A$10:$A53)+2,FALSE)</f>
        <v>12116</v>
      </c>
      <c r="K53" s="25">
        <f>HLOOKUP(K$7,$I$66:$DJ$120,ROWS($A$10:$A53)+2,FALSE)</f>
        <v>1281</v>
      </c>
      <c r="L53" s="25">
        <f>HLOOKUP(L$7,$I$66:$DJ$120,ROWS($A$10:$A53)+2,FALSE)</f>
        <v>2250</v>
      </c>
      <c r="M53" s="25">
        <f>HLOOKUP(M$7,$I$66:$DJ$120,ROWS($A$10:$A53)+2,FALSE)</f>
        <v>3306</v>
      </c>
      <c r="N53" s="25">
        <f>HLOOKUP(N$7,$I$66:$DJ$120,ROWS($A$10:$A53)+2,FALSE)</f>
        <v>8396</v>
      </c>
      <c r="O53" s="25">
        <f>HLOOKUP(O$7,$I$66:$DJ$120,ROWS($A$10:$A53)+2,FALSE)</f>
        <v>2473</v>
      </c>
      <c r="P53" s="25">
        <f>HLOOKUP(P$7,$I$66:$DJ$120,ROWS($A$10:$A53)+2,FALSE)</f>
        <v>936</v>
      </c>
      <c r="Q53" s="25">
        <f>HLOOKUP(Q$7,$I$66:$DJ$120,ROWS($A$10:$A53)+2,FALSE)</f>
        <v>176</v>
      </c>
      <c r="R53" s="25">
        <f>HLOOKUP(R$7,$I$66:$DJ$120,ROWS($A$10:$A53)+2,FALSE)</f>
        <v>180</v>
      </c>
      <c r="S53" s="25">
        <f>HLOOKUP(S$7,$I$66:$DJ$120,ROWS($A$10:$A53)+2,FALSE)</f>
        <v>15641</v>
      </c>
      <c r="T53" s="25">
        <f>HLOOKUP(T$7,$I$66:$DJ$120,ROWS($A$10:$A53)+2,FALSE)</f>
        <v>16012</v>
      </c>
      <c r="U53" s="25">
        <f>HLOOKUP(U$7,$I$66:$DJ$120,ROWS($A$10:$A53)+2,FALSE)</f>
        <v>1058</v>
      </c>
      <c r="V53" s="25">
        <f>HLOOKUP(V$7,$I$66:$DJ$120,ROWS($A$10:$A53)+2,FALSE)</f>
        <v>787</v>
      </c>
      <c r="W53" s="25">
        <f>HLOOKUP(W$7,$I$66:$DJ$120,ROWS($A$10:$A53)+2,FALSE)</f>
        <v>7094</v>
      </c>
      <c r="X53" s="25">
        <f>HLOOKUP(X$7,$I$66:$DJ$120,ROWS($A$10:$A53)+2,FALSE)</f>
        <v>5591</v>
      </c>
      <c r="Y53" s="25">
        <f>HLOOKUP(Y$7,$I$66:$DJ$120,ROWS($A$10:$A53)+2,FALSE)</f>
        <v>617</v>
      </c>
      <c r="Z53" s="25">
        <f>HLOOKUP(Z$7,$I$66:$DJ$120,ROWS($A$10:$A53)+2,FALSE)</f>
        <v>2630</v>
      </c>
      <c r="AA53" s="25">
        <f>HLOOKUP(AA$7,$I$66:$DJ$120,ROWS($A$10:$A53)+2,FALSE)</f>
        <v>13202</v>
      </c>
      <c r="AB53" s="25">
        <f>HLOOKUP(AB$7,$I$66:$DJ$120,ROWS($A$10:$A53)+2,FALSE)</f>
        <v>2452</v>
      </c>
      <c r="AC53" s="25">
        <f>HLOOKUP(AC$7,$I$66:$DJ$120,ROWS($A$10:$A53)+2,FALSE)</f>
        <v>1040</v>
      </c>
      <c r="AD53" s="25">
        <f>HLOOKUP(AD$7,$I$66:$DJ$120,ROWS($A$10:$A53)+2,FALSE)</f>
        <v>1743</v>
      </c>
      <c r="AE53" s="25">
        <f>HLOOKUP(AE$7,$I$66:$DJ$120,ROWS($A$10:$A53)+2,FALSE)</f>
        <v>1525</v>
      </c>
      <c r="AF53" s="25">
        <f>HLOOKUP(AF$7,$I$66:$DJ$120,ROWS($A$10:$A53)+2,FALSE)</f>
        <v>4507</v>
      </c>
      <c r="AG53" s="25">
        <f>HLOOKUP(AG$7,$I$66:$DJ$120,ROWS($A$10:$A53)+2,FALSE)</f>
        <v>1178</v>
      </c>
      <c r="AH53" s="25">
        <f>HLOOKUP(AH$7,$I$66:$DJ$120,ROWS($A$10:$A53)+2,FALSE)</f>
        <v>10568</v>
      </c>
      <c r="AI53" s="25">
        <f>HLOOKUP(AI$7,$I$66:$DJ$120,ROWS($A$10:$A53)+2,FALSE)</f>
        <v>2694</v>
      </c>
      <c r="AJ53" s="25">
        <f>HLOOKUP(AJ$7,$I$66:$DJ$120,ROWS($A$10:$A53)+2,FALSE)</f>
        <v>308</v>
      </c>
      <c r="AK53" s="25">
        <f>HLOOKUP(AK$7,$I$66:$DJ$120,ROWS($A$10:$A53)+2,FALSE)</f>
        <v>432</v>
      </c>
      <c r="AL53" s="25">
        <f>HLOOKUP(AL$7,$I$66:$DJ$120,ROWS($A$10:$A53)+2,FALSE)</f>
        <v>735</v>
      </c>
      <c r="AM53" s="25">
        <f>HLOOKUP(AM$7,$I$66:$DJ$120,ROWS($A$10:$A53)+2,FALSE)</f>
        <v>271</v>
      </c>
      <c r="AN53" s="25">
        <f>HLOOKUP(AN$7,$I$66:$DJ$120,ROWS($A$10:$A53)+2,FALSE)</f>
        <v>783</v>
      </c>
      <c r="AO53" s="25">
        <f>HLOOKUP(AO$7,$I$66:$DJ$120,ROWS($A$10:$A53)+2,FALSE)</f>
        <v>751</v>
      </c>
      <c r="AP53" s="25">
        <f>HLOOKUP(AP$7,$I$66:$DJ$120,ROWS($A$10:$A53)+2,FALSE)</f>
        <v>6279</v>
      </c>
      <c r="AQ53" s="25">
        <f>HLOOKUP(AQ$7,$I$66:$DJ$120,ROWS($A$10:$A53)+2,FALSE)</f>
        <v>5904</v>
      </c>
      <c r="AR53" s="25">
        <f>HLOOKUP(AR$7,$I$66:$DJ$120,ROWS($A$10:$A53)+2,FALSE)</f>
        <v>7</v>
      </c>
      <c r="AS53" s="25">
        <f>HLOOKUP(AS$7,$I$66:$DJ$120,ROWS($A$10:$A53)+2,FALSE)</f>
        <v>6200</v>
      </c>
      <c r="AT53" s="25">
        <f>HLOOKUP(AT$7,$I$66:$DJ$120,ROWS($A$10:$A53)+2,FALSE)</f>
        <v>2495</v>
      </c>
      <c r="AU53" s="25">
        <f>HLOOKUP(AU$7,$I$66:$DJ$120,ROWS($A$10:$A53)+2,FALSE)</f>
        <v>1080</v>
      </c>
      <c r="AV53" s="25">
        <f>HLOOKUP(AV$7,$I$66:$DJ$120,ROWS($A$10:$A53)+2,FALSE)</f>
        <v>3329</v>
      </c>
      <c r="AW53" s="25">
        <f>HLOOKUP(AW$7,$I$66:$DJ$120,ROWS($A$10:$A53)+2,FALSE)</f>
        <v>26</v>
      </c>
      <c r="AX53" s="25">
        <f>HLOOKUP(AX$7,$I$66:$DJ$120,ROWS($A$10:$A53)+2,FALSE)</f>
        <v>4300</v>
      </c>
      <c r="AY53" s="25">
        <f>HLOOKUP(AY$7,$I$66:$DJ$120,ROWS($A$10:$A53)+2,FALSE)</f>
        <v>0</v>
      </c>
      <c r="AZ53" s="25" t="str">
        <f>HLOOKUP(AZ$7,$I$66:$DJ$120,ROWS($A$10:$A53)+2,FALSE)</f>
        <v>N/A</v>
      </c>
      <c r="BA53" s="25">
        <f>HLOOKUP(BA$7,$I$66:$DJ$120,ROWS($A$10:$A53)+2,FALSE)</f>
        <v>8716</v>
      </c>
      <c r="BB53" s="25">
        <f>HLOOKUP(BB$7,$I$66:$DJ$120,ROWS($A$10:$A53)+2,FALSE)</f>
        <v>784</v>
      </c>
      <c r="BC53" s="25">
        <f>HLOOKUP(BC$7,$I$66:$DJ$120,ROWS($A$10:$A53)+2,FALSE)</f>
        <v>133</v>
      </c>
      <c r="BD53" s="25">
        <f>HLOOKUP(BD$7,$I$66:$DJ$120,ROWS($A$10:$A53)+2,FALSE)</f>
        <v>8008</v>
      </c>
      <c r="BE53" s="25">
        <f>HLOOKUP(BE$7,$I$66:$DJ$120,ROWS($A$10:$A53)+2,FALSE)</f>
        <v>1876</v>
      </c>
      <c r="BF53" s="25">
        <f>HLOOKUP(BF$7,$I$66:$DJ$120,ROWS($A$10:$A53)+2,FALSE)</f>
        <v>3248</v>
      </c>
      <c r="BG53" s="25">
        <f>HLOOKUP(BG$7,$I$66:$DJ$120,ROWS($A$10:$A53)+2,FALSE)</f>
        <v>1622</v>
      </c>
      <c r="BH53" s="25">
        <f>HLOOKUP(BH$7,$I$66:$DJ$120,ROWS($A$10:$A53)+2,FALSE)</f>
        <v>358</v>
      </c>
      <c r="BI53" s="25">
        <f>HLOOKUP(BI$7,$I$66:$DJ$120,ROWS($A$10:$A53)+2,FALSE)</f>
        <v>717</v>
      </c>
      <c r="BJ53" s="34">
        <f>HLOOKUP(BJ$7+0.5,$I$66:$DJ$120,ROWS($A$10:$A53)+2,FALSE)</f>
        <v>10625</v>
      </c>
      <c r="BK53" s="34">
        <f>HLOOKUP(BK$7+0.5,$I$66:$DJ$120,ROWS($A$10:$A53)+2,FALSE)</f>
        <v>3309</v>
      </c>
      <c r="BL53" s="34">
        <f>HLOOKUP(BL$7+0.5,$I$66:$DJ$120,ROWS($A$10:$A53)+2,FALSE)</f>
        <v>847</v>
      </c>
      <c r="BM53" s="34">
        <f>HLOOKUP(BM$7+0.5,$I$66:$DJ$120,ROWS($A$10:$A53)+2,FALSE)</f>
        <v>907</v>
      </c>
      <c r="BN53" s="34">
        <f>HLOOKUP(BN$7+0.5,$I$66:$DJ$120,ROWS($A$10:$A53)+2,FALSE)</f>
        <v>1731</v>
      </c>
      <c r="BO53" s="34">
        <f>HLOOKUP(BO$7+0.5,$I$66:$DJ$120,ROWS($A$10:$A53)+2,FALSE)</f>
        <v>2447</v>
      </c>
      <c r="BP53" s="34">
        <f>HLOOKUP(BP$7+0.5,$I$66:$DJ$120,ROWS($A$10:$A53)+2,FALSE)</f>
        <v>1156</v>
      </c>
      <c r="BQ53" s="34">
        <f>HLOOKUP(BQ$7+0.5,$I$66:$DJ$120,ROWS($A$10:$A53)+2,FALSE)</f>
        <v>900</v>
      </c>
      <c r="BR53" s="34">
        <f>HLOOKUP(BR$7+0.5,$I$66:$DJ$120,ROWS($A$10:$A53)+2,FALSE)</f>
        <v>222</v>
      </c>
      <c r="BS53" s="34">
        <f>HLOOKUP(BS$7+0.5,$I$66:$DJ$120,ROWS($A$10:$A53)+2,FALSE)</f>
        <v>203</v>
      </c>
      <c r="BT53" s="34">
        <f>HLOOKUP(BT$7+0.5,$I$66:$DJ$120,ROWS($A$10:$A53)+2,FALSE)</f>
        <v>3639</v>
      </c>
      <c r="BU53" s="34">
        <f>HLOOKUP(BU$7+0.5,$I$66:$DJ$120,ROWS($A$10:$A53)+2,FALSE)</f>
        <v>3114</v>
      </c>
      <c r="BV53" s="34">
        <f>HLOOKUP(BV$7+0.5,$I$66:$DJ$120,ROWS($A$10:$A53)+2,FALSE)</f>
        <v>1052</v>
      </c>
      <c r="BW53" s="34">
        <f>HLOOKUP(BW$7+0.5,$I$66:$DJ$120,ROWS($A$10:$A53)+2,FALSE)</f>
        <v>817</v>
      </c>
      <c r="BX53" s="34">
        <f>HLOOKUP(BX$7+0.5,$I$66:$DJ$120,ROWS($A$10:$A53)+2,FALSE)</f>
        <v>1891</v>
      </c>
      <c r="BY53" s="34">
        <f>HLOOKUP(BY$7+0.5,$I$66:$DJ$120,ROWS($A$10:$A53)+2,FALSE)</f>
        <v>2209</v>
      </c>
      <c r="BZ53" s="34">
        <f>HLOOKUP(BZ$7+0.5,$I$66:$DJ$120,ROWS($A$10:$A53)+2,FALSE)</f>
        <v>556</v>
      </c>
      <c r="CA53" s="34">
        <f>HLOOKUP(CA$7+0.5,$I$66:$DJ$120,ROWS($A$10:$A53)+2,FALSE)</f>
        <v>1972</v>
      </c>
      <c r="CB53" s="34">
        <f>HLOOKUP(CB$7+0.5,$I$66:$DJ$120,ROWS($A$10:$A53)+2,FALSE)</f>
        <v>2695</v>
      </c>
      <c r="CC53" s="34">
        <f>HLOOKUP(CC$7+0.5,$I$66:$DJ$120,ROWS($A$10:$A53)+2,FALSE)</f>
        <v>1206</v>
      </c>
      <c r="CD53" s="34">
        <f>HLOOKUP(CD$7+0.5,$I$66:$DJ$120,ROWS($A$10:$A53)+2,FALSE)</f>
        <v>589</v>
      </c>
      <c r="CE53" s="34">
        <f>HLOOKUP(CE$7+0.5,$I$66:$DJ$120,ROWS($A$10:$A53)+2,FALSE)</f>
        <v>867</v>
      </c>
      <c r="CF53" s="34">
        <f>HLOOKUP(CF$7+0.5,$I$66:$DJ$120,ROWS($A$10:$A53)+2,FALSE)</f>
        <v>706</v>
      </c>
      <c r="CG53" s="34">
        <f>HLOOKUP(CG$7+0.5,$I$66:$DJ$120,ROWS($A$10:$A53)+2,FALSE)</f>
        <v>1434</v>
      </c>
      <c r="CH53" s="34">
        <f>HLOOKUP(CH$7+0.5,$I$66:$DJ$120,ROWS($A$10:$A53)+2,FALSE)</f>
        <v>896</v>
      </c>
      <c r="CI53" s="34">
        <f>HLOOKUP(CI$7+0.5,$I$66:$DJ$120,ROWS($A$10:$A53)+2,FALSE)</f>
        <v>2321</v>
      </c>
      <c r="CJ53" s="34">
        <f>HLOOKUP(CJ$7+0.5,$I$66:$DJ$120,ROWS($A$10:$A53)+2,FALSE)</f>
        <v>1254</v>
      </c>
      <c r="CK53" s="34">
        <f>HLOOKUP(CK$7+0.5,$I$66:$DJ$120,ROWS($A$10:$A53)+2,FALSE)</f>
        <v>278</v>
      </c>
      <c r="CL53" s="34">
        <f>HLOOKUP(CL$7+0.5,$I$66:$DJ$120,ROWS($A$10:$A53)+2,FALSE)</f>
        <v>389</v>
      </c>
      <c r="CM53" s="34">
        <f>HLOOKUP(CM$7+0.5,$I$66:$DJ$120,ROWS($A$10:$A53)+2,FALSE)</f>
        <v>443</v>
      </c>
      <c r="CN53" s="34">
        <f>HLOOKUP(CN$7+0.5,$I$66:$DJ$120,ROWS($A$10:$A53)+2,FALSE)</f>
        <v>287</v>
      </c>
      <c r="CO53" s="34">
        <f>HLOOKUP(CO$7+0.5,$I$66:$DJ$120,ROWS($A$10:$A53)+2,FALSE)</f>
        <v>507</v>
      </c>
      <c r="CP53" s="34">
        <f>HLOOKUP(CP$7+0.5,$I$66:$DJ$120,ROWS($A$10:$A53)+2,FALSE)</f>
        <v>640</v>
      </c>
      <c r="CQ53" s="34">
        <f>HLOOKUP(CQ$7+0.5,$I$66:$DJ$120,ROWS($A$10:$A53)+2,FALSE)</f>
        <v>2008</v>
      </c>
      <c r="CR53" s="34">
        <f>HLOOKUP(CR$7+0.5,$I$66:$DJ$120,ROWS($A$10:$A53)+2,FALSE)</f>
        <v>1834</v>
      </c>
      <c r="CS53" s="34">
        <f>HLOOKUP(CS$7+0.5,$I$66:$DJ$120,ROWS($A$10:$A53)+2,FALSE)</f>
        <v>16</v>
      </c>
      <c r="CT53" s="34">
        <f>HLOOKUP(CT$7+0.5,$I$66:$DJ$120,ROWS($A$10:$A53)+2,FALSE)</f>
        <v>1742</v>
      </c>
      <c r="CU53" s="34">
        <f>HLOOKUP(CU$7+0.5,$I$66:$DJ$120,ROWS($A$10:$A53)+2,FALSE)</f>
        <v>1410</v>
      </c>
      <c r="CV53" s="34">
        <f>HLOOKUP(CV$7+0.5,$I$66:$DJ$120,ROWS($A$10:$A53)+2,FALSE)</f>
        <v>589</v>
      </c>
      <c r="CW53" s="34">
        <f>HLOOKUP(CW$7+0.5,$I$66:$DJ$120,ROWS($A$10:$A53)+2,FALSE)</f>
        <v>999</v>
      </c>
      <c r="CX53" s="34">
        <f>HLOOKUP(CX$7+0.5,$I$66:$DJ$120,ROWS($A$10:$A53)+2,FALSE)</f>
        <v>55</v>
      </c>
      <c r="CY53" s="34">
        <f>HLOOKUP(CY$7+0.5,$I$66:$DJ$120,ROWS($A$10:$A53)+2,FALSE)</f>
        <v>1280</v>
      </c>
      <c r="CZ53" s="34">
        <f>HLOOKUP(CZ$7+0.5,$I$66:$DJ$120,ROWS($A$10:$A53)+2,FALSE)</f>
        <v>193</v>
      </c>
      <c r="DA53" s="34" t="str">
        <f>HLOOKUP(DA$7+0.5,$I$66:$DJ$120,ROWS($A$10:$A53)+2,FALSE)</f>
        <v>N/A</v>
      </c>
      <c r="DB53" s="34">
        <f>HLOOKUP(DB$7+0.5,$I$66:$DJ$120,ROWS($A$10:$A53)+2,FALSE)</f>
        <v>2938</v>
      </c>
      <c r="DC53" s="34">
        <f>HLOOKUP(DC$7+0.5,$I$66:$DJ$120,ROWS($A$10:$A53)+2,FALSE)</f>
        <v>1131</v>
      </c>
      <c r="DD53" s="34">
        <f>HLOOKUP(DD$7+0.5,$I$66:$DJ$120,ROWS($A$10:$A53)+2,FALSE)</f>
        <v>133</v>
      </c>
      <c r="DE53" s="34">
        <f>HLOOKUP(DE$7+0.5,$I$66:$DJ$120,ROWS($A$10:$A53)+2,FALSE)</f>
        <v>2159</v>
      </c>
      <c r="DF53" s="34">
        <f>HLOOKUP(DF$7+0.5,$I$66:$DJ$120,ROWS($A$10:$A53)+2,FALSE)</f>
        <v>852</v>
      </c>
      <c r="DG53" s="34">
        <f>HLOOKUP(DG$7+0.5,$I$66:$DJ$120,ROWS($A$10:$A53)+2,FALSE)</f>
        <v>1760</v>
      </c>
      <c r="DH53" s="34">
        <f>HLOOKUP(DH$7+0.5,$I$66:$DJ$120,ROWS($A$10:$A53)+2,FALSE)</f>
        <v>727</v>
      </c>
      <c r="DI53" s="34">
        <f>HLOOKUP(DI$7+0.5,$I$66:$DJ$120,ROWS($A$10:$A53)+2,FALSE)</f>
        <v>382</v>
      </c>
      <c r="DJ53" s="34">
        <f>HLOOKUP(DJ$7+0.5,$I$66:$DJ$120,ROWS($A$10:$A53)+2,FALSE)</f>
        <v>499</v>
      </c>
    </row>
    <row r="54" spans="2:114" x14ac:dyDescent="0.25">
      <c r="B54" s="38" t="s">
        <v>50</v>
      </c>
      <c r="C54" s="15">
        <v>25711791</v>
      </c>
      <c r="D54" s="14">
        <v>10124</v>
      </c>
      <c r="E54" s="15">
        <v>21354247</v>
      </c>
      <c r="F54" s="14">
        <v>60947</v>
      </c>
      <c r="G54" s="15">
        <v>3656070</v>
      </c>
      <c r="H54" s="14">
        <v>53747</v>
      </c>
      <c r="I54" s="36">
        <f>HLOOKUP(I$7,$I$66:$DJ$120,ROWS($A$10:$A54)+2,FALSE)</f>
        <v>507752</v>
      </c>
      <c r="J54" s="25">
        <f>HLOOKUP(J$7,$I$66:$DJ$120,ROWS($A$10:$A54)+2,FALSE)</f>
        <v>9993</v>
      </c>
      <c r="K54" s="25">
        <f>HLOOKUP(K$7,$I$66:$DJ$120,ROWS($A$10:$A54)+2,FALSE)</f>
        <v>6759</v>
      </c>
      <c r="L54" s="25">
        <f>HLOOKUP(L$7,$I$66:$DJ$120,ROWS($A$10:$A54)+2,FALSE)</f>
        <v>18908</v>
      </c>
      <c r="M54" s="25">
        <f>HLOOKUP(M$7,$I$66:$DJ$120,ROWS($A$10:$A54)+2,FALSE)</f>
        <v>13781</v>
      </c>
      <c r="N54" s="25">
        <f>HLOOKUP(N$7,$I$66:$DJ$120,ROWS($A$10:$A54)+2,FALSE)</f>
        <v>62702</v>
      </c>
      <c r="O54" s="25">
        <f>HLOOKUP(O$7,$I$66:$DJ$120,ROWS($A$10:$A54)+2,FALSE)</f>
        <v>16616</v>
      </c>
      <c r="P54" s="25">
        <f>HLOOKUP(P$7,$I$66:$DJ$120,ROWS($A$10:$A54)+2,FALSE)</f>
        <v>2769</v>
      </c>
      <c r="Q54" s="25">
        <f>HLOOKUP(Q$7,$I$66:$DJ$120,ROWS($A$10:$A54)+2,FALSE)</f>
        <v>181</v>
      </c>
      <c r="R54" s="25">
        <f>HLOOKUP(R$7,$I$66:$DJ$120,ROWS($A$10:$A54)+2,FALSE)</f>
        <v>1189</v>
      </c>
      <c r="S54" s="25">
        <f>HLOOKUP(S$7,$I$66:$DJ$120,ROWS($A$10:$A54)+2,FALSE)</f>
        <v>31259</v>
      </c>
      <c r="T54" s="25">
        <f>HLOOKUP(T$7,$I$66:$DJ$120,ROWS($A$10:$A54)+2,FALSE)</f>
        <v>20362</v>
      </c>
      <c r="U54" s="25">
        <f>HLOOKUP(U$7,$I$66:$DJ$120,ROWS($A$10:$A54)+2,FALSE)</f>
        <v>5040</v>
      </c>
      <c r="V54" s="25">
        <f>HLOOKUP(V$7,$I$66:$DJ$120,ROWS($A$10:$A54)+2,FALSE)</f>
        <v>2387</v>
      </c>
      <c r="W54" s="25">
        <f>HLOOKUP(W$7,$I$66:$DJ$120,ROWS($A$10:$A54)+2,FALSE)</f>
        <v>19672</v>
      </c>
      <c r="X54" s="25">
        <f>HLOOKUP(X$7,$I$66:$DJ$120,ROWS($A$10:$A54)+2,FALSE)</f>
        <v>8264</v>
      </c>
      <c r="Y54" s="25">
        <f>HLOOKUP(Y$7,$I$66:$DJ$120,ROWS($A$10:$A54)+2,FALSE)</f>
        <v>4934</v>
      </c>
      <c r="Z54" s="25">
        <f>HLOOKUP(Z$7,$I$66:$DJ$120,ROWS($A$10:$A54)+2,FALSE)</f>
        <v>12699</v>
      </c>
      <c r="AA54" s="25">
        <f>HLOOKUP(AA$7,$I$66:$DJ$120,ROWS($A$10:$A54)+2,FALSE)</f>
        <v>6040</v>
      </c>
      <c r="AB54" s="25">
        <f>HLOOKUP(AB$7,$I$66:$DJ$120,ROWS($A$10:$A54)+2,FALSE)</f>
        <v>29348</v>
      </c>
      <c r="AC54" s="25">
        <f>HLOOKUP(AC$7,$I$66:$DJ$120,ROWS($A$10:$A54)+2,FALSE)</f>
        <v>1293</v>
      </c>
      <c r="AD54" s="25">
        <f>HLOOKUP(AD$7,$I$66:$DJ$120,ROWS($A$10:$A54)+2,FALSE)</f>
        <v>4969</v>
      </c>
      <c r="AE54" s="25">
        <f>HLOOKUP(AE$7,$I$66:$DJ$120,ROWS($A$10:$A54)+2,FALSE)</f>
        <v>4813</v>
      </c>
      <c r="AF54" s="25">
        <f>HLOOKUP(AF$7,$I$66:$DJ$120,ROWS($A$10:$A54)+2,FALSE)</f>
        <v>9501</v>
      </c>
      <c r="AG54" s="25">
        <f>HLOOKUP(AG$7,$I$66:$DJ$120,ROWS($A$10:$A54)+2,FALSE)</f>
        <v>2803</v>
      </c>
      <c r="AH54" s="25">
        <f>HLOOKUP(AH$7,$I$66:$DJ$120,ROWS($A$10:$A54)+2,FALSE)</f>
        <v>6402</v>
      </c>
      <c r="AI54" s="25">
        <f>HLOOKUP(AI$7,$I$66:$DJ$120,ROWS($A$10:$A54)+2,FALSE)</f>
        <v>12319</v>
      </c>
      <c r="AJ54" s="25">
        <f>HLOOKUP(AJ$7,$I$66:$DJ$120,ROWS($A$10:$A54)+2,FALSE)</f>
        <v>1813</v>
      </c>
      <c r="AK54" s="25">
        <f>HLOOKUP(AK$7,$I$66:$DJ$120,ROWS($A$10:$A54)+2,FALSE)</f>
        <v>4794</v>
      </c>
      <c r="AL54" s="25">
        <f>HLOOKUP(AL$7,$I$66:$DJ$120,ROWS($A$10:$A54)+2,FALSE)</f>
        <v>8266</v>
      </c>
      <c r="AM54" s="25">
        <f>HLOOKUP(AM$7,$I$66:$DJ$120,ROWS($A$10:$A54)+2,FALSE)</f>
        <v>761</v>
      </c>
      <c r="AN54" s="25">
        <f>HLOOKUP(AN$7,$I$66:$DJ$120,ROWS($A$10:$A54)+2,FALSE)</f>
        <v>6797</v>
      </c>
      <c r="AO54" s="25">
        <f>HLOOKUP(AO$7,$I$66:$DJ$120,ROWS($A$10:$A54)+2,FALSE)</f>
        <v>16762</v>
      </c>
      <c r="AP54" s="25">
        <f>HLOOKUP(AP$7,$I$66:$DJ$120,ROWS($A$10:$A54)+2,FALSE)</f>
        <v>20274</v>
      </c>
      <c r="AQ54" s="25">
        <f>HLOOKUP(AQ$7,$I$66:$DJ$120,ROWS($A$10:$A54)+2,FALSE)</f>
        <v>22660</v>
      </c>
      <c r="AR54" s="25">
        <f>HLOOKUP(AR$7,$I$66:$DJ$120,ROWS($A$10:$A54)+2,FALSE)</f>
        <v>989</v>
      </c>
      <c r="AS54" s="25">
        <f>HLOOKUP(AS$7,$I$66:$DJ$120,ROWS($A$10:$A54)+2,FALSE)</f>
        <v>8728</v>
      </c>
      <c r="AT54" s="25">
        <f>HLOOKUP(AT$7,$I$66:$DJ$120,ROWS($A$10:$A54)+2,FALSE)</f>
        <v>26284</v>
      </c>
      <c r="AU54" s="25">
        <f>HLOOKUP(AU$7,$I$66:$DJ$120,ROWS($A$10:$A54)+2,FALSE)</f>
        <v>3827</v>
      </c>
      <c r="AV54" s="25">
        <f>HLOOKUP(AV$7,$I$66:$DJ$120,ROWS($A$10:$A54)+2,FALSE)</f>
        <v>10449</v>
      </c>
      <c r="AW54" s="25">
        <f>HLOOKUP(AW$7,$I$66:$DJ$120,ROWS($A$10:$A54)+2,FALSE)</f>
        <v>1763</v>
      </c>
      <c r="AX54" s="25">
        <f>HLOOKUP(AX$7,$I$66:$DJ$120,ROWS($A$10:$A54)+2,FALSE)</f>
        <v>4470</v>
      </c>
      <c r="AY54" s="25">
        <f>HLOOKUP(AY$7,$I$66:$DJ$120,ROWS($A$10:$A54)+2,FALSE)</f>
        <v>1264</v>
      </c>
      <c r="AZ54" s="25">
        <f>HLOOKUP(AZ$7,$I$66:$DJ$120,ROWS($A$10:$A54)+2,FALSE)</f>
        <v>10368</v>
      </c>
      <c r="BA54" s="25" t="str">
        <f>HLOOKUP(BA$7,$I$66:$DJ$120,ROWS($A$10:$A54)+2,FALSE)</f>
        <v>N/A</v>
      </c>
      <c r="BB54" s="25">
        <f>HLOOKUP(BB$7,$I$66:$DJ$120,ROWS($A$10:$A54)+2,FALSE)</f>
        <v>4610</v>
      </c>
      <c r="BC54" s="25">
        <f>HLOOKUP(BC$7,$I$66:$DJ$120,ROWS($A$10:$A54)+2,FALSE)</f>
        <v>113</v>
      </c>
      <c r="BD54" s="25">
        <f>HLOOKUP(BD$7,$I$66:$DJ$120,ROWS($A$10:$A54)+2,FALSE)</f>
        <v>17734</v>
      </c>
      <c r="BE54" s="25">
        <f>HLOOKUP(BE$7,$I$66:$DJ$120,ROWS($A$10:$A54)+2,FALSE)</f>
        <v>11630</v>
      </c>
      <c r="BF54" s="25">
        <f>HLOOKUP(BF$7,$I$66:$DJ$120,ROWS($A$10:$A54)+2,FALSE)</f>
        <v>1729</v>
      </c>
      <c r="BG54" s="25">
        <f>HLOOKUP(BG$7,$I$66:$DJ$120,ROWS($A$10:$A54)+2,FALSE)</f>
        <v>4192</v>
      </c>
      <c r="BH54" s="25">
        <f>HLOOKUP(BH$7,$I$66:$DJ$120,ROWS($A$10:$A54)+2,FALSE)</f>
        <v>2472</v>
      </c>
      <c r="BI54" s="25">
        <f>HLOOKUP(BI$7,$I$66:$DJ$120,ROWS($A$10:$A54)+2,FALSE)</f>
        <v>4435</v>
      </c>
      <c r="BJ54" s="34">
        <f>HLOOKUP(BJ$7+0.5,$I$66:$DJ$120,ROWS($A$10:$A54)+2,FALSE)</f>
        <v>20202</v>
      </c>
      <c r="BK54" s="34">
        <f>HLOOKUP(BK$7+0.5,$I$66:$DJ$120,ROWS($A$10:$A54)+2,FALSE)</f>
        <v>3132</v>
      </c>
      <c r="BL54" s="34">
        <f>HLOOKUP(BL$7+0.5,$I$66:$DJ$120,ROWS($A$10:$A54)+2,FALSE)</f>
        <v>2614</v>
      </c>
      <c r="BM54" s="34">
        <f>HLOOKUP(BM$7+0.5,$I$66:$DJ$120,ROWS($A$10:$A54)+2,FALSE)</f>
        <v>3870</v>
      </c>
      <c r="BN54" s="34">
        <f>HLOOKUP(BN$7+0.5,$I$66:$DJ$120,ROWS($A$10:$A54)+2,FALSE)</f>
        <v>3771</v>
      </c>
      <c r="BO54" s="34">
        <f>HLOOKUP(BO$7+0.5,$I$66:$DJ$120,ROWS($A$10:$A54)+2,FALSE)</f>
        <v>8792</v>
      </c>
      <c r="BP54" s="34">
        <f>HLOOKUP(BP$7+0.5,$I$66:$DJ$120,ROWS($A$10:$A54)+2,FALSE)</f>
        <v>3638</v>
      </c>
      <c r="BQ54" s="34">
        <f>HLOOKUP(BQ$7+0.5,$I$66:$DJ$120,ROWS($A$10:$A54)+2,FALSE)</f>
        <v>1124</v>
      </c>
      <c r="BR54" s="34">
        <f>HLOOKUP(BR$7+0.5,$I$66:$DJ$120,ROWS($A$10:$A54)+2,FALSE)</f>
        <v>168</v>
      </c>
      <c r="BS54" s="34">
        <f>HLOOKUP(BS$7+0.5,$I$66:$DJ$120,ROWS($A$10:$A54)+2,FALSE)</f>
        <v>610</v>
      </c>
      <c r="BT54" s="34">
        <f>HLOOKUP(BT$7+0.5,$I$66:$DJ$120,ROWS($A$10:$A54)+2,FALSE)</f>
        <v>6252</v>
      </c>
      <c r="BU54" s="34">
        <f>HLOOKUP(BU$7+0.5,$I$66:$DJ$120,ROWS($A$10:$A54)+2,FALSE)</f>
        <v>3365</v>
      </c>
      <c r="BV54" s="34">
        <f>HLOOKUP(BV$7+0.5,$I$66:$DJ$120,ROWS($A$10:$A54)+2,FALSE)</f>
        <v>2386</v>
      </c>
      <c r="BW54" s="34">
        <f>HLOOKUP(BW$7+0.5,$I$66:$DJ$120,ROWS($A$10:$A54)+2,FALSE)</f>
        <v>1190</v>
      </c>
      <c r="BX54" s="34">
        <f>HLOOKUP(BX$7+0.5,$I$66:$DJ$120,ROWS($A$10:$A54)+2,FALSE)</f>
        <v>3645</v>
      </c>
      <c r="BY54" s="34">
        <f>HLOOKUP(BY$7+0.5,$I$66:$DJ$120,ROWS($A$10:$A54)+2,FALSE)</f>
        <v>2734</v>
      </c>
      <c r="BZ54" s="34">
        <f>HLOOKUP(BZ$7+0.5,$I$66:$DJ$120,ROWS($A$10:$A54)+2,FALSE)</f>
        <v>2063</v>
      </c>
      <c r="CA54" s="34">
        <f>HLOOKUP(CA$7+0.5,$I$66:$DJ$120,ROWS($A$10:$A54)+2,FALSE)</f>
        <v>3202</v>
      </c>
      <c r="CB54" s="34">
        <f>HLOOKUP(CB$7+0.5,$I$66:$DJ$120,ROWS($A$10:$A54)+2,FALSE)</f>
        <v>2224</v>
      </c>
      <c r="CC54" s="34">
        <f>HLOOKUP(CC$7+0.5,$I$66:$DJ$120,ROWS($A$10:$A54)+2,FALSE)</f>
        <v>5712</v>
      </c>
      <c r="CD54" s="34">
        <f>HLOOKUP(CD$7+0.5,$I$66:$DJ$120,ROWS($A$10:$A54)+2,FALSE)</f>
        <v>1284</v>
      </c>
      <c r="CE54" s="34">
        <f>HLOOKUP(CE$7+0.5,$I$66:$DJ$120,ROWS($A$10:$A54)+2,FALSE)</f>
        <v>2026</v>
      </c>
      <c r="CF54" s="34">
        <f>HLOOKUP(CF$7+0.5,$I$66:$DJ$120,ROWS($A$10:$A54)+2,FALSE)</f>
        <v>1584</v>
      </c>
      <c r="CG54" s="34">
        <f>HLOOKUP(CG$7+0.5,$I$66:$DJ$120,ROWS($A$10:$A54)+2,FALSE)</f>
        <v>2273</v>
      </c>
      <c r="CH54" s="34">
        <f>HLOOKUP(CH$7+0.5,$I$66:$DJ$120,ROWS($A$10:$A54)+2,FALSE)</f>
        <v>948</v>
      </c>
      <c r="CI54" s="34">
        <f>HLOOKUP(CI$7+0.5,$I$66:$DJ$120,ROWS($A$10:$A54)+2,FALSE)</f>
        <v>2032</v>
      </c>
      <c r="CJ54" s="34">
        <f>HLOOKUP(CJ$7+0.5,$I$66:$DJ$120,ROWS($A$10:$A54)+2,FALSE)</f>
        <v>2205</v>
      </c>
      <c r="CK54" s="34">
        <f>HLOOKUP(CK$7+0.5,$I$66:$DJ$120,ROWS($A$10:$A54)+2,FALSE)</f>
        <v>986</v>
      </c>
      <c r="CL54" s="34">
        <f>HLOOKUP(CL$7+0.5,$I$66:$DJ$120,ROWS($A$10:$A54)+2,FALSE)</f>
        <v>2045</v>
      </c>
      <c r="CM54" s="34">
        <f>HLOOKUP(CM$7+0.5,$I$66:$DJ$120,ROWS($A$10:$A54)+2,FALSE)</f>
        <v>4162</v>
      </c>
      <c r="CN54" s="34">
        <f>HLOOKUP(CN$7+0.5,$I$66:$DJ$120,ROWS($A$10:$A54)+2,FALSE)</f>
        <v>749</v>
      </c>
      <c r="CO54" s="34">
        <f>HLOOKUP(CO$7+0.5,$I$66:$DJ$120,ROWS($A$10:$A54)+2,FALSE)</f>
        <v>2141</v>
      </c>
      <c r="CP54" s="34">
        <f>HLOOKUP(CP$7+0.5,$I$66:$DJ$120,ROWS($A$10:$A54)+2,FALSE)</f>
        <v>3127</v>
      </c>
      <c r="CQ54" s="34">
        <f>HLOOKUP(CQ$7+0.5,$I$66:$DJ$120,ROWS($A$10:$A54)+2,FALSE)</f>
        <v>4211</v>
      </c>
      <c r="CR54" s="34">
        <f>HLOOKUP(CR$7+0.5,$I$66:$DJ$120,ROWS($A$10:$A54)+2,FALSE)</f>
        <v>6953</v>
      </c>
      <c r="CS54" s="34">
        <f>HLOOKUP(CS$7+0.5,$I$66:$DJ$120,ROWS($A$10:$A54)+2,FALSE)</f>
        <v>542</v>
      </c>
      <c r="CT54" s="34">
        <f>HLOOKUP(CT$7+0.5,$I$66:$DJ$120,ROWS($A$10:$A54)+2,FALSE)</f>
        <v>1739</v>
      </c>
      <c r="CU54" s="34">
        <f>HLOOKUP(CU$7+0.5,$I$66:$DJ$120,ROWS($A$10:$A54)+2,FALSE)</f>
        <v>4418</v>
      </c>
      <c r="CV54" s="34">
        <f>HLOOKUP(CV$7+0.5,$I$66:$DJ$120,ROWS($A$10:$A54)+2,FALSE)</f>
        <v>1684</v>
      </c>
      <c r="CW54" s="34">
        <f>HLOOKUP(CW$7+0.5,$I$66:$DJ$120,ROWS($A$10:$A54)+2,FALSE)</f>
        <v>2158</v>
      </c>
      <c r="CX54" s="34">
        <f>HLOOKUP(CX$7+0.5,$I$66:$DJ$120,ROWS($A$10:$A54)+2,FALSE)</f>
        <v>1605</v>
      </c>
      <c r="CY54" s="34">
        <f>HLOOKUP(CY$7+0.5,$I$66:$DJ$120,ROWS($A$10:$A54)+2,FALSE)</f>
        <v>1665</v>
      </c>
      <c r="CZ54" s="34">
        <f>HLOOKUP(CZ$7+0.5,$I$66:$DJ$120,ROWS($A$10:$A54)+2,FALSE)</f>
        <v>757</v>
      </c>
      <c r="DA54" s="34">
        <f>HLOOKUP(DA$7+0.5,$I$66:$DJ$120,ROWS($A$10:$A54)+2,FALSE)</f>
        <v>2623</v>
      </c>
      <c r="DB54" s="34" t="str">
        <f>HLOOKUP(DB$7+0.5,$I$66:$DJ$120,ROWS($A$10:$A54)+2,FALSE)</f>
        <v>N/A</v>
      </c>
      <c r="DC54" s="34">
        <f>HLOOKUP(DC$7+0.5,$I$66:$DJ$120,ROWS($A$10:$A54)+2,FALSE)</f>
        <v>2045</v>
      </c>
      <c r="DD54" s="34">
        <f>HLOOKUP(DD$7+0.5,$I$66:$DJ$120,ROWS($A$10:$A54)+2,FALSE)</f>
        <v>135</v>
      </c>
      <c r="DE54" s="34">
        <f>HLOOKUP(DE$7+0.5,$I$66:$DJ$120,ROWS($A$10:$A54)+2,FALSE)</f>
        <v>4904</v>
      </c>
      <c r="DF54" s="34">
        <f>HLOOKUP(DF$7+0.5,$I$66:$DJ$120,ROWS($A$10:$A54)+2,FALSE)</f>
        <v>2741</v>
      </c>
      <c r="DG54" s="34">
        <f>HLOOKUP(DG$7+0.5,$I$66:$DJ$120,ROWS($A$10:$A54)+2,FALSE)</f>
        <v>938</v>
      </c>
      <c r="DH54" s="34">
        <f>HLOOKUP(DH$7+0.5,$I$66:$DJ$120,ROWS($A$10:$A54)+2,FALSE)</f>
        <v>1322</v>
      </c>
      <c r="DI54" s="34">
        <f>HLOOKUP(DI$7+0.5,$I$66:$DJ$120,ROWS($A$10:$A54)+2,FALSE)</f>
        <v>1676</v>
      </c>
      <c r="DJ54" s="34">
        <f>HLOOKUP(DJ$7+0.5,$I$66:$DJ$120,ROWS($A$10:$A54)+2,FALSE)</f>
        <v>1611</v>
      </c>
    </row>
    <row r="55" spans="2:114" x14ac:dyDescent="0.25">
      <c r="B55" s="38" t="s">
        <v>51</v>
      </c>
      <c r="C55" s="15">
        <v>2805440</v>
      </c>
      <c r="D55" s="14">
        <v>2571</v>
      </c>
      <c r="E55" s="15">
        <v>2324019</v>
      </c>
      <c r="F55" s="14">
        <v>16852</v>
      </c>
      <c r="G55" s="15">
        <v>373980</v>
      </c>
      <c r="H55" s="14">
        <v>16586</v>
      </c>
      <c r="I55" s="36">
        <f>HLOOKUP(I$7,$I$66:$DJ$120,ROWS($A$10:$A55)+2,FALSE)</f>
        <v>87870</v>
      </c>
      <c r="J55" s="25">
        <f>HLOOKUP(J$7,$I$66:$DJ$120,ROWS($A$10:$A55)+2,FALSE)</f>
        <v>126</v>
      </c>
      <c r="K55" s="25">
        <f>HLOOKUP(K$7,$I$66:$DJ$120,ROWS($A$10:$A55)+2,FALSE)</f>
        <v>2819</v>
      </c>
      <c r="L55" s="25">
        <f>HLOOKUP(L$7,$I$66:$DJ$120,ROWS($A$10:$A55)+2,FALSE)</f>
        <v>7966</v>
      </c>
      <c r="M55" s="25">
        <f>HLOOKUP(M$7,$I$66:$DJ$120,ROWS($A$10:$A55)+2,FALSE)</f>
        <v>361</v>
      </c>
      <c r="N55" s="25">
        <f>HLOOKUP(N$7,$I$66:$DJ$120,ROWS($A$10:$A55)+2,FALSE)</f>
        <v>15286</v>
      </c>
      <c r="O55" s="25">
        <f>HLOOKUP(O$7,$I$66:$DJ$120,ROWS($A$10:$A55)+2,FALSE)</f>
        <v>5350</v>
      </c>
      <c r="P55" s="25">
        <f>HLOOKUP(P$7,$I$66:$DJ$120,ROWS($A$10:$A55)+2,FALSE)</f>
        <v>142</v>
      </c>
      <c r="Q55" s="25">
        <f>HLOOKUP(Q$7,$I$66:$DJ$120,ROWS($A$10:$A55)+2,FALSE)</f>
        <v>0</v>
      </c>
      <c r="R55" s="25">
        <f>HLOOKUP(R$7,$I$66:$DJ$120,ROWS($A$10:$A55)+2,FALSE)</f>
        <v>0</v>
      </c>
      <c r="S55" s="25">
        <f>HLOOKUP(S$7,$I$66:$DJ$120,ROWS($A$10:$A55)+2,FALSE)</f>
        <v>2428</v>
      </c>
      <c r="T55" s="25">
        <f>HLOOKUP(T$7,$I$66:$DJ$120,ROWS($A$10:$A55)+2,FALSE)</f>
        <v>1142</v>
      </c>
      <c r="U55" s="25">
        <f>HLOOKUP(U$7,$I$66:$DJ$120,ROWS($A$10:$A55)+2,FALSE)</f>
        <v>1436</v>
      </c>
      <c r="V55" s="25">
        <f>HLOOKUP(V$7,$I$66:$DJ$120,ROWS($A$10:$A55)+2,FALSE)</f>
        <v>5129</v>
      </c>
      <c r="W55" s="25">
        <f>HLOOKUP(W$7,$I$66:$DJ$120,ROWS($A$10:$A55)+2,FALSE)</f>
        <v>1588</v>
      </c>
      <c r="X55" s="25">
        <f>HLOOKUP(X$7,$I$66:$DJ$120,ROWS($A$10:$A55)+2,FALSE)</f>
        <v>475</v>
      </c>
      <c r="Y55" s="25">
        <f>HLOOKUP(Y$7,$I$66:$DJ$120,ROWS($A$10:$A55)+2,FALSE)</f>
        <v>2791</v>
      </c>
      <c r="Z55" s="25">
        <f>HLOOKUP(Z$7,$I$66:$DJ$120,ROWS($A$10:$A55)+2,FALSE)</f>
        <v>398</v>
      </c>
      <c r="AA55" s="25">
        <f>HLOOKUP(AA$7,$I$66:$DJ$120,ROWS($A$10:$A55)+2,FALSE)</f>
        <v>217</v>
      </c>
      <c r="AB55" s="25">
        <f>HLOOKUP(AB$7,$I$66:$DJ$120,ROWS($A$10:$A55)+2,FALSE)</f>
        <v>345</v>
      </c>
      <c r="AC55" s="25">
        <f>HLOOKUP(AC$7,$I$66:$DJ$120,ROWS($A$10:$A55)+2,FALSE)</f>
        <v>380</v>
      </c>
      <c r="AD55" s="25">
        <f>HLOOKUP(AD$7,$I$66:$DJ$120,ROWS($A$10:$A55)+2,FALSE)</f>
        <v>613</v>
      </c>
      <c r="AE55" s="25">
        <f>HLOOKUP(AE$7,$I$66:$DJ$120,ROWS($A$10:$A55)+2,FALSE)</f>
        <v>1503</v>
      </c>
      <c r="AF55" s="25">
        <f>HLOOKUP(AF$7,$I$66:$DJ$120,ROWS($A$10:$A55)+2,FALSE)</f>
        <v>1670</v>
      </c>
      <c r="AG55" s="25">
        <f>HLOOKUP(AG$7,$I$66:$DJ$120,ROWS($A$10:$A55)+2,FALSE)</f>
        <v>385</v>
      </c>
      <c r="AH55" s="25">
        <f>HLOOKUP(AH$7,$I$66:$DJ$120,ROWS($A$10:$A55)+2,FALSE)</f>
        <v>284</v>
      </c>
      <c r="AI55" s="25">
        <f>HLOOKUP(AI$7,$I$66:$DJ$120,ROWS($A$10:$A55)+2,FALSE)</f>
        <v>1553</v>
      </c>
      <c r="AJ55" s="25">
        <f>HLOOKUP(AJ$7,$I$66:$DJ$120,ROWS($A$10:$A55)+2,FALSE)</f>
        <v>1057</v>
      </c>
      <c r="AK55" s="25">
        <f>HLOOKUP(AK$7,$I$66:$DJ$120,ROWS($A$10:$A55)+2,FALSE)</f>
        <v>489</v>
      </c>
      <c r="AL55" s="25">
        <f>HLOOKUP(AL$7,$I$66:$DJ$120,ROWS($A$10:$A55)+2,FALSE)</f>
        <v>5391</v>
      </c>
      <c r="AM55" s="25">
        <f>HLOOKUP(AM$7,$I$66:$DJ$120,ROWS($A$10:$A55)+2,FALSE)</f>
        <v>507</v>
      </c>
      <c r="AN55" s="25">
        <f>HLOOKUP(AN$7,$I$66:$DJ$120,ROWS($A$10:$A55)+2,FALSE)</f>
        <v>437</v>
      </c>
      <c r="AO55" s="25">
        <f>HLOOKUP(AO$7,$I$66:$DJ$120,ROWS($A$10:$A55)+2,FALSE)</f>
        <v>686</v>
      </c>
      <c r="AP55" s="25">
        <f>HLOOKUP(AP$7,$I$66:$DJ$120,ROWS($A$10:$A55)+2,FALSE)</f>
        <v>2129</v>
      </c>
      <c r="AQ55" s="25">
        <f>HLOOKUP(AQ$7,$I$66:$DJ$120,ROWS($A$10:$A55)+2,FALSE)</f>
        <v>842</v>
      </c>
      <c r="AR55" s="25">
        <f>HLOOKUP(AR$7,$I$66:$DJ$120,ROWS($A$10:$A55)+2,FALSE)</f>
        <v>175</v>
      </c>
      <c r="AS55" s="25">
        <f>HLOOKUP(AS$7,$I$66:$DJ$120,ROWS($A$10:$A55)+2,FALSE)</f>
        <v>1875</v>
      </c>
      <c r="AT55" s="25">
        <f>HLOOKUP(AT$7,$I$66:$DJ$120,ROWS($A$10:$A55)+2,FALSE)</f>
        <v>1338</v>
      </c>
      <c r="AU55" s="25">
        <f>HLOOKUP(AU$7,$I$66:$DJ$120,ROWS($A$10:$A55)+2,FALSE)</f>
        <v>4089</v>
      </c>
      <c r="AV55" s="25">
        <f>HLOOKUP(AV$7,$I$66:$DJ$120,ROWS($A$10:$A55)+2,FALSE)</f>
        <v>944</v>
      </c>
      <c r="AW55" s="25">
        <f>HLOOKUP(AW$7,$I$66:$DJ$120,ROWS($A$10:$A55)+2,FALSE)</f>
        <v>351</v>
      </c>
      <c r="AX55" s="25">
        <f>HLOOKUP(AX$7,$I$66:$DJ$120,ROWS($A$10:$A55)+2,FALSE)</f>
        <v>60</v>
      </c>
      <c r="AY55" s="25">
        <f>HLOOKUP(AY$7,$I$66:$DJ$120,ROWS($A$10:$A55)+2,FALSE)</f>
        <v>47</v>
      </c>
      <c r="AZ55" s="25">
        <f>HLOOKUP(AZ$7,$I$66:$DJ$120,ROWS($A$10:$A55)+2,FALSE)</f>
        <v>863</v>
      </c>
      <c r="BA55" s="25">
        <f>HLOOKUP(BA$7,$I$66:$DJ$120,ROWS($A$10:$A55)+2,FALSE)</f>
        <v>3605</v>
      </c>
      <c r="BB55" s="25" t="str">
        <f>HLOOKUP(BB$7,$I$66:$DJ$120,ROWS($A$10:$A55)+2,FALSE)</f>
        <v>N/A</v>
      </c>
      <c r="BC55" s="25">
        <f>HLOOKUP(BC$7,$I$66:$DJ$120,ROWS($A$10:$A55)+2,FALSE)</f>
        <v>39</v>
      </c>
      <c r="BD55" s="25">
        <f>HLOOKUP(BD$7,$I$66:$DJ$120,ROWS($A$10:$A55)+2,FALSE)</f>
        <v>1369</v>
      </c>
      <c r="BE55" s="25">
        <f>HLOOKUP(BE$7,$I$66:$DJ$120,ROWS($A$10:$A55)+2,FALSE)</f>
        <v>3529</v>
      </c>
      <c r="BF55" s="25">
        <f>HLOOKUP(BF$7,$I$66:$DJ$120,ROWS($A$10:$A55)+2,FALSE)</f>
        <v>0</v>
      </c>
      <c r="BG55" s="25">
        <f>HLOOKUP(BG$7,$I$66:$DJ$120,ROWS($A$10:$A55)+2,FALSE)</f>
        <v>1445</v>
      </c>
      <c r="BH55" s="25">
        <f>HLOOKUP(BH$7,$I$66:$DJ$120,ROWS($A$10:$A55)+2,FALSE)</f>
        <v>2216</v>
      </c>
      <c r="BI55" s="25">
        <f>HLOOKUP(BI$7,$I$66:$DJ$120,ROWS($A$10:$A55)+2,FALSE)</f>
        <v>239</v>
      </c>
      <c r="BJ55" s="34">
        <f>HLOOKUP(BJ$7+0.5,$I$66:$DJ$120,ROWS($A$10:$A55)+2,FALSE)</f>
        <v>7490</v>
      </c>
      <c r="BK55" s="34">
        <f>HLOOKUP(BK$7+0.5,$I$66:$DJ$120,ROWS($A$10:$A55)+2,FALSE)</f>
        <v>171</v>
      </c>
      <c r="BL55" s="34">
        <f>HLOOKUP(BL$7+0.5,$I$66:$DJ$120,ROWS($A$10:$A55)+2,FALSE)</f>
        <v>1292</v>
      </c>
      <c r="BM55" s="34">
        <f>HLOOKUP(BM$7+0.5,$I$66:$DJ$120,ROWS($A$10:$A55)+2,FALSE)</f>
        <v>2419</v>
      </c>
      <c r="BN55" s="34">
        <f>HLOOKUP(BN$7+0.5,$I$66:$DJ$120,ROWS($A$10:$A55)+2,FALSE)</f>
        <v>402</v>
      </c>
      <c r="BO55" s="34">
        <f>HLOOKUP(BO$7+0.5,$I$66:$DJ$120,ROWS($A$10:$A55)+2,FALSE)</f>
        <v>2837</v>
      </c>
      <c r="BP55" s="34">
        <f>HLOOKUP(BP$7+0.5,$I$66:$DJ$120,ROWS($A$10:$A55)+2,FALSE)</f>
        <v>1845</v>
      </c>
      <c r="BQ55" s="34">
        <f>HLOOKUP(BQ$7+0.5,$I$66:$DJ$120,ROWS($A$10:$A55)+2,FALSE)</f>
        <v>168</v>
      </c>
      <c r="BR55" s="34">
        <f>HLOOKUP(BR$7+0.5,$I$66:$DJ$120,ROWS($A$10:$A55)+2,FALSE)</f>
        <v>181</v>
      </c>
      <c r="BS55" s="34">
        <f>HLOOKUP(BS$7+0.5,$I$66:$DJ$120,ROWS($A$10:$A55)+2,FALSE)</f>
        <v>181</v>
      </c>
      <c r="BT55" s="34">
        <f>HLOOKUP(BT$7+0.5,$I$66:$DJ$120,ROWS($A$10:$A55)+2,FALSE)</f>
        <v>1105</v>
      </c>
      <c r="BU55" s="34">
        <f>HLOOKUP(BU$7+0.5,$I$66:$DJ$120,ROWS($A$10:$A55)+2,FALSE)</f>
        <v>622</v>
      </c>
      <c r="BV55" s="34">
        <f>HLOOKUP(BV$7+0.5,$I$66:$DJ$120,ROWS($A$10:$A55)+2,FALSE)</f>
        <v>876</v>
      </c>
      <c r="BW55" s="34">
        <f>HLOOKUP(BW$7+0.5,$I$66:$DJ$120,ROWS($A$10:$A55)+2,FALSE)</f>
        <v>1135</v>
      </c>
      <c r="BX55" s="34">
        <f>HLOOKUP(BX$7+0.5,$I$66:$DJ$120,ROWS($A$10:$A55)+2,FALSE)</f>
        <v>802</v>
      </c>
      <c r="BY55" s="34">
        <f>HLOOKUP(BY$7+0.5,$I$66:$DJ$120,ROWS($A$10:$A55)+2,FALSE)</f>
        <v>296</v>
      </c>
      <c r="BZ55" s="34">
        <f>HLOOKUP(BZ$7+0.5,$I$66:$DJ$120,ROWS($A$10:$A55)+2,FALSE)</f>
        <v>2779</v>
      </c>
      <c r="CA55" s="34">
        <f>HLOOKUP(CA$7+0.5,$I$66:$DJ$120,ROWS($A$10:$A55)+2,FALSE)</f>
        <v>333</v>
      </c>
      <c r="CB55" s="34">
        <f>HLOOKUP(CB$7+0.5,$I$66:$DJ$120,ROWS($A$10:$A55)+2,FALSE)</f>
        <v>221</v>
      </c>
      <c r="CC55" s="34">
        <f>HLOOKUP(CC$7+0.5,$I$66:$DJ$120,ROWS($A$10:$A55)+2,FALSE)</f>
        <v>313</v>
      </c>
      <c r="CD55" s="34">
        <f>HLOOKUP(CD$7+0.5,$I$66:$DJ$120,ROWS($A$10:$A55)+2,FALSE)</f>
        <v>339</v>
      </c>
      <c r="CE55" s="34">
        <f>HLOOKUP(CE$7+0.5,$I$66:$DJ$120,ROWS($A$10:$A55)+2,FALSE)</f>
        <v>361</v>
      </c>
      <c r="CF55" s="34">
        <f>HLOOKUP(CF$7+0.5,$I$66:$DJ$120,ROWS($A$10:$A55)+2,FALSE)</f>
        <v>1343</v>
      </c>
      <c r="CG55" s="34">
        <f>HLOOKUP(CG$7+0.5,$I$66:$DJ$120,ROWS($A$10:$A55)+2,FALSE)</f>
        <v>1210</v>
      </c>
      <c r="CH55" s="34">
        <f>HLOOKUP(CH$7+0.5,$I$66:$DJ$120,ROWS($A$10:$A55)+2,FALSE)</f>
        <v>300</v>
      </c>
      <c r="CI55" s="34">
        <f>HLOOKUP(CI$7+0.5,$I$66:$DJ$120,ROWS($A$10:$A55)+2,FALSE)</f>
        <v>229</v>
      </c>
      <c r="CJ55" s="34">
        <f>HLOOKUP(CJ$7+0.5,$I$66:$DJ$120,ROWS($A$10:$A55)+2,FALSE)</f>
        <v>769</v>
      </c>
      <c r="CK55" s="34">
        <f>HLOOKUP(CK$7+0.5,$I$66:$DJ$120,ROWS($A$10:$A55)+2,FALSE)</f>
        <v>729</v>
      </c>
      <c r="CL55" s="34">
        <f>HLOOKUP(CL$7+0.5,$I$66:$DJ$120,ROWS($A$10:$A55)+2,FALSE)</f>
        <v>384</v>
      </c>
      <c r="CM55" s="34">
        <f>HLOOKUP(CM$7+0.5,$I$66:$DJ$120,ROWS($A$10:$A55)+2,FALSE)</f>
        <v>1743</v>
      </c>
      <c r="CN55" s="34">
        <f>HLOOKUP(CN$7+0.5,$I$66:$DJ$120,ROWS($A$10:$A55)+2,FALSE)</f>
        <v>442</v>
      </c>
      <c r="CO55" s="34">
        <f>HLOOKUP(CO$7+0.5,$I$66:$DJ$120,ROWS($A$10:$A55)+2,FALSE)</f>
        <v>322</v>
      </c>
      <c r="CP55" s="34">
        <f>HLOOKUP(CP$7+0.5,$I$66:$DJ$120,ROWS($A$10:$A55)+2,FALSE)</f>
        <v>505</v>
      </c>
      <c r="CQ55" s="34">
        <f>HLOOKUP(CQ$7+0.5,$I$66:$DJ$120,ROWS($A$10:$A55)+2,FALSE)</f>
        <v>924</v>
      </c>
      <c r="CR55" s="34">
        <f>HLOOKUP(CR$7+0.5,$I$66:$DJ$120,ROWS($A$10:$A55)+2,FALSE)</f>
        <v>611</v>
      </c>
      <c r="CS55" s="34">
        <f>HLOOKUP(CS$7+0.5,$I$66:$DJ$120,ROWS($A$10:$A55)+2,FALSE)</f>
        <v>218</v>
      </c>
      <c r="CT55" s="34">
        <f>HLOOKUP(CT$7+0.5,$I$66:$DJ$120,ROWS($A$10:$A55)+2,FALSE)</f>
        <v>881</v>
      </c>
      <c r="CU55" s="34">
        <f>HLOOKUP(CU$7+0.5,$I$66:$DJ$120,ROWS($A$10:$A55)+2,FALSE)</f>
        <v>691</v>
      </c>
      <c r="CV55" s="34">
        <f>HLOOKUP(CV$7+0.5,$I$66:$DJ$120,ROWS($A$10:$A55)+2,FALSE)</f>
        <v>2693</v>
      </c>
      <c r="CW55" s="34">
        <f>HLOOKUP(CW$7+0.5,$I$66:$DJ$120,ROWS($A$10:$A55)+2,FALSE)</f>
        <v>450</v>
      </c>
      <c r="CX55" s="34">
        <f>HLOOKUP(CX$7+0.5,$I$66:$DJ$120,ROWS($A$10:$A55)+2,FALSE)</f>
        <v>571</v>
      </c>
      <c r="CY55" s="34">
        <f>HLOOKUP(CY$7+0.5,$I$66:$DJ$120,ROWS($A$10:$A55)+2,FALSE)</f>
        <v>100</v>
      </c>
      <c r="CZ55" s="34">
        <f>HLOOKUP(CZ$7+0.5,$I$66:$DJ$120,ROWS($A$10:$A55)+2,FALSE)</f>
        <v>74</v>
      </c>
      <c r="DA55" s="34">
        <f>HLOOKUP(DA$7+0.5,$I$66:$DJ$120,ROWS($A$10:$A55)+2,FALSE)</f>
        <v>529</v>
      </c>
      <c r="DB55" s="34">
        <f>HLOOKUP(DB$7+0.5,$I$66:$DJ$120,ROWS($A$10:$A55)+2,FALSE)</f>
        <v>1278</v>
      </c>
      <c r="DC55" s="34" t="str">
        <f>HLOOKUP(DC$7+0.5,$I$66:$DJ$120,ROWS($A$10:$A55)+2,FALSE)</f>
        <v>N/A</v>
      </c>
      <c r="DD55" s="34">
        <f>HLOOKUP(DD$7+0.5,$I$66:$DJ$120,ROWS($A$10:$A55)+2,FALSE)</f>
        <v>63</v>
      </c>
      <c r="DE55" s="34">
        <f>HLOOKUP(DE$7+0.5,$I$66:$DJ$120,ROWS($A$10:$A55)+2,FALSE)</f>
        <v>668</v>
      </c>
      <c r="DF55" s="34">
        <f>HLOOKUP(DF$7+0.5,$I$66:$DJ$120,ROWS($A$10:$A55)+2,FALSE)</f>
        <v>1319</v>
      </c>
      <c r="DG55" s="34">
        <f>HLOOKUP(DG$7+0.5,$I$66:$DJ$120,ROWS($A$10:$A55)+2,FALSE)</f>
        <v>181</v>
      </c>
      <c r="DH55" s="34">
        <f>HLOOKUP(DH$7+0.5,$I$66:$DJ$120,ROWS($A$10:$A55)+2,FALSE)</f>
        <v>1512</v>
      </c>
      <c r="DI55" s="34">
        <f>HLOOKUP(DI$7+0.5,$I$66:$DJ$120,ROWS($A$10:$A55)+2,FALSE)</f>
        <v>715</v>
      </c>
      <c r="DJ55" s="34">
        <f>HLOOKUP(DJ$7+0.5,$I$66:$DJ$120,ROWS($A$10:$A55)+2,FALSE)</f>
        <v>190</v>
      </c>
    </row>
    <row r="56" spans="2:114" x14ac:dyDescent="0.25">
      <c r="B56" s="38" t="s">
        <v>52</v>
      </c>
      <c r="C56" s="15">
        <v>620224</v>
      </c>
      <c r="D56" s="14">
        <v>821</v>
      </c>
      <c r="E56" s="15">
        <v>532237</v>
      </c>
      <c r="F56" s="14">
        <v>5326</v>
      </c>
      <c r="G56" s="15">
        <v>61242</v>
      </c>
      <c r="H56" s="14">
        <v>5294</v>
      </c>
      <c r="I56" s="36">
        <f>HLOOKUP(I$7,$I$66:$DJ$120,ROWS($A$10:$A56)+2,FALSE)</f>
        <v>24431</v>
      </c>
      <c r="J56" s="25">
        <f>HLOOKUP(J$7,$I$66:$DJ$120,ROWS($A$10:$A56)+2,FALSE)</f>
        <v>16</v>
      </c>
      <c r="K56" s="25">
        <f>HLOOKUP(K$7,$I$66:$DJ$120,ROWS($A$10:$A56)+2,FALSE)</f>
        <v>93</v>
      </c>
      <c r="L56" s="25">
        <f>HLOOKUP(L$7,$I$66:$DJ$120,ROWS($A$10:$A56)+2,FALSE)</f>
        <v>127</v>
      </c>
      <c r="M56" s="25">
        <f>HLOOKUP(M$7,$I$66:$DJ$120,ROWS($A$10:$A56)+2,FALSE)</f>
        <v>0</v>
      </c>
      <c r="N56" s="25">
        <f>HLOOKUP(N$7,$I$66:$DJ$120,ROWS($A$10:$A56)+2,FALSE)</f>
        <v>1112</v>
      </c>
      <c r="O56" s="25">
        <f>HLOOKUP(O$7,$I$66:$DJ$120,ROWS($A$10:$A56)+2,FALSE)</f>
        <v>382</v>
      </c>
      <c r="P56" s="25">
        <f>HLOOKUP(P$7,$I$66:$DJ$120,ROWS($A$10:$A56)+2,FALSE)</f>
        <v>1626</v>
      </c>
      <c r="Q56" s="25">
        <f>HLOOKUP(Q$7,$I$66:$DJ$120,ROWS($A$10:$A56)+2,FALSE)</f>
        <v>0</v>
      </c>
      <c r="R56" s="25">
        <f>HLOOKUP(R$7,$I$66:$DJ$120,ROWS($A$10:$A56)+2,FALSE)</f>
        <v>116</v>
      </c>
      <c r="S56" s="25">
        <f>HLOOKUP(S$7,$I$66:$DJ$120,ROWS($A$10:$A56)+2,FALSE)</f>
        <v>966</v>
      </c>
      <c r="T56" s="25">
        <f>HLOOKUP(T$7,$I$66:$DJ$120,ROWS($A$10:$A56)+2,FALSE)</f>
        <v>56</v>
      </c>
      <c r="U56" s="25">
        <f>HLOOKUP(U$7,$I$66:$DJ$120,ROWS($A$10:$A56)+2,FALSE)</f>
        <v>6</v>
      </c>
      <c r="V56" s="25">
        <f>HLOOKUP(V$7,$I$66:$DJ$120,ROWS($A$10:$A56)+2,FALSE)</f>
        <v>0</v>
      </c>
      <c r="W56" s="25">
        <f>HLOOKUP(W$7,$I$66:$DJ$120,ROWS($A$10:$A56)+2,FALSE)</f>
        <v>230</v>
      </c>
      <c r="X56" s="25">
        <f>HLOOKUP(X$7,$I$66:$DJ$120,ROWS($A$10:$A56)+2,FALSE)</f>
        <v>68</v>
      </c>
      <c r="Y56" s="25">
        <f>HLOOKUP(Y$7,$I$66:$DJ$120,ROWS($A$10:$A56)+2,FALSE)</f>
        <v>30</v>
      </c>
      <c r="Z56" s="25">
        <f>HLOOKUP(Z$7,$I$66:$DJ$120,ROWS($A$10:$A56)+2,FALSE)</f>
        <v>0</v>
      </c>
      <c r="AA56" s="25">
        <f>HLOOKUP(AA$7,$I$66:$DJ$120,ROWS($A$10:$A56)+2,FALSE)</f>
        <v>1243</v>
      </c>
      <c r="AB56" s="25">
        <f>HLOOKUP(AB$7,$I$66:$DJ$120,ROWS($A$10:$A56)+2,FALSE)</f>
        <v>73</v>
      </c>
      <c r="AC56" s="25">
        <f>HLOOKUP(AC$7,$I$66:$DJ$120,ROWS($A$10:$A56)+2,FALSE)</f>
        <v>883</v>
      </c>
      <c r="AD56" s="25">
        <f>HLOOKUP(AD$7,$I$66:$DJ$120,ROWS($A$10:$A56)+2,FALSE)</f>
        <v>862</v>
      </c>
      <c r="AE56" s="25">
        <f>HLOOKUP(AE$7,$I$66:$DJ$120,ROWS($A$10:$A56)+2,FALSE)</f>
        <v>3318</v>
      </c>
      <c r="AF56" s="25">
        <f>HLOOKUP(AF$7,$I$66:$DJ$120,ROWS($A$10:$A56)+2,FALSE)</f>
        <v>284</v>
      </c>
      <c r="AG56" s="25">
        <f>HLOOKUP(AG$7,$I$66:$DJ$120,ROWS($A$10:$A56)+2,FALSE)</f>
        <v>315</v>
      </c>
      <c r="AH56" s="25">
        <f>HLOOKUP(AH$7,$I$66:$DJ$120,ROWS($A$10:$A56)+2,FALSE)</f>
        <v>0</v>
      </c>
      <c r="AI56" s="25">
        <f>HLOOKUP(AI$7,$I$66:$DJ$120,ROWS($A$10:$A56)+2,FALSE)</f>
        <v>23</v>
      </c>
      <c r="AJ56" s="25">
        <f>HLOOKUP(AJ$7,$I$66:$DJ$120,ROWS($A$10:$A56)+2,FALSE)</f>
        <v>147</v>
      </c>
      <c r="AK56" s="25">
        <f>HLOOKUP(AK$7,$I$66:$DJ$120,ROWS($A$10:$A56)+2,FALSE)</f>
        <v>0</v>
      </c>
      <c r="AL56" s="25">
        <f>HLOOKUP(AL$7,$I$66:$DJ$120,ROWS($A$10:$A56)+2,FALSE)</f>
        <v>17</v>
      </c>
      <c r="AM56" s="25">
        <f>HLOOKUP(AM$7,$I$66:$DJ$120,ROWS($A$10:$A56)+2,FALSE)</f>
        <v>2893</v>
      </c>
      <c r="AN56" s="25">
        <f>HLOOKUP(AN$7,$I$66:$DJ$120,ROWS($A$10:$A56)+2,FALSE)</f>
        <v>833</v>
      </c>
      <c r="AO56" s="25">
        <f>HLOOKUP(AO$7,$I$66:$DJ$120,ROWS($A$10:$A56)+2,FALSE)</f>
        <v>74</v>
      </c>
      <c r="AP56" s="25">
        <f>HLOOKUP(AP$7,$I$66:$DJ$120,ROWS($A$10:$A56)+2,FALSE)</f>
        <v>4780</v>
      </c>
      <c r="AQ56" s="25">
        <f>HLOOKUP(AQ$7,$I$66:$DJ$120,ROWS($A$10:$A56)+2,FALSE)</f>
        <v>328</v>
      </c>
      <c r="AR56" s="25">
        <f>HLOOKUP(AR$7,$I$66:$DJ$120,ROWS($A$10:$A56)+2,FALSE)</f>
        <v>0</v>
      </c>
      <c r="AS56" s="25">
        <f>HLOOKUP(AS$7,$I$66:$DJ$120,ROWS($A$10:$A56)+2,FALSE)</f>
        <v>214</v>
      </c>
      <c r="AT56" s="25">
        <f>HLOOKUP(AT$7,$I$66:$DJ$120,ROWS($A$10:$A56)+2,FALSE)</f>
        <v>11</v>
      </c>
      <c r="AU56" s="25">
        <f>HLOOKUP(AU$7,$I$66:$DJ$120,ROWS($A$10:$A56)+2,FALSE)</f>
        <v>26</v>
      </c>
      <c r="AV56" s="25">
        <f>HLOOKUP(AV$7,$I$66:$DJ$120,ROWS($A$10:$A56)+2,FALSE)</f>
        <v>935</v>
      </c>
      <c r="AW56" s="25">
        <f>HLOOKUP(AW$7,$I$66:$DJ$120,ROWS($A$10:$A56)+2,FALSE)</f>
        <v>341</v>
      </c>
      <c r="AX56" s="25">
        <f>HLOOKUP(AX$7,$I$66:$DJ$120,ROWS($A$10:$A56)+2,FALSE)</f>
        <v>124</v>
      </c>
      <c r="AY56" s="25">
        <f>HLOOKUP(AY$7,$I$66:$DJ$120,ROWS($A$10:$A56)+2,FALSE)</f>
        <v>39</v>
      </c>
      <c r="AZ56" s="25">
        <f>HLOOKUP(AZ$7,$I$66:$DJ$120,ROWS($A$10:$A56)+2,FALSE)</f>
        <v>193</v>
      </c>
      <c r="BA56" s="25">
        <f>HLOOKUP(BA$7,$I$66:$DJ$120,ROWS($A$10:$A56)+2,FALSE)</f>
        <v>493</v>
      </c>
      <c r="BB56" s="25">
        <f>HLOOKUP(BB$7,$I$66:$DJ$120,ROWS($A$10:$A56)+2,FALSE)</f>
        <v>81</v>
      </c>
      <c r="BC56" s="25" t="str">
        <f>HLOOKUP(BC$7,$I$66:$DJ$120,ROWS($A$10:$A56)+2,FALSE)</f>
        <v>N/A</v>
      </c>
      <c r="BD56" s="25">
        <f>HLOOKUP(BD$7,$I$66:$DJ$120,ROWS($A$10:$A56)+2,FALSE)</f>
        <v>728</v>
      </c>
      <c r="BE56" s="25">
        <f>HLOOKUP(BE$7,$I$66:$DJ$120,ROWS($A$10:$A56)+2,FALSE)</f>
        <v>98</v>
      </c>
      <c r="BF56" s="25">
        <f>HLOOKUP(BF$7,$I$66:$DJ$120,ROWS($A$10:$A56)+2,FALSE)</f>
        <v>0</v>
      </c>
      <c r="BG56" s="25">
        <f>HLOOKUP(BG$7,$I$66:$DJ$120,ROWS($A$10:$A56)+2,FALSE)</f>
        <v>151</v>
      </c>
      <c r="BH56" s="25">
        <f>HLOOKUP(BH$7,$I$66:$DJ$120,ROWS($A$10:$A56)+2,FALSE)</f>
        <v>96</v>
      </c>
      <c r="BI56" s="25">
        <f>HLOOKUP(BI$7,$I$66:$DJ$120,ROWS($A$10:$A56)+2,FALSE)</f>
        <v>0</v>
      </c>
      <c r="BJ56" s="34">
        <f>HLOOKUP(BJ$7+0.5,$I$66:$DJ$120,ROWS($A$10:$A56)+2,FALSE)</f>
        <v>2713</v>
      </c>
      <c r="BK56" s="34">
        <f>HLOOKUP(BK$7+0.5,$I$66:$DJ$120,ROWS($A$10:$A56)+2,FALSE)</f>
        <v>23</v>
      </c>
      <c r="BL56" s="34">
        <f>HLOOKUP(BL$7+0.5,$I$66:$DJ$120,ROWS($A$10:$A56)+2,FALSE)</f>
        <v>153</v>
      </c>
      <c r="BM56" s="34">
        <f>HLOOKUP(BM$7+0.5,$I$66:$DJ$120,ROWS($A$10:$A56)+2,FALSE)</f>
        <v>165</v>
      </c>
      <c r="BN56" s="34">
        <f>HLOOKUP(BN$7+0.5,$I$66:$DJ$120,ROWS($A$10:$A56)+2,FALSE)</f>
        <v>143</v>
      </c>
      <c r="BO56" s="34">
        <f>HLOOKUP(BO$7+0.5,$I$66:$DJ$120,ROWS($A$10:$A56)+2,FALSE)</f>
        <v>537</v>
      </c>
      <c r="BP56" s="34">
        <f>HLOOKUP(BP$7+0.5,$I$66:$DJ$120,ROWS($A$10:$A56)+2,FALSE)</f>
        <v>296</v>
      </c>
      <c r="BQ56" s="34">
        <f>HLOOKUP(BQ$7+0.5,$I$66:$DJ$120,ROWS($A$10:$A56)+2,FALSE)</f>
        <v>540</v>
      </c>
      <c r="BR56" s="34">
        <f>HLOOKUP(BR$7+0.5,$I$66:$DJ$120,ROWS($A$10:$A56)+2,FALSE)</f>
        <v>143</v>
      </c>
      <c r="BS56" s="34">
        <f>HLOOKUP(BS$7+0.5,$I$66:$DJ$120,ROWS($A$10:$A56)+2,FALSE)</f>
        <v>134</v>
      </c>
      <c r="BT56" s="34">
        <f>HLOOKUP(BT$7+0.5,$I$66:$DJ$120,ROWS($A$10:$A56)+2,FALSE)</f>
        <v>519</v>
      </c>
      <c r="BU56" s="34">
        <f>HLOOKUP(BU$7+0.5,$I$66:$DJ$120,ROWS($A$10:$A56)+2,FALSE)</f>
        <v>81</v>
      </c>
      <c r="BV56" s="34">
        <f>HLOOKUP(BV$7+0.5,$I$66:$DJ$120,ROWS($A$10:$A56)+2,FALSE)</f>
        <v>10</v>
      </c>
      <c r="BW56" s="34">
        <f>HLOOKUP(BW$7+0.5,$I$66:$DJ$120,ROWS($A$10:$A56)+2,FALSE)</f>
        <v>143</v>
      </c>
      <c r="BX56" s="34">
        <f>HLOOKUP(BX$7+0.5,$I$66:$DJ$120,ROWS($A$10:$A56)+2,FALSE)</f>
        <v>221</v>
      </c>
      <c r="BY56" s="34">
        <f>HLOOKUP(BY$7+0.5,$I$66:$DJ$120,ROWS($A$10:$A56)+2,FALSE)</f>
        <v>81</v>
      </c>
      <c r="BZ56" s="34">
        <f>HLOOKUP(BZ$7+0.5,$I$66:$DJ$120,ROWS($A$10:$A56)+2,FALSE)</f>
        <v>43</v>
      </c>
      <c r="CA56" s="34">
        <f>HLOOKUP(CA$7+0.5,$I$66:$DJ$120,ROWS($A$10:$A56)+2,FALSE)</f>
        <v>143</v>
      </c>
      <c r="CB56" s="34">
        <f>HLOOKUP(CB$7+0.5,$I$66:$DJ$120,ROWS($A$10:$A56)+2,FALSE)</f>
        <v>1690</v>
      </c>
      <c r="CC56" s="34">
        <f>HLOOKUP(CC$7+0.5,$I$66:$DJ$120,ROWS($A$10:$A56)+2,FALSE)</f>
        <v>105</v>
      </c>
      <c r="CD56" s="34">
        <f>HLOOKUP(CD$7+0.5,$I$66:$DJ$120,ROWS($A$10:$A56)+2,FALSE)</f>
        <v>546</v>
      </c>
      <c r="CE56" s="34">
        <f>HLOOKUP(CE$7+0.5,$I$66:$DJ$120,ROWS($A$10:$A56)+2,FALSE)</f>
        <v>396</v>
      </c>
      <c r="CF56" s="34">
        <f>HLOOKUP(CF$7+0.5,$I$66:$DJ$120,ROWS($A$10:$A56)+2,FALSE)</f>
        <v>657</v>
      </c>
      <c r="CG56" s="34">
        <f>HLOOKUP(CG$7+0.5,$I$66:$DJ$120,ROWS($A$10:$A56)+2,FALSE)</f>
        <v>246</v>
      </c>
      <c r="CH56" s="34">
        <f>HLOOKUP(CH$7+0.5,$I$66:$DJ$120,ROWS($A$10:$A56)+2,FALSE)</f>
        <v>349</v>
      </c>
      <c r="CI56" s="34">
        <f>HLOOKUP(CI$7+0.5,$I$66:$DJ$120,ROWS($A$10:$A56)+2,FALSE)</f>
        <v>143</v>
      </c>
      <c r="CJ56" s="34">
        <f>HLOOKUP(CJ$7+0.5,$I$66:$DJ$120,ROWS($A$10:$A56)+2,FALSE)</f>
        <v>26</v>
      </c>
      <c r="CK56" s="34">
        <f>HLOOKUP(CK$7+0.5,$I$66:$DJ$120,ROWS($A$10:$A56)+2,FALSE)</f>
        <v>189</v>
      </c>
      <c r="CL56" s="34">
        <f>HLOOKUP(CL$7+0.5,$I$66:$DJ$120,ROWS($A$10:$A56)+2,FALSE)</f>
        <v>143</v>
      </c>
      <c r="CM56" s="34">
        <f>HLOOKUP(CM$7+0.5,$I$66:$DJ$120,ROWS($A$10:$A56)+2,FALSE)</f>
        <v>37</v>
      </c>
      <c r="CN56" s="34">
        <f>HLOOKUP(CN$7+0.5,$I$66:$DJ$120,ROWS($A$10:$A56)+2,FALSE)</f>
        <v>812</v>
      </c>
      <c r="CO56" s="34">
        <f>HLOOKUP(CO$7+0.5,$I$66:$DJ$120,ROWS($A$10:$A56)+2,FALSE)</f>
        <v>364</v>
      </c>
      <c r="CP56" s="34">
        <f>HLOOKUP(CP$7+0.5,$I$66:$DJ$120,ROWS($A$10:$A56)+2,FALSE)</f>
        <v>89</v>
      </c>
      <c r="CQ56" s="34">
        <f>HLOOKUP(CQ$7+0.5,$I$66:$DJ$120,ROWS($A$10:$A56)+2,FALSE)</f>
        <v>921</v>
      </c>
      <c r="CR56" s="34">
        <f>HLOOKUP(CR$7+0.5,$I$66:$DJ$120,ROWS($A$10:$A56)+2,FALSE)</f>
        <v>248</v>
      </c>
      <c r="CS56" s="34">
        <f>HLOOKUP(CS$7+0.5,$I$66:$DJ$120,ROWS($A$10:$A56)+2,FALSE)</f>
        <v>143</v>
      </c>
      <c r="CT56" s="34">
        <f>HLOOKUP(CT$7+0.5,$I$66:$DJ$120,ROWS($A$10:$A56)+2,FALSE)</f>
        <v>247</v>
      </c>
      <c r="CU56" s="34">
        <f>HLOOKUP(CU$7+0.5,$I$66:$DJ$120,ROWS($A$10:$A56)+2,FALSE)</f>
        <v>13</v>
      </c>
      <c r="CV56" s="34">
        <f>HLOOKUP(CV$7+0.5,$I$66:$DJ$120,ROWS($A$10:$A56)+2,FALSE)</f>
        <v>38</v>
      </c>
      <c r="CW56" s="34">
        <f>HLOOKUP(CW$7+0.5,$I$66:$DJ$120,ROWS($A$10:$A56)+2,FALSE)</f>
        <v>525</v>
      </c>
      <c r="CX56" s="34">
        <f>HLOOKUP(CX$7+0.5,$I$66:$DJ$120,ROWS($A$10:$A56)+2,FALSE)</f>
        <v>220</v>
      </c>
      <c r="CY56" s="34">
        <f>HLOOKUP(CY$7+0.5,$I$66:$DJ$120,ROWS($A$10:$A56)+2,FALSE)</f>
        <v>208</v>
      </c>
      <c r="CZ56" s="34">
        <f>HLOOKUP(CZ$7+0.5,$I$66:$DJ$120,ROWS($A$10:$A56)+2,FALSE)</f>
        <v>66</v>
      </c>
      <c r="DA56" s="34">
        <f>HLOOKUP(DA$7+0.5,$I$66:$DJ$120,ROWS($A$10:$A56)+2,FALSE)</f>
        <v>185</v>
      </c>
      <c r="DB56" s="34">
        <f>HLOOKUP(DB$7+0.5,$I$66:$DJ$120,ROWS($A$10:$A56)+2,FALSE)</f>
        <v>334</v>
      </c>
      <c r="DC56" s="34">
        <f>HLOOKUP(DC$7+0.5,$I$66:$DJ$120,ROWS($A$10:$A56)+2,FALSE)</f>
        <v>96</v>
      </c>
      <c r="DD56" s="34" t="str">
        <f>HLOOKUP(DD$7+0.5,$I$66:$DJ$120,ROWS($A$10:$A56)+2,FALSE)</f>
        <v>N/A</v>
      </c>
      <c r="DE56" s="34">
        <f>HLOOKUP(DE$7+0.5,$I$66:$DJ$120,ROWS($A$10:$A56)+2,FALSE)</f>
        <v>427</v>
      </c>
      <c r="DF56" s="34">
        <f>HLOOKUP(DF$7+0.5,$I$66:$DJ$120,ROWS($A$10:$A56)+2,FALSE)</f>
        <v>109</v>
      </c>
      <c r="DG56" s="34">
        <f>HLOOKUP(DG$7+0.5,$I$66:$DJ$120,ROWS($A$10:$A56)+2,FALSE)</f>
        <v>143</v>
      </c>
      <c r="DH56" s="34">
        <f>HLOOKUP(DH$7+0.5,$I$66:$DJ$120,ROWS($A$10:$A56)+2,FALSE)</f>
        <v>115</v>
      </c>
      <c r="DI56" s="34">
        <f>HLOOKUP(DI$7+0.5,$I$66:$DJ$120,ROWS($A$10:$A56)+2,FALSE)</f>
        <v>102</v>
      </c>
      <c r="DJ56" s="34">
        <f>HLOOKUP(DJ$7+0.5,$I$66:$DJ$120,ROWS($A$10:$A56)+2,FALSE)</f>
        <v>143</v>
      </c>
    </row>
    <row r="57" spans="2:114" x14ac:dyDescent="0.25">
      <c r="B57" s="38" t="s">
        <v>53</v>
      </c>
      <c r="C57" s="15">
        <v>8085389</v>
      </c>
      <c r="D57" s="14">
        <v>4754</v>
      </c>
      <c r="E57" s="15">
        <v>6857430</v>
      </c>
      <c r="F57" s="14">
        <v>25550</v>
      </c>
      <c r="G57" s="15">
        <v>915242</v>
      </c>
      <c r="H57" s="14">
        <v>24032</v>
      </c>
      <c r="I57" s="36">
        <f>HLOOKUP(I$7,$I$66:$DJ$120,ROWS($A$10:$A57)+2,FALSE)</f>
        <v>250653</v>
      </c>
      <c r="J57" s="25">
        <f>HLOOKUP(J$7,$I$66:$DJ$120,ROWS($A$10:$A57)+2,FALSE)</f>
        <v>2515</v>
      </c>
      <c r="K57" s="25">
        <f>HLOOKUP(K$7,$I$66:$DJ$120,ROWS($A$10:$A57)+2,FALSE)</f>
        <v>1906</v>
      </c>
      <c r="L57" s="25">
        <f>HLOOKUP(L$7,$I$66:$DJ$120,ROWS($A$10:$A57)+2,FALSE)</f>
        <v>2420</v>
      </c>
      <c r="M57" s="25">
        <f>HLOOKUP(M$7,$I$66:$DJ$120,ROWS($A$10:$A57)+2,FALSE)</f>
        <v>445</v>
      </c>
      <c r="N57" s="25">
        <f>HLOOKUP(N$7,$I$66:$DJ$120,ROWS($A$10:$A57)+2,FALSE)</f>
        <v>14780</v>
      </c>
      <c r="O57" s="25">
        <f>HLOOKUP(O$7,$I$66:$DJ$120,ROWS($A$10:$A57)+2,FALSE)</f>
        <v>5352</v>
      </c>
      <c r="P57" s="25">
        <f>HLOOKUP(P$7,$I$66:$DJ$120,ROWS($A$10:$A57)+2,FALSE)</f>
        <v>2725</v>
      </c>
      <c r="Q57" s="25">
        <f>HLOOKUP(Q$7,$I$66:$DJ$120,ROWS($A$10:$A57)+2,FALSE)</f>
        <v>2279</v>
      </c>
      <c r="R57" s="25">
        <f>HLOOKUP(R$7,$I$66:$DJ$120,ROWS($A$10:$A57)+2,FALSE)</f>
        <v>10964</v>
      </c>
      <c r="S57" s="25">
        <f>HLOOKUP(S$7,$I$66:$DJ$120,ROWS($A$10:$A57)+2,FALSE)</f>
        <v>19574</v>
      </c>
      <c r="T57" s="25">
        <f>HLOOKUP(T$7,$I$66:$DJ$120,ROWS($A$10:$A57)+2,FALSE)</f>
        <v>9535</v>
      </c>
      <c r="U57" s="25">
        <f>HLOOKUP(U$7,$I$66:$DJ$120,ROWS($A$10:$A57)+2,FALSE)</f>
        <v>3823</v>
      </c>
      <c r="V57" s="25">
        <f>HLOOKUP(V$7,$I$66:$DJ$120,ROWS($A$10:$A57)+2,FALSE)</f>
        <v>652</v>
      </c>
      <c r="W57" s="25">
        <f>HLOOKUP(W$7,$I$66:$DJ$120,ROWS($A$10:$A57)+2,FALSE)</f>
        <v>7089</v>
      </c>
      <c r="X57" s="25">
        <f>HLOOKUP(X$7,$I$66:$DJ$120,ROWS($A$10:$A57)+2,FALSE)</f>
        <v>2663</v>
      </c>
      <c r="Y57" s="25">
        <f>HLOOKUP(Y$7,$I$66:$DJ$120,ROWS($A$10:$A57)+2,FALSE)</f>
        <v>221</v>
      </c>
      <c r="Z57" s="25">
        <f>HLOOKUP(Z$7,$I$66:$DJ$120,ROWS($A$10:$A57)+2,FALSE)</f>
        <v>1144</v>
      </c>
      <c r="AA57" s="25">
        <f>HLOOKUP(AA$7,$I$66:$DJ$120,ROWS($A$10:$A57)+2,FALSE)</f>
        <v>3908</v>
      </c>
      <c r="AB57" s="25">
        <f>HLOOKUP(AB$7,$I$66:$DJ$120,ROWS($A$10:$A57)+2,FALSE)</f>
        <v>1638</v>
      </c>
      <c r="AC57" s="25">
        <f>HLOOKUP(AC$7,$I$66:$DJ$120,ROWS($A$10:$A57)+2,FALSE)</f>
        <v>1144</v>
      </c>
      <c r="AD57" s="25">
        <f>HLOOKUP(AD$7,$I$66:$DJ$120,ROWS($A$10:$A57)+2,FALSE)</f>
        <v>23925</v>
      </c>
      <c r="AE57" s="25">
        <f>HLOOKUP(AE$7,$I$66:$DJ$120,ROWS($A$10:$A57)+2,FALSE)</f>
        <v>3767</v>
      </c>
      <c r="AF57" s="25">
        <f>HLOOKUP(AF$7,$I$66:$DJ$120,ROWS($A$10:$A57)+2,FALSE)</f>
        <v>2982</v>
      </c>
      <c r="AG57" s="25">
        <f>HLOOKUP(AG$7,$I$66:$DJ$120,ROWS($A$10:$A57)+2,FALSE)</f>
        <v>2294</v>
      </c>
      <c r="AH57" s="25">
        <f>HLOOKUP(AH$7,$I$66:$DJ$120,ROWS($A$10:$A57)+2,FALSE)</f>
        <v>1344</v>
      </c>
      <c r="AI57" s="25">
        <f>HLOOKUP(AI$7,$I$66:$DJ$120,ROWS($A$10:$A57)+2,FALSE)</f>
        <v>1914</v>
      </c>
      <c r="AJ57" s="25">
        <f>HLOOKUP(AJ$7,$I$66:$DJ$120,ROWS($A$10:$A57)+2,FALSE)</f>
        <v>658</v>
      </c>
      <c r="AK57" s="25">
        <f>HLOOKUP(AK$7,$I$66:$DJ$120,ROWS($A$10:$A57)+2,FALSE)</f>
        <v>357</v>
      </c>
      <c r="AL57" s="25">
        <f>HLOOKUP(AL$7,$I$66:$DJ$120,ROWS($A$10:$A57)+2,FALSE)</f>
        <v>973</v>
      </c>
      <c r="AM57" s="25">
        <f>HLOOKUP(AM$7,$I$66:$DJ$120,ROWS($A$10:$A57)+2,FALSE)</f>
        <v>535</v>
      </c>
      <c r="AN57" s="25">
        <f>HLOOKUP(AN$7,$I$66:$DJ$120,ROWS($A$10:$A57)+2,FALSE)</f>
        <v>9073</v>
      </c>
      <c r="AO57" s="25">
        <f>HLOOKUP(AO$7,$I$66:$DJ$120,ROWS($A$10:$A57)+2,FALSE)</f>
        <v>947</v>
      </c>
      <c r="AP57" s="25">
        <f>HLOOKUP(AP$7,$I$66:$DJ$120,ROWS($A$10:$A57)+2,FALSE)</f>
        <v>15893</v>
      </c>
      <c r="AQ57" s="25">
        <f>HLOOKUP(AQ$7,$I$66:$DJ$120,ROWS($A$10:$A57)+2,FALSE)</f>
        <v>25575</v>
      </c>
      <c r="AR57" s="25">
        <f>HLOOKUP(AR$7,$I$66:$DJ$120,ROWS($A$10:$A57)+2,FALSE)</f>
        <v>852</v>
      </c>
      <c r="AS57" s="25">
        <f>HLOOKUP(AS$7,$I$66:$DJ$120,ROWS($A$10:$A57)+2,FALSE)</f>
        <v>5622</v>
      </c>
      <c r="AT57" s="25">
        <f>HLOOKUP(AT$7,$I$66:$DJ$120,ROWS($A$10:$A57)+2,FALSE)</f>
        <v>2810</v>
      </c>
      <c r="AU57" s="25">
        <f>HLOOKUP(AU$7,$I$66:$DJ$120,ROWS($A$10:$A57)+2,FALSE)</f>
        <v>1541</v>
      </c>
      <c r="AV57" s="25">
        <f>HLOOKUP(AV$7,$I$66:$DJ$120,ROWS($A$10:$A57)+2,FALSE)</f>
        <v>14190</v>
      </c>
      <c r="AW57" s="25">
        <f>HLOOKUP(AW$7,$I$66:$DJ$120,ROWS($A$10:$A57)+2,FALSE)</f>
        <v>1605</v>
      </c>
      <c r="AX57" s="25">
        <f>HLOOKUP(AX$7,$I$66:$DJ$120,ROWS($A$10:$A57)+2,FALSE)</f>
        <v>7936</v>
      </c>
      <c r="AY57" s="25">
        <f>HLOOKUP(AY$7,$I$66:$DJ$120,ROWS($A$10:$A57)+2,FALSE)</f>
        <v>35</v>
      </c>
      <c r="AZ57" s="25">
        <f>HLOOKUP(AZ$7,$I$66:$DJ$120,ROWS($A$10:$A57)+2,FALSE)</f>
        <v>6189</v>
      </c>
      <c r="BA57" s="25">
        <f>HLOOKUP(BA$7,$I$66:$DJ$120,ROWS($A$10:$A57)+2,FALSE)</f>
        <v>12944</v>
      </c>
      <c r="BB57" s="25">
        <f>HLOOKUP(BB$7,$I$66:$DJ$120,ROWS($A$10:$A57)+2,FALSE)</f>
        <v>2092</v>
      </c>
      <c r="BC57" s="25">
        <f>HLOOKUP(BC$7,$I$66:$DJ$120,ROWS($A$10:$A57)+2,FALSE)</f>
        <v>423</v>
      </c>
      <c r="BD57" s="25" t="str">
        <f>HLOOKUP(BD$7,$I$66:$DJ$120,ROWS($A$10:$A57)+2,FALSE)</f>
        <v>N/A</v>
      </c>
      <c r="BE57" s="25">
        <f>HLOOKUP(BE$7,$I$66:$DJ$120,ROWS($A$10:$A57)+2,FALSE)</f>
        <v>4160</v>
      </c>
      <c r="BF57" s="25">
        <f>HLOOKUP(BF$7,$I$66:$DJ$120,ROWS($A$10:$A57)+2,FALSE)</f>
        <v>3839</v>
      </c>
      <c r="BG57" s="25">
        <f>HLOOKUP(BG$7,$I$66:$DJ$120,ROWS($A$10:$A57)+2,FALSE)</f>
        <v>1258</v>
      </c>
      <c r="BH57" s="25">
        <f>HLOOKUP(BH$7,$I$66:$DJ$120,ROWS($A$10:$A57)+2,FALSE)</f>
        <v>143</v>
      </c>
      <c r="BI57" s="25">
        <f>HLOOKUP(BI$7,$I$66:$DJ$120,ROWS($A$10:$A57)+2,FALSE)</f>
        <v>516</v>
      </c>
      <c r="BJ57" s="34">
        <f>HLOOKUP(BJ$7+0.5,$I$66:$DJ$120,ROWS($A$10:$A57)+2,FALSE)</f>
        <v>11997</v>
      </c>
      <c r="BK57" s="34">
        <f>HLOOKUP(BK$7+0.5,$I$66:$DJ$120,ROWS($A$10:$A57)+2,FALSE)</f>
        <v>990</v>
      </c>
      <c r="BL57" s="34">
        <f>HLOOKUP(BL$7+0.5,$I$66:$DJ$120,ROWS($A$10:$A57)+2,FALSE)</f>
        <v>1287</v>
      </c>
      <c r="BM57" s="34">
        <f>HLOOKUP(BM$7+0.5,$I$66:$DJ$120,ROWS($A$10:$A57)+2,FALSE)</f>
        <v>1030</v>
      </c>
      <c r="BN57" s="34">
        <f>HLOOKUP(BN$7+0.5,$I$66:$DJ$120,ROWS($A$10:$A57)+2,FALSE)</f>
        <v>319</v>
      </c>
      <c r="BO57" s="34">
        <f>HLOOKUP(BO$7+0.5,$I$66:$DJ$120,ROWS($A$10:$A57)+2,FALSE)</f>
        <v>2760</v>
      </c>
      <c r="BP57" s="34">
        <f>HLOOKUP(BP$7+0.5,$I$66:$DJ$120,ROWS($A$10:$A57)+2,FALSE)</f>
        <v>1834</v>
      </c>
      <c r="BQ57" s="34">
        <f>HLOOKUP(BQ$7+0.5,$I$66:$DJ$120,ROWS($A$10:$A57)+2,FALSE)</f>
        <v>1001</v>
      </c>
      <c r="BR57" s="34">
        <f>HLOOKUP(BR$7+0.5,$I$66:$DJ$120,ROWS($A$10:$A57)+2,FALSE)</f>
        <v>1465</v>
      </c>
      <c r="BS57" s="34">
        <f>HLOOKUP(BS$7+0.5,$I$66:$DJ$120,ROWS($A$10:$A57)+2,FALSE)</f>
        <v>4084</v>
      </c>
      <c r="BT57" s="34">
        <f>HLOOKUP(BT$7+0.5,$I$66:$DJ$120,ROWS($A$10:$A57)+2,FALSE)</f>
        <v>3694</v>
      </c>
      <c r="BU57" s="34">
        <f>HLOOKUP(BU$7+0.5,$I$66:$DJ$120,ROWS($A$10:$A57)+2,FALSE)</f>
        <v>1889</v>
      </c>
      <c r="BV57" s="34">
        <f>HLOOKUP(BV$7+0.5,$I$66:$DJ$120,ROWS($A$10:$A57)+2,FALSE)</f>
        <v>1460</v>
      </c>
      <c r="BW57" s="34">
        <f>HLOOKUP(BW$7+0.5,$I$66:$DJ$120,ROWS($A$10:$A57)+2,FALSE)</f>
        <v>411</v>
      </c>
      <c r="BX57" s="34">
        <f>HLOOKUP(BX$7+0.5,$I$66:$DJ$120,ROWS($A$10:$A57)+2,FALSE)</f>
        <v>3237</v>
      </c>
      <c r="BY57" s="34">
        <f>HLOOKUP(BY$7+0.5,$I$66:$DJ$120,ROWS($A$10:$A57)+2,FALSE)</f>
        <v>1228</v>
      </c>
      <c r="BZ57" s="34">
        <f>HLOOKUP(BZ$7+0.5,$I$66:$DJ$120,ROWS($A$10:$A57)+2,FALSE)</f>
        <v>209</v>
      </c>
      <c r="CA57" s="34">
        <f>HLOOKUP(CA$7+0.5,$I$66:$DJ$120,ROWS($A$10:$A57)+2,FALSE)</f>
        <v>669</v>
      </c>
      <c r="CB57" s="34">
        <f>HLOOKUP(CB$7+0.5,$I$66:$DJ$120,ROWS($A$10:$A57)+2,FALSE)</f>
        <v>1422</v>
      </c>
      <c r="CC57" s="34">
        <f>HLOOKUP(CC$7+0.5,$I$66:$DJ$120,ROWS($A$10:$A57)+2,FALSE)</f>
        <v>936</v>
      </c>
      <c r="CD57" s="34">
        <f>HLOOKUP(CD$7+0.5,$I$66:$DJ$120,ROWS($A$10:$A57)+2,FALSE)</f>
        <v>689</v>
      </c>
      <c r="CE57" s="34">
        <f>HLOOKUP(CE$7+0.5,$I$66:$DJ$120,ROWS($A$10:$A57)+2,FALSE)</f>
        <v>4264</v>
      </c>
      <c r="CF57" s="34">
        <f>HLOOKUP(CF$7+0.5,$I$66:$DJ$120,ROWS($A$10:$A57)+2,FALSE)</f>
        <v>1503</v>
      </c>
      <c r="CG57" s="34">
        <f>HLOOKUP(CG$7+0.5,$I$66:$DJ$120,ROWS($A$10:$A57)+2,FALSE)</f>
        <v>1136</v>
      </c>
      <c r="CH57" s="34">
        <f>HLOOKUP(CH$7+0.5,$I$66:$DJ$120,ROWS($A$10:$A57)+2,FALSE)</f>
        <v>1414</v>
      </c>
      <c r="CI57" s="34">
        <f>HLOOKUP(CI$7+0.5,$I$66:$DJ$120,ROWS($A$10:$A57)+2,FALSE)</f>
        <v>730</v>
      </c>
      <c r="CJ57" s="34">
        <f>HLOOKUP(CJ$7+0.5,$I$66:$DJ$120,ROWS($A$10:$A57)+2,FALSE)</f>
        <v>837</v>
      </c>
      <c r="CK57" s="34">
        <f>HLOOKUP(CK$7+0.5,$I$66:$DJ$120,ROWS($A$10:$A57)+2,FALSE)</f>
        <v>433</v>
      </c>
      <c r="CL57" s="34">
        <f>HLOOKUP(CL$7+0.5,$I$66:$DJ$120,ROWS($A$10:$A57)+2,FALSE)</f>
        <v>313</v>
      </c>
      <c r="CM57" s="34">
        <f>HLOOKUP(CM$7+0.5,$I$66:$DJ$120,ROWS($A$10:$A57)+2,FALSE)</f>
        <v>522</v>
      </c>
      <c r="CN57" s="34">
        <f>HLOOKUP(CN$7+0.5,$I$66:$DJ$120,ROWS($A$10:$A57)+2,FALSE)</f>
        <v>398</v>
      </c>
      <c r="CO57" s="34">
        <f>HLOOKUP(CO$7+0.5,$I$66:$DJ$120,ROWS($A$10:$A57)+2,FALSE)</f>
        <v>2029</v>
      </c>
      <c r="CP57" s="34">
        <f>HLOOKUP(CP$7+0.5,$I$66:$DJ$120,ROWS($A$10:$A57)+2,FALSE)</f>
        <v>637</v>
      </c>
      <c r="CQ57" s="34">
        <f>HLOOKUP(CQ$7+0.5,$I$66:$DJ$120,ROWS($A$10:$A57)+2,FALSE)</f>
        <v>3260</v>
      </c>
      <c r="CR57" s="34">
        <f>HLOOKUP(CR$7+0.5,$I$66:$DJ$120,ROWS($A$10:$A57)+2,FALSE)</f>
        <v>4182</v>
      </c>
      <c r="CS57" s="34">
        <f>HLOOKUP(CS$7+0.5,$I$66:$DJ$120,ROWS($A$10:$A57)+2,FALSE)</f>
        <v>1019</v>
      </c>
      <c r="CT57" s="34">
        <f>HLOOKUP(CT$7+0.5,$I$66:$DJ$120,ROWS($A$10:$A57)+2,FALSE)</f>
        <v>1519</v>
      </c>
      <c r="CU57" s="34">
        <f>HLOOKUP(CU$7+0.5,$I$66:$DJ$120,ROWS($A$10:$A57)+2,FALSE)</f>
        <v>1873</v>
      </c>
      <c r="CV57" s="34">
        <f>HLOOKUP(CV$7+0.5,$I$66:$DJ$120,ROWS($A$10:$A57)+2,FALSE)</f>
        <v>1069</v>
      </c>
      <c r="CW57" s="34">
        <f>HLOOKUP(CW$7+0.5,$I$66:$DJ$120,ROWS($A$10:$A57)+2,FALSE)</f>
        <v>2998</v>
      </c>
      <c r="CX57" s="34">
        <f>HLOOKUP(CX$7+0.5,$I$66:$DJ$120,ROWS($A$10:$A57)+2,FALSE)</f>
        <v>731</v>
      </c>
      <c r="CY57" s="34">
        <f>HLOOKUP(CY$7+0.5,$I$66:$DJ$120,ROWS($A$10:$A57)+2,FALSE)</f>
        <v>2435</v>
      </c>
      <c r="CZ57" s="34">
        <f>HLOOKUP(CZ$7+0.5,$I$66:$DJ$120,ROWS($A$10:$A57)+2,FALSE)</f>
        <v>57</v>
      </c>
      <c r="DA57" s="34">
        <f>HLOOKUP(DA$7+0.5,$I$66:$DJ$120,ROWS($A$10:$A57)+2,FALSE)</f>
        <v>1858</v>
      </c>
      <c r="DB57" s="34">
        <f>HLOOKUP(DB$7+0.5,$I$66:$DJ$120,ROWS($A$10:$A57)+2,FALSE)</f>
        <v>2828</v>
      </c>
      <c r="DC57" s="34">
        <f>HLOOKUP(DC$7+0.5,$I$66:$DJ$120,ROWS($A$10:$A57)+2,FALSE)</f>
        <v>994</v>
      </c>
      <c r="DD57" s="34">
        <f>HLOOKUP(DD$7+0.5,$I$66:$DJ$120,ROWS($A$10:$A57)+2,FALSE)</f>
        <v>437</v>
      </c>
      <c r="DE57" s="34" t="str">
        <f>HLOOKUP(DE$7+0.5,$I$66:$DJ$120,ROWS($A$10:$A57)+2,FALSE)</f>
        <v>N/A</v>
      </c>
      <c r="DF57" s="34">
        <f>HLOOKUP(DF$7+0.5,$I$66:$DJ$120,ROWS($A$10:$A57)+2,FALSE)</f>
        <v>1420</v>
      </c>
      <c r="DG57" s="34">
        <f>HLOOKUP(DG$7+0.5,$I$66:$DJ$120,ROWS($A$10:$A57)+2,FALSE)</f>
        <v>1234</v>
      </c>
      <c r="DH57" s="34">
        <f>HLOOKUP(DH$7+0.5,$I$66:$DJ$120,ROWS($A$10:$A57)+2,FALSE)</f>
        <v>880</v>
      </c>
      <c r="DI57" s="34">
        <f>HLOOKUP(DI$7+0.5,$I$66:$DJ$120,ROWS($A$10:$A57)+2,FALSE)</f>
        <v>166</v>
      </c>
      <c r="DJ57" s="34">
        <f>HLOOKUP(DJ$7+0.5,$I$66:$DJ$120,ROWS($A$10:$A57)+2,FALSE)</f>
        <v>466</v>
      </c>
    </row>
    <row r="58" spans="2:114" x14ac:dyDescent="0.25">
      <c r="B58" s="38" t="s">
        <v>54</v>
      </c>
      <c r="C58" s="15">
        <v>6815763</v>
      </c>
      <c r="D58" s="14">
        <v>3864</v>
      </c>
      <c r="E58" s="15">
        <v>5648199</v>
      </c>
      <c r="F58" s="14">
        <v>25225</v>
      </c>
      <c r="G58" s="15">
        <v>904695</v>
      </c>
      <c r="H58" s="14">
        <v>24285</v>
      </c>
      <c r="I58" s="36">
        <f>HLOOKUP(I$7,$I$66:$DJ$120,ROWS($A$10:$A58)+2,FALSE)</f>
        <v>215494</v>
      </c>
      <c r="J58" s="25">
        <f>HLOOKUP(J$7,$I$66:$DJ$120,ROWS($A$10:$A58)+2,FALSE)</f>
        <v>1507</v>
      </c>
      <c r="K58" s="25">
        <f>HLOOKUP(K$7,$I$66:$DJ$120,ROWS($A$10:$A58)+2,FALSE)</f>
        <v>4328</v>
      </c>
      <c r="L58" s="25">
        <f>HLOOKUP(L$7,$I$66:$DJ$120,ROWS($A$10:$A58)+2,FALSE)</f>
        <v>8362</v>
      </c>
      <c r="M58" s="25">
        <f>HLOOKUP(M$7,$I$66:$DJ$120,ROWS($A$10:$A58)+2,FALSE)</f>
        <v>1413</v>
      </c>
      <c r="N58" s="25">
        <f>HLOOKUP(N$7,$I$66:$DJ$120,ROWS($A$10:$A58)+2,FALSE)</f>
        <v>45597</v>
      </c>
      <c r="O58" s="25">
        <f>HLOOKUP(O$7,$I$66:$DJ$120,ROWS($A$10:$A58)+2,FALSE)</f>
        <v>5195</v>
      </c>
      <c r="P58" s="25">
        <f>HLOOKUP(P$7,$I$66:$DJ$120,ROWS($A$10:$A58)+2,FALSE)</f>
        <v>2901</v>
      </c>
      <c r="Q58" s="25">
        <f>HLOOKUP(Q$7,$I$66:$DJ$120,ROWS($A$10:$A58)+2,FALSE)</f>
        <v>100</v>
      </c>
      <c r="R58" s="25">
        <f>HLOOKUP(R$7,$I$66:$DJ$120,ROWS($A$10:$A58)+2,FALSE)</f>
        <v>773</v>
      </c>
      <c r="S58" s="25">
        <f>HLOOKUP(S$7,$I$66:$DJ$120,ROWS($A$10:$A58)+2,FALSE)</f>
        <v>9370</v>
      </c>
      <c r="T58" s="25">
        <f>HLOOKUP(T$7,$I$66:$DJ$120,ROWS($A$10:$A58)+2,FALSE)</f>
        <v>6363</v>
      </c>
      <c r="U58" s="25">
        <f>HLOOKUP(U$7,$I$66:$DJ$120,ROWS($A$10:$A58)+2,FALSE)</f>
        <v>5239</v>
      </c>
      <c r="V58" s="25">
        <f>HLOOKUP(V$7,$I$66:$DJ$120,ROWS($A$10:$A58)+2,FALSE)</f>
        <v>10604</v>
      </c>
      <c r="W58" s="25">
        <f>HLOOKUP(W$7,$I$66:$DJ$120,ROWS($A$10:$A58)+2,FALSE)</f>
        <v>4298</v>
      </c>
      <c r="X58" s="25">
        <f>HLOOKUP(X$7,$I$66:$DJ$120,ROWS($A$10:$A58)+2,FALSE)</f>
        <v>1089</v>
      </c>
      <c r="Y58" s="25">
        <f>HLOOKUP(Y$7,$I$66:$DJ$120,ROWS($A$10:$A58)+2,FALSE)</f>
        <v>1159</v>
      </c>
      <c r="Z58" s="25">
        <f>HLOOKUP(Z$7,$I$66:$DJ$120,ROWS($A$10:$A58)+2,FALSE)</f>
        <v>2544</v>
      </c>
      <c r="AA58" s="25">
        <f>HLOOKUP(AA$7,$I$66:$DJ$120,ROWS($A$10:$A58)+2,FALSE)</f>
        <v>1368</v>
      </c>
      <c r="AB58" s="25">
        <f>HLOOKUP(AB$7,$I$66:$DJ$120,ROWS($A$10:$A58)+2,FALSE)</f>
        <v>1646</v>
      </c>
      <c r="AC58" s="25">
        <f>HLOOKUP(AC$7,$I$66:$DJ$120,ROWS($A$10:$A58)+2,FALSE)</f>
        <v>532</v>
      </c>
      <c r="AD58" s="25">
        <f>HLOOKUP(AD$7,$I$66:$DJ$120,ROWS($A$10:$A58)+2,FALSE)</f>
        <v>1191</v>
      </c>
      <c r="AE58" s="25">
        <f>HLOOKUP(AE$7,$I$66:$DJ$120,ROWS($A$10:$A58)+2,FALSE)</f>
        <v>2911</v>
      </c>
      <c r="AF58" s="25">
        <f>HLOOKUP(AF$7,$I$66:$DJ$120,ROWS($A$10:$A58)+2,FALSE)</f>
        <v>3470</v>
      </c>
      <c r="AG58" s="25">
        <f>HLOOKUP(AG$7,$I$66:$DJ$120,ROWS($A$10:$A58)+2,FALSE)</f>
        <v>2703</v>
      </c>
      <c r="AH58" s="25">
        <f>HLOOKUP(AH$7,$I$66:$DJ$120,ROWS($A$10:$A58)+2,FALSE)</f>
        <v>615</v>
      </c>
      <c r="AI58" s="25">
        <f>HLOOKUP(AI$7,$I$66:$DJ$120,ROWS($A$10:$A58)+2,FALSE)</f>
        <v>2802</v>
      </c>
      <c r="AJ58" s="25">
        <f>HLOOKUP(AJ$7,$I$66:$DJ$120,ROWS($A$10:$A58)+2,FALSE)</f>
        <v>2919</v>
      </c>
      <c r="AK58" s="25">
        <f>HLOOKUP(AK$7,$I$66:$DJ$120,ROWS($A$10:$A58)+2,FALSE)</f>
        <v>682</v>
      </c>
      <c r="AL58" s="25">
        <f>HLOOKUP(AL$7,$I$66:$DJ$120,ROWS($A$10:$A58)+2,FALSE)</f>
        <v>5671</v>
      </c>
      <c r="AM58" s="25">
        <f>HLOOKUP(AM$7,$I$66:$DJ$120,ROWS($A$10:$A58)+2,FALSE)</f>
        <v>309</v>
      </c>
      <c r="AN58" s="25">
        <f>HLOOKUP(AN$7,$I$66:$DJ$120,ROWS($A$10:$A58)+2,FALSE)</f>
        <v>2300</v>
      </c>
      <c r="AO58" s="25">
        <f>HLOOKUP(AO$7,$I$66:$DJ$120,ROWS($A$10:$A58)+2,FALSE)</f>
        <v>872</v>
      </c>
      <c r="AP58" s="25">
        <f>HLOOKUP(AP$7,$I$66:$DJ$120,ROWS($A$10:$A58)+2,FALSE)</f>
        <v>5562</v>
      </c>
      <c r="AQ58" s="25">
        <f>HLOOKUP(AQ$7,$I$66:$DJ$120,ROWS($A$10:$A58)+2,FALSE)</f>
        <v>4088</v>
      </c>
      <c r="AR58" s="25">
        <f>HLOOKUP(AR$7,$I$66:$DJ$120,ROWS($A$10:$A58)+2,FALSE)</f>
        <v>217</v>
      </c>
      <c r="AS58" s="25">
        <f>HLOOKUP(AS$7,$I$66:$DJ$120,ROWS($A$10:$A58)+2,FALSE)</f>
        <v>3192</v>
      </c>
      <c r="AT58" s="25">
        <f>HLOOKUP(AT$7,$I$66:$DJ$120,ROWS($A$10:$A58)+2,FALSE)</f>
        <v>1223</v>
      </c>
      <c r="AU58" s="25">
        <f>HLOOKUP(AU$7,$I$66:$DJ$120,ROWS($A$10:$A58)+2,FALSE)</f>
        <v>25525</v>
      </c>
      <c r="AV58" s="25">
        <f>HLOOKUP(AV$7,$I$66:$DJ$120,ROWS($A$10:$A58)+2,FALSE)</f>
        <v>3397</v>
      </c>
      <c r="AW58" s="25">
        <f>HLOOKUP(AW$7,$I$66:$DJ$120,ROWS($A$10:$A58)+2,FALSE)</f>
        <v>97</v>
      </c>
      <c r="AX58" s="25">
        <f>HLOOKUP(AX$7,$I$66:$DJ$120,ROWS($A$10:$A58)+2,FALSE)</f>
        <v>2727</v>
      </c>
      <c r="AY58" s="25">
        <f>HLOOKUP(AY$7,$I$66:$DJ$120,ROWS($A$10:$A58)+2,FALSE)</f>
        <v>94</v>
      </c>
      <c r="AZ58" s="25">
        <f>HLOOKUP(AZ$7,$I$66:$DJ$120,ROWS($A$10:$A58)+2,FALSE)</f>
        <v>3206</v>
      </c>
      <c r="BA58" s="25">
        <f>HLOOKUP(BA$7,$I$66:$DJ$120,ROWS($A$10:$A58)+2,FALSE)</f>
        <v>14196</v>
      </c>
      <c r="BB58" s="25">
        <f>HLOOKUP(BB$7,$I$66:$DJ$120,ROWS($A$10:$A58)+2,FALSE)</f>
        <v>5298</v>
      </c>
      <c r="BC58" s="25">
        <f>HLOOKUP(BC$7,$I$66:$DJ$120,ROWS($A$10:$A58)+2,FALSE)</f>
        <v>223</v>
      </c>
      <c r="BD58" s="25">
        <f>HLOOKUP(BD$7,$I$66:$DJ$120,ROWS($A$10:$A58)+2,FALSE)</f>
        <v>3839</v>
      </c>
      <c r="BE58" s="25" t="str">
        <f>HLOOKUP(BE$7,$I$66:$DJ$120,ROWS($A$10:$A58)+2,FALSE)</f>
        <v>N/A</v>
      </c>
      <c r="BF58" s="25">
        <f>HLOOKUP(BF$7,$I$66:$DJ$120,ROWS($A$10:$A58)+2,FALSE)</f>
        <v>215</v>
      </c>
      <c r="BG58" s="25">
        <f>HLOOKUP(BG$7,$I$66:$DJ$120,ROWS($A$10:$A58)+2,FALSE)</f>
        <v>1168</v>
      </c>
      <c r="BH58" s="25">
        <f>HLOOKUP(BH$7,$I$66:$DJ$120,ROWS($A$10:$A58)+2,FALSE)</f>
        <v>394</v>
      </c>
      <c r="BI58" s="25">
        <f>HLOOKUP(BI$7,$I$66:$DJ$120,ROWS($A$10:$A58)+2,FALSE)</f>
        <v>1025</v>
      </c>
      <c r="BJ58" s="34">
        <f>HLOOKUP(BJ$7+0.5,$I$66:$DJ$120,ROWS($A$10:$A58)+2,FALSE)</f>
        <v>12552</v>
      </c>
      <c r="BK58" s="34">
        <f>HLOOKUP(BK$7+0.5,$I$66:$DJ$120,ROWS($A$10:$A58)+2,FALSE)</f>
        <v>730</v>
      </c>
      <c r="BL58" s="34">
        <f>HLOOKUP(BL$7+0.5,$I$66:$DJ$120,ROWS($A$10:$A58)+2,FALSE)</f>
        <v>1682</v>
      </c>
      <c r="BM58" s="34">
        <f>HLOOKUP(BM$7+0.5,$I$66:$DJ$120,ROWS($A$10:$A58)+2,FALSE)</f>
        <v>2641</v>
      </c>
      <c r="BN58" s="34">
        <f>HLOOKUP(BN$7+0.5,$I$66:$DJ$120,ROWS($A$10:$A58)+2,FALSE)</f>
        <v>1121</v>
      </c>
      <c r="BO58" s="34">
        <f>HLOOKUP(BO$7+0.5,$I$66:$DJ$120,ROWS($A$10:$A58)+2,FALSE)</f>
        <v>5884</v>
      </c>
      <c r="BP58" s="34">
        <f>HLOOKUP(BP$7+0.5,$I$66:$DJ$120,ROWS($A$10:$A58)+2,FALSE)</f>
        <v>2150</v>
      </c>
      <c r="BQ58" s="34">
        <f>HLOOKUP(BQ$7+0.5,$I$66:$DJ$120,ROWS($A$10:$A58)+2,FALSE)</f>
        <v>1138</v>
      </c>
      <c r="BR58" s="34">
        <f>HLOOKUP(BR$7+0.5,$I$66:$DJ$120,ROWS($A$10:$A58)+2,FALSE)</f>
        <v>164</v>
      </c>
      <c r="BS58" s="34">
        <f>HLOOKUP(BS$7+0.5,$I$66:$DJ$120,ROWS($A$10:$A58)+2,FALSE)</f>
        <v>528</v>
      </c>
      <c r="BT58" s="34">
        <f>HLOOKUP(BT$7+0.5,$I$66:$DJ$120,ROWS($A$10:$A58)+2,FALSE)</f>
        <v>2417</v>
      </c>
      <c r="BU58" s="34">
        <f>HLOOKUP(BU$7+0.5,$I$66:$DJ$120,ROWS($A$10:$A58)+2,FALSE)</f>
        <v>2288</v>
      </c>
      <c r="BV58" s="34">
        <f>HLOOKUP(BV$7+0.5,$I$66:$DJ$120,ROWS($A$10:$A58)+2,FALSE)</f>
        <v>2393</v>
      </c>
      <c r="BW58" s="34">
        <f>HLOOKUP(BW$7+0.5,$I$66:$DJ$120,ROWS($A$10:$A58)+2,FALSE)</f>
        <v>2191</v>
      </c>
      <c r="BX58" s="34">
        <f>HLOOKUP(BX$7+0.5,$I$66:$DJ$120,ROWS($A$10:$A58)+2,FALSE)</f>
        <v>1727</v>
      </c>
      <c r="BY58" s="34">
        <f>HLOOKUP(BY$7+0.5,$I$66:$DJ$120,ROWS($A$10:$A58)+2,FALSE)</f>
        <v>521</v>
      </c>
      <c r="BZ58" s="34">
        <f>HLOOKUP(BZ$7+0.5,$I$66:$DJ$120,ROWS($A$10:$A58)+2,FALSE)</f>
        <v>845</v>
      </c>
      <c r="CA58" s="34">
        <f>HLOOKUP(CA$7+0.5,$I$66:$DJ$120,ROWS($A$10:$A58)+2,FALSE)</f>
        <v>1029</v>
      </c>
      <c r="CB58" s="34">
        <f>HLOOKUP(CB$7+0.5,$I$66:$DJ$120,ROWS($A$10:$A58)+2,FALSE)</f>
        <v>911</v>
      </c>
      <c r="CC58" s="34">
        <f>HLOOKUP(CC$7+0.5,$I$66:$DJ$120,ROWS($A$10:$A58)+2,FALSE)</f>
        <v>915</v>
      </c>
      <c r="CD58" s="34">
        <f>HLOOKUP(CD$7+0.5,$I$66:$DJ$120,ROWS($A$10:$A58)+2,FALSE)</f>
        <v>655</v>
      </c>
      <c r="CE58" s="34">
        <f>HLOOKUP(CE$7+0.5,$I$66:$DJ$120,ROWS($A$10:$A58)+2,FALSE)</f>
        <v>923</v>
      </c>
      <c r="CF58" s="34">
        <f>HLOOKUP(CF$7+0.5,$I$66:$DJ$120,ROWS($A$10:$A58)+2,FALSE)</f>
        <v>1011</v>
      </c>
      <c r="CG58" s="34">
        <f>HLOOKUP(CG$7+0.5,$I$66:$DJ$120,ROWS($A$10:$A58)+2,FALSE)</f>
        <v>1605</v>
      </c>
      <c r="CH58" s="34">
        <f>HLOOKUP(CH$7+0.5,$I$66:$DJ$120,ROWS($A$10:$A58)+2,FALSE)</f>
        <v>1971</v>
      </c>
      <c r="CI58" s="34">
        <f>HLOOKUP(CI$7+0.5,$I$66:$DJ$120,ROWS($A$10:$A58)+2,FALSE)</f>
        <v>444</v>
      </c>
      <c r="CJ58" s="34">
        <f>HLOOKUP(CJ$7+0.5,$I$66:$DJ$120,ROWS($A$10:$A58)+2,FALSE)</f>
        <v>1017</v>
      </c>
      <c r="CK58" s="34">
        <f>HLOOKUP(CK$7+0.5,$I$66:$DJ$120,ROWS($A$10:$A58)+2,FALSE)</f>
        <v>1013</v>
      </c>
      <c r="CL58" s="34">
        <f>HLOOKUP(CL$7+0.5,$I$66:$DJ$120,ROWS($A$10:$A58)+2,FALSE)</f>
        <v>456</v>
      </c>
      <c r="CM58" s="34">
        <f>HLOOKUP(CM$7+0.5,$I$66:$DJ$120,ROWS($A$10:$A58)+2,FALSE)</f>
        <v>2919</v>
      </c>
      <c r="CN58" s="34">
        <f>HLOOKUP(CN$7+0.5,$I$66:$DJ$120,ROWS($A$10:$A58)+2,FALSE)</f>
        <v>248</v>
      </c>
      <c r="CO58" s="34">
        <f>HLOOKUP(CO$7+0.5,$I$66:$DJ$120,ROWS($A$10:$A58)+2,FALSE)</f>
        <v>1441</v>
      </c>
      <c r="CP58" s="34">
        <f>HLOOKUP(CP$7+0.5,$I$66:$DJ$120,ROWS($A$10:$A58)+2,FALSE)</f>
        <v>527</v>
      </c>
      <c r="CQ58" s="34">
        <f>HLOOKUP(CQ$7+0.5,$I$66:$DJ$120,ROWS($A$10:$A58)+2,FALSE)</f>
        <v>1947</v>
      </c>
      <c r="CR58" s="34">
        <f>HLOOKUP(CR$7+0.5,$I$66:$DJ$120,ROWS($A$10:$A58)+2,FALSE)</f>
        <v>1854</v>
      </c>
      <c r="CS58" s="34">
        <f>HLOOKUP(CS$7+0.5,$I$66:$DJ$120,ROWS($A$10:$A58)+2,FALSE)</f>
        <v>200</v>
      </c>
      <c r="CT58" s="34">
        <f>HLOOKUP(CT$7+0.5,$I$66:$DJ$120,ROWS($A$10:$A58)+2,FALSE)</f>
        <v>1400</v>
      </c>
      <c r="CU58" s="34">
        <f>HLOOKUP(CU$7+0.5,$I$66:$DJ$120,ROWS($A$10:$A58)+2,FALSE)</f>
        <v>768</v>
      </c>
      <c r="CV58" s="34">
        <f>HLOOKUP(CV$7+0.5,$I$66:$DJ$120,ROWS($A$10:$A58)+2,FALSE)</f>
        <v>4052</v>
      </c>
      <c r="CW58" s="34">
        <f>HLOOKUP(CW$7+0.5,$I$66:$DJ$120,ROWS($A$10:$A58)+2,FALSE)</f>
        <v>1799</v>
      </c>
      <c r="CX58" s="34">
        <f>HLOOKUP(CX$7+0.5,$I$66:$DJ$120,ROWS($A$10:$A58)+2,FALSE)</f>
        <v>162</v>
      </c>
      <c r="CY58" s="34">
        <f>HLOOKUP(CY$7+0.5,$I$66:$DJ$120,ROWS($A$10:$A58)+2,FALSE)</f>
        <v>1542</v>
      </c>
      <c r="CZ58" s="34">
        <f>HLOOKUP(CZ$7+0.5,$I$66:$DJ$120,ROWS($A$10:$A58)+2,FALSE)</f>
        <v>155</v>
      </c>
      <c r="DA58" s="34">
        <f>HLOOKUP(DA$7+0.5,$I$66:$DJ$120,ROWS($A$10:$A58)+2,FALSE)</f>
        <v>1819</v>
      </c>
      <c r="DB58" s="34">
        <f>HLOOKUP(DB$7+0.5,$I$66:$DJ$120,ROWS($A$10:$A58)+2,FALSE)</f>
        <v>3417</v>
      </c>
      <c r="DC58" s="34">
        <f>HLOOKUP(DC$7+0.5,$I$66:$DJ$120,ROWS($A$10:$A58)+2,FALSE)</f>
        <v>1995</v>
      </c>
      <c r="DD58" s="34">
        <f>HLOOKUP(DD$7+0.5,$I$66:$DJ$120,ROWS($A$10:$A58)+2,FALSE)</f>
        <v>216</v>
      </c>
      <c r="DE58" s="34">
        <f>HLOOKUP(DE$7+0.5,$I$66:$DJ$120,ROWS($A$10:$A58)+2,FALSE)</f>
        <v>1320</v>
      </c>
      <c r="DF58" s="34" t="str">
        <f>HLOOKUP(DF$7+0.5,$I$66:$DJ$120,ROWS($A$10:$A58)+2,FALSE)</f>
        <v>N/A</v>
      </c>
      <c r="DG58" s="34">
        <f>HLOOKUP(DG$7+0.5,$I$66:$DJ$120,ROWS($A$10:$A58)+2,FALSE)</f>
        <v>271</v>
      </c>
      <c r="DH58" s="34">
        <f>HLOOKUP(DH$7+0.5,$I$66:$DJ$120,ROWS($A$10:$A58)+2,FALSE)</f>
        <v>638</v>
      </c>
      <c r="DI58" s="34">
        <f>HLOOKUP(DI$7+0.5,$I$66:$DJ$120,ROWS($A$10:$A58)+2,FALSE)</f>
        <v>495</v>
      </c>
      <c r="DJ58" s="34">
        <f>HLOOKUP(DJ$7+0.5,$I$66:$DJ$120,ROWS($A$10:$A58)+2,FALSE)</f>
        <v>878</v>
      </c>
    </row>
    <row r="59" spans="2:114" x14ac:dyDescent="0.25">
      <c r="B59" s="38" t="s">
        <v>55</v>
      </c>
      <c r="C59" s="15">
        <v>1837518</v>
      </c>
      <c r="D59" s="14">
        <v>2090</v>
      </c>
      <c r="E59" s="15">
        <v>1613322</v>
      </c>
      <c r="F59" s="14">
        <v>11785</v>
      </c>
      <c r="G59" s="15">
        <v>174112</v>
      </c>
      <c r="H59" s="14">
        <v>11396</v>
      </c>
      <c r="I59" s="36">
        <f>HLOOKUP(I$7,$I$66:$DJ$120,ROWS($A$10:$A59)+2,FALSE)</f>
        <v>47125</v>
      </c>
      <c r="J59" s="25">
        <f>HLOOKUP(J$7,$I$66:$DJ$120,ROWS($A$10:$A59)+2,FALSE)</f>
        <v>477</v>
      </c>
      <c r="K59" s="25">
        <f>HLOOKUP(K$7,$I$66:$DJ$120,ROWS($A$10:$A59)+2,FALSE)</f>
        <v>306</v>
      </c>
      <c r="L59" s="25">
        <f>HLOOKUP(L$7,$I$66:$DJ$120,ROWS($A$10:$A59)+2,FALSE)</f>
        <v>79</v>
      </c>
      <c r="M59" s="25">
        <f>HLOOKUP(M$7,$I$66:$DJ$120,ROWS($A$10:$A59)+2,FALSE)</f>
        <v>0</v>
      </c>
      <c r="N59" s="25">
        <f>HLOOKUP(N$7,$I$66:$DJ$120,ROWS($A$10:$A59)+2,FALSE)</f>
        <v>1231</v>
      </c>
      <c r="O59" s="25">
        <f>HLOOKUP(O$7,$I$66:$DJ$120,ROWS($A$10:$A59)+2,FALSE)</f>
        <v>104</v>
      </c>
      <c r="P59" s="25">
        <f>HLOOKUP(P$7,$I$66:$DJ$120,ROWS($A$10:$A59)+2,FALSE)</f>
        <v>143</v>
      </c>
      <c r="Q59" s="25">
        <f>HLOOKUP(Q$7,$I$66:$DJ$120,ROWS($A$10:$A59)+2,FALSE)</f>
        <v>674</v>
      </c>
      <c r="R59" s="25">
        <f>HLOOKUP(R$7,$I$66:$DJ$120,ROWS($A$10:$A59)+2,FALSE)</f>
        <v>294</v>
      </c>
      <c r="S59" s="25">
        <f>HLOOKUP(S$7,$I$66:$DJ$120,ROWS($A$10:$A59)+2,FALSE)</f>
        <v>1919</v>
      </c>
      <c r="T59" s="25">
        <f>HLOOKUP(T$7,$I$66:$DJ$120,ROWS($A$10:$A59)+2,FALSE)</f>
        <v>1108</v>
      </c>
      <c r="U59" s="25">
        <f>HLOOKUP(U$7,$I$66:$DJ$120,ROWS($A$10:$A59)+2,FALSE)</f>
        <v>166</v>
      </c>
      <c r="V59" s="25">
        <f>HLOOKUP(V$7,$I$66:$DJ$120,ROWS($A$10:$A59)+2,FALSE)</f>
        <v>181</v>
      </c>
      <c r="W59" s="25">
        <f>HLOOKUP(W$7,$I$66:$DJ$120,ROWS($A$10:$A59)+2,FALSE)</f>
        <v>220</v>
      </c>
      <c r="X59" s="25">
        <f>HLOOKUP(X$7,$I$66:$DJ$120,ROWS($A$10:$A59)+2,FALSE)</f>
        <v>328</v>
      </c>
      <c r="Y59" s="25">
        <f>HLOOKUP(Y$7,$I$66:$DJ$120,ROWS($A$10:$A59)+2,FALSE)</f>
        <v>68</v>
      </c>
      <c r="Z59" s="25">
        <f>HLOOKUP(Z$7,$I$66:$DJ$120,ROWS($A$10:$A59)+2,FALSE)</f>
        <v>39</v>
      </c>
      <c r="AA59" s="25">
        <f>HLOOKUP(AA$7,$I$66:$DJ$120,ROWS($A$10:$A59)+2,FALSE)</f>
        <v>2249</v>
      </c>
      <c r="AB59" s="25">
        <f>HLOOKUP(AB$7,$I$66:$DJ$120,ROWS($A$10:$A59)+2,FALSE)</f>
        <v>90</v>
      </c>
      <c r="AC59" s="25">
        <f>HLOOKUP(AC$7,$I$66:$DJ$120,ROWS($A$10:$A59)+2,FALSE)</f>
        <v>35</v>
      </c>
      <c r="AD59" s="25">
        <f>HLOOKUP(AD$7,$I$66:$DJ$120,ROWS($A$10:$A59)+2,FALSE)</f>
        <v>5352</v>
      </c>
      <c r="AE59" s="25">
        <f>HLOOKUP(AE$7,$I$66:$DJ$120,ROWS($A$10:$A59)+2,FALSE)</f>
        <v>164</v>
      </c>
      <c r="AF59" s="25">
        <f>HLOOKUP(AF$7,$I$66:$DJ$120,ROWS($A$10:$A59)+2,FALSE)</f>
        <v>778</v>
      </c>
      <c r="AG59" s="25">
        <f>HLOOKUP(AG$7,$I$66:$DJ$120,ROWS($A$10:$A59)+2,FALSE)</f>
        <v>20</v>
      </c>
      <c r="AH59" s="25">
        <f>HLOOKUP(AH$7,$I$66:$DJ$120,ROWS($A$10:$A59)+2,FALSE)</f>
        <v>0</v>
      </c>
      <c r="AI59" s="25">
        <f>HLOOKUP(AI$7,$I$66:$DJ$120,ROWS($A$10:$A59)+2,FALSE)</f>
        <v>59</v>
      </c>
      <c r="AJ59" s="25">
        <f>HLOOKUP(AJ$7,$I$66:$DJ$120,ROWS($A$10:$A59)+2,FALSE)</f>
        <v>0</v>
      </c>
      <c r="AK59" s="25">
        <f>HLOOKUP(AK$7,$I$66:$DJ$120,ROWS($A$10:$A59)+2,FALSE)</f>
        <v>0</v>
      </c>
      <c r="AL59" s="25">
        <f>HLOOKUP(AL$7,$I$66:$DJ$120,ROWS($A$10:$A59)+2,FALSE)</f>
        <v>229</v>
      </c>
      <c r="AM59" s="25">
        <f>HLOOKUP(AM$7,$I$66:$DJ$120,ROWS($A$10:$A59)+2,FALSE)</f>
        <v>129</v>
      </c>
      <c r="AN59" s="25">
        <f>HLOOKUP(AN$7,$I$66:$DJ$120,ROWS($A$10:$A59)+2,FALSE)</f>
        <v>1213</v>
      </c>
      <c r="AO59" s="25">
        <f>HLOOKUP(AO$7,$I$66:$DJ$120,ROWS($A$10:$A59)+2,FALSE)</f>
        <v>81</v>
      </c>
      <c r="AP59" s="25">
        <f>HLOOKUP(AP$7,$I$66:$DJ$120,ROWS($A$10:$A59)+2,FALSE)</f>
        <v>1721</v>
      </c>
      <c r="AQ59" s="25">
        <f>HLOOKUP(AQ$7,$I$66:$DJ$120,ROWS($A$10:$A59)+2,FALSE)</f>
        <v>4683</v>
      </c>
      <c r="AR59" s="25">
        <f>HLOOKUP(AR$7,$I$66:$DJ$120,ROWS($A$10:$A59)+2,FALSE)</f>
        <v>175</v>
      </c>
      <c r="AS59" s="25">
        <f>HLOOKUP(AS$7,$I$66:$DJ$120,ROWS($A$10:$A59)+2,FALSE)</f>
        <v>6757</v>
      </c>
      <c r="AT59" s="25">
        <f>HLOOKUP(AT$7,$I$66:$DJ$120,ROWS($A$10:$A59)+2,FALSE)</f>
        <v>520</v>
      </c>
      <c r="AU59" s="25">
        <f>HLOOKUP(AU$7,$I$66:$DJ$120,ROWS($A$10:$A59)+2,FALSE)</f>
        <v>118</v>
      </c>
      <c r="AV59" s="25">
        <f>HLOOKUP(AV$7,$I$66:$DJ$120,ROWS($A$10:$A59)+2,FALSE)</f>
        <v>5208</v>
      </c>
      <c r="AW59" s="25">
        <f>HLOOKUP(AW$7,$I$66:$DJ$120,ROWS($A$10:$A59)+2,FALSE)</f>
        <v>0</v>
      </c>
      <c r="AX59" s="25">
        <f>HLOOKUP(AX$7,$I$66:$DJ$120,ROWS($A$10:$A59)+2,FALSE)</f>
        <v>1098</v>
      </c>
      <c r="AY59" s="25">
        <f>HLOOKUP(AY$7,$I$66:$DJ$120,ROWS($A$10:$A59)+2,FALSE)</f>
        <v>36</v>
      </c>
      <c r="AZ59" s="25">
        <f>HLOOKUP(AZ$7,$I$66:$DJ$120,ROWS($A$10:$A59)+2,FALSE)</f>
        <v>1061</v>
      </c>
      <c r="BA59" s="25">
        <f>HLOOKUP(BA$7,$I$66:$DJ$120,ROWS($A$10:$A59)+2,FALSE)</f>
        <v>622</v>
      </c>
      <c r="BB59" s="25">
        <f>HLOOKUP(BB$7,$I$66:$DJ$120,ROWS($A$10:$A59)+2,FALSE)</f>
        <v>0</v>
      </c>
      <c r="BC59" s="25">
        <f>HLOOKUP(BC$7,$I$66:$DJ$120,ROWS($A$10:$A59)+2,FALSE)</f>
        <v>54</v>
      </c>
      <c r="BD59" s="25">
        <f>HLOOKUP(BD$7,$I$66:$DJ$120,ROWS($A$10:$A59)+2,FALSE)</f>
        <v>6317</v>
      </c>
      <c r="BE59" s="25">
        <f>HLOOKUP(BE$7,$I$66:$DJ$120,ROWS($A$10:$A59)+2,FALSE)</f>
        <v>297</v>
      </c>
      <c r="BF59" s="25" t="str">
        <f>HLOOKUP(BF$7,$I$66:$DJ$120,ROWS($A$10:$A59)+2,FALSE)</f>
        <v>N/A</v>
      </c>
      <c r="BG59" s="25">
        <f>HLOOKUP(BG$7,$I$66:$DJ$120,ROWS($A$10:$A59)+2,FALSE)</f>
        <v>470</v>
      </c>
      <c r="BH59" s="25">
        <f>HLOOKUP(BH$7,$I$66:$DJ$120,ROWS($A$10:$A59)+2,FALSE)</f>
        <v>252</v>
      </c>
      <c r="BI59" s="25">
        <f>HLOOKUP(BI$7,$I$66:$DJ$120,ROWS($A$10:$A59)+2,FALSE)</f>
        <v>79</v>
      </c>
      <c r="BJ59" s="34">
        <f>HLOOKUP(BJ$7+0.5,$I$66:$DJ$120,ROWS($A$10:$A59)+2,FALSE)</f>
        <v>4317</v>
      </c>
      <c r="BK59" s="34">
        <f>HLOOKUP(BK$7+0.5,$I$66:$DJ$120,ROWS($A$10:$A59)+2,FALSE)</f>
        <v>339</v>
      </c>
      <c r="BL59" s="34">
        <f>HLOOKUP(BL$7+0.5,$I$66:$DJ$120,ROWS($A$10:$A59)+2,FALSE)</f>
        <v>455</v>
      </c>
      <c r="BM59" s="34">
        <f>HLOOKUP(BM$7+0.5,$I$66:$DJ$120,ROWS($A$10:$A59)+2,FALSE)</f>
        <v>129</v>
      </c>
      <c r="BN59" s="34">
        <f>HLOOKUP(BN$7+0.5,$I$66:$DJ$120,ROWS($A$10:$A59)+2,FALSE)</f>
        <v>182</v>
      </c>
      <c r="BO59" s="34">
        <f>HLOOKUP(BO$7+0.5,$I$66:$DJ$120,ROWS($A$10:$A59)+2,FALSE)</f>
        <v>516</v>
      </c>
      <c r="BP59" s="34">
        <f>HLOOKUP(BP$7+0.5,$I$66:$DJ$120,ROWS($A$10:$A59)+2,FALSE)</f>
        <v>114</v>
      </c>
      <c r="BQ59" s="34">
        <f>HLOOKUP(BQ$7+0.5,$I$66:$DJ$120,ROWS($A$10:$A59)+2,FALSE)</f>
        <v>177</v>
      </c>
      <c r="BR59" s="34">
        <f>HLOOKUP(BR$7+0.5,$I$66:$DJ$120,ROWS($A$10:$A59)+2,FALSE)</f>
        <v>525</v>
      </c>
      <c r="BS59" s="34">
        <f>HLOOKUP(BS$7+0.5,$I$66:$DJ$120,ROWS($A$10:$A59)+2,FALSE)</f>
        <v>194</v>
      </c>
      <c r="BT59" s="34">
        <f>HLOOKUP(BT$7+0.5,$I$66:$DJ$120,ROWS($A$10:$A59)+2,FALSE)</f>
        <v>666</v>
      </c>
      <c r="BU59" s="34">
        <f>HLOOKUP(BU$7+0.5,$I$66:$DJ$120,ROWS($A$10:$A59)+2,FALSE)</f>
        <v>483</v>
      </c>
      <c r="BV59" s="34">
        <f>HLOOKUP(BV$7+0.5,$I$66:$DJ$120,ROWS($A$10:$A59)+2,FALSE)</f>
        <v>277</v>
      </c>
      <c r="BW59" s="34">
        <f>HLOOKUP(BW$7+0.5,$I$66:$DJ$120,ROWS($A$10:$A59)+2,FALSE)</f>
        <v>250</v>
      </c>
      <c r="BX59" s="34">
        <f>HLOOKUP(BX$7+0.5,$I$66:$DJ$120,ROWS($A$10:$A59)+2,FALSE)</f>
        <v>190</v>
      </c>
      <c r="BY59" s="34">
        <f>HLOOKUP(BY$7+0.5,$I$66:$DJ$120,ROWS($A$10:$A59)+2,FALSE)</f>
        <v>406</v>
      </c>
      <c r="BZ59" s="34">
        <f>HLOOKUP(BZ$7+0.5,$I$66:$DJ$120,ROWS($A$10:$A59)+2,FALSE)</f>
        <v>111</v>
      </c>
      <c r="CA59" s="34">
        <f>HLOOKUP(CA$7+0.5,$I$66:$DJ$120,ROWS($A$10:$A59)+2,FALSE)</f>
        <v>64</v>
      </c>
      <c r="CB59" s="34">
        <f>HLOOKUP(CB$7+0.5,$I$66:$DJ$120,ROWS($A$10:$A59)+2,FALSE)</f>
        <v>1019</v>
      </c>
      <c r="CC59" s="34">
        <f>HLOOKUP(CC$7+0.5,$I$66:$DJ$120,ROWS($A$10:$A59)+2,FALSE)</f>
        <v>88</v>
      </c>
      <c r="CD59" s="34">
        <f>HLOOKUP(CD$7+0.5,$I$66:$DJ$120,ROWS($A$10:$A59)+2,FALSE)</f>
        <v>74</v>
      </c>
      <c r="CE59" s="34">
        <f>HLOOKUP(CE$7+0.5,$I$66:$DJ$120,ROWS($A$10:$A59)+2,FALSE)</f>
        <v>1897</v>
      </c>
      <c r="CF59" s="34">
        <f>HLOOKUP(CF$7+0.5,$I$66:$DJ$120,ROWS($A$10:$A59)+2,FALSE)</f>
        <v>191</v>
      </c>
      <c r="CG59" s="34">
        <f>HLOOKUP(CG$7+0.5,$I$66:$DJ$120,ROWS($A$10:$A59)+2,FALSE)</f>
        <v>581</v>
      </c>
      <c r="CH59" s="34">
        <f>HLOOKUP(CH$7+0.5,$I$66:$DJ$120,ROWS($A$10:$A59)+2,FALSE)</f>
        <v>37</v>
      </c>
      <c r="CI59" s="34">
        <f>HLOOKUP(CI$7+0.5,$I$66:$DJ$120,ROWS($A$10:$A59)+2,FALSE)</f>
        <v>182</v>
      </c>
      <c r="CJ59" s="34">
        <f>HLOOKUP(CJ$7+0.5,$I$66:$DJ$120,ROWS($A$10:$A59)+2,FALSE)</f>
        <v>76</v>
      </c>
      <c r="CK59" s="34">
        <f>HLOOKUP(CK$7+0.5,$I$66:$DJ$120,ROWS($A$10:$A59)+2,FALSE)</f>
        <v>182</v>
      </c>
      <c r="CL59" s="34">
        <f>HLOOKUP(CL$7+0.5,$I$66:$DJ$120,ROWS($A$10:$A59)+2,FALSE)</f>
        <v>182</v>
      </c>
      <c r="CM59" s="34">
        <f>HLOOKUP(CM$7+0.5,$I$66:$DJ$120,ROWS($A$10:$A59)+2,FALSE)</f>
        <v>268</v>
      </c>
      <c r="CN59" s="34">
        <f>HLOOKUP(CN$7+0.5,$I$66:$DJ$120,ROWS($A$10:$A59)+2,FALSE)</f>
        <v>147</v>
      </c>
      <c r="CO59" s="34">
        <f>HLOOKUP(CO$7+0.5,$I$66:$DJ$120,ROWS($A$10:$A59)+2,FALSE)</f>
        <v>679</v>
      </c>
      <c r="CP59" s="34">
        <f>HLOOKUP(CP$7+0.5,$I$66:$DJ$120,ROWS($A$10:$A59)+2,FALSE)</f>
        <v>90</v>
      </c>
      <c r="CQ59" s="34">
        <f>HLOOKUP(CQ$7+0.5,$I$66:$DJ$120,ROWS($A$10:$A59)+2,FALSE)</f>
        <v>965</v>
      </c>
      <c r="CR59" s="34">
        <f>HLOOKUP(CR$7+0.5,$I$66:$DJ$120,ROWS($A$10:$A59)+2,FALSE)</f>
        <v>1933</v>
      </c>
      <c r="CS59" s="34">
        <f>HLOOKUP(CS$7+0.5,$I$66:$DJ$120,ROWS($A$10:$A59)+2,FALSE)</f>
        <v>215</v>
      </c>
      <c r="CT59" s="34">
        <f>HLOOKUP(CT$7+0.5,$I$66:$DJ$120,ROWS($A$10:$A59)+2,FALSE)</f>
        <v>1474</v>
      </c>
      <c r="CU59" s="34">
        <f>HLOOKUP(CU$7+0.5,$I$66:$DJ$120,ROWS($A$10:$A59)+2,FALSE)</f>
        <v>447</v>
      </c>
      <c r="CV59" s="34">
        <f>HLOOKUP(CV$7+0.5,$I$66:$DJ$120,ROWS($A$10:$A59)+2,FALSE)</f>
        <v>207</v>
      </c>
      <c r="CW59" s="34">
        <f>HLOOKUP(CW$7+0.5,$I$66:$DJ$120,ROWS($A$10:$A59)+2,FALSE)</f>
        <v>1699</v>
      </c>
      <c r="CX59" s="34">
        <f>HLOOKUP(CX$7+0.5,$I$66:$DJ$120,ROWS($A$10:$A59)+2,FALSE)</f>
        <v>182</v>
      </c>
      <c r="CY59" s="34">
        <f>HLOOKUP(CY$7+0.5,$I$66:$DJ$120,ROWS($A$10:$A59)+2,FALSE)</f>
        <v>671</v>
      </c>
      <c r="CZ59" s="34">
        <f>HLOOKUP(CZ$7+0.5,$I$66:$DJ$120,ROWS($A$10:$A59)+2,FALSE)</f>
        <v>65</v>
      </c>
      <c r="DA59" s="34">
        <f>HLOOKUP(DA$7+0.5,$I$66:$DJ$120,ROWS($A$10:$A59)+2,FALSE)</f>
        <v>513</v>
      </c>
      <c r="DB59" s="34">
        <f>HLOOKUP(DB$7+0.5,$I$66:$DJ$120,ROWS($A$10:$A59)+2,FALSE)</f>
        <v>415</v>
      </c>
      <c r="DC59" s="34">
        <f>HLOOKUP(DC$7+0.5,$I$66:$DJ$120,ROWS($A$10:$A59)+2,FALSE)</f>
        <v>182</v>
      </c>
      <c r="DD59" s="34">
        <f>HLOOKUP(DD$7+0.5,$I$66:$DJ$120,ROWS($A$10:$A59)+2,FALSE)</f>
        <v>89</v>
      </c>
      <c r="DE59" s="34">
        <f>HLOOKUP(DE$7+0.5,$I$66:$DJ$120,ROWS($A$10:$A59)+2,FALSE)</f>
        <v>1774</v>
      </c>
      <c r="DF59" s="34">
        <f>HLOOKUP(DF$7+0.5,$I$66:$DJ$120,ROWS($A$10:$A59)+2,FALSE)</f>
        <v>285</v>
      </c>
      <c r="DG59" s="34" t="str">
        <f>HLOOKUP(DG$7+0.5,$I$66:$DJ$120,ROWS($A$10:$A59)+2,FALSE)</f>
        <v>N/A</v>
      </c>
      <c r="DH59" s="34">
        <f>HLOOKUP(DH$7+0.5,$I$66:$DJ$120,ROWS($A$10:$A59)+2,FALSE)</f>
        <v>555</v>
      </c>
      <c r="DI59" s="34">
        <f>HLOOKUP(DI$7+0.5,$I$66:$DJ$120,ROWS($A$10:$A59)+2,FALSE)</f>
        <v>395</v>
      </c>
      <c r="DJ59" s="34">
        <f>HLOOKUP(DJ$7+0.5,$I$66:$DJ$120,ROWS($A$10:$A59)+2,FALSE)</f>
        <v>123</v>
      </c>
    </row>
    <row r="60" spans="2:114" x14ac:dyDescent="0.25">
      <c r="B60" s="38" t="s">
        <v>56</v>
      </c>
      <c r="C60" s="15">
        <v>5660677</v>
      </c>
      <c r="D60" s="14">
        <v>3351</v>
      </c>
      <c r="E60" s="15">
        <v>4849945</v>
      </c>
      <c r="F60" s="14">
        <v>15530</v>
      </c>
      <c r="G60" s="15">
        <v>693737</v>
      </c>
      <c r="H60" s="14">
        <v>15440</v>
      </c>
      <c r="I60" s="36">
        <f>HLOOKUP(I$7,$I$66:$DJ$120,ROWS($A$10:$A60)+2,FALSE)</f>
        <v>99192</v>
      </c>
      <c r="J60" s="25">
        <f>HLOOKUP(J$7,$I$66:$DJ$120,ROWS($A$10:$A60)+2,FALSE)</f>
        <v>323</v>
      </c>
      <c r="K60" s="25">
        <f>HLOOKUP(K$7,$I$66:$DJ$120,ROWS($A$10:$A60)+2,FALSE)</f>
        <v>236</v>
      </c>
      <c r="L60" s="25">
        <f>HLOOKUP(L$7,$I$66:$DJ$120,ROWS($A$10:$A60)+2,FALSE)</f>
        <v>3257</v>
      </c>
      <c r="M60" s="25">
        <f>HLOOKUP(M$7,$I$66:$DJ$120,ROWS($A$10:$A60)+2,FALSE)</f>
        <v>253</v>
      </c>
      <c r="N60" s="25">
        <f>HLOOKUP(N$7,$I$66:$DJ$120,ROWS($A$10:$A60)+2,FALSE)</f>
        <v>5347</v>
      </c>
      <c r="O60" s="25">
        <f>HLOOKUP(O$7,$I$66:$DJ$120,ROWS($A$10:$A60)+2,FALSE)</f>
        <v>1600</v>
      </c>
      <c r="P60" s="25">
        <f>HLOOKUP(P$7,$I$66:$DJ$120,ROWS($A$10:$A60)+2,FALSE)</f>
        <v>657</v>
      </c>
      <c r="Q60" s="25">
        <f>HLOOKUP(Q$7,$I$66:$DJ$120,ROWS($A$10:$A60)+2,FALSE)</f>
        <v>296</v>
      </c>
      <c r="R60" s="25">
        <f>HLOOKUP(R$7,$I$66:$DJ$120,ROWS($A$10:$A60)+2,FALSE)</f>
        <v>15</v>
      </c>
      <c r="S60" s="25">
        <f>HLOOKUP(S$7,$I$66:$DJ$120,ROWS($A$10:$A60)+2,FALSE)</f>
        <v>4937</v>
      </c>
      <c r="T60" s="25">
        <f>HLOOKUP(T$7,$I$66:$DJ$120,ROWS($A$10:$A60)+2,FALSE)</f>
        <v>970</v>
      </c>
      <c r="U60" s="25">
        <f>HLOOKUP(U$7,$I$66:$DJ$120,ROWS($A$10:$A60)+2,FALSE)</f>
        <v>333</v>
      </c>
      <c r="V60" s="25">
        <f>HLOOKUP(V$7,$I$66:$DJ$120,ROWS($A$10:$A60)+2,FALSE)</f>
        <v>360</v>
      </c>
      <c r="W60" s="25">
        <f>HLOOKUP(W$7,$I$66:$DJ$120,ROWS($A$10:$A60)+2,FALSE)</f>
        <v>22285</v>
      </c>
      <c r="X60" s="25">
        <f>HLOOKUP(X$7,$I$66:$DJ$120,ROWS($A$10:$A60)+2,FALSE)</f>
        <v>2480</v>
      </c>
      <c r="Y60" s="25">
        <f>HLOOKUP(Y$7,$I$66:$DJ$120,ROWS($A$10:$A60)+2,FALSE)</f>
        <v>4161</v>
      </c>
      <c r="Z60" s="25">
        <f>HLOOKUP(Z$7,$I$66:$DJ$120,ROWS($A$10:$A60)+2,FALSE)</f>
        <v>1160</v>
      </c>
      <c r="AA60" s="25">
        <f>HLOOKUP(AA$7,$I$66:$DJ$120,ROWS($A$10:$A60)+2,FALSE)</f>
        <v>635</v>
      </c>
      <c r="AB60" s="25">
        <f>HLOOKUP(AB$7,$I$66:$DJ$120,ROWS($A$10:$A60)+2,FALSE)</f>
        <v>598</v>
      </c>
      <c r="AC60" s="25">
        <f>HLOOKUP(AC$7,$I$66:$DJ$120,ROWS($A$10:$A60)+2,FALSE)</f>
        <v>233</v>
      </c>
      <c r="AD60" s="25">
        <f>HLOOKUP(AD$7,$I$66:$DJ$120,ROWS($A$10:$A60)+2,FALSE)</f>
        <v>1306</v>
      </c>
      <c r="AE60" s="25">
        <f>HLOOKUP(AE$7,$I$66:$DJ$120,ROWS($A$10:$A60)+2,FALSE)</f>
        <v>489</v>
      </c>
      <c r="AF60" s="25">
        <f>HLOOKUP(AF$7,$I$66:$DJ$120,ROWS($A$10:$A60)+2,FALSE)</f>
        <v>3917</v>
      </c>
      <c r="AG60" s="25">
        <f>HLOOKUP(AG$7,$I$66:$DJ$120,ROWS($A$10:$A60)+2,FALSE)</f>
        <v>18965</v>
      </c>
      <c r="AH60" s="25">
        <f>HLOOKUP(AH$7,$I$66:$DJ$120,ROWS($A$10:$A60)+2,FALSE)</f>
        <v>238</v>
      </c>
      <c r="AI60" s="25">
        <f>HLOOKUP(AI$7,$I$66:$DJ$120,ROWS($A$10:$A60)+2,FALSE)</f>
        <v>1263</v>
      </c>
      <c r="AJ60" s="25">
        <f>HLOOKUP(AJ$7,$I$66:$DJ$120,ROWS($A$10:$A60)+2,FALSE)</f>
        <v>784</v>
      </c>
      <c r="AK60" s="25">
        <f>HLOOKUP(AK$7,$I$66:$DJ$120,ROWS($A$10:$A60)+2,FALSE)</f>
        <v>324</v>
      </c>
      <c r="AL60" s="25">
        <f>HLOOKUP(AL$7,$I$66:$DJ$120,ROWS($A$10:$A60)+2,FALSE)</f>
        <v>1163</v>
      </c>
      <c r="AM60" s="25">
        <f>HLOOKUP(AM$7,$I$66:$DJ$120,ROWS($A$10:$A60)+2,FALSE)</f>
        <v>3</v>
      </c>
      <c r="AN60" s="25">
        <f>HLOOKUP(AN$7,$I$66:$DJ$120,ROWS($A$10:$A60)+2,FALSE)</f>
        <v>606</v>
      </c>
      <c r="AO60" s="25">
        <f>HLOOKUP(AO$7,$I$66:$DJ$120,ROWS($A$10:$A60)+2,FALSE)</f>
        <v>526</v>
      </c>
      <c r="AP60" s="25">
        <f>HLOOKUP(AP$7,$I$66:$DJ$120,ROWS($A$10:$A60)+2,FALSE)</f>
        <v>2033</v>
      </c>
      <c r="AQ60" s="25">
        <f>HLOOKUP(AQ$7,$I$66:$DJ$120,ROWS($A$10:$A60)+2,FALSE)</f>
        <v>2939</v>
      </c>
      <c r="AR60" s="25">
        <f>HLOOKUP(AR$7,$I$66:$DJ$120,ROWS($A$10:$A60)+2,FALSE)</f>
        <v>284</v>
      </c>
      <c r="AS60" s="25">
        <f>HLOOKUP(AS$7,$I$66:$DJ$120,ROWS($A$10:$A60)+2,FALSE)</f>
        <v>2610</v>
      </c>
      <c r="AT60" s="25">
        <f>HLOOKUP(AT$7,$I$66:$DJ$120,ROWS($A$10:$A60)+2,FALSE)</f>
        <v>289</v>
      </c>
      <c r="AU60" s="25">
        <f>HLOOKUP(AU$7,$I$66:$DJ$120,ROWS($A$10:$A60)+2,FALSE)</f>
        <v>945</v>
      </c>
      <c r="AV60" s="25">
        <f>HLOOKUP(AV$7,$I$66:$DJ$120,ROWS($A$10:$A60)+2,FALSE)</f>
        <v>1563</v>
      </c>
      <c r="AW60" s="25">
        <f>HLOOKUP(AW$7,$I$66:$DJ$120,ROWS($A$10:$A60)+2,FALSE)</f>
        <v>144</v>
      </c>
      <c r="AX60" s="25">
        <f>HLOOKUP(AX$7,$I$66:$DJ$120,ROWS($A$10:$A60)+2,FALSE)</f>
        <v>1053</v>
      </c>
      <c r="AY60" s="25">
        <f>HLOOKUP(AY$7,$I$66:$DJ$120,ROWS($A$10:$A60)+2,FALSE)</f>
        <v>329</v>
      </c>
      <c r="AZ60" s="25">
        <f>HLOOKUP(AZ$7,$I$66:$DJ$120,ROWS($A$10:$A60)+2,FALSE)</f>
        <v>1051</v>
      </c>
      <c r="BA60" s="25">
        <f>HLOOKUP(BA$7,$I$66:$DJ$120,ROWS($A$10:$A60)+2,FALSE)</f>
        <v>2765</v>
      </c>
      <c r="BB60" s="25">
        <f>HLOOKUP(BB$7,$I$66:$DJ$120,ROWS($A$10:$A60)+2,FALSE)</f>
        <v>900</v>
      </c>
      <c r="BC60" s="25">
        <f>HLOOKUP(BC$7,$I$66:$DJ$120,ROWS($A$10:$A60)+2,FALSE)</f>
        <v>62</v>
      </c>
      <c r="BD60" s="25">
        <f>HLOOKUP(BD$7,$I$66:$DJ$120,ROWS($A$10:$A60)+2,FALSE)</f>
        <v>1267</v>
      </c>
      <c r="BE60" s="25">
        <f>HLOOKUP(BE$7,$I$66:$DJ$120,ROWS($A$10:$A60)+2,FALSE)</f>
        <v>1208</v>
      </c>
      <c r="BF60" s="25">
        <f>HLOOKUP(BF$7,$I$66:$DJ$120,ROWS($A$10:$A60)+2,FALSE)</f>
        <v>0</v>
      </c>
      <c r="BG60" s="25" t="str">
        <f>HLOOKUP(BG$7,$I$66:$DJ$120,ROWS($A$10:$A60)+2,FALSE)</f>
        <v>N/A</v>
      </c>
      <c r="BH60" s="25">
        <f>HLOOKUP(BH$7,$I$66:$DJ$120,ROWS($A$10:$A60)+2,FALSE)</f>
        <v>30</v>
      </c>
      <c r="BI60" s="25">
        <f>HLOOKUP(BI$7,$I$66:$DJ$120,ROWS($A$10:$A60)+2,FALSE)</f>
        <v>975</v>
      </c>
      <c r="BJ60" s="34">
        <f>HLOOKUP(BJ$7+0.5,$I$66:$DJ$120,ROWS($A$10:$A60)+2,FALSE)</f>
        <v>6959</v>
      </c>
      <c r="BK60" s="34">
        <f>HLOOKUP(BK$7+0.5,$I$66:$DJ$120,ROWS($A$10:$A60)+2,FALSE)</f>
        <v>262</v>
      </c>
      <c r="BL60" s="34">
        <f>HLOOKUP(BL$7+0.5,$I$66:$DJ$120,ROWS($A$10:$A60)+2,FALSE)</f>
        <v>193</v>
      </c>
      <c r="BM60" s="34">
        <f>HLOOKUP(BM$7+0.5,$I$66:$DJ$120,ROWS($A$10:$A60)+2,FALSE)</f>
        <v>1696</v>
      </c>
      <c r="BN60" s="34">
        <f>HLOOKUP(BN$7+0.5,$I$66:$DJ$120,ROWS($A$10:$A60)+2,FALSE)</f>
        <v>216</v>
      </c>
      <c r="BO60" s="34">
        <f>HLOOKUP(BO$7+0.5,$I$66:$DJ$120,ROWS($A$10:$A60)+2,FALSE)</f>
        <v>2126</v>
      </c>
      <c r="BP60" s="34">
        <f>HLOOKUP(BP$7+0.5,$I$66:$DJ$120,ROWS($A$10:$A60)+2,FALSE)</f>
        <v>604</v>
      </c>
      <c r="BQ60" s="34">
        <f>HLOOKUP(BQ$7+0.5,$I$66:$DJ$120,ROWS($A$10:$A60)+2,FALSE)</f>
        <v>432</v>
      </c>
      <c r="BR60" s="34">
        <f>HLOOKUP(BR$7+0.5,$I$66:$DJ$120,ROWS($A$10:$A60)+2,FALSE)</f>
        <v>475</v>
      </c>
      <c r="BS60" s="34">
        <f>HLOOKUP(BS$7+0.5,$I$66:$DJ$120,ROWS($A$10:$A60)+2,FALSE)</f>
        <v>25</v>
      </c>
      <c r="BT60" s="34">
        <f>HLOOKUP(BT$7+0.5,$I$66:$DJ$120,ROWS($A$10:$A60)+2,FALSE)</f>
        <v>1590</v>
      </c>
      <c r="BU60" s="34">
        <f>HLOOKUP(BU$7+0.5,$I$66:$DJ$120,ROWS($A$10:$A60)+2,FALSE)</f>
        <v>396</v>
      </c>
      <c r="BV60" s="34">
        <f>HLOOKUP(BV$7+0.5,$I$66:$DJ$120,ROWS($A$10:$A60)+2,FALSE)</f>
        <v>416</v>
      </c>
      <c r="BW60" s="34">
        <f>HLOOKUP(BW$7+0.5,$I$66:$DJ$120,ROWS($A$10:$A60)+2,FALSE)</f>
        <v>231</v>
      </c>
      <c r="BX60" s="34">
        <f>HLOOKUP(BX$7+0.5,$I$66:$DJ$120,ROWS($A$10:$A60)+2,FALSE)</f>
        <v>3020</v>
      </c>
      <c r="BY60" s="34">
        <f>HLOOKUP(BY$7+0.5,$I$66:$DJ$120,ROWS($A$10:$A60)+2,FALSE)</f>
        <v>1136</v>
      </c>
      <c r="BZ60" s="34">
        <f>HLOOKUP(BZ$7+0.5,$I$66:$DJ$120,ROWS($A$10:$A60)+2,FALSE)</f>
        <v>1283</v>
      </c>
      <c r="CA60" s="34">
        <f>HLOOKUP(CA$7+0.5,$I$66:$DJ$120,ROWS($A$10:$A60)+2,FALSE)</f>
        <v>1199</v>
      </c>
      <c r="CB60" s="34">
        <f>HLOOKUP(CB$7+0.5,$I$66:$DJ$120,ROWS($A$10:$A60)+2,FALSE)</f>
        <v>502</v>
      </c>
      <c r="CC60" s="34">
        <f>HLOOKUP(CC$7+0.5,$I$66:$DJ$120,ROWS($A$10:$A60)+2,FALSE)</f>
        <v>403</v>
      </c>
      <c r="CD60" s="34">
        <f>HLOOKUP(CD$7+0.5,$I$66:$DJ$120,ROWS($A$10:$A60)+2,FALSE)</f>
        <v>195</v>
      </c>
      <c r="CE60" s="34">
        <f>HLOOKUP(CE$7+0.5,$I$66:$DJ$120,ROWS($A$10:$A60)+2,FALSE)</f>
        <v>586</v>
      </c>
      <c r="CF60" s="34">
        <f>HLOOKUP(CF$7+0.5,$I$66:$DJ$120,ROWS($A$10:$A60)+2,FALSE)</f>
        <v>356</v>
      </c>
      <c r="CG60" s="34">
        <f>HLOOKUP(CG$7+0.5,$I$66:$DJ$120,ROWS($A$10:$A60)+2,FALSE)</f>
        <v>1160</v>
      </c>
      <c r="CH60" s="34">
        <f>HLOOKUP(CH$7+0.5,$I$66:$DJ$120,ROWS($A$10:$A60)+2,FALSE)</f>
        <v>2405</v>
      </c>
      <c r="CI60" s="34">
        <f>HLOOKUP(CI$7+0.5,$I$66:$DJ$120,ROWS($A$10:$A60)+2,FALSE)</f>
        <v>211</v>
      </c>
      <c r="CJ60" s="34">
        <f>HLOOKUP(CJ$7+0.5,$I$66:$DJ$120,ROWS($A$10:$A60)+2,FALSE)</f>
        <v>681</v>
      </c>
      <c r="CK60" s="34">
        <f>HLOOKUP(CK$7+0.5,$I$66:$DJ$120,ROWS($A$10:$A60)+2,FALSE)</f>
        <v>512</v>
      </c>
      <c r="CL60" s="34">
        <f>HLOOKUP(CL$7+0.5,$I$66:$DJ$120,ROWS($A$10:$A60)+2,FALSE)</f>
        <v>240</v>
      </c>
      <c r="CM60" s="34">
        <f>HLOOKUP(CM$7+0.5,$I$66:$DJ$120,ROWS($A$10:$A60)+2,FALSE)</f>
        <v>682</v>
      </c>
      <c r="CN60" s="34">
        <f>HLOOKUP(CN$7+0.5,$I$66:$DJ$120,ROWS($A$10:$A60)+2,FALSE)</f>
        <v>7</v>
      </c>
      <c r="CO60" s="34">
        <f>HLOOKUP(CO$7+0.5,$I$66:$DJ$120,ROWS($A$10:$A60)+2,FALSE)</f>
        <v>477</v>
      </c>
      <c r="CP60" s="34">
        <f>HLOOKUP(CP$7+0.5,$I$66:$DJ$120,ROWS($A$10:$A60)+2,FALSE)</f>
        <v>553</v>
      </c>
      <c r="CQ60" s="34">
        <f>HLOOKUP(CQ$7+0.5,$I$66:$DJ$120,ROWS($A$10:$A60)+2,FALSE)</f>
        <v>980</v>
      </c>
      <c r="CR60" s="34">
        <f>HLOOKUP(CR$7+0.5,$I$66:$DJ$120,ROWS($A$10:$A60)+2,FALSE)</f>
        <v>1454</v>
      </c>
      <c r="CS60" s="34">
        <f>HLOOKUP(CS$7+0.5,$I$66:$DJ$120,ROWS($A$10:$A60)+2,FALSE)</f>
        <v>318</v>
      </c>
      <c r="CT60" s="34">
        <f>HLOOKUP(CT$7+0.5,$I$66:$DJ$120,ROWS($A$10:$A60)+2,FALSE)</f>
        <v>1053</v>
      </c>
      <c r="CU60" s="34">
        <f>HLOOKUP(CU$7+0.5,$I$66:$DJ$120,ROWS($A$10:$A60)+2,FALSE)</f>
        <v>204</v>
      </c>
      <c r="CV60" s="34">
        <f>HLOOKUP(CV$7+0.5,$I$66:$DJ$120,ROWS($A$10:$A60)+2,FALSE)</f>
        <v>601</v>
      </c>
      <c r="CW60" s="34">
        <f>HLOOKUP(CW$7+0.5,$I$66:$DJ$120,ROWS($A$10:$A60)+2,FALSE)</f>
        <v>750</v>
      </c>
      <c r="CX60" s="34">
        <f>HLOOKUP(CX$7+0.5,$I$66:$DJ$120,ROWS($A$10:$A60)+2,FALSE)</f>
        <v>157</v>
      </c>
      <c r="CY60" s="34">
        <f>HLOOKUP(CY$7+0.5,$I$66:$DJ$120,ROWS($A$10:$A60)+2,FALSE)</f>
        <v>675</v>
      </c>
      <c r="CZ60" s="34">
        <f>HLOOKUP(CZ$7+0.5,$I$66:$DJ$120,ROWS($A$10:$A60)+2,FALSE)</f>
        <v>220</v>
      </c>
      <c r="DA60" s="34">
        <f>HLOOKUP(DA$7+0.5,$I$66:$DJ$120,ROWS($A$10:$A60)+2,FALSE)</f>
        <v>638</v>
      </c>
      <c r="DB60" s="34">
        <f>HLOOKUP(DB$7+0.5,$I$66:$DJ$120,ROWS($A$10:$A60)+2,FALSE)</f>
        <v>1112</v>
      </c>
      <c r="DC60" s="34">
        <f>HLOOKUP(DC$7+0.5,$I$66:$DJ$120,ROWS($A$10:$A60)+2,FALSE)</f>
        <v>1091</v>
      </c>
      <c r="DD60" s="34">
        <f>HLOOKUP(DD$7+0.5,$I$66:$DJ$120,ROWS($A$10:$A60)+2,FALSE)</f>
        <v>88</v>
      </c>
      <c r="DE60" s="34">
        <f>HLOOKUP(DE$7+0.5,$I$66:$DJ$120,ROWS($A$10:$A60)+2,FALSE)</f>
        <v>916</v>
      </c>
      <c r="DF60" s="34">
        <f>HLOOKUP(DF$7+0.5,$I$66:$DJ$120,ROWS($A$10:$A60)+2,FALSE)</f>
        <v>416</v>
      </c>
      <c r="DG60" s="34">
        <f>HLOOKUP(DG$7+0.5,$I$66:$DJ$120,ROWS($A$10:$A60)+2,FALSE)</f>
        <v>145</v>
      </c>
      <c r="DH60" s="34" t="str">
        <f>HLOOKUP(DH$7+0.5,$I$66:$DJ$120,ROWS($A$10:$A60)+2,FALSE)</f>
        <v>N/A</v>
      </c>
      <c r="DI60" s="34">
        <f>HLOOKUP(DI$7+0.5,$I$66:$DJ$120,ROWS($A$10:$A60)+2,FALSE)</f>
        <v>46</v>
      </c>
      <c r="DJ60" s="34">
        <f>HLOOKUP(DJ$7+0.5,$I$66:$DJ$120,ROWS($A$10:$A60)+2,FALSE)</f>
        <v>943</v>
      </c>
    </row>
    <row r="61" spans="2:114" x14ac:dyDescent="0.25">
      <c r="B61" s="38" t="s">
        <v>57</v>
      </c>
      <c r="C61" s="15">
        <v>569734</v>
      </c>
      <c r="D61" s="14">
        <v>1083</v>
      </c>
      <c r="E61" s="15">
        <v>459226</v>
      </c>
      <c r="F61" s="14">
        <v>7512</v>
      </c>
      <c r="G61" s="15">
        <v>77324</v>
      </c>
      <c r="H61" s="14">
        <v>6960</v>
      </c>
      <c r="I61" s="36">
        <f>HLOOKUP(I$7,$I$66:$DJ$120,ROWS($A$10:$A61)+2,FALSE)</f>
        <v>31149</v>
      </c>
      <c r="J61" s="25">
        <f>HLOOKUP(J$7,$I$66:$DJ$120,ROWS($A$10:$A61)+2,FALSE)</f>
        <v>260</v>
      </c>
      <c r="K61" s="25">
        <f>HLOOKUP(K$7,$I$66:$DJ$120,ROWS($A$10:$A61)+2,FALSE)</f>
        <v>590</v>
      </c>
      <c r="L61" s="25">
        <f>HLOOKUP(L$7,$I$66:$DJ$120,ROWS($A$10:$A61)+2,FALSE)</f>
        <v>2014</v>
      </c>
      <c r="M61" s="25">
        <f>HLOOKUP(M$7,$I$66:$DJ$120,ROWS($A$10:$A61)+2,FALSE)</f>
        <v>244</v>
      </c>
      <c r="N61" s="25">
        <f>HLOOKUP(N$7,$I$66:$DJ$120,ROWS($A$10:$A61)+2,FALSE)</f>
        <v>2035</v>
      </c>
      <c r="O61" s="25">
        <f>HLOOKUP(O$7,$I$66:$DJ$120,ROWS($A$10:$A61)+2,FALSE)</f>
        <v>5599</v>
      </c>
      <c r="P61" s="25">
        <f>HLOOKUP(P$7,$I$66:$DJ$120,ROWS($A$10:$A61)+2,FALSE)</f>
        <v>0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733</v>
      </c>
      <c r="T61" s="25">
        <f>HLOOKUP(T$7,$I$66:$DJ$120,ROWS($A$10:$A61)+2,FALSE)</f>
        <v>166</v>
      </c>
      <c r="U61" s="25">
        <f>HLOOKUP(U$7,$I$66:$DJ$120,ROWS($A$10:$A61)+2,FALSE)</f>
        <v>0</v>
      </c>
      <c r="V61" s="25">
        <f>HLOOKUP(V$7,$I$66:$DJ$120,ROWS($A$10:$A61)+2,FALSE)</f>
        <v>745</v>
      </c>
      <c r="W61" s="25">
        <f>HLOOKUP(W$7,$I$66:$DJ$120,ROWS($A$10:$A61)+2,FALSE)</f>
        <v>905</v>
      </c>
      <c r="X61" s="25">
        <f>HLOOKUP(X$7,$I$66:$DJ$120,ROWS($A$10:$A61)+2,FALSE)</f>
        <v>179</v>
      </c>
      <c r="Y61" s="25">
        <f>HLOOKUP(Y$7,$I$66:$DJ$120,ROWS($A$10:$A61)+2,FALSE)</f>
        <v>259</v>
      </c>
      <c r="Z61" s="25">
        <f>HLOOKUP(Z$7,$I$66:$DJ$120,ROWS($A$10:$A61)+2,FALSE)</f>
        <v>539</v>
      </c>
      <c r="AA61" s="25">
        <f>HLOOKUP(AA$7,$I$66:$DJ$120,ROWS($A$10:$A61)+2,FALSE)</f>
        <v>4</v>
      </c>
      <c r="AB61" s="25">
        <f>HLOOKUP(AB$7,$I$66:$DJ$120,ROWS($A$10:$A61)+2,FALSE)</f>
        <v>88</v>
      </c>
      <c r="AC61" s="25">
        <f>HLOOKUP(AC$7,$I$66:$DJ$120,ROWS($A$10:$A61)+2,FALSE)</f>
        <v>0</v>
      </c>
      <c r="AD61" s="25">
        <f>HLOOKUP(AD$7,$I$66:$DJ$120,ROWS($A$10:$A61)+2,FALSE)</f>
        <v>294</v>
      </c>
      <c r="AE61" s="25">
        <f>HLOOKUP(AE$7,$I$66:$DJ$120,ROWS($A$10:$A61)+2,FALSE)</f>
        <v>548</v>
      </c>
      <c r="AF61" s="25">
        <f>HLOOKUP(AF$7,$I$66:$DJ$120,ROWS($A$10:$A61)+2,FALSE)</f>
        <v>965</v>
      </c>
      <c r="AG61" s="25">
        <f>HLOOKUP(AG$7,$I$66:$DJ$120,ROWS($A$10:$A61)+2,FALSE)</f>
        <v>290</v>
      </c>
      <c r="AH61" s="25">
        <f>HLOOKUP(AH$7,$I$66:$DJ$120,ROWS($A$10:$A61)+2,FALSE)</f>
        <v>136</v>
      </c>
      <c r="AI61" s="25">
        <f>HLOOKUP(AI$7,$I$66:$DJ$120,ROWS($A$10:$A61)+2,FALSE)</f>
        <v>244</v>
      </c>
      <c r="AJ61" s="25">
        <f>HLOOKUP(AJ$7,$I$66:$DJ$120,ROWS($A$10:$A61)+2,FALSE)</f>
        <v>1901</v>
      </c>
      <c r="AK61" s="25">
        <f>HLOOKUP(AK$7,$I$66:$DJ$120,ROWS($A$10:$A61)+2,FALSE)</f>
        <v>1216</v>
      </c>
      <c r="AL61" s="25">
        <f>HLOOKUP(AL$7,$I$66:$DJ$120,ROWS($A$10:$A61)+2,FALSE)</f>
        <v>355</v>
      </c>
      <c r="AM61" s="25">
        <f>HLOOKUP(AM$7,$I$66:$DJ$120,ROWS($A$10:$A61)+2,FALSE)</f>
        <v>0</v>
      </c>
      <c r="AN61" s="25">
        <f>HLOOKUP(AN$7,$I$66:$DJ$120,ROWS($A$10:$A61)+2,FALSE)</f>
        <v>121</v>
      </c>
      <c r="AO61" s="25">
        <f>HLOOKUP(AO$7,$I$66:$DJ$120,ROWS($A$10:$A61)+2,FALSE)</f>
        <v>604</v>
      </c>
      <c r="AP61" s="25">
        <f>HLOOKUP(AP$7,$I$66:$DJ$120,ROWS($A$10:$A61)+2,FALSE)</f>
        <v>231</v>
      </c>
      <c r="AQ61" s="25">
        <f>HLOOKUP(AQ$7,$I$66:$DJ$120,ROWS($A$10:$A61)+2,FALSE)</f>
        <v>459</v>
      </c>
      <c r="AR61" s="25">
        <f>HLOOKUP(AR$7,$I$66:$DJ$120,ROWS($A$10:$A61)+2,FALSE)</f>
        <v>338</v>
      </c>
      <c r="AS61" s="25">
        <f>HLOOKUP(AS$7,$I$66:$DJ$120,ROWS($A$10:$A61)+2,FALSE)</f>
        <v>819</v>
      </c>
      <c r="AT61" s="25">
        <f>HLOOKUP(AT$7,$I$66:$DJ$120,ROWS($A$10:$A61)+2,FALSE)</f>
        <v>964</v>
      </c>
      <c r="AU61" s="25">
        <f>HLOOKUP(AU$7,$I$66:$DJ$120,ROWS($A$10:$A61)+2,FALSE)</f>
        <v>893</v>
      </c>
      <c r="AV61" s="25">
        <f>HLOOKUP(AV$7,$I$66:$DJ$120,ROWS($A$10:$A61)+2,FALSE)</f>
        <v>230</v>
      </c>
      <c r="AW61" s="25">
        <f>HLOOKUP(AW$7,$I$66:$DJ$120,ROWS($A$10:$A61)+2,FALSE)</f>
        <v>0</v>
      </c>
      <c r="AX61" s="25">
        <f>HLOOKUP(AX$7,$I$66:$DJ$120,ROWS($A$10:$A61)+2,FALSE)</f>
        <v>122</v>
      </c>
      <c r="AY61" s="25">
        <f>HLOOKUP(AY$7,$I$66:$DJ$120,ROWS($A$10:$A61)+2,FALSE)</f>
        <v>1175</v>
      </c>
      <c r="AZ61" s="25">
        <f>HLOOKUP(AZ$7,$I$66:$DJ$120,ROWS($A$10:$A61)+2,FALSE)</f>
        <v>4</v>
      </c>
      <c r="BA61" s="25">
        <f>HLOOKUP(BA$7,$I$66:$DJ$120,ROWS($A$10:$A61)+2,FALSE)</f>
        <v>1427</v>
      </c>
      <c r="BB61" s="25">
        <f>HLOOKUP(BB$7,$I$66:$DJ$120,ROWS($A$10:$A61)+2,FALSE)</f>
        <v>1710</v>
      </c>
      <c r="BC61" s="25">
        <f>HLOOKUP(BC$7,$I$66:$DJ$120,ROWS($A$10:$A61)+2,FALSE)</f>
        <v>0</v>
      </c>
      <c r="BD61" s="25">
        <f>HLOOKUP(BD$7,$I$66:$DJ$120,ROWS($A$10:$A61)+2,FALSE)</f>
        <v>138</v>
      </c>
      <c r="BE61" s="25">
        <f>HLOOKUP(BE$7,$I$66:$DJ$120,ROWS($A$10:$A61)+2,FALSE)</f>
        <v>1323</v>
      </c>
      <c r="BF61" s="25">
        <f>HLOOKUP(BF$7,$I$66:$DJ$120,ROWS($A$10:$A61)+2,FALSE)</f>
        <v>0</v>
      </c>
      <c r="BG61" s="25">
        <f>HLOOKUP(BG$7,$I$66:$DJ$120,ROWS($A$10:$A61)+2,FALSE)</f>
        <v>282</v>
      </c>
      <c r="BH61" s="25" t="str">
        <f>HLOOKUP(BH$7,$I$66:$DJ$120,ROWS($A$10:$A61)+2,FALSE)</f>
        <v>N/A</v>
      </c>
      <c r="BI61" s="25">
        <f>HLOOKUP(BI$7,$I$66:$DJ$120,ROWS($A$10:$A61)+2,FALSE)</f>
        <v>16</v>
      </c>
      <c r="BJ61" s="34">
        <f>HLOOKUP(BJ$7+0.5,$I$66:$DJ$120,ROWS($A$10:$A61)+2,FALSE)</f>
        <v>3430</v>
      </c>
      <c r="BK61" s="34">
        <f>HLOOKUP(BK$7+0.5,$I$66:$DJ$120,ROWS($A$10:$A61)+2,FALSE)</f>
        <v>284</v>
      </c>
      <c r="BL61" s="34">
        <f>HLOOKUP(BL$7+0.5,$I$66:$DJ$120,ROWS($A$10:$A61)+2,FALSE)</f>
        <v>661</v>
      </c>
      <c r="BM61" s="34">
        <f>HLOOKUP(BM$7+0.5,$I$66:$DJ$120,ROWS($A$10:$A61)+2,FALSE)</f>
        <v>1234</v>
      </c>
      <c r="BN61" s="34">
        <f>HLOOKUP(BN$7+0.5,$I$66:$DJ$120,ROWS($A$10:$A61)+2,FALSE)</f>
        <v>405</v>
      </c>
      <c r="BO61" s="34">
        <f>HLOOKUP(BO$7+0.5,$I$66:$DJ$120,ROWS($A$10:$A61)+2,FALSE)</f>
        <v>720</v>
      </c>
      <c r="BP61" s="34">
        <f>HLOOKUP(BP$7+0.5,$I$66:$DJ$120,ROWS($A$10:$A61)+2,FALSE)</f>
        <v>1618</v>
      </c>
      <c r="BQ61" s="34">
        <f>HLOOKUP(BQ$7+0.5,$I$66:$DJ$120,ROWS($A$10:$A61)+2,FALSE)</f>
        <v>185</v>
      </c>
      <c r="BR61" s="34">
        <f>HLOOKUP(BR$7+0.5,$I$66:$DJ$120,ROWS($A$10:$A61)+2,FALSE)</f>
        <v>185</v>
      </c>
      <c r="BS61" s="34">
        <f>HLOOKUP(BS$7+0.5,$I$66:$DJ$120,ROWS($A$10:$A61)+2,FALSE)</f>
        <v>185</v>
      </c>
      <c r="BT61" s="34">
        <f>HLOOKUP(BT$7+0.5,$I$66:$DJ$120,ROWS($A$10:$A61)+2,FALSE)</f>
        <v>572</v>
      </c>
      <c r="BU61" s="34">
        <f>HLOOKUP(BU$7+0.5,$I$66:$DJ$120,ROWS($A$10:$A61)+2,FALSE)</f>
        <v>173</v>
      </c>
      <c r="BV61" s="34">
        <f>HLOOKUP(BV$7+0.5,$I$66:$DJ$120,ROWS($A$10:$A61)+2,FALSE)</f>
        <v>185</v>
      </c>
      <c r="BW61" s="34">
        <f>HLOOKUP(BW$7+0.5,$I$66:$DJ$120,ROWS($A$10:$A61)+2,FALSE)</f>
        <v>481</v>
      </c>
      <c r="BX61" s="34">
        <f>HLOOKUP(BX$7+0.5,$I$66:$DJ$120,ROWS($A$10:$A61)+2,FALSE)</f>
        <v>823</v>
      </c>
      <c r="BY61" s="34">
        <f>HLOOKUP(BY$7+0.5,$I$66:$DJ$120,ROWS($A$10:$A61)+2,FALSE)</f>
        <v>179</v>
      </c>
      <c r="BZ61" s="34">
        <f>HLOOKUP(BZ$7+0.5,$I$66:$DJ$120,ROWS($A$10:$A61)+2,FALSE)</f>
        <v>273</v>
      </c>
      <c r="CA61" s="34">
        <f>HLOOKUP(CA$7+0.5,$I$66:$DJ$120,ROWS($A$10:$A61)+2,FALSE)</f>
        <v>412</v>
      </c>
      <c r="CB61" s="34">
        <f>HLOOKUP(CB$7+0.5,$I$66:$DJ$120,ROWS($A$10:$A61)+2,FALSE)</f>
        <v>10</v>
      </c>
      <c r="CC61" s="34">
        <f>HLOOKUP(CC$7+0.5,$I$66:$DJ$120,ROWS($A$10:$A61)+2,FALSE)</f>
        <v>100</v>
      </c>
      <c r="CD61" s="34">
        <f>HLOOKUP(CD$7+0.5,$I$66:$DJ$120,ROWS($A$10:$A61)+2,FALSE)</f>
        <v>185</v>
      </c>
      <c r="CE61" s="34">
        <f>HLOOKUP(CE$7+0.5,$I$66:$DJ$120,ROWS($A$10:$A61)+2,FALSE)</f>
        <v>304</v>
      </c>
      <c r="CF61" s="34">
        <f>HLOOKUP(CF$7+0.5,$I$66:$DJ$120,ROWS($A$10:$A61)+2,FALSE)</f>
        <v>638</v>
      </c>
      <c r="CG61" s="34">
        <f>HLOOKUP(CG$7+0.5,$I$66:$DJ$120,ROWS($A$10:$A61)+2,FALSE)</f>
        <v>730</v>
      </c>
      <c r="CH61" s="34">
        <f>HLOOKUP(CH$7+0.5,$I$66:$DJ$120,ROWS($A$10:$A61)+2,FALSE)</f>
        <v>240</v>
      </c>
      <c r="CI61" s="34">
        <f>HLOOKUP(CI$7+0.5,$I$66:$DJ$120,ROWS($A$10:$A61)+2,FALSE)</f>
        <v>229</v>
      </c>
      <c r="CJ61" s="34">
        <f>HLOOKUP(CJ$7+0.5,$I$66:$DJ$120,ROWS($A$10:$A61)+2,FALSE)</f>
        <v>257</v>
      </c>
      <c r="CK61" s="34">
        <f>HLOOKUP(CK$7+0.5,$I$66:$DJ$120,ROWS($A$10:$A61)+2,FALSE)</f>
        <v>789</v>
      </c>
      <c r="CL61" s="34">
        <f>HLOOKUP(CL$7+0.5,$I$66:$DJ$120,ROWS($A$10:$A61)+2,FALSE)</f>
        <v>559</v>
      </c>
      <c r="CM61" s="34">
        <f>HLOOKUP(CM$7+0.5,$I$66:$DJ$120,ROWS($A$10:$A61)+2,FALSE)</f>
        <v>304</v>
      </c>
      <c r="CN61" s="34">
        <f>HLOOKUP(CN$7+0.5,$I$66:$DJ$120,ROWS($A$10:$A61)+2,FALSE)</f>
        <v>185</v>
      </c>
      <c r="CO61" s="34">
        <f>HLOOKUP(CO$7+0.5,$I$66:$DJ$120,ROWS($A$10:$A61)+2,FALSE)</f>
        <v>147</v>
      </c>
      <c r="CP61" s="34">
        <f>HLOOKUP(CP$7+0.5,$I$66:$DJ$120,ROWS($A$10:$A61)+2,FALSE)</f>
        <v>658</v>
      </c>
      <c r="CQ61" s="34">
        <f>HLOOKUP(CQ$7+0.5,$I$66:$DJ$120,ROWS($A$10:$A61)+2,FALSE)</f>
        <v>252</v>
      </c>
      <c r="CR61" s="34">
        <f>HLOOKUP(CR$7+0.5,$I$66:$DJ$120,ROWS($A$10:$A61)+2,FALSE)</f>
        <v>399</v>
      </c>
      <c r="CS61" s="34">
        <f>HLOOKUP(CS$7+0.5,$I$66:$DJ$120,ROWS($A$10:$A61)+2,FALSE)</f>
        <v>300</v>
      </c>
      <c r="CT61" s="34">
        <f>HLOOKUP(CT$7+0.5,$I$66:$DJ$120,ROWS($A$10:$A61)+2,FALSE)</f>
        <v>447</v>
      </c>
      <c r="CU61" s="34">
        <f>HLOOKUP(CU$7+0.5,$I$66:$DJ$120,ROWS($A$10:$A61)+2,FALSE)</f>
        <v>670</v>
      </c>
      <c r="CV61" s="34">
        <f>HLOOKUP(CV$7+0.5,$I$66:$DJ$120,ROWS($A$10:$A61)+2,FALSE)</f>
        <v>605</v>
      </c>
      <c r="CW61" s="34">
        <f>HLOOKUP(CW$7+0.5,$I$66:$DJ$120,ROWS($A$10:$A61)+2,FALSE)</f>
        <v>254</v>
      </c>
      <c r="CX61" s="34">
        <f>HLOOKUP(CX$7+0.5,$I$66:$DJ$120,ROWS($A$10:$A61)+2,FALSE)</f>
        <v>185</v>
      </c>
      <c r="CY61" s="34">
        <f>HLOOKUP(CY$7+0.5,$I$66:$DJ$120,ROWS($A$10:$A61)+2,FALSE)</f>
        <v>201</v>
      </c>
      <c r="CZ61" s="34">
        <f>HLOOKUP(CZ$7+0.5,$I$66:$DJ$120,ROWS($A$10:$A61)+2,FALSE)</f>
        <v>730</v>
      </c>
      <c r="DA61" s="34">
        <f>HLOOKUP(DA$7+0.5,$I$66:$DJ$120,ROWS($A$10:$A61)+2,FALSE)</f>
        <v>7</v>
      </c>
      <c r="DB61" s="34">
        <f>HLOOKUP(DB$7+0.5,$I$66:$DJ$120,ROWS($A$10:$A61)+2,FALSE)</f>
        <v>920</v>
      </c>
      <c r="DC61" s="34">
        <f>HLOOKUP(DC$7+0.5,$I$66:$DJ$120,ROWS($A$10:$A61)+2,FALSE)</f>
        <v>948</v>
      </c>
      <c r="DD61" s="34">
        <f>HLOOKUP(DD$7+0.5,$I$66:$DJ$120,ROWS($A$10:$A61)+2,FALSE)</f>
        <v>185</v>
      </c>
      <c r="DE61" s="34">
        <f>HLOOKUP(DE$7+0.5,$I$66:$DJ$120,ROWS($A$10:$A61)+2,FALSE)</f>
        <v>169</v>
      </c>
      <c r="DF61" s="34">
        <f>HLOOKUP(DF$7+0.5,$I$66:$DJ$120,ROWS($A$10:$A61)+2,FALSE)</f>
        <v>785</v>
      </c>
      <c r="DG61" s="34">
        <f>HLOOKUP(DG$7+0.5,$I$66:$DJ$120,ROWS($A$10:$A61)+2,FALSE)</f>
        <v>185</v>
      </c>
      <c r="DH61" s="34">
        <f>HLOOKUP(DH$7+0.5,$I$66:$DJ$120,ROWS($A$10:$A61)+2,FALSE)</f>
        <v>210</v>
      </c>
      <c r="DI61" s="34" t="str">
        <f>HLOOKUP(DI$7+0.5,$I$66:$DJ$120,ROWS($A$10:$A61)+2,FALSE)</f>
        <v>N/A</v>
      </c>
      <c r="DJ61" s="34">
        <f>HLOOKUP(DJ$7+0.5,$I$66:$DJ$120,ROWS($A$10:$A61)+2,FALSE)</f>
        <v>27</v>
      </c>
    </row>
    <row r="62" spans="2:114" x14ac:dyDescent="0.25">
      <c r="B62" s="38" t="s">
        <v>61</v>
      </c>
      <c r="C62" s="15">
        <v>3628402</v>
      </c>
      <c r="D62" s="14">
        <v>2934</v>
      </c>
      <c r="E62" s="15">
        <v>3366593</v>
      </c>
      <c r="F62" s="14">
        <v>12125</v>
      </c>
      <c r="G62" s="15">
        <v>238042</v>
      </c>
      <c r="H62" s="14">
        <v>11523</v>
      </c>
      <c r="I62" s="36">
        <f>HLOOKUP(I$7,$I$66:$DJ$120,ROWS($A$10:$A62)+2,FALSE)</f>
        <v>20044</v>
      </c>
      <c r="J62" s="25">
        <f>HLOOKUP(J$7,$I$66:$DJ$120,ROWS($A$10:$A62)+2,FALSE)</f>
        <v>8</v>
      </c>
      <c r="K62" s="25">
        <f>HLOOKUP(K$7,$I$66:$DJ$120,ROWS($A$10:$A62)+2,FALSE)</f>
        <v>57</v>
      </c>
      <c r="L62" s="25">
        <f>HLOOKUP(L$7,$I$66:$DJ$120,ROWS($A$10:$A62)+2,FALSE)</f>
        <v>54</v>
      </c>
      <c r="M62" s="25">
        <f>HLOOKUP(M$7,$I$66:$DJ$120,ROWS($A$10:$A62)+2,FALSE)</f>
        <v>93</v>
      </c>
      <c r="N62" s="25">
        <f>HLOOKUP(N$7,$I$66:$DJ$120,ROWS($A$10:$A62)+2,FALSE)</f>
        <v>519</v>
      </c>
      <c r="O62" s="25">
        <f>HLOOKUP(O$7,$I$66:$DJ$120,ROWS($A$10:$A62)+2,FALSE)</f>
        <v>0</v>
      </c>
      <c r="P62" s="25">
        <f>HLOOKUP(P$7,$I$66:$DJ$120,ROWS($A$10:$A62)+2,FALSE)</f>
        <v>370</v>
      </c>
      <c r="Q62" s="25">
        <f>HLOOKUP(Q$7,$I$66:$DJ$120,ROWS($A$10:$A62)+2,FALSE)</f>
        <v>0</v>
      </c>
      <c r="R62" s="25">
        <f>HLOOKUP(R$7,$I$66:$DJ$120,ROWS($A$10:$A62)+2,FALSE)</f>
        <v>0</v>
      </c>
      <c r="S62" s="25">
        <f>HLOOKUP(S$7,$I$66:$DJ$120,ROWS($A$10:$A62)+2,FALSE)</f>
        <v>4192</v>
      </c>
      <c r="T62" s="25">
        <f>HLOOKUP(T$7,$I$66:$DJ$120,ROWS($A$10:$A62)+2,FALSE)</f>
        <v>232</v>
      </c>
      <c r="U62" s="25">
        <f>HLOOKUP(U$7,$I$66:$DJ$120,ROWS($A$10:$A62)+2,FALSE)</f>
        <v>110</v>
      </c>
      <c r="V62" s="25">
        <f>HLOOKUP(V$7,$I$66:$DJ$120,ROWS($A$10:$A62)+2,FALSE)</f>
        <v>0</v>
      </c>
      <c r="W62" s="25">
        <f>HLOOKUP(W$7,$I$66:$DJ$120,ROWS($A$10:$A62)+2,FALSE)</f>
        <v>1021</v>
      </c>
      <c r="X62" s="25">
        <f>HLOOKUP(X$7,$I$66:$DJ$120,ROWS($A$10:$A62)+2,FALSE)</f>
        <v>121</v>
      </c>
      <c r="Y62" s="25">
        <f>HLOOKUP(Y$7,$I$66:$DJ$120,ROWS($A$10:$A62)+2,FALSE)</f>
        <v>0</v>
      </c>
      <c r="Z62" s="25">
        <f>HLOOKUP(Z$7,$I$66:$DJ$120,ROWS($A$10:$A62)+2,FALSE)</f>
        <v>143</v>
      </c>
      <c r="AA62" s="25">
        <f>HLOOKUP(AA$7,$I$66:$DJ$120,ROWS($A$10:$A62)+2,FALSE)</f>
        <v>37</v>
      </c>
      <c r="AB62" s="25">
        <f>HLOOKUP(AB$7,$I$66:$DJ$120,ROWS($A$10:$A62)+2,FALSE)</f>
        <v>59</v>
      </c>
      <c r="AC62" s="25">
        <f>HLOOKUP(AC$7,$I$66:$DJ$120,ROWS($A$10:$A62)+2,FALSE)</f>
        <v>0</v>
      </c>
      <c r="AD62" s="25">
        <f>HLOOKUP(AD$7,$I$66:$DJ$120,ROWS($A$10:$A62)+2,FALSE)</f>
        <v>108</v>
      </c>
      <c r="AE62" s="25">
        <f>HLOOKUP(AE$7,$I$66:$DJ$120,ROWS($A$10:$A62)+2,FALSE)</f>
        <v>2258</v>
      </c>
      <c r="AF62" s="25">
        <f>HLOOKUP(AF$7,$I$66:$DJ$120,ROWS($A$10:$A62)+2,FALSE)</f>
        <v>435</v>
      </c>
      <c r="AG62" s="25">
        <f>HLOOKUP(AG$7,$I$66:$DJ$120,ROWS($A$10:$A62)+2,FALSE)</f>
        <v>0</v>
      </c>
      <c r="AH62" s="25">
        <f>HLOOKUP(AH$7,$I$66:$DJ$120,ROWS($A$10:$A62)+2,FALSE)</f>
        <v>0</v>
      </c>
      <c r="AI62" s="25">
        <f>HLOOKUP(AI$7,$I$66:$DJ$120,ROWS($A$10:$A62)+2,FALSE)</f>
        <v>0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1922</v>
      </c>
      <c r="AO62" s="25">
        <f>HLOOKUP(AO$7,$I$66:$DJ$120,ROWS($A$10:$A62)+2,FALSE)</f>
        <v>28</v>
      </c>
      <c r="AP62" s="25">
        <f>HLOOKUP(AP$7,$I$66:$DJ$120,ROWS($A$10:$A62)+2,FALSE)</f>
        <v>2314</v>
      </c>
      <c r="AQ62" s="25">
        <f>HLOOKUP(AQ$7,$I$66:$DJ$120,ROWS($A$10:$A62)+2,FALSE)</f>
        <v>638</v>
      </c>
      <c r="AR62" s="25">
        <f>HLOOKUP(AR$7,$I$66:$DJ$120,ROWS($A$10:$A62)+2,FALSE)</f>
        <v>0</v>
      </c>
      <c r="AS62" s="25">
        <f>HLOOKUP(AS$7,$I$66:$DJ$120,ROWS($A$10:$A62)+2,FALSE)</f>
        <v>328</v>
      </c>
      <c r="AT62" s="25">
        <f>HLOOKUP(AT$7,$I$66:$DJ$120,ROWS($A$10:$A62)+2,FALSE)</f>
        <v>0</v>
      </c>
      <c r="AU62" s="25">
        <f>HLOOKUP(AU$7,$I$66:$DJ$120,ROWS($A$10:$A62)+2,FALSE)</f>
        <v>0</v>
      </c>
      <c r="AV62" s="25">
        <f>HLOOKUP(AV$7,$I$66:$DJ$120,ROWS($A$10:$A62)+2,FALSE)</f>
        <v>2313</v>
      </c>
      <c r="AW62" s="25">
        <f>HLOOKUP(AW$7,$I$66:$DJ$120,ROWS($A$10:$A62)+2,FALSE)</f>
        <v>624</v>
      </c>
      <c r="AX62" s="25">
        <f>HLOOKUP(AX$7,$I$66:$DJ$120,ROWS($A$10:$A62)+2,FALSE)</f>
        <v>4</v>
      </c>
      <c r="AY62" s="25">
        <f>HLOOKUP(AY$7,$I$66:$DJ$120,ROWS($A$10:$A62)+2,FALSE)</f>
        <v>0</v>
      </c>
      <c r="AZ62" s="25">
        <f>HLOOKUP(AZ$7,$I$66:$DJ$120,ROWS($A$10:$A62)+2,FALSE)</f>
        <v>15</v>
      </c>
      <c r="BA62" s="25">
        <f>HLOOKUP(BA$7,$I$66:$DJ$120,ROWS($A$10:$A62)+2,FALSE)</f>
        <v>360</v>
      </c>
      <c r="BB62" s="25">
        <f>HLOOKUP(BB$7,$I$66:$DJ$120,ROWS($A$10:$A62)+2,FALSE)</f>
        <v>0</v>
      </c>
      <c r="BC62" s="25">
        <f>HLOOKUP(BC$7,$I$66:$DJ$120,ROWS($A$10:$A62)+2,FALSE)</f>
        <v>0</v>
      </c>
      <c r="BD62" s="25">
        <f>HLOOKUP(BD$7,$I$66:$DJ$120,ROWS($A$10:$A62)+2,FALSE)</f>
        <v>684</v>
      </c>
      <c r="BE62" s="25">
        <f>HLOOKUP(BE$7,$I$66:$DJ$120,ROWS($A$10:$A62)+2,FALSE)</f>
        <v>0</v>
      </c>
      <c r="BF62" s="25">
        <f>HLOOKUP(BF$7,$I$66:$DJ$120,ROWS($A$10:$A62)+2,FALSE)</f>
        <v>8</v>
      </c>
      <c r="BG62" s="25">
        <f>HLOOKUP(BG$7,$I$66:$DJ$120,ROWS($A$10:$A62)+2,FALSE)</f>
        <v>989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2902</v>
      </c>
      <c r="BK62" s="34">
        <f>HLOOKUP(BK$7+0.5,$I$66:$DJ$120,ROWS($A$10:$A62)+2,FALSE)</f>
        <v>15</v>
      </c>
      <c r="BL62" s="34">
        <f>HLOOKUP(BL$7+0.5,$I$66:$DJ$120,ROWS($A$10:$A62)+2,FALSE)</f>
        <v>94</v>
      </c>
      <c r="BM62" s="34">
        <f>HLOOKUP(BM$7+0.5,$I$66:$DJ$120,ROWS($A$10:$A62)+2,FALSE)</f>
        <v>90</v>
      </c>
      <c r="BN62" s="34">
        <f>HLOOKUP(BN$7+0.5,$I$66:$DJ$120,ROWS($A$10:$A62)+2,FALSE)</f>
        <v>158</v>
      </c>
      <c r="BO62" s="34">
        <f>HLOOKUP(BO$7+0.5,$I$66:$DJ$120,ROWS($A$10:$A62)+2,FALSE)</f>
        <v>484</v>
      </c>
      <c r="BP62" s="34">
        <f>HLOOKUP(BP$7+0.5,$I$66:$DJ$120,ROWS($A$10:$A62)+2,FALSE)</f>
        <v>214</v>
      </c>
      <c r="BQ62" s="34">
        <f>HLOOKUP(BQ$7+0.5,$I$66:$DJ$120,ROWS($A$10:$A62)+2,FALSE)</f>
        <v>365</v>
      </c>
      <c r="BR62" s="34">
        <f>HLOOKUP(BR$7+0.5,$I$66:$DJ$120,ROWS($A$10:$A62)+2,FALSE)</f>
        <v>214</v>
      </c>
      <c r="BS62" s="34">
        <f>HLOOKUP(BS$7+0.5,$I$66:$DJ$120,ROWS($A$10:$A62)+2,FALSE)</f>
        <v>214</v>
      </c>
      <c r="BT62" s="34">
        <f>HLOOKUP(BT$7+0.5,$I$66:$DJ$120,ROWS($A$10:$A62)+2,FALSE)</f>
        <v>1203</v>
      </c>
      <c r="BU62" s="34">
        <f>HLOOKUP(BU$7+0.5,$I$66:$DJ$120,ROWS($A$10:$A62)+2,FALSE)</f>
        <v>300</v>
      </c>
      <c r="BV62" s="34">
        <f>HLOOKUP(BV$7+0.5,$I$66:$DJ$120,ROWS($A$10:$A62)+2,FALSE)</f>
        <v>172</v>
      </c>
      <c r="BW62" s="34">
        <f>HLOOKUP(BW$7+0.5,$I$66:$DJ$120,ROWS($A$10:$A62)+2,FALSE)</f>
        <v>214</v>
      </c>
      <c r="BX62" s="34">
        <f>HLOOKUP(BX$7+0.5,$I$66:$DJ$120,ROWS($A$10:$A62)+2,FALSE)</f>
        <v>602</v>
      </c>
      <c r="BY62" s="34">
        <f>HLOOKUP(BY$7+0.5,$I$66:$DJ$120,ROWS($A$10:$A62)+2,FALSE)</f>
        <v>153</v>
      </c>
      <c r="BZ62" s="34">
        <f>HLOOKUP(BZ$7+0.5,$I$66:$DJ$120,ROWS($A$10:$A62)+2,FALSE)</f>
        <v>214</v>
      </c>
      <c r="CA62" s="34">
        <f>HLOOKUP(CA$7+0.5,$I$66:$DJ$120,ROWS($A$10:$A62)+2,FALSE)</f>
        <v>240</v>
      </c>
      <c r="CB62" s="34">
        <f>HLOOKUP(CB$7+0.5,$I$66:$DJ$120,ROWS($A$10:$A62)+2,FALSE)</f>
        <v>72</v>
      </c>
      <c r="CC62" s="34">
        <f>HLOOKUP(CC$7+0.5,$I$66:$DJ$120,ROWS($A$10:$A62)+2,FALSE)</f>
        <v>101</v>
      </c>
      <c r="CD62" s="34">
        <f>HLOOKUP(CD$7+0.5,$I$66:$DJ$120,ROWS($A$10:$A62)+2,FALSE)</f>
        <v>214</v>
      </c>
      <c r="CE62" s="34">
        <f>HLOOKUP(CE$7+0.5,$I$66:$DJ$120,ROWS($A$10:$A62)+2,FALSE)</f>
        <v>177</v>
      </c>
      <c r="CF62" s="34">
        <f>HLOOKUP(CF$7+0.5,$I$66:$DJ$120,ROWS($A$10:$A62)+2,FALSE)</f>
        <v>1289</v>
      </c>
      <c r="CG62" s="34">
        <f>HLOOKUP(CG$7+0.5,$I$66:$DJ$120,ROWS($A$10:$A62)+2,FALSE)</f>
        <v>451</v>
      </c>
      <c r="CH62" s="34">
        <f>HLOOKUP(CH$7+0.5,$I$66:$DJ$120,ROWS($A$10:$A62)+2,FALSE)</f>
        <v>214</v>
      </c>
      <c r="CI62" s="34">
        <f>HLOOKUP(CI$7+0.5,$I$66:$DJ$120,ROWS($A$10:$A62)+2,FALSE)</f>
        <v>214</v>
      </c>
      <c r="CJ62" s="34">
        <f>HLOOKUP(CJ$7+0.5,$I$66:$DJ$120,ROWS($A$10:$A62)+2,FALSE)</f>
        <v>214</v>
      </c>
      <c r="CK62" s="34">
        <f>HLOOKUP(CK$7+0.5,$I$66:$DJ$120,ROWS($A$10:$A62)+2,FALSE)</f>
        <v>214</v>
      </c>
      <c r="CL62" s="34">
        <f>HLOOKUP(CL$7+0.5,$I$66:$DJ$120,ROWS($A$10:$A62)+2,FALSE)</f>
        <v>214</v>
      </c>
      <c r="CM62" s="34">
        <f>HLOOKUP(CM$7+0.5,$I$66:$DJ$120,ROWS($A$10:$A62)+2,FALSE)</f>
        <v>214</v>
      </c>
      <c r="CN62" s="34">
        <f>HLOOKUP(CN$7+0.5,$I$66:$DJ$120,ROWS($A$10:$A62)+2,FALSE)</f>
        <v>214</v>
      </c>
      <c r="CO62" s="34">
        <f>HLOOKUP(CO$7+0.5,$I$66:$DJ$120,ROWS($A$10:$A62)+2,FALSE)</f>
        <v>1129</v>
      </c>
      <c r="CP62" s="34">
        <f>HLOOKUP(CP$7+0.5,$I$66:$DJ$120,ROWS($A$10:$A62)+2,FALSE)</f>
        <v>48</v>
      </c>
      <c r="CQ62" s="34">
        <f>HLOOKUP(CQ$7+0.5,$I$66:$DJ$120,ROWS($A$10:$A62)+2,FALSE)</f>
        <v>761</v>
      </c>
      <c r="CR62" s="34">
        <f>HLOOKUP(CR$7+0.5,$I$66:$DJ$120,ROWS($A$10:$A62)+2,FALSE)</f>
        <v>565</v>
      </c>
      <c r="CS62" s="34">
        <f>HLOOKUP(CS$7+0.5,$I$66:$DJ$120,ROWS($A$10:$A62)+2,FALSE)</f>
        <v>214</v>
      </c>
      <c r="CT62" s="34">
        <f>HLOOKUP(CT$7+0.5,$I$66:$DJ$120,ROWS($A$10:$A62)+2,FALSE)</f>
        <v>499</v>
      </c>
      <c r="CU62" s="34">
        <f>HLOOKUP(CU$7+0.5,$I$66:$DJ$120,ROWS($A$10:$A62)+2,FALSE)</f>
        <v>214</v>
      </c>
      <c r="CV62" s="34">
        <f>HLOOKUP(CV$7+0.5,$I$66:$DJ$120,ROWS($A$10:$A62)+2,FALSE)</f>
        <v>214</v>
      </c>
      <c r="CW62" s="34">
        <f>HLOOKUP(CW$7+0.5,$I$66:$DJ$120,ROWS($A$10:$A62)+2,FALSE)</f>
        <v>1063</v>
      </c>
      <c r="CX62" s="34">
        <f>HLOOKUP(CX$7+0.5,$I$66:$DJ$120,ROWS($A$10:$A62)+2,FALSE)</f>
        <v>688</v>
      </c>
      <c r="CY62" s="34">
        <f>HLOOKUP(CY$7+0.5,$I$66:$DJ$120,ROWS($A$10:$A62)+2,FALSE)</f>
        <v>7</v>
      </c>
      <c r="CZ62" s="34">
        <f>HLOOKUP(CZ$7+0.5,$I$66:$DJ$120,ROWS($A$10:$A62)+2,FALSE)</f>
        <v>214</v>
      </c>
      <c r="DA62" s="34">
        <f>HLOOKUP(DA$7+0.5,$I$66:$DJ$120,ROWS($A$10:$A62)+2,FALSE)</f>
        <v>31</v>
      </c>
      <c r="DB62" s="34">
        <f>HLOOKUP(DB$7+0.5,$I$66:$DJ$120,ROWS($A$10:$A62)+2,FALSE)</f>
        <v>291</v>
      </c>
      <c r="DC62" s="34">
        <f>HLOOKUP(DC$7+0.5,$I$66:$DJ$120,ROWS($A$10:$A62)+2,FALSE)</f>
        <v>214</v>
      </c>
      <c r="DD62" s="34">
        <f>HLOOKUP(DD$7+0.5,$I$66:$DJ$120,ROWS($A$10:$A62)+2,FALSE)</f>
        <v>214</v>
      </c>
      <c r="DE62" s="34">
        <f>HLOOKUP(DE$7+0.5,$I$66:$DJ$120,ROWS($A$10:$A62)+2,FALSE)</f>
        <v>777</v>
      </c>
      <c r="DF62" s="34">
        <f>HLOOKUP(DF$7+0.5,$I$66:$DJ$120,ROWS($A$10:$A62)+2,FALSE)</f>
        <v>214</v>
      </c>
      <c r="DG62" s="34">
        <f>HLOOKUP(DG$7+0.5,$I$66:$DJ$120,ROWS($A$10:$A62)+2,FALSE)</f>
        <v>15</v>
      </c>
      <c r="DH62" s="34">
        <f>HLOOKUP(DH$7+0.5,$I$66:$DJ$120,ROWS($A$10:$A62)+2,FALSE)</f>
        <v>654</v>
      </c>
      <c r="DI62" s="34">
        <f>HLOOKUP(DI$7+0.5,$I$66:$DJ$120,ROWS($A$10:$A62)+2,FALSE)</f>
        <v>214</v>
      </c>
      <c r="DJ62" s="34" t="str">
        <f>HLOOKUP(DJ$7+0.5,$I$66:$DJ$120,ROWS($A$10:$A62)+2,FALSE)</f>
        <v>N/A</v>
      </c>
    </row>
    <row r="66" spans="9:114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14" x14ac:dyDescent="0.25">
      <c r="I67" s="29" t="s">
        <v>58</v>
      </c>
      <c r="J67" s="30" t="s">
        <v>59</v>
      </c>
      <c r="K67" s="31" t="s">
        <v>58</v>
      </c>
      <c r="L67" s="30" t="s">
        <v>59</v>
      </c>
      <c r="M67" s="31" t="s">
        <v>58</v>
      </c>
      <c r="N67" s="30" t="s">
        <v>59</v>
      </c>
      <c r="O67" s="31" t="s">
        <v>58</v>
      </c>
      <c r="P67" s="30" t="s">
        <v>59</v>
      </c>
      <c r="Q67" s="31" t="s">
        <v>58</v>
      </c>
      <c r="R67" s="30" t="s">
        <v>59</v>
      </c>
      <c r="S67" s="31" t="s">
        <v>58</v>
      </c>
      <c r="T67" s="30" t="s">
        <v>59</v>
      </c>
      <c r="U67" s="31" t="s">
        <v>58</v>
      </c>
      <c r="V67" s="30" t="s">
        <v>59</v>
      </c>
      <c r="W67" s="31" t="s">
        <v>58</v>
      </c>
      <c r="X67" s="30" t="s">
        <v>59</v>
      </c>
      <c r="Y67" s="31" t="s">
        <v>58</v>
      </c>
      <c r="Z67" s="30" t="s">
        <v>59</v>
      </c>
      <c r="AA67" s="31" t="s">
        <v>58</v>
      </c>
      <c r="AB67" s="30" t="s">
        <v>59</v>
      </c>
      <c r="AC67" s="31" t="s">
        <v>58</v>
      </c>
      <c r="AD67" s="30" t="s">
        <v>59</v>
      </c>
      <c r="AE67" s="31" t="s">
        <v>58</v>
      </c>
      <c r="AF67" s="30" t="s">
        <v>59</v>
      </c>
      <c r="AG67" s="31" t="s">
        <v>58</v>
      </c>
      <c r="AH67" s="30" t="s">
        <v>59</v>
      </c>
      <c r="AI67" s="31" t="s">
        <v>58</v>
      </c>
      <c r="AJ67" s="30" t="s">
        <v>59</v>
      </c>
      <c r="AK67" s="31" t="s">
        <v>58</v>
      </c>
      <c r="AL67" s="30" t="s">
        <v>59</v>
      </c>
      <c r="AM67" s="31" t="s">
        <v>58</v>
      </c>
      <c r="AN67" s="30" t="s">
        <v>59</v>
      </c>
      <c r="AO67" s="31" t="s">
        <v>58</v>
      </c>
      <c r="AP67" s="30" t="s">
        <v>59</v>
      </c>
      <c r="AQ67" s="31" t="s">
        <v>58</v>
      </c>
      <c r="AR67" s="30" t="s">
        <v>59</v>
      </c>
      <c r="AS67" s="31" t="s">
        <v>58</v>
      </c>
      <c r="AT67" s="30" t="s">
        <v>59</v>
      </c>
      <c r="AU67" s="31" t="s">
        <v>58</v>
      </c>
      <c r="AV67" s="30" t="s">
        <v>59</v>
      </c>
      <c r="AW67" s="31" t="s">
        <v>58</v>
      </c>
      <c r="AX67" s="30" t="s">
        <v>59</v>
      </c>
      <c r="AY67" s="31" t="s">
        <v>58</v>
      </c>
      <c r="AZ67" s="30" t="s">
        <v>59</v>
      </c>
      <c r="BA67" s="31" t="s">
        <v>58</v>
      </c>
      <c r="BB67" s="30" t="s">
        <v>59</v>
      </c>
      <c r="BC67" s="31" t="s">
        <v>58</v>
      </c>
      <c r="BD67" s="30" t="s">
        <v>59</v>
      </c>
      <c r="BE67" s="31" t="s">
        <v>58</v>
      </c>
      <c r="BF67" s="30" t="s">
        <v>59</v>
      </c>
      <c r="BG67" s="31" t="s">
        <v>58</v>
      </c>
      <c r="BH67" s="30" t="s">
        <v>59</v>
      </c>
      <c r="BI67" s="31" t="s">
        <v>58</v>
      </c>
      <c r="BJ67" s="30" t="s">
        <v>59</v>
      </c>
      <c r="BK67" s="31" t="s">
        <v>58</v>
      </c>
      <c r="BL67" s="30" t="s">
        <v>59</v>
      </c>
      <c r="BM67" s="31" t="s">
        <v>58</v>
      </c>
      <c r="BN67" s="30" t="s">
        <v>59</v>
      </c>
      <c r="BO67" s="31" t="s">
        <v>58</v>
      </c>
      <c r="BP67" s="30" t="s">
        <v>59</v>
      </c>
      <c r="BQ67" s="31" t="s">
        <v>58</v>
      </c>
      <c r="BR67" s="30" t="s">
        <v>59</v>
      </c>
      <c r="BS67" s="31" t="s">
        <v>58</v>
      </c>
      <c r="BT67" s="30" t="s">
        <v>59</v>
      </c>
      <c r="BU67" s="31" t="s">
        <v>58</v>
      </c>
      <c r="BV67" s="30" t="s">
        <v>59</v>
      </c>
      <c r="BW67" s="31" t="s">
        <v>58</v>
      </c>
      <c r="BX67" s="30" t="s">
        <v>59</v>
      </c>
      <c r="BY67" s="31" t="s">
        <v>58</v>
      </c>
      <c r="BZ67" s="30" t="s">
        <v>59</v>
      </c>
      <c r="CA67" s="31" t="s">
        <v>58</v>
      </c>
      <c r="CB67" s="30" t="s">
        <v>59</v>
      </c>
      <c r="CC67" s="31" t="s">
        <v>58</v>
      </c>
      <c r="CD67" s="30" t="s">
        <v>59</v>
      </c>
      <c r="CE67" s="31" t="s">
        <v>58</v>
      </c>
      <c r="CF67" s="30" t="s">
        <v>59</v>
      </c>
      <c r="CG67" s="31" t="s">
        <v>58</v>
      </c>
      <c r="CH67" s="30" t="s">
        <v>59</v>
      </c>
      <c r="CI67" s="31" t="s">
        <v>58</v>
      </c>
      <c r="CJ67" s="30" t="s">
        <v>59</v>
      </c>
      <c r="CK67" s="31" t="s">
        <v>58</v>
      </c>
      <c r="CL67" s="30" t="s">
        <v>59</v>
      </c>
      <c r="CM67" s="31" t="s">
        <v>58</v>
      </c>
      <c r="CN67" s="30" t="s">
        <v>59</v>
      </c>
      <c r="CO67" s="31" t="s">
        <v>58</v>
      </c>
      <c r="CP67" s="30" t="s">
        <v>59</v>
      </c>
      <c r="CQ67" s="31" t="s">
        <v>58</v>
      </c>
      <c r="CR67" s="30" t="s">
        <v>59</v>
      </c>
      <c r="CS67" s="31" t="s">
        <v>58</v>
      </c>
      <c r="CT67" s="30" t="s">
        <v>59</v>
      </c>
      <c r="CU67" s="31" t="s">
        <v>58</v>
      </c>
      <c r="CV67" s="30" t="s">
        <v>59</v>
      </c>
      <c r="CW67" s="31" t="s">
        <v>58</v>
      </c>
      <c r="CX67" s="30" t="s">
        <v>59</v>
      </c>
      <c r="CY67" s="31" t="s">
        <v>58</v>
      </c>
      <c r="CZ67" s="30" t="s">
        <v>59</v>
      </c>
      <c r="DA67" s="31" t="s">
        <v>58</v>
      </c>
      <c r="DB67" s="30" t="s">
        <v>59</v>
      </c>
      <c r="DC67" s="31" t="s">
        <v>58</v>
      </c>
      <c r="DD67" s="30" t="s">
        <v>59</v>
      </c>
      <c r="DE67" s="31" t="s">
        <v>58</v>
      </c>
      <c r="DF67" s="30" t="s">
        <v>59</v>
      </c>
      <c r="DG67" s="31" t="s">
        <v>58</v>
      </c>
      <c r="DH67" s="30" t="s">
        <v>59</v>
      </c>
      <c r="DI67" s="31" t="s">
        <v>58</v>
      </c>
      <c r="DJ67" s="30" t="s">
        <v>59</v>
      </c>
    </row>
    <row r="68" spans="9:114" x14ac:dyDescent="0.25">
      <c r="I68" s="11">
        <v>7070345</v>
      </c>
      <c r="J68" s="12">
        <v>58599</v>
      </c>
      <c r="K68" s="11">
        <v>109210</v>
      </c>
      <c r="L68" s="12">
        <v>9027</v>
      </c>
      <c r="M68" s="13">
        <v>84068</v>
      </c>
      <c r="N68" s="14">
        <v>7600</v>
      </c>
      <c r="O68" s="15">
        <v>206842</v>
      </c>
      <c r="P68" s="14">
        <v>12859</v>
      </c>
      <c r="Q68" s="15">
        <v>64967</v>
      </c>
      <c r="R68" s="14">
        <v>6563</v>
      </c>
      <c r="S68" s="15">
        <v>566986</v>
      </c>
      <c r="T68" s="14">
        <v>19755</v>
      </c>
      <c r="U68" s="15">
        <v>161530</v>
      </c>
      <c r="V68" s="14">
        <v>10348</v>
      </c>
      <c r="W68" s="15">
        <v>87023</v>
      </c>
      <c r="X68" s="14">
        <v>5968</v>
      </c>
      <c r="Y68" s="15">
        <v>25149</v>
      </c>
      <c r="Z68" s="14">
        <v>3775</v>
      </c>
      <c r="AA68" s="15">
        <v>59513</v>
      </c>
      <c r="AB68" s="14">
        <v>6154</v>
      </c>
      <c r="AC68" s="15">
        <v>428325</v>
      </c>
      <c r="AD68" s="14">
        <v>18406</v>
      </c>
      <c r="AE68" s="15">
        <v>252262</v>
      </c>
      <c r="AF68" s="14">
        <v>12868</v>
      </c>
      <c r="AG68" s="15">
        <v>61509</v>
      </c>
      <c r="AH68" s="14">
        <v>6100</v>
      </c>
      <c r="AI68" s="15">
        <v>55191</v>
      </c>
      <c r="AJ68" s="14">
        <v>6257</v>
      </c>
      <c r="AK68" s="15">
        <v>277953</v>
      </c>
      <c r="AL68" s="14">
        <v>12722</v>
      </c>
      <c r="AM68" s="15">
        <v>144597</v>
      </c>
      <c r="AN68" s="14">
        <v>8929</v>
      </c>
      <c r="AO68" s="15">
        <v>73325</v>
      </c>
      <c r="AP68" s="14">
        <v>6129</v>
      </c>
      <c r="AQ68" s="15">
        <v>93134</v>
      </c>
      <c r="AR68" s="14">
        <v>7286</v>
      </c>
      <c r="AS68" s="15">
        <v>103004</v>
      </c>
      <c r="AT68" s="14">
        <v>7490</v>
      </c>
      <c r="AU68" s="15">
        <v>95956</v>
      </c>
      <c r="AV68" s="14">
        <v>7745</v>
      </c>
      <c r="AW68" s="15">
        <v>38574</v>
      </c>
      <c r="AX68" s="14">
        <v>5351</v>
      </c>
      <c r="AY68" s="15">
        <v>157664</v>
      </c>
      <c r="AZ68" s="14">
        <v>9686</v>
      </c>
      <c r="BA68" s="15">
        <v>158156</v>
      </c>
      <c r="BB68" s="14">
        <v>10755</v>
      </c>
      <c r="BC68" s="15">
        <v>175733</v>
      </c>
      <c r="BD68" s="14">
        <v>9302</v>
      </c>
      <c r="BE68" s="15">
        <v>115946</v>
      </c>
      <c r="BF68" s="14">
        <v>8402</v>
      </c>
      <c r="BG68" s="15">
        <v>66947</v>
      </c>
      <c r="BH68" s="14">
        <v>7206</v>
      </c>
      <c r="BI68" s="15">
        <v>142754</v>
      </c>
      <c r="BJ68" s="14">
        <v>9402</v>
      </c>
      <c r="BK68" s="15">
        <v>33832</v>
      </c>
      <c r="BL68" s="14">
        <v>4879</v>
      </c>
      <c r="BM68" s="15">
        <v>48816</v>
      </c>
      <c r="BN68" s="14">
        <v>4967</v>
      </c>
      <c r="BO68" s="15">
        <v>98882</v>
      </c>
      <c r="BP68" s="14">
        <v>9332</v>
      </c>
      <c r="BQ68" s="15">
        <v>38696</v>
      </c>
      <c r="BR68" s="14">
        <v>3364</v>
      </c>
      <c r="BS68" s="15">
        <v>219202</v>
      </c>
      <c r="BT68" s="14">
        <v>11087</v>
      </c>
      <c r="BU68" s="15">
        <v>63921</v>
      </c>
      <c r="BV68" s="14">
        <v>5867</v>
      </c>
      <c r="BW68" s="15">
        <v>405864</v>
      </c>
      <c r="BX68" s="14">
        <v>15692</v>
      </c>
      <c r="BY68" s="15">
        <v>238663</v>
      </c>
      <c r="BZ68" s="14">
        <v>13414</v>
      </c>
      <c r="CA68" s="15">
        <v>23959</v>
      </c>
      <c r="CB68" s="14">
        <v>3373</v>
      </c>
      <c r="CC68" s="15">
        <v>199202</v>
      </c>
      <c r="CD68" s="14">
        <v>10288</v>
      </c>
      <c r="CE68" s="15">
        <v>102572</v>
      </c>
      <c r="CF68" s="14">
        <v>9213</v>
      </c>
      <c r="CG68" s="15">
        <v>108182</v>
      </c>
      <c r="CH68" s="14">
        <v>7867</v>
      </c>
      <c r="CI68" s="15">
        <v>237156</v>
      </c>
      <c r="CJ68" s="14">
        <v>10246</v>
      </c>
      <c r="CK68" s="15">
        <v>30498</v>
      </c>
      <c r="CL68" s="14">
        <v>3414</v>
      </c>
      <c r="CM68" s="15">
        <v>127418</v>
      </c>
      <c r="CN68" s="14">
        <v>8502</v>
      </c>
      <c r="CO68" s="15">
        <v>22534</v>
      </c>
      <c r="CP68" s="14">
        <v>2998</v>
      </c>
      <c r="CQ68" s="15">
        <v>163843</v>
      </c>
      <c r="CR68" s="14">
        <v>8717</v>
      </c>
      <c r="CS68" s="15">
        <v>402187</v>
      </c>
      <c r="CT68" s="14">
        <v>15471</v>
      </c>
      <c r="CU68" s="15">
        <v>82165</v>
      </c>
      <c r="CV68" s="14">
        <v>8304</v>
      </c>
      <c r="CW68" s="15">
        <v>20056</v>
      </c>
      <c r="CX68" s="14">
        <v>2967</v>
      </c>
      <c r="CY68" s="15">
        <v>238540</v>
      </c>
      <c r="CZ68" s="14">
        <v>11611</v>
      </c>
      <c r="DA68" s="15">
        <v>180462</v>
      </c>
      <c r="DB68" s="14">
        <v>9674</v>
      </c>
      <c r="DC68" s="15">
        <v>47425</v>
      </c>
      <c r="DD68" s="14">
        <v>5262</v>
      </c>
      <c r="DE68" s="15">
        <v>97724</v>
      </c>
      <c r="DF68" s="14">
        <v>5859</v>
      </c>
      <c r="DG68" s="15">
        <v>32228</v>
      </c>
      <c r="DH68" s="14">
        <v>5150</v>
      </c>
      <c r="DI68" s="15">
        <v>74500</v>
      </c>
      <c r="DJ68" s="14">
        <v>8156</v>
      </c>
    </row>
    <row r="69" spans="9:114" x14ac:dyDescent="0.25">
      <c r="I69" s="16">
        <v>104600</v>
      </c>
      <c r="J69" s="17">
        <v>8482</v>
      </c>
      <c r="K69" s="18" t="s">
        <v>60</v>
      </c>
      <c r="L69" s="14" t="s">
        <v>60</v>
      </c>
      <c r="M69" s="13">
        <v>1004</v>
      </c>
      <c r="N69" s="14">
        <v>829</v>
      </c>
      <c r="O69" s="15">
        <v>962</v>
      </c>
      <c r="P69" s="14">
        <v>583</v>
      </c>
      <c r="Q69" s="15">
        <v>660</v>
      </c>
      <c r="R69" s="14">
        <v>382</v>
      </c>
      <c r="S69" s="15">
        <v>3077</v>
      </c>
      <c r="T69" s="14">
        <v>1037</v>
      </c>
      <c r="U69" s="15">
        <v>1386</v>
      </c>
      <c r="V69" s="14">
        <v>1393</v>
      </c>
      <c r="W69" s="15">
        <v>284</v>
      </c>
      <c r="X69" s="14">
        <v>256</v>
      </c>
      <c r="Y69" s="15">
        <v>42</v>
      </c>
      <c r="Z69" s="14">
        <v>68</v>
      </c>
      <c r="AA69" s="15">
        <v>162</v>
      </c>
      <c r="AB69" s="14">
        <v>195</v>
      </c>
      <c r="AC69" s="15">
        <v>11244</v>
      </c>
      <c r="AD69" s="14">
        <v>2476</v>
      </c>
      <c r="AE69" s="15">
        <v>19920</v>
      </c>
      <c r="AF69" s="14">
        <v>3636</v>
      </c>
      <c r="AG69" s="15">
        <v>627</v>
      </c>
      <c r="AH69" s="14">
        <v>477</v>
      </c>
      <c r="AI69" s="15">
        <v>493</v>
      </c>
      <c r="AJ69" s="14">
        <v>456</v>
      </c>
      <c r="AK69" s="15">
        <v>2722</v>
      </c>
      <c r="AL69" s="14">
        <v>1030</v>
      </c>
      <c r="AM69" s="15">
        <v>1347</v>
      </c>
      <c r="AN69" s="14">
        <v>536</v>
      </c>
      <c r="AO69" s="15">
        <v>345</v>
      </c>
      <c r="AP69" s="14">
        <v>337</v>
      </c>
      <c r="AQ69" s="15">
        <v>865</v>
      </c>
      <c r="AR69" s="14">
        <v>760</v>
      </c>
      <c r="AS69" s="15">
        <v>2495</v>
      </c>
      <c r="AT69" s="14">
        <v>981</v>
      </c>
      <c r="AU69" s="15">
        <v>3104</v>
      </c>
      <c r="AV69" s="14">
        <v>1216</v>
      </c>
      <c r="AW69" s="15">
        <v>67</v>
      </c>
      <c r="AX69" s="14">
        <v>82</v>
      </c>
      <c r="AY69" s="15">
        <v>1513</v>
      </c>
      <c r="AZ69" s="14">
        <v>847</v>
      </c>
      <c r="BA69" s="15">
        <v>334</v>
      </c>
      <c r="BB69" s="14">
        <v>272</v>
      </c>
      <c r="BC69" s="15">
        <v>2298</v>
      </c>
      <c r="BD69" s="14">
        <v>881</v>
      </c>
      <c r="BE69" s="15">
        <v>752</v>
      </c>
      <c r="BF69" s="14">
        <v>716</v>
      </c>
      <c r="BG69" s="15">
        <v>4952</v>
      </c>
      <c r="BH69" s="14">
        <v>1703</v>
      </c>
      <c r="BI69" s="15">
        <v>1555</v>
      </c>
      <c r="BJ69" s="14">
        <v>836</v>
      </c>
      <c r="BK69" s="15">
        <v>101</v>
      </c>
      <c r="BL69" s="14">
        <v>132</v>
      </c>
      <c r="BM69" s="15">
        <v>151</v>
      </c>
      <c r="BN69" s="14">
        <v>167</v>
      </c>
      <c r="BO69" s="15">
        <v>1009</v>
      </c>
      <c r="BP69" s="14">
        <v>824</v>
      </c>
      <c r="BQ69" s="15">
        <v>161</v>
      </c>
      <c r="BR69" s="14">
        <v>166</v>
      </c>
      <c r="BS69" s="15">
        <v>1702</v>
      </c>
      <c r="BT69" s="14">
        <v>1200</v>
      </c>
      <c r="BU69" s="15">
        <v>459</v>
      </c>
      <c r="BV69" s="14">
        <v>576</v>
      </c>
      <c r="BW69" s="15">
        <v>2709</v>
      </c>
      <c r="BX69" s="14">
        <v>1188</v>
      </c>
      <c r="BY69" s="15">
        <v>5133</v>
      </c>
      <c r="BZ69" s="14">
        <v>1788</v>
      </c>
      <c r="CA69" s="15">
        <v>228</v>
      </c>
      <c r="CB69" s="14">
        <v>194</v>
      </c>
      <c r="CC69" s="15">
        <v>1411</v>
      </c>
      <c r="CD69" s="14">
        <v>576</v>
      </c>
      <c r="CE69" s="15">
        <v>194</v>
      </c>
      <c r="CF69" s="14">
        <v>157</v>
      </c>
      <c r="CG69" s="15">
        <v>200</v>
      </c>
      <c r="CH69" s="14">
        <v>169</v>
      </c>
      <c r="CI69" s="15">
        <v>1837</v>
      </c>
      <c r="CJ69" s="14">
        <v>736</v>
      </c>
      <c r="CK69" s="15">
        <v>0</v>
      </c>
      <c r="CL69" s="14">
        <v>184</v>
      </c>
      <c r="CM69" s="15">
        <v>2811</v>
      </c>
      <c r="CN69" s="14">
        <v>1951</v>
      </c>
      <c r="CO69" s="15">
        <v>518</v>
      </c>
      <c r="CP69" s="14">
        <v>758</v>
      </c>
      <c r="CQ69" s="15">
        <v>10539</v>
      </c>
      <c r="CR69" s="14">
        <v>2731</v>
      </c>
      <c r="CS69" s="15">
        <v>7468</v>
      </c>
      <c r="CT69" s="14">
        <v>2136</v>
      </c>
      <c r="CU69" s="15">
        <v>579</v>
      </c>
      <c r="CV69" s="14">
        <v>713</v>
      </c>
      <c r="CW69" s="15">
        <v>0</v>
      </c>
      <c r="CX69" s="14">
        <v>184</v>
      </c>
      <c r="CY69" s="15">
        <v>3170</v>
      </c>
      <c r="CZ69" s="14">
        <v>1577</v>
      </c>
      <c r="DA69" s="15">
        <v>1034</v>
      </c>
      <c r="DB69" s="14">
        <v>684</v>
      </c>
      <c r="DC69" s="15">
        <v>128</v>
      </c>
      <c r="DD69" s="14">
        <v>156</v>
      </c>
      <c r="DE69" s="15">
        <v>760</v>
      </c>
      <c r="DF69" s="14">
        <v>605</v>
      </c>
      <c r="DG69" s="15">
        <v>88</v>
      </c>
      <c r="DH69" s="14">
        <v>107</v>
      </c>
      <c r="DI69" s="15">
        <v>619</v>
      </c>
      <c r="DJ69" s="14">
        <v>551</v>
      </c>
    </row>
    <row r="70" spans="9:114" x14ac:dyDescent="0.25">
      <c r="I70" s="16">
        <v>33415</v>
      </c>
      <c r="J70" s="17">
        <v>4385</v>
      </c>
      <c r="K70" s="15">
        <v>1097</v>
      </c>
      <c r="L70" s="14">
        <v>825</v>
      </c>
      <c r="M70" s="18" t="s">
        <v>60</v>
      </c>
      <c r="N70" s="14" t="s">
        <v>60</v>
      </c>
      <c r="O70" s="13">
        <v>1520</v>
      </c>
      <c r="P70" s="14">
        <v>1441</v>
      </c>
      <c r="Q70" s="15">
        <v>196</v>
      </c>
      <c r="R70" s="14">
        <v>202</v>
      </c>
      <c r="S70" s="15">
        <v>3494</v>
      </c>
      <c r="T70" s="14">
        <v>1643</v>
      </c>
      <c r="U70" s="15">
        <v>556</v>
      </c>
      <c r="V70" s="14">
        <v>279</v>
      </c>
      <c r="W70" s="15">
        <v>0</v>
      </c>
      <c r="X70" s="14">
        <v>143</v>
      </c>
      <c r="Y70" s="15">
        <v>0</v>
      </c>
      <c r="Z70" s="14">
        <v>143</v>
      </c>
      <c r="AA70" s="15">
        <v>356</v>
      </c>
      <c r="AB70" s="14">
        <v>459</v>
      </c>
      <c r="AC70" s="15">
        <v>1991</v>
      </c>
      <c r="AD70" s="14">
        <v>942</v>
      </c>
      <c r="AE70" s="15">
        <v>928</v>
      </c>
      <c r="AF70" s="14">
        <v>894</v>
      </c>
      <c r="AG70" s="15">
        <v>1376</v>
      </c>
      <c r="AH70" s="14">
        <v>805</v>
      </c>
      <c r="AI70" s="15">
        <v>538</v>
      </c>
      <c r="AJ70" s="14">
        <v>387</v>
      </c>
      <c r="AK70" s="15">
        <v>58</v>
      </c>
      <c r="AL70" s="14">
        <v>118</v>
      </c>
      <c r="AM70" s="15">
        <v>260</v>
      </c>
      <c r="AN70" s="14">
        <v>235</v>
      </c>
      <c r="AO70" s="15">
        <v>13</v>
      </c>
      <c r="AP70" s="14">
        <v>24</v>
      </c>
      <c r="AQ70" s="15">
        <v>221</v>
      </c>
      <c r="AR70" s="14">
        <v>272</v>
      </c>
      <c r="AS70" s="15">
        <v>161</v>
      </c>
      <c r="AT70" s="14">
        <v>196</v>
      </c>
      <c r="AU70" s="15">
        <v>120</v>
      </c>
      <c r="AV70" s="14">
        <v>145</v>
      </c>
      <c r="AW70" s="15">
        <v>66</v>
      </c>
      <c r="AX70" s="14">
        <v>62</v>
      </c>
      <c r="AY70" s="15">
        <v>508</v>
      </c>
      <c r="AZ70" s="14">
        <v>591</v>
      </c>
      <c r="BA70" s="15">
        <v>297</v>
      </c>
      <c r="BB70" s="14">
        <v>289</v>
      </c>
      <c r="BC70" s="15">
        <v>563</v>
      </c>
      <c r="BD70" s="14">
        <v>426</v>
      </c>
      <c r="BE70" s="15">
        <v>192</v>
      </c>
      <c r="BF70" s="14">
        <v>191</v>
      </c>
      <c r="BG70" s="15">
        <v>56</v>
      </c>
      <c r="BH70" s="14">
        <v>76</v>
      </c>
      <c r="BI70" s="15">
        <v>819</v>
      </c>
      <c r="BJ70" s="14">
        <v>628</v>
      </c>
      <c r="BK70" s="15">
        <v>371</v>
      </c>
      <c r="BL70" s="14">
        <v>334</v>
      </c>
      <c r="BM70" s="15">
        <v>1195</v>
      </c>
      <c r="BN70" s="14">
        <v>1128</v>
      </c>
      <c r="BO70" s="15">
        <v>803</v>
      </c>
      <c r="BP70" s="14">
        <v>382</v>
      </c>
      <c r="BQ70" s="15">
        <v>118</v>
      </c>
      <c r="BR70" s="14">
        <v>206</v>
      </c>
      <c r="BS70" s="15">
        <v>116</v>
      </c>
      <c r="BT70" s="14">
        <v>156</v>
      </c>
      <c r="BU70" s="15">
        <v>263</v>
      </c>
      <c r="BV70" s="14">
        <v>219</v>
      </c>
      <c r="BW70" s="15">
        <v>736</v>
      </c>
      <c r="BX70" s="14">
        <v>576</v>
      </c>
      <c r="BY70" s="15">
        <v>920</v>
      </c>
      <c r="BZ70" s="14">
        <v>784</v>
      </c>
      <c r="CA70" s="15">
        <v>264</v>
      </c>
      <c r="CB70" s="14">
        <v>359</v>
      </c>
      <c r="CC70" s="15">
        <v>1316</v>
      </c>
      <c r="CD70" s="14">
        <v>757</v>
      </c>
      <c r="CE70" s="15">
        <v>335</v>
      </c>
      <c r="CF70" s="14">
        <v>252</v>
      </c>
      <c r="CG70" s="15">
        <v>3174</v>
      </c>
      <c r="CH70" s="14">
        <v>1510</v>
      </c>
      <c r="CI70" s="15">
        <v>255</v>
      </c>
      <c r="CJ70" s="14">
        <v>240</v>
      </c>
      <c r="CK70" s="15">
        <v>0</v>
      </c>
      <c r="CL70" s="14">
        <v>143</v>
      </c>
      <c r="CM70" s="15">
        <v>384</v>
      </c>
      <c r="CN70" s="14">
        <v>394</v>
      </c>
      <c r="CO70" s="15">
        <v>99</v>
      </c>
      <c r="CP70" s="14">
        <v>123</v>
      </c>
      <c r="CQ70" s="15">
        <v>451</v>
      </c>
      <c r="CR70" s="14">
        <v>413</v>
      </c>
      <c r="CS70" s="15">
        <v>1488</v>
      </c>
      <c r="CT70" s="14">
        <v>760</v>
      </c>
      <c r="CU70" s="15">
        <v>330</v>
      </c>
      <c r="CV70" s="14">
        <v>347</v>
      </c>
      <c r="CW70" s="15">
        <v>79</v>
      </c>
      <c r="CX70" s="14">
        <v>108</v>
      </c>
      <c r="CY70" s="15">
        <v>1265</v>
      </c>
      <c r="CZ70" s="14">
        <v>674</v>
      </c>
      <c r="DA70" s="15">
        <v>3725</v>
      </c>
      <c r="DB70" s="14">
        <v>1488</v>
      </c>
      <c r="DC70" s="15">
        <v>0</v>
      </c>
      <c r="DD70" s="14">
        <v>143</v>
      </c>
      <c r="DE70" s="15">
        <v>206</v>
      </c>
      <c r="DF70" s="14">
        <v>261</v>
      </c>
      <c r="DG70" s="15">
        <v>136</v>
      </c>
      <c r="DH70" s="14">
        <v>217</v>
      </c>
      <c r="DI70" s="15">
        <v>25</v>
      </c>
      <c r="DJ70" s="14">
        <v>43</v>
      </c>
    </row>
    <row r="71" spans="9:114" x14ac:dyDescent="0.25">
      <c r="I71" s="16">
        <v>232457</v>
      </c>
      <c r="J71" s="17">
        <v>14183</v>
      </c>
      <c r="K71" s="15">
        <v>1331</v>
      </c>
      <c r="L71" s="14">
        <v>1286</v>
      </c>
      <c r="M71" s="13">
        <v>3717</v>
      </c>
      <c r="N71" s="14">
        <v>1505</v>
      </c>
      <c r="O71" s="18" t="s">
        <v>60</v>
      </c>
      <c r="P71" s="14" t="s">
        <v>60</v>
      </c>
      <c r="Q71" s="13">
        <v>1214</v>
      </c>
      <c r="R71" s="14">
        <v>659</v>
      </c>
      <c r="S71" s="15">
        <v>44889</v>
      </c>
      <c r="T71" s="14">
        <v>5435</v>
      </c>
      <c r="U71" s="15">
        <v>13790</v>
      </c>
      <c r="V71" s="14">
        <v>6133</v>
      </c>
      <c r="W71" s="15">
        <v>417</v>
      </c>
      <c r="X71" s="14">
        <v>309</v>
      </c>
      <c r="Y71" s="15">
        <v>246</v>
      </c>
      <c r="Z71" s="14">
        <v>215</v>
      </c>
      <c r="AA71" s="15">
        <v>36</v>
      </c>
      <c r="AB71" s="14">
        <v>60</v>
      </c>
      <c r="AC71" s="15">
        <v>5553</v>
      </c>
      <c r="AD71" s="14">
        <v>2160</v>
      </c>
      <c r="AE71" s="15">
        <v>2263</v>
      </c>
      <c r="AF71" s="14">
        <v>961</v>
      </c>
      <c r="AG71" s="15">
        <v>2491</v>
      </c>
      <c r="AH71" s="14">
        <v>1285</v>
      </c>
      <c r="AI71" s="15">
        <v>2934</v>
      </c>
      <c r="AJ71" s="14">
        <v>1362</v>
      </c>
      <c r="AK71" s="15">
        <v>10744</v>
      </c>
      <c r="AL71" s="14">
        <v>2614</v>
      </c>
      <c r="AM71" s="15">
        <v>2930</v>
      </c>
      <c r="AN71" s="14">
        <v>1447</v>
      </c>
      <c r="AO71" s="15">
        <v>2702</v>
      </c>
      <c r="AP71" s="14">
        <v>1000</v>
      </c>
      <c r="AQ71" s="15">
        <v>2498</v>
      </c>
      <c r="AR71" s="14">
        <v>852</v>
      </c>
      <c r="AS71" s="15">
        <v>1328</v>
      </c>
      <c r="AT71" s="14">
        <v>997</v>
      </c>
      <c r="AU71" s="15">
        <v>724</v>
      </c>
      <c r="AV71" s="14">
        <v>442</v>
      </c>
      <c r="AW71" s="15">
        <v>616</v>
      </c>
      <c r="AX71" s="14">
        <v>593</v>
      </c>
      <c r="AY71" s="15">
        <v>3007</v>
      </c>
      <c r="AZ71" s="14">
        <v>1288</v>
      </c>
      <c r="BA71" s="15">
        <v>1961</v>
      </c>
      <c r="BB71" s="14">
        <v>1083</v>
      </c>
      <c r="BC71" s="15">
        <v>9598</v>
      </c>
      <c r="BD71" s="14">
        <v>3471</v>
      </c>
      <c r="BE71" s="15">
        <v>8570</v>
      </c>
      <c r="BF71" s="14">
        <v>3050</v>
      </c>
      <c r="BG71" s="15">
        <v>293</v>
      </c>
      <c r="BH71" s="14">
        <v>215</v>
      </c>
      <c r="BI71" s="15">
        <v>2595</v>
      </c>
      <c r="BJ71" s="14">
        <v>1099</v>
      </c>
      <c r="BK71" s="15">
        <v>1118</v>
      </c>
      <c r="BL71" s="14">
        <v>536</v>
      </c>
      <c r="BM71" s="15">
        <v>2293</v>
      </c>
      <c r="BN71" s="14">
        <v>1037</v>
      </c>
      <c r="BO71" s="15">
        <v>6712</v>
      </c>
      <c r="BP71" s="14">
        <v>2202</v>
      </c>
      <c r="BQ71" s="15">
        <v>510</v>
      </c>
      <c r="BR71" s="14">
        <v>443</v>
      </c>
      <c r="BS71" s="15">
        <v>2564</v>
      </c>
      <c r="BT71" s="14">
        <v>1085</v>
      </c>
      <c r="BU71" s="15">
        <v>6946</v>
      </c>
      <c r="BV71" s="14">
        <v>1907</v>
      </c>
      <c r="BW71" s="15">
        <v>7402</v>
      </c>
      <c r="BX71" s="14">
        <v>2615</v>
      </c>
      <c r="BY71" s="15">
        <v>2721</v>
      </c>
      <c r="BZ71" s="14">
        <v>939</v>
      </c>
      <c r="CA71" s="15">
        <v>877</v>
      </c>
      <c r="CB71" s="14">
        <v>444</v>
      </c>
      <c r="CC71" s="15">
        <v>7906</v>
      </c>
      <c r="CD71" s="14">
        <v>2239</v>
      </c>
      <c r="CE71" s="15">
        <v>1626</v>
      </c>
      <c r="CF71" s="14">
        <v>838</v>
      </c>
      <c r="CG71" s="15">
        <v>8587</v>
      </c>
      <c r="CH71" s="14">
        <v>3200</v>
      </c>
      <c r="CI71" s="15">
        <v>4280</v>
      </c>
      <c r="CJ71" s="14">
        <v>1395</v>
      </c>
      <c r="CK71" s="15">
        <v>614</v>
      </c>
      <c r="CL71" s="14">
        <v>687</v>
      </c>
      <c r="CM71" s="15">
        <v>1070</v>
      </c>
      <c r="CN71" s="14">
        <v>573</v>
      </c>
      <c r="CO71" s="15">
        <v>1472</v>
      </c>
      <c r="CP71" s="14">
        <v>776</v>
      </c>
      <c r="CQ71" s="15">
        <v>5075</v>
      </c>
      <c r="CR71" s="14">
        <v>1919</v>
      </c>
      <c r="CS71" s="15">
        <v>14788</v>
      </c>
      <c r="CT71" s="14">
        <v>3541</v>
      </c>
      <c r="CU71" s="15">
        <v>5916</v>
      </c>
      <c r="CV71" s="14">
        <v>1789</v>
      </c>
      <c r="CW71" s="15">
        <v>207</v>
      </c>
      <c r="CX71" s="14">
        <v>291</v>
      </c>
      <c r="CY71" s="15">
        <v>2763</v>
      </c>
      <c r="CZ71" s="14">
        <v>1031</v>
      </c>
      <c r="DA71" s="15">
        <v>13247</v>
      </c>
      <c r="DB71" s="14">
        <v>2448</v>
      </c>
      <c r="DC71" s="15">
        <v>765</v>
      </c>
      <c r="DD71" s="14">
        <v>734</v>
      </c>
      <c r="DE71" s="15">
        <v>3765</v>
      </c>
      <c r="DF71" s="14">
        <v>1168</v>
      </c>
      <c r="DG71" s="15">
        <v>2786</v>
      </c>
      <c r="DH71" s="14">
        <v>1401</v>
      </c>
      <c r="DI71" s="15">
        <v>1791</v>
      </c>
      <c r="DJ71" s="14">
        <v>1662</v>
      </c>
    </row>
    <row r="72" spans="9:114" x14ac:dyDescent="0.25">
      <c r="I72" s="16">
        <v>76948</v>
      </c>
      <c r="J72" s="17">
        <v>7223</v>
      </c>
      <c r="K72" s="15">
        <v>374</v>
      </c>
      <c r="L72" s="14">
        <v>293</v>
      </c>
      <c r="M72" s="13">
        <v>855</v>
      </c>
      <c r="N72" s="14">
        <v>906</v>
      </c>
      <c r="O72" s="15">
        <v>1677</v>
      </c>
      <c r="P72" s="14">
        <v>954</v>
      </c>
      <c r="Q72" s="18" t="s">
        <v>60</v>
      </c>
      <c r="R72" s="14" t="s">
        <v>60</v>
      </c>
      <c r="S72" s="13">
        <v>3525</v>
      </c>
      <c r="T72" s="14">
        <v>1202</v>
      </c>
      <c r="U72" s="15">
        <v>603</v>
      </c>
      <c r="V72" s="14">
        <v>369</v>
      </c>
      <c r="W72" s="15">
        <v>185</v>
      </c>
      <c r="X72" s="14">
        <v>264</v>
      </c>
      <c r="Y72" s="15">
        <v>0</v>
      </c>
      <c r="Z72" s="14">
        <v>184</v>
      </c>
      <c r="AA72" s="15">
        <v>205</v>
      </c>
      <c r="AB72" s="14">
        <v>232</v>
      </c>
      <c r="AC72" s="15">
        <v>2682</v>
      </c>
      <c r="AD72" s="14">
        <v>1052</v>
      </c>
      <c r="AE72" s="15">
        <v>1525</v>
      </c>
      <c r="AF72" s="14">
        <v>1006</v>
      </c>
      <c r="AG72" s="15">
        <v>0</v>
      </c>
      <c r="AH72" s="14">
        <v>184</v>
      </c>
      <c r="AI72" s="15">
        <v>0</v>
      </c>
      <c r="AJ72" s="14">
        <v>184</v>
      </c>
      <c r="AK72" s="15">
        <v>3576</v>
      </c>
      <c r="AL72" s="14">
        <v>1286</v>
      </c>
      <c r="AM72" s="15">
        <v>1172</v>
      </c>
      <c r="AN72" s="14">
        <v>587</v>
      </c>
      <c r="AO72" s="15">
        <v>409</v>
      </c>
      <c r="AP72" s="14">
        <v>330</v>
      </c>
      <c r="AQ72" s="15">
        <v>1033</v>
      </c>
      <c r="AR72" s="14">
        <v>539</v>
      </c>
      <c r="AS72" s="15">
        <v>1310</v>
      </c>
      <c r="AT72" s="14">
        <v>884</v>
      </c>
      <c r="AU72" s="15">
        <v>3953</v>
      </c>
      <c r="AV72" s="14">
        <v>1340</v>
      </c>
      <c r="AW72" s="15">
        <v>17</v>
      </c>
      <c r="AX72" s="14">
        <v>39</v>
      </c>
      <c r="AY72" s="15">
        <v>169</v>
      </c>
      <c r="AZ72" s="14">
        <v>209</v>
      </c>
      <c r="BA72" s="15">
        <v>254</v>
      </c>
      <c r="BB72" s="14">
        <v>262</v>
      </c>
      <c r="BC72" s="15">
        <v>1283</v>
      </c>
      <c r="BD72" s="14">
        <v>607</v>
      </c>
      <c r="BE72" s="15">
        <v>295</v>
      </c>
      <c r="BF72" s="14">
        <v>285</v>
      </c>
      <c r="BG72" s="15">
        <v>3689</v>
      </c>
      <c r="BH72" s="14">
        <v>2537</v>
      </c>
      <c r="BI72" s="15">
        <v>9105</v>
      </c>
      <c r="BJ72" s="14">
        <v>2916</v>
      </c>
      <c r="BK72" s="15">
        <v>258</v>
      </c>
      <c r="BL72" s="14">
        <v>293</v>
      </c>
      <c r="BM72" s="15">
        <v>166</v>
      </c>
      <c r="BN72" s="14">
        <v>201</v>
      </c>
      <c r="BO72" s="15">
        <v>121</v>
      </c>
      <c r="BP72" s="14">
        <v>161</v>
      </c>
      <c r="BQ72" s="15">
        <v>0</v>
      </c>
      <c r="BR72" s="14">
        <v>184</v>
      </c>
      <c r="BS72" s="15">
        <v>157</v>
      </c>
      <c r="BT72" s="14">
        <v>171</v>
      </c>
      <c r="BU72" s="15">
        <v>547</v>
      </c>
      <c r="BV72" s="14">
        <v>482</v>
      </c>
      <c r="BW72" s="15">
        <v>2262</v>
      </c>
      <c r="BX72" s="14">
        <v>1559</v>
      </c>
      <c r="BY72" s="15">
        <v>3057</v>
      </c>
      <c r="BZ72" s="14">
        <v>2173</v>
      </c>
      <c r="CA72" s="15">
        <v>0</v>
      </c>
      <c r="CB72" s="14">
        <v>184</v>
      </c>
      <c r="CC72" s="15">
        <v>1135</v>
      </c>
      <c r="CD72" s="14">
        <v>626</v>
      </c>
      <c r="CE72" s="15">
        <v>9938</v>
      </c>
      <c r="CF72" s="14">
        <v>2371</v>
      </c>
      <c r="CG72" s="15">
        <v>193</v>
      </c>
      <c r="CH72" s="14">
        <v>179</v>
      </c>
      <c r="CI72" s="15">
        <v>516</v>
      </c>
      <c r="CJ72" s="14">
        <v>475</v>
      </c>
      <c r="CK72" s="15">
        <v>59</v>
      </c>
      <c r="CL72" s="14">
        <v>103</v>
      </c>
      <c r="CM72" s="15">
        <v>52</v>
      </c>
      <c r="CN72" s="14">
        <v>71</v>
      </c>
      <c r="CO72" s="15">
        <v>673</v>
      </c>
      <c r="CP72" s="14">
        <v>588</v>
      </c>
      <c r="CQ72" s="15">
        <v>4195</v>
      </c>
      <c r="CR72" s="14">
        <v>1127</v>
      </c>
      <c r="CS72" s="15">
        <v>11767</v>
      </c>
      <c r="CT72" s="14">
        <v>2841</v>
      </c>
      <c r="CU72" s="15">
        <v>269</v>
      </c>
      <c r="CV72" s="14">
        <v>216</v>
      </c>
      <c r="CW72" s="15">
        <v>0</v>
      </c>
      <c r="CX72" s="14">
        <v>184</v>
      </c>
      <c r="CY72" s="15">
        <v>1159</v>
      </c>
      <c r="CZ72" s="14">
        <v>824</v>
      </c>
      <c r="DA72" s="15">
        <v>251</v>
      </c>
      <c r="DB72" s="14">
        <v>226</v>
      </c>
      <c r="DC72" s="15">
        <v>84</v>
      </c>
      <c r="DD72" s="14">
        <v>148</v>
      </c>
      <c r="DE72" s="15">
        <v>695</v>
      </c>
      <c r="DF72" s="14">
        <v>467</v>
      </c>
      <c r="DG72" s="15">
        <v>1498</v>
      </c>
      <c r="DH72" s="14">
        <v>2098</v>
      </c>
      <c r="DI72" s="15">
        <v>0</v>
      </c>
      <c r="DJ72" s="14">
        <v>184</v>
      </c>
    </row>
    <row r="73" spans="9:114" x14ac:dyDescent="0.25">
      <c r="I73" s="16">
        <v>493641</v>
      </c>
      <c r="J73" s="17">
        <v>19652</v>
      </c>
      <c r="K73" s="15">
        <v>2509</v>
      </c>
      <c r="L73" s="14">
        <v>983</v>
      </c>
      <c r="M73" s="13">
        <v>6995</v>
      </c>
      <c r="N73" s="14">
        <v>1948</v>
      </c>
      <c r="O73" s="15">
        <v>38916</v>
      </c>
      <c r="P73" s="14">
        <v>5726</v>
      </c>
      <c r="Q73" s="15">
        <v>3472</v>
      </c>
      <c r="R73" s="14">
        <v>1354</v>
      </c>
      <c r="S73" s="18" t="s">
        <v>60</v>
      </c>
      <c r="T73" s="14" t="s">
        <v>60</v>
      </c>
      <c r="U73" s="13">
        <v>15150</v>
      </c>
      <c r="V73" s="14">
        <v>2598</v>
      </c>
      <c r="W73" s="15">
        <v>6764</v>
      </c>
      <c r="X73" s="14">
        <v>2194</v>
      </c>
      <c r="Y73" s="15">
        <v>474</v>
      </c>
      <c r="Z73" s="14">
        <v>413</v>
      </c>
      <c r="AA73" s="15">
        <v>3199</v>
      </c>
      <c r="AB73" s="14">
        <v>1061</v>
      </c>
      <c r="AC73" s="15">
        <v>21004</v>
      </c>
      <c r="AD73" s="14">
        <v>3394</v>
      </c>
      <c r="AE73" s="15">
        <v>10790</v>
      </c>
      <c r="AF73" s="14">
        <v>2458</v>
      </c>
      <c r="AG73" s="15">
        <v>11906</v>
      </c>
      <c r="AH73" s="14">
        <v>2720</v>
      </c>
      <c r="AI73" s="15">
        <v>5331</v>
      </c>
      <c r="AJ73" s="14">
        <v>1519</v>
      </c>
      <c r="AK73" s="15">
        <v>21251</v>
      </c>
      <c r="AL73" s="14">
        <v>3521</v>
      </c>
      <c r="AM73" s="15">
        <v>5891</v>
      </c>
      <c r="AN73" s="14">
        <v>1629</v>
      </c>
      <c r="AO73" s="15">
        <v>2284</v>
      </c>
      <c r="AP73" s="14">
        <v>987</v>
      </c>
      <c r="AQ73" s="15">
        <v>2790</v>
      </c>
      <c r="AR73" s="14">
        <v>984</v>
      </c>
      <c r="AS73" s="15">
        <v>3763</v>
      </c>
      <c r="AT73" s="14">
        <v>1292</v>
      </c>
      <c r="AU73" s="15">
        <v>5180</v>
      </c>
      <c r="AV73" s="14">
        <v>1525</v>
      </c>
      <c r="AW73" s="15">
        <v>1256</v>
      </c>
      <c r="AX73" s="14">
        <v>951</v>
      </c>
      <c r="AY73" s="15">
        <v>7902</v>
      </c>
      <c r="AZ73" s="14">
        <v>2347</v>
      </c>
      <c r="BA73" s="15">
        <v>14356</v>
      </c>
      <c r="BB73" s="14">
        <v>2682</v>
      </c>
      <c r="BC73" s="15">
        <v>8921</v>
      </c>
      <c r="BD73" s="14">
        <v>2069</v>
      </c>
      <c r="BE73" s="15">
        <v>8539</v>
      </c>
      <c r="BF73" s="14">
        <v>1942</v>
      </c>
      <c r="BG73" s="15">
        <v>2556</v>
      </c>
      <c r="BH73" s="14">
        <v>993</v>
      </c>
      <c r="BI73" s="15">
        <v>6729</v>
      </c>
      <c r="BJ73" s="14">
        <v>1595</v>
      </c>
      <c r="BK73" s="15">
        <v>3060</v>
      </c>
      <c r="BL73" s="14">
        <v>1275</v>
      </c>
      <c r="BM73" s="15">
        <v>3302</v>
      </c>
      <c r="BN73" s="14">
        <v>2007</v>
      </c>
      <c r="BO73" s="15">
        <v>27968</v>
      </c>
      <c r="BP73" s="14">
        <v>3857</v>
      </c>
      <c r="BQ73" s="15">
        <v>1327</v>
      </c>
      <c r="BR73" s="14">
        <v>615</v>
      </c>
      <c r="BS73" s="15">
        <v>12057</v>
      </c>
      <c r="BT73" s="14">
        <v>2447</v>
      </c>
      <c r="BU73" s="15">
        <v>5921</v>
      </c>
      <c r="BV73" s="14">
        <v>2240</v>
      </c>
      <c r="BW73" s="15">
        <v>31261</v>
      </c>
      <c r="BX73" s="14">
        <v>5136</v>
      </c>
      <c r="BY73" s="15">
        <v>11195</v>
      </c>
      <c r="BZ73" s="14">
        <v>2366</v>
      </c>
      <c r="CA73" s="15">
        <v>1827</v>
      </c>
      <c r="CB73" s="14">
        <v>1272</v>
      </c>
      <c r="CC73" s="15">
        <v>10653</v>
      </c>
      <c r="CD73" s="14">
        <v>2869</v>
      </c>
      <c r="CE73" s="15">
        <v>6671</v>
      </c>
      <c r="CF73" s="14">
        <v>1795</v>
      </c>
      <c r="CG73" s="15">
        <v>22724</v>
      </c>
      <c r="CH73" s="14">
        <v>3271</v>
      </c>
      <c r="CI73" s="15">
        <v>10466</v>
      </c>
      <c r="CJ73" s="14">
        <v>2392</v>
      </c>
      <c r="CK73" s="15">
        <v>1648</v>
      </c>
      <c r="CL73" s="14">
        <v>697</v>
      </c>
      <c r="CM73" s="15">
        <v>4110</v>
      </c>
      <c r="CN73" s="14">
        <v>1492</v>
      </c>
      <c r="CO73" s="15">
        <v>826</v>
      </c>
      <c r="CP73" s="14">
        <v>674</v>
      </c>
      <c r="CQ73" s="15">
        <v>5802</v>
      </c>
      <c r="CR73" s="14">
        <v>1880</v>
      </c>
      <c r="CS73" s="15">
        <v>43005</v>
      </c>
      <c r="CT73" s="14">
        <v>5519</v>
      </c>
      <c r="CU73" s="15">
        <v>12172</v>
      </c>
      <c r="CV73" s="14">
        <v>2457</v>
      </c>
      <c r="CW73" s="15">
        <v>544</v>
      </c>
      <c r="CX73" s="14">
        <v>345</v>
      </c>
      <c r="CY73" s="15">
        <v>15625</v>
      </c>
      <c r="CZ73" s="14">
        <v>3457</v>
      </c>
      <c r="DA73" s="15">
        <v>34569</v>
      </c>
      <c r="DB73" s="14">
        <v>4540</v>
      </c>
      <c r="DC73" s="15">
        <v>1413</v>
      </c>
      <c r="DD73" s="14">
        <v>1135</v>
      </c>
      <c r="DE73" s="15">
        <v>5681</v>
      </c>
      <c r="DF73" s="14">
        <v>1716</v>
      </c>
      <c r="DG73" s="15">
        <v>1886</v>
      </c>
      <c r="DH73" s="14">
        <v>1117</v>
      </c>
      <c r="DI73" s="15">
        <v>2323</v>
      </c>
      <c r="DJ73" s="14">
        <v>1076</v>
      </c>
    </row>
    <row r="74" spans="9:114" x14ac:dyDescent="0.25">
      <c r="I74" s="16">
        <v>205060</v>
      </c>
      <c r="J74" s="17">
        <v>11855</v>
      </c>
      <c r="K74" s="15">
        <v>3108</v>
      </c>
      <c r="L74" s="14">
        <v>1610</v>
      </c>
      <c r="M74" s="13">
        <v>3457</v>
      </c>
      <c r="N74" s="14">
        <v>1695</v>
      </c>
      <c r="O74" s="15">
        <v>10589</v>
      </c>
      <c r="P74" s="14">
        <v>2218</v>
      </c>
      <c r="Q74" s="15">
        <v>1043</v>
      </c>
      <c r="R74" s="14">
        <v>580</v>
      </c>
      <c r="S74" s="15">
        <v>22152</v>
      </c>
      <c r="T74" s="14">
        <v>4260</v>
      </c>
      <c r="U74" s="18" t="s">
        <v>60</v>
      </c>
      <c r="V74" s="14" t="s">
        <v>60</v>
      </c>
      <c r="W74" s="13">
        <v>1317</v>
      </c>
      <c r="X74" s="14">
        <v>677</v>
      </c>
      <c r="Y74" s="15">
        <v>70</v>
      </c>
      <c r="Z74" s="14">
        <v>133</v>
      </c>
      <c r="AA74" s="15">
        <v>488</v>
      </c>
      <c r="AB74" s="14">
        <v>387</v>
      </c>
      <c r="AC74" s="15">
        <v>8615</v>
      </c>
      <c r="AD74" s="14">
        <v>1907</v>
      </c>
      <c r="AE74" s="15">
        <v>5834</v>
      </c>
      <c r="AF74" s="14">
        <v>2086</v>
      </c>
      <c r="AG74" s="15">
        <v>2536</v>
      </c>
      <c r="AH74" s="14">
        <v>1020</v>
      </c>
      <c r="AI74" s="15">
        <v>2660</v>
      </c>
      <c r="AJ74" s="14">
        <v>1468</v>
      </c>
      <c r="AK74" s="15">
        <v>6374</v>
      </c>
      <c r="AL74" s="14">
        <v>1617</v>
      </c>
      <c r="AM74" s="15">
        <v>4336</v>
      </c>
      <c r="AN74" s="14">
        <v>2128</v>
      </c>
      <c r="AO74" s="15">
        <v>2776</v>
      </c>
      <c r="AP74" s="14">
        <v>1486</v>
      </c>
      <c r="AQ74" s="15">
        <v>5283</v>
      </c>
      <c r="AR74" s="14">
        <v>1843</v>
      </c>
      <c r="AS74" s="15">
        <v>2500</v>
      </c>
      <c r="AT74" s="14">
        <v>2135</v>
      </c>
      <c r="AU74" s="15">
        <v>5048</v>
      </c>
      <c r="AV74" s="14">
        <v>2468</v>
      </c>
      <c r="AW74" s="15">
        <v>20</v>
      </c>
      <c r="AX74" s="14">
        <v>40</v>
      </c>
      <c r="AY74" s="15">
        <v>2844</v>
      </c>
      <c r="AZ74" s="14">
        <v>1196</v>
      </c>
      <c r="BA74" s="15">
        <v>5939</v>
      </c>
      <c r="BB74" s="14">
        <v>2238</v>
      </c>
      <c r="BC74" s="15">
        <v>3343</v>
      </c>
      <c r="BD74" s="14">
        <v>1293</v>
      </c>
      <c r="BE74" s="15">
        <v>2992</v>
      </c>
      <c r="BF74" s="14">
        <v>909</v>
      </c>
      <c r="BG74" s="15">
        <v>835</v>
      </c>
      <c r="BH74" s="14">
        <v>522</v>
      </c>
      <c r="BI74" s="15">
        <v>3771</v>
      </c>
      <c r="BJ74" s="14">
        <v>1262</v>
      </c>
      <c r="BK74" s="15">
        <v>2021</v>
      </c>
      <c r="BL74" s="14">
        <v>923</v>
      </c>
      <c r="BM74" s="15">
        <v>4472</v>
      </c>
      <c r="BN74" s="14">
        <v>1729</v>
      </c>
      <c r="BO74" s="15">
        <v>3789</v>
      </c>
      <c r="BP74" s="14">
        <v>1433</v>
      </c>
      <c r="BQ74" s="15">
        <v>679</v>
      </c>
      <c r="BR74" s="14">
        <v>308</v>
      </c>
      <c r="BS74" s="15">
        <v>2464</v>
      </c>
      <c r="BT74" s="14">
        <v>1179</v>
      </c>
      <c r="BU74" s="15">
        <v>6520</v>
      </c>
      <c r="BV74" s="14">
        <v>1851</v>
      </c>
      <c r="BW74" s="15">
        <v>7250</v>
      </c>
      <c r="BX74" s="14">
        <v>2604</v>
      </c>
      <c r="BY74" s="15">
        <v>4378</v>
      </c>
      <c r="BZ74" s="14">
        <v>1678</v>
      </c>
      <c r="CA74" s="15">
        <v>1918</v>
      </c>
      <c r="CB74" s="14">
        <v>1071</v>
      </c>
      <c r="CC74" s="15">
        <v>4533</v>
      </c>
      <c r="CD74" s="14">
        <v>2214</v>
      </c>
      <c r="CE74" s="15">
        <v>4582</v>
      </c>
      <c r="CF74" s="14">
        <v>2102</v>
      </c>
      <c r="CG74" s="15">
        <v>2419</v>
      </c>
      <c r="CH74" s="14">
        <v>836</v>
      </c>
      <c r="CI74" s="15">
        <v>3950</v>
      </c>
      <c r="CJ74" s="14">
        <v>1530</v>
      </c>
      <c r="CK74" s="15">
        <v>137</v>
      </c>
      <c r="CL74" s="14">
        <v>153</v>
      </c>
      <c r="CM74" s="15">
        <v>2383</v>
      </c>
      <c r="CN74" s="14">
        <v>1479</v>
      </c>
      <c r="CO74" s="15">
        <v>756</v>
      </c>
      <c r="CP74" s="14">
        <v>553</v>
      </c>
      <c r="CQ74" s="15">
        <v>2535</v>
      </c>
      <c r="CR74" s="14">
        <v>1135</v>
      </c>
      <c r="CS74" s="15">
        <v>17355</v>
      </c>
      <c r="CT74" s="14">
        <v>3352</v>
      </c>
      <c r="CU74" s="15">
        <v>6398</v>
      </c>
      <c r="CV74" s="14">
        <v>2035</v>
      </c>
      <c r="CW74" s="15">
        <v>503</v>
      </c>
      <c r="CX74" s="14">
        <v>371</v>
      </c>
      <c r="CY74" s="15">
        <v>3796</v>
      </c>
      <c r="CZ74" s="14">
        <v>1568</v>
      </c>
      <c r="DA74" s="15">
        <v>4853</v>
      </c>
      <c r="DB74" s="14">
        <v>1401</v>
      </c>
      <c r="DC74" s="15">
        <v>837</v>
      </c>
      <c r="DD74" s="14">
        <v>429</v>
      </c>
      <c r="DE74" s="15">
        <v>3000</v>
      </c>
      <c r="DF74" s="14">
        <v>1006</v>
      </c>
      <c r="DG74" s="15">
        <v>5602</v>
      </c>
      <c r="DH74" s="14">
        <v>2808</v>
      </c>
      <c r="DI74" s="15">
        <v>1144</v>
      </c>
      <c r="DJ74" s="14">
        <v>903</v>
      </c>
    </row>
    <row r="75" spans="9:114" x14ac:dyDescent="0.25">
      <c r="I75" s="16">
        <v>80311</v>
      </c>
      <c r="J75" s="17">
        <v>6574</v>
      </c>
      <c r="K75" s="15">
        <v>46</v>
      </c>
      <c r="L75" s="14">
        <v>103</v>
      </c>
      <c r="M75" s="13">
        <v>439</v>
      </c>
      <c r="N75" s="14">
        <v>511</v>
      </c>
      <c r="O75" s="15">
        <v>3167</v>
      </c>
      <c r="P75" s="14">
        <v>3028</v>
      </c>
      <c r="Q75" s="15">
        <v>200</v>
      </c>
      <c r="R75" s="14">
        <v>228</v>
      </c>
      <c r="S75" s="15">
        <v>3161</v>
      </c>
      <c r="T75" s="14">
        <v>1015</v>
      </c>
      <c r="U75" s="15">
        <v>367</v>
      </c>
      <c r="V75" s="14">
        <v>341</v>
      </c>
      <c r="W75" s="18" t="s">
        <v>60</v>
      </c>
      <c r="X75" s="14" t="s">
        <v>60</v>
      </c>
      <c r="Y75" s="13">
        <v>22</v>
      </c>
      <c r="Z75" s="14">
        <v>36</v>
      </c>
      <c r="AA75" s="15">
        <v>288</v>
      </c>
      <c r="AB75" s="14">
        <v>230</v>
      </c>
      <c r="AC75" s="15">
        <v>6578</v>
      </c>
      <c r="AD75" s="14">
        <v>1844</v>
      </c>
      <c r="AE75" s="15">
        <v>1702</v>
      </c>
      <c r="AF75" s="14">
        <v>971</v>
      </c>
      <c r="AG75" s="15">
        <v>408</v>
      </c>
      <c r="AH75" s="14">
        <v>476</v>
      </c>
      <c r="AI75" s="15">
        <v>97</v>
      </c>
      <c r="AJ75" s="14">
        <v>155</v>
      </c>
      <c r="AK75" s="15">
        <v>912</v>
      </c>
      <c r="AL75" s="14">
        <v>583</v>
      </c>
      <c r="AM75" s="15">
        <v>53</v>
      </c>
      <c r="AN75" s="14">
        <v>90</v>
      </c>
      <c r="AO75" s="15">
        <v>0</v>
      </c>
      <c r="AP75" s="14">
        <v>193</v>
      </c>
      <c r="AQ75" s="15">
        <v>0</v>
      </c>
      <c r="AR75" s="14">
        <v>193</v>
      </c>
      <c r="AS75" s="15">
        <v>124</v>
      </c>
      <c r="AT75" s="14">
        <v>159</v>
      </c>
      <c r="AU75" s="15">
        <v>909</v>
      </c>
      <c r="AV75" s="14">
        <v>733</v>
      </c>
      <c r="AW75" s="15">
        <v>1224</v>
      </c>
      <c r="AX75" s="14">
        <v>696</v>
      </c>
      <c r="AY75" s="15">
        <v>1752</v>
      </c>
      <c r="AZ75" s="14">
        <v>748</v>
      </c>
      <c r="BA75" s="15">
        <v>8743</v>
      </c>
      <c r="BB75" s="14">
        <v>1587</v>
      </c>
      <c r="BC75" s="15">
        <v>753</v>
      </c>
      <c r="BD75" s="14">
        <v>539</v>
      </c>
      <c r="BE75" s="15">
        <v>605</v>
      </c>
      <c r="BF75" s="14">
        <v>564</v>
      </c>
      <c r="BG75" s="15">
        <v>276</v>
      </c>
      <c r="BH75" s="14">
        <v>293</v>
      </c>
      <c r="BI75" s="15">
        <v>358</v>
      </c>
      <c r="BJ75" s="14">
        <v>330</v>
      </c>
      <c r="BK75" s="15">
        <v>50</v>
      </c>
      <c r="BL75" s="14">
        <v>91</v>
      </c>
      <c r="BM75" s="15">
        <v>45</v>
      </c>
      <c r="BN75" s="14">
        <v>74</v>
      </c>
      <c r="BO75" s="15">
        <v>172</v>
      </c>
      <c r="BP75" s="14">
        <v>166</v>
      </c>
      <c r="BQ75" s="15">
        <v>1009</v>
      </c>
      <c r="BR75" s="14">
        <v>551</v>
      </c>
      <c r="BS75" s="15">
        <v>5665</v>
      </c>
      <c r="BT75" s="14">
        <v>1490</v>
      </c>
      <c r="BU75" s="15">
        <v>444</v>
      </c>
      <c r="BV75" s="14">
        <v>450</v>
      </c>
      <c r="BW75" s="15">
        <v>23310</v>
      </c>
      <c r="BX75" s="14">
        <v>3774</v>
      </c>
      <c r="BY75" s="15">
        <v>3379</v>
      </c>
      <c r="BZ75" s="14">
        <v>1609</v>
      </c>
      <c r="CA75" s="15">
        <v>0</v>
      </c>
      <c r="CB75" s="14">
        <v>193</v>
      </c>
      <c r="CC75" s="15">
        <v>287</v>
      </c>
      <c r="CD75" s="14">
        <v>254</v>
      </c>
      <c r="CE75" s="15">
        <v>415</v>
      </c>
      <c r="CF75" s="14">
        <v>411</v>
      </c>
      <c r="CG75" s="15">
        <v>35</v>
      </c>
      <c r="CH75" s="14">
        <v>58</v>
      </c>
      <c r="CI75" s="15">
        <v>2214</v>
      </c>
      <c r="CJ75" s="14">
        <v>1037</v>
      </c>
      <c r="CK75" s="15">
        <v>1558</v>
      </c>
      <c r="CL75" s="14">
        <v>689</v>
      </c>
      <c r="CM75" s="15">
        <v>940</v>
      </c>
      <c r="CN75" s="14">
        <v>665</v>
      </c>
      <c r="CO75" s="15">
        <v>0</v>
      </c>
      <c r="CP75" s="14">
        <v>193</v>
      </c>
      <c r="CQ75" s="15">
        <v>260</v>
      </c>
      <c r="CR75" s="14">
        <v>216</v>
      </c>
      <c r="CS75" s="15">
        <v>3279</v>
      </c>
      <c r="CT75" s="14">
        <v>1568</v>
      </c>
      <c r="CU75" s="15">
        <v>45</v>
      </c>
      <c r="CV75" s="14">
        <v>69</v>
      </c>
      <c r="CW75" s="15">
        <v>709</v>
      </c>
      <c r="CX75" s="14">
        <v>556</v>
      </c>
      <c r="CY75" s="15">
        <v>1729</v>
      </c>
      <c r="CZ75" s="14">
        <v>707</v>
      </c>
      <c r="DA75" s="15">
        <v>1593</v>
      </c>
      <c r="DB75" s="14">
        <v>1274</v>
      </c>
      <c r="DC75" s="15">
        <v>174</v>
      </c>
      <c r="DD75" s="14">
        <v>293</v>
      </c>
      <c r="DE75" s="15">
        <v>711</v>
      </c>
      <c r="DF75" s="14">
        <v>684</v>
      </c>
      <c r="DG75" s="15">
        <v>104</v>
      </c>
      <c r="DH75" s="14">
        <v>120</v>
      </c>
      <c r="DI75" s="15">
        <v>3228</v>
      </c>
      <c r="DJ75" s="14">
        <v>1540</v>
      </c>
    </row>
    <row r="76" spans="9:114" x14ac:dyDescent="0.25">
      <c r="I76" s="16">
        <v>34757</v>
      </c>
      <c r="J76" s="17">
        <v>4691</v>
      </c>
      <c r="K76" s="15">
        <v>119</v>
      </c>
      <c r="L76" s="14">
        <v>164</v>
      </c>
      <c r="M76" s="13">
        <v>692</v>
      </c>
      <c r="N76" s="14">
        <v>920</v>
      </c>
      <c r="O76" s="15">
        <v>188</v>
      </c>
      <c r="P76" s="14">
        <v>227</v>
      </c>
      <c r="Q76" s="15">
        <v>0</v>
      </c>
      <c r="R76" s="14">
        <v>182</v>
      </c>
      <c r="S76" s="15">
        <v>2221</v>
      </c>
      <c r="T76" s="14">
        <v>2189</v>
      </c>
      <c r="U76" s="15">
        <v>0</v>
      </c>
      <c r="V76" s="14">
        <v>182</v>
      </c>
      <c r="W76" s="15">
        <v>1489</v>
      </c>
      <c r="X76" s="14">
        <v>679</v>
      </c>
      <c r="Y76" s="18" t="s">
        <v>60</v>
      </c>
      <c r="Z76" s="14" t="s">
        <v>60</v>
      </c>
      <c r="AA76" s="13">
        <v>11</v>
      </c>
      <c r="AB76" s="14">
        <v>21</v>
      </c>
      <c r="AC76" s="15">
        <v>715</v>
      </c>
      <c r="AD76" s="14">
        <v>481</v>
      </c>
      <c r="AE76" s="15">
        <v>179</v>
      </c>
      <c r="AF76" s="14">
        <v>224</v>
      </c>
      <c r="AG76" s="15">
        <v>0</v>
      </c>
      <c r="AH76" s="14">
        <v>182</v>
      </c>
      <c r="AI76" s="15">
        <v>32</v>
      </c>
      <c r="AJ76" s="14">
        <v>51</v>
      </c>
      <c r="AK76" s="15">
        <v>567</v>
      </c>
      <c r="AL76" s="14">
        <v>468</v>
      </c>
      <c r="AM76" s="15">
        <v>62</v>
      </c>
      <c r="AN76" s="14">
        <v>80</v>
      </c>
      <c r="AO76" s="15">
        <v>30</v>
      </c>
      <c r="AP76" s="14">
        <v>49</v>
      </c>
      <c r="AQ76" s="15">
        <v>113</v>
      </c>
      <c r="AR76" s="14">
        <v>190</v>
      </c>
      <c r="AS76" s="15">
        <v>0</v>
      </c>
      <c r="AT76" s="14">
        <v>182</v>
      </c>
      <c r="AU76" s="15">
        <v>178</v>
      </c>
      <c r="AV76" s="14">
        <v>266</v>
      </c>
      <c r="AW76" s="15">
        <v>0</v>
      </c>
      <c r="AX76" s="14">
        <v>182</v>
      </c>
      <c r="AY76" s="15">
        <v>5649</v>
      </c>
      <c r="AZ76" s="14">
        <v>1598</v>
      </c>
      <c r="BA76" s="15">
        <v>157</v>
      </c>
      <c r="BB76" s="14">
        <v>131</v>
      </c>
      <c r="BC76" s="15">
        <v>227</v>
      </c>
      <c r="BD76" s="14">
        <v>233</v>
      </c>
      <c r="BE76" s="15">
        <v>351</v>
      </c>
      <c r="BF76" s="14">
        <v>390</v>
      </c>
      <c r="BG76" s="15">
        <v>58</v>
      </c>
      <c r="BH76" s="14">
        <v>110</v>
      </c>
      <c r="BI76" s="15">
        <v>80</v>
      </c>
      <c r="BJ76" s="14">
        <v>138</v>
      </c>
      <c r="BK76" s="15">
        <v>0</v>
      </c>
      <c r="BL76" s="14">
        <v>182</v>
      </c>
      <c r="BM76" s="15">
        <v>91</v>
      </c>
      <c r="BN76" s="14">
        <v>116</v>
      </c>
      <c r="BO76" s="15">
        <v>572</v>
      </c>
      <c r="BP76" s="14">
        <v>474</v>
      </c>
      <c r="BQ76" s="15">
        <v>99</v>
      </c>
      <c r="BR76" s="14">
        <v>127</v>
      </c>
      <c r="BS76" s="15">
        <v>5846</v>
      </c>
      <c r="BT76" s="14">
        <v>2122</v>
      </c>
      <c r="BU76" s="15">
        <v>85</v>
      </c>
      <c r="BV76" s="14">
        <v>136</v>
      </c>
      <c r="BW76" s="15">
        <v>3566</v>
      </c>
      <c r="BX76" s="14">
        <v>1751</v>
      </c>
      <c r="BY76" s="15">
        <v>1349</v>
      </c>
      <c r="BZ76" s="14">
        <v>809</v>
      </c>
      <c r="CA76" s="15">
        <v>0</v>
      </c>
      <c r="CB76" s="14">
        <v>182</v>
      </c>
      <c r="CC76" s="15">
        <v>191</v>
      </c>
      <c r="CD76" s="14">
        <v>201</v>
      </c>
      <c r="CE76" s="15">
        <v>0</v>
      </c>
      <c r="CF76" s="14">
        <v>182</v>
      </c>
      <c r="CG76" s="15">
        <v>0</v>
      </c>
      <c r="CH76" s="14">
        <v>182</v>
      </c>
      <c r="CI76" s="15">
        <v>6828</v>
      </c>
      <c r="CJ76" s="14">
        <v>1815</v>
      </c>
      <c r="CK76" s="15">
        <v>135</v>
      </c>
      <c r="CL76" s="14">
        <v>185</v>
      </c>
      <c r="CM76" s="15">
        <v>298</v>
      </c>
      <c r="CN76" s="14">
        <v>235</v>
      </c>
      <c r="CO76" s="15">
        <v>0</v>
      </c>
      <c r="CP76" s="14">
        <v>182</v>
      </c>
      <c r="CQ76" s="15">
        <v>344</v>
      </c>
      <c r="CR76" s="14">
        <v>440</v>
      </c>
      <c r="CS76" s="15">
        <v>133</v>
      </c>
      <c r="CT76" s="14">
        <v>158</v>
      </c>
      <c r="CU76" s="15">
        <v>166</v>
      </c>
      <c r="CV76" s="14">
        <v>279</v>
      </c>
      <c r="CW76" s="15">
        <v>0</v>
      </c>
      <c r="CX76" s="14">
        <v>182</v>
      </c>
      <c r="CY76" s="15">
        <v>1746</v>
      </c>
      <c r="CZ76" s="14">
        <v>910</v>
      </c>
      <c r="DA76" s="15">
        <v>29</v>
      </c>
      <c r="DB76" s="14">
        <v>49</v>
      </c>
      <c r="DC76" s="15">
        <v>161</v>
      </c>
      <c r="DD76" s="14">
        <v>205</v>
      </c>
      <c r="DE76" s="15">
        <v>0</v>
      </c>
      <c r="DF76" s="14">
        <v>182</v>
      </c>
      <c r="DG76" s="15">
        <v>0</v>
      </c>
      <c r="DH76" s="14">
        <v>182</v>
      </c>
      <c r="DI76" s="15">
        <v>56</v>
      </c>
      <c r="DJ76" s="14">
        <v>90</v>
      </c>
    </row>
    <row r="77" spans="9:114" x14ac:dyDescent="0.25">
      <c r="I77" s="16">
        <v>53830</v>
      </c>
      <c r="J77" s="17">
        <v>5001</v>
      </c>
      <c r="K77" s="15">
        <v>79</v>
      </c>
      <c r="L77" s="14">
        <v>138</v>
      </c>
      <c r="M77" s="13">
        <v>1247</v>
      </c>
      <c r="N77" s="14">
        <v>715</v>
      </c>
      <c r="O77" s="15">
        <v>902</v>
      </c>
      <c r="P77" s="14">
        <v>646</v>
      </c>
      <c r="Q77" s="15">
        <v>35</v>
      </c>
      <c r="R77" s="14">
        <v>59</v>
      </c>
      <c r="S77" s="15">
        <v>4999</v>
      </c>
      <c r="T77" s="14">
        <v>2108</v>
      </c>
      <c r="U77" s="15">
        <v>677</v>
      </c>
      <c r="V77" s="14">
        <v>546</v>
      </c>
      <c r="W77" s="15">
        <v>618</v>
      </c>
      <c r="X77" s="14">
        <v>439</v>
      </c>
      <c r="Y77" s="15">
        <v>78</v>
      </c>
      <c r="Z77" s="14">
        <v>127</v>
      </c>
      <c r="AA77" s="18" t="s">
        <v>60</v>
      </c>
      <c r="AB77" s="14" t="s">
        <v>60</v>
      </c>
      <c r="AC77" s="13">
        <v>1705</v>
      </c>
      <c r="AD77" s="14">
        <v>661</v>
      </c>
      <c r="AE77" s="15">
        <v>1079</v>
      </c>
      <c r="AF77" s="14">
        <v>470</v>
      </c>
      <c r="AG77" s="15">
        <v>38</v>
      </c>
      <c r="AH77" s="14">
        <v>87</v>
      </c>
      <c r="AI77" s="15">
        <v>46</v>
      </c>
      <c r="AJ77" s="14">
        <v>75</v>
      </c>
      <c r="AK77" s="15">
        <v>795</v>
      </c>
      <c r="AL77" s="14">
        <v>446</v>
      </c>
      <c r="AM77" s="15">
        <v>469</v>
      </c>
      <c r="AN77" s="14">
        <v>379</v>
      </c>
      <c r="AO77" s="15">
        <v>133</v>
      </c>
      <c r="AP77" s="14">
        <v>221</v>
      </c>
      <c r="AQ77" s="15">
        <v>164</v>
      </c>
      <c r="AR77" s="14">
        <v>267</v>
      </c>
      <c r="AS77" s="15">
        <v>112</v>
      </c>
      <c r="AT77" s="14">
        <v>136</v>
      </c>
      <c r="AU77" s="15">
        <v>283</v>
      </c>
      <c r="AV77" s="14">
        <v>295</v>
      </c>
      <c r="AW77" s="15">
        <v>194</v>
      </c>
      <c r="AX77" s="14">
        <v>244</v>
      </c>
      <c r="AY77" s="15">
        <v>14120</v>
      </c>
      <c r="AZ77" s="14">
        <v>2487</v>
      </c>
      <c r="BA77" s="15">
        <v>1524</v>
      </c>
      <c r="BB77" s="14">
        <v>717</v>
      </c>
      <c r="BC77" s="15">
        <v>944</v>
      </c>
      <c r="BD77" s="14">
        <v>670</v>
      </c>
      <c r="BE77" s="15">
        <v>393</v>
      </c>
      <c r="BF77" s="14">
        <v>240</v>
      </c>
      <c r="BG77" s="15">
        <v>44</v>
      </c>
      <c r="BH77" s="14">
        <v>74</v>
      </c>
      <c r="BI77" s="15">
        <v>337</v>
      </c>
      <c r="BJ77" s="14">
        <v>354</v>
      </c>
      <c r="BK77" s="15">
        <v>0</v>
      </c>
      <c r="BL77" s="14">
        <v>197</v>
      </c>
      <c r="BM77" s="15">
        <v>172</v>
      </c>
      <c r="BN77" s="14">
        <v>182</v>
      </c>
      <c r="BO77" s="15">
        <v>42</v>
      </c>
      <c r="BP77" s="14">
        <v>69</v>
      </c>
      <c r="BQ77" s="15">
        <v>197</v>
      </c>
      <c r="BR77" s="14">
        <v>183</v>
      </c>
      <c r="BS77" s="15">
        <v>1451</v>
      </c>
      <c r="BT77" s="14">
        <v>792</v>
      </c>
      <c r="BU77" s="15">
        <v>116</v>
      </c>
      <c r="BV77" s="14">
        <v>139</v>
      </c>
      <c r="BW77" s="15">
        <v>3085</v>
      </c>
      <c r="BX77" s="14">
        <v>851</v>
      </c>
      <c r="BY77" s="15">
        <v>985</v>
      </c>
      <c r="BZ77" s="14">
        <v>503</v>
      </c>
      <c r="CA77" s="15">
        <v>0</v>
      </c>
      <c r="CB77" s="14">
        <v>197</v>
      </c>
      <c r="CC77" s="15">
        <v>651</v>
      </c>
      <c r="CD77" s="14">
        <v>429</v>
      </c>
      <c r="CE77" s="15">
        <v>0</v>
      </c>
      <c r="CF77" s="14">
        <v>197</v>
      </c>
      <c r="CG77" s="15">
        <v>157</v>
      </c>
      <c r="CH77" s="14">
        <v>182</v>
      </c>
      <c r="CI77" s="15">
        <v>1494</v>
      </c>
      <c r="CJ77" s="14">
        <v>608</v>
      </c>
      <c r="CK77" s="15">
        <v>635</v>
      </c>
      <c r="CL77" s="14">
        <v>596</v>
      </c>
      <c r="CM77" s="15">
        <v>150</v>
      </c>
      <c r="CN77" s="14">
        <v>140</v>
      </c>
      <c r="CO77" s="15">
        <v>0</v>
      </c>
      <c r="CP77" s="14">
        <v>197</v>
      </c>
      <c r="CQ77" s="15">
        <v>577</v>
      </c>
      <c r="CR77" s="14">
        <v>478</v>
      </c>
      <c r="CS77" s="15">
        <v>1473</v>
      </c>
      <c r="CT77" s="14">
        <v>826</v>
      </c>
      <c r="CU77" s="15">
        <v>116</v>
      </c>
      <c r="CV77" s="14">
        <v>145</v>
      </c>
      <c r="CW77" s="15">
        <v>267</v>
      </c>
      <c r="CX77" s="14">
        <v>250</v>
      </c>
      <c r="CY77" s="15">
        <v>9537</v>
      </c>
      <c r="CZ77" s="14">
        <v>1762</v>
      </c>
      <c r="DA77" s="15">
        <v>481</v>
      </c>
      <c r="DB77" s="14">
        <v>358</v>
      </c>
      <c r="DC77" s="15">
        <v>293</v>
      </c>
      <c r="DD77" s="14">
        <v>219</v>
      </c>
      <c r="DE77" s="15">
        <v>721</v>
      </c>
      <c r="DF77" s="14">
        <v>420</v>
      </c>
      <c r="DG77" s="15">
        <v>215</v>
      </c>
      <c r="DH77" s="14">
        <v>303</v>
      </c>
      <c r="DI77" s="15">
        <v>0</v>
      </c>
      <c r="DJ77" s="14">
        <v>197</v>
      </c>
    </row>
    <row r="78" spans="9:114" x14ac:dyDescent="0.25">
      <c r="I78" s="16">
        <v>537148</v>
      </c>
      <c r="J78" s="17">
        <v>19784</v>
      </c>
      <c r="K78" s="15">
        <v>18599</v>
      </c>
      <c r="L78" s="14">
        <v>4762</v>
      </c>
      <c r="M78" s="13">
        <v>10704</v>
      </c>
      <c r="N78" s="14">
        <v>4327</v>
      </c>
      <c r="O78" s="15">
        <v>6473</v>
      </c>
      <c r="P78" s="14">
        <v>1865</v>
      </c>
      <c r="Q78" s="15">
        <v>3321</v>
      </c>
      <c r="R78" s="14">
        <v>1136</v>
      </c>
      <c r="S78" s="15">
        <v>20386</v>
      </c>
      <c r="T78" s="14">
        <v>4221</v>
      </c>
      <c r="U78" s="15">
        <v>8766</v>
      </c>
      <c r="V78" s="14">
        <v>2537</v>
      </c>
      <c r="W78" s="15">
        <v>8975</v>
      </c>
      <c r="X78" s="14">
        <v>1882</v>
      </c>
      <c r="Y78" s="15">
        <v>1099</v>
      </c>
      <c r="Z78" s="14">
        <v>608</v>
      </c>
      <c r="AA78" s="15">
        <v>780</v>
      </c>
      <c r="AB78" s="14">
        <v>481</v>
      </c>
      <c r="AC78" s="18" t="s">
        <v>60</v>
      </c>
      <c r="AD78" s="14" t="s">
        <v>60</v>
      </c>
      <c r="AE78" s="13">
        <v>42754</v>
      </c>
      <c r="AF78" s="14">
        <v>6205</v>
      </c>
      <c r="AG78" s="15">
        <v>3177</v>
      </c>
      <c r="AH78" s="14">
        <v>2730</v>
      </c>
      <c r="AI78" s="15">
        <v>1268</v>
      </c>
      <c r="AJ78" s="14">
        <v>923</v>
      </c>
      <c r="AK78" s="15">
        <v>22565</v>
      </c>
      <c r="AL78" s="14">
        <v>3828</v>
      </c>
      <c r="AM78" s="15">
        <v>13803</v>
      </c>
      <c r="AN78" s="14">
        <v>2852</v>
      </c>
      <c r="AO78" s="15">
        <v>3864</v>
      </c>
      <c r="AP78" s="14">
        <v>1332</v>
      </c>
      <c r="AQ78" s="15">
        <v>5661</v>
      </c>
      <c r="AR78" s="14">
        <v>3133</v>
      </c>
      <c r="AS78" s="15">
        <v>6912</v>
      </c>
      <c r="AT78" s="14">
        <v>1607</v>
      </c>
      <c r="AU78" s="15">
        <v>5550</v>
      </c>
      <c r="AV78" s="14">
        <v>2266</v>
      </c>
      <c r="AW78" s="15">
        <v>7348</v>
      </c>
      <c r="AX78" s="14">
        <v>3032</v>
      </c>
      <c r="AY78" s="15">
        <v>10442</v>
      </c>
      <c r="AZ78" s="14">
        <v>2378</v>
      </c>
      <c r="BA78" s="15">
        <v>15159</v>
      </c>
      <c r="BB78" s="14">
        <v>2747</v>
      </c>
      <c r="BC78" s="15">
        <v>23400</v>
      </c>
      <c r="BD78" s="14">
        <v>3519</v>
      </c>
      <c r="BE78" s="15">
        <v>5460</v>
      </c>
      <c r="BF78" s="14">
        <v>2185</v>
      </c>
      <c r="BG78" s="15">
        <v>5490</v>
      </c>
      <c r="BH78" s="14">
        <v>3345</v>
      </c>
      <c r="BI78" s="15">
        <v>10666</v>
      </c>
      <c r="BJ78" s="14">
        <v>3498</v>
      </c>
      <c r="BK78" s="15">
        <v>1758</v>
      </c>
      <c r="BL78" s="14">
        <v>2104</v>
      </c>
      <c r="BM78" s="15">
        <v>945</v>
      </c>
      <c r="BN78" s="14">
        <v>713</v>
      </c>
      <c r="BO78" s="15">
        <v>1241</v>
      </c>
      <c r="BP78" s="14">
        <v>515</v>
      </c>
      <c r="BQ78" s="15">
        <v>2362</v>
      </c>
      <c r="BR78" s="14">
        <v>922</v>
      </c>
      <c r="BS78" s="15">
        <v>27606</v>
      </c>
      <c r="BT78" s="14">
        <v>4242</v>
      </c>
      <c r="BU78" s="15">
        <v>2853</v>
      </c>
      <c r="BV78" s="14">
        <v>1004</v>
      </c>
      <c r="BW78" s="15">
        <v>53009</v>
      </c>
      <c r="BX78" s="14">
        <v>5886</v>
      </c>
      <c r="BY78" s="15">
        <v>23133</v>
      </c>
      <c r="BZ78" s="14">
        <v>3843</v>
      </c>
      <c r="CA78" s="15">
        <v>239</v>
      </c>
      <c r="CB78" s="14">
        <v>203</v>
      </c>
      <c r="CC78" s="15">
        <v>22927</v>
      </c>
      <c r="CD78" s="14">
        <v>4305</v>
      </c>
      <c r="CE78" s="15">
        <v>3142</v>
      </c>
      <c r="CF78" s="14">
        <v>1301</v>
      </c>
      <c r="CG78" s="15">
        <v>2919</v>
      </c>
      <c r="CH78" s="14">
        <v>1736</v>
      </c>
      <c r="CI78" s="15">
        <v>25659</v>
      </c>
      <c r="CJ78" s="14">
        <v>4174</v>
      </c>
      <c r="CK78" s="15">
        <v>3050</v>
      </c>
      <c r="CL78" s="14">
        <v>1458</v>
      </c>
      <c r="CM78" s="15">
        <v>11366</v>
      </c>
      <c r="CN78" s="14">
        <v>2719</v>
      </c>
      <c r="CO78" s="15">
        <v>1070</v>
      </c>
      <c r="CP78" s="14">
        <v>762</v>
      </c>
      <c r="CQ78" s="15">
        <v>16275</v>
      </c>
      <c r="CR78" s="14">
        <v>3583</v>
      </c>
      <c r="CS78" s="15">
        <v>28564</v>
      </c>
      <c r="CT78" s="14">
        <v>4750</v>
      </c>
      <c r="CU78" s="15">
        <v>2499</v>
      </c>
      <c r="CV78" s="14">
        <v>1348</v>
      </c>
      <c r="CW78" s="15">
        <v>2747</v>
      </c>
      <c r="CX78" s="14">
        <v>1190</v>
      </c>
      <c r="CY78" s="15">
        <v>25697</v>
      </c>
      <c r="CZ78" s="14">
        <v>3965</v>
      </c>
      <c r="DA78" s="15">
        <v>4943</v>
      </c>
      <c r="DB78" s="14">
        <v>1710</v>
      </c>
      <c r="DC78" s="15">
        <v>3533</v>
      </c>
      <c r="DD78" s="14">
        <v>1587</v>
      </c>
      <c r="DE78" s="15">
        <v>6216</v>
      </c>
      <c r="DF78" s="14">
        <v>1993</v>
      </c>
      <c r="DG78" s="15">
        <v>773</v>
      </c>
      <c r="DH78" s="14">
        <v>567</v>
      </c>
      <c r="DI78" s="15">
        <v>21638</v>
      </c>
      <c r="DJ78" s="14">
        <v>4641</v>
      </c>
    </row>
    <row r="79" spans="9:114" x14ac:dyDescent="0.25">
      <c r="I79" s="16">
        <v>277466</v>
      </c>
      <c r="J79" s="17">
        <v>14075</v>
      </c>
      <c r="K79" s="15">
        <v>13864</v>
      </c>
      <c r="L79" s="14">
        <v>2903</v>
      </c>
      <c r="M79" s="13">
        <v>2654</v>
      </c>
      <c r="N79" s="14">
        <v>1444</v>
      </c>
      <c r="O79" s="15">
        <v>6657</v>
      </c>
      <c r="P79" s="14">
        <v>2675</v>
      </c>
      <c r="Q79" s="15">
        <v>1041</v>
      </c>
      <c r="R79" s="14">
        <v>519</v>
      </c>
      <c r="S79" s="15">
        <v>14174</v>
      </c>
      <c r="T79" s="14">
        <v>3182</v>
      </c>
      <c r="U79" s="15">
        <v>4710</v>
      </c>
      <c r="V79" s="14">
        <v>2093</v>
      </c>
      <c r="W79" s="15">
        <v>1829</v>
      </c>
      <c r="X79" s="14">
        <v>824</v>
      </c>
      <c r="Y79" s="15">
        <v>226</v>
      </c>
      <c r="Z79" s="14">
        <v>246</v>
      </c>
      <c r="AA79" s="15">
        <v>1352</v>
      </c>
      <c r="AB79" s="14">
        <v>994</v>
      </c>
      <c r="AC79" s="15">
        <v>42870</v>
      </c>
      <c r="AD79" s="14">
        <v>5472</v>
      </c>
      <c r="AE79" s="18" t="s">
        <v>60</v>
      </c>
      <c r="AF79" s="14" t="s">
        <v>60</v>
      </c>
      <c r="AG79" s="13">
        <v>1409</v>
      </c>
      <c r="AH79" s="14">
        <v>831</v>
      </c>
      <c r="AI79" s="15">
        <v>936</v>
      </c>
      <c r="AJ79" s="14">
        <v>797</v>
      </c>
      <c r="AK79" s="15">
        <v>7143</v>
      </c>
      <c r="AL79" s="14">
        <v>1833</v>
      </c>
      <c r="AM79" s="15">
        <v>5972</v>
      </c>
      <c r="AN79" s="14">
        <v>2678</v>
      </c>
      <c r="AO79" s="15">
        <v>1687</v>
      </c>
      <c r="AP79" s="14">
        <v>1036</v>
      </c>
      <c r="AQ79" s="15">
        <v>1497</v>
      </c>
      <c r="AR79" s="14">
        <v>707</v>
      </c>
      <c r="AS79" s="15">
        <v>6172</v>
      </c>
      <c r="AT79" s="14">
        <v>1972</v>
      </c>
      <c r="AU79" s="15">
        <v>4100</v>
      </c>
      <c r="AV79" s="14">
        <v>1490</v>
      </c>
      <c r="AW79" s="15">
        <v>222</v>
      </c>
      <c r="AX79" s="14">
        <v>178</v>
      </c>
      <c r="AY79" s="15">
        <v>3619</v>
      </c>
      <c r="AZ79" s="14">
        <v>1621</v>
      </c>
      <c r="BA79" s="15">
        <v>4153</v>
      </c>
      <c r="BB79" s="14">
        <v>1720</v>
      </c>
      <c r="BC79" s="15">
        <v>9949</v>
      </c>
      <c r="BD79" s="14">
        <v>3100</v>
      </c>
      <c r="BE79" s="15">
        <v>2237</v>
      </c>
      <c r="BF79" s="14">
        <v>2164</v>
      </c>
      <c r="BG79" s="15">
        <v>3280</v>
      </c>
      <c r="BH79" s="14">
        <v>1372</v>
      </c>
      <c r="BI79" s="15">
        <v>3377</v>
      </c>
      <c r="BJ79" s="14">
        <v>1479</v>
      </c>
      <c r="BK79" s="15">
        <v>251</v>
      </c>
      <c r="BL79" s="14">
        <v>224</v>
      </c>
      <c r="BM79" s="15">
        <v>1283</v>
      </c>
      <c r="BN79" s="14">
        <v>1001</v>
      </c>
      <c r="BO79" s="15">
        <v>3783</v>
      </c>
      <c r="BP79" s="14">
        <v>2622</v>
      </c>
      <c r="BQ79" s="15">
        <v>15</v>
      </c>
      <c r="BR79" s="14">
        <v>27</v>
      </c>
      <c r="BS79" s="15">
        <v>4920</v>
      </c>
      <c r="BT79" s="14">
        <v>1544</v>
      </c>
      <c r="BU79" s="15">
        <v>915</v>
      </c>
      <c r="BV79" s="14">
        <v>512</v>
      </c>
      <c r="BW79" s="15">
        <v>13957</v>
      </c>
      <c r="BX79" s="14">
        <v>3960</v>
      </c>
      <c r="BY79" s="15">
        <v>16009</v>
      </c>
      <c r="BZ79" s="14">
        <v>2963</v>
      </c>
      <c r="CA79" s="15">
        <v>207</v>
      </c>
      <c r="CB79" s="14">
        <v>250</v>
      </c>
      <c r="CC79" s="15">
        <v>7501</v>
      </c>
      <c r="CD79" s="14">
        <v>2501</v>
      </c>
      <c r="CE79" s="15">
        <v>3299</v>
      </c>
      <c r="CF79" s="14">
        <v>1818</v>
      </c>
      <c r="CG79" s="15">
        <v>453</v>
      </c>
      <c r="CH79" s="14">
        <v>472</v>
      </c>
      <c r="CI79" s="15">
        <v>9076</v>
      </c>
      <c r="CJ79" s="14">
        <v>2622</v>
      </c>
      <c r="CK79" s="15">
        <v>440</v>
      </c>
      <c r="CL79" s="14">
        <v>620</v>
      </c>
      <c r="CM79" s="15">
        <v>18611</v>
      </c>
      <c r="CN79" s="14">
        <v>3871</v>
      </c>
      <c r="CO79" s="15">
        <v>257</v>
      </c>
      <c r="CP79" s="14">
        <v>291</v>
      </c>
      <c r="CQ79" s="15">
        <v>17606</v>
      </c>
      <c r="CR79" s="14">
        <v>4620</v>
      </c>
      <c r="CS79" s="15">
        <v>16198</v>
      </c>
      <c r="CT79" s="14">
        <v>3367</v>
      </c>
      <c r="CU79" s="15">
        <v>20</v>
      </c>
      <c r="CV79" s="14">
        <v>35</v>
      </c>
      <c r="CW79" s="15">
        <v>84</v>
      </c>
      <c r="CX79" s="14">
        <v>142</v>
      </c>
      <c r="CY79" s="15">
        <v>10702</v>
      </c>
      <c r="CZ79" s="14">
        <v>2094</v>
      </c>
      <c r="DA79" s="15">
        <v>1965</v>
      </c>
      <c r="DB79" s="14">
        <v>826</v>
      </c>
      <c r="DC79" s="15">
        <v>1237</v>
      </c>
      <c r="DD79" s="14">
        <v>625</v>
      </c>
      <c r="DE79" s="15">
        <v>3441</v>
      </c>
      <c r="DF79" s="14">
        <v>1725</v>
      </c>
      <c r="DG79" s="15">
        <v>106</v>
      </c>
      <c r="DH79" s="14">
        <v>154</v>
      </c>
      <c r="DI79" s="15">
        <v>1730</v>
      </c>
      <c r="DJ79" s="14">
        <v>1190</v>
      </c>
    </row>
    <row r="80" spans="9:114" x14ac:dyDescent="0.25">
      <c r="I80" s="16">
        <v>55145</v>
      </c>
      <c r="J80" s="17">
        <v>5749</v>
      </c>
      <c r="K80" s="15">
        <v>608</v>
      </c>
      <c r="L80" s="14">
        <v>479</v>
      </c>
      <c r="M80" s="13">
        <v>1417</v>
      </c>
      <c r="N80" s="14">
        <v>869</v>
      </c>
      <c r="O80" s="15">
        <v>1865</v>
      </c>
      <c r="P80" s="14">
        <v>695</v>
      </c>
      <c r="Q80" s="15">
        <v>24</v>
      </c>
      <c r="R80" s="14">
        <v>54</v>
      </c>
      <c r="S80" s="15">
        <v>9756</v>
      </c>
      <c r="T80" s="14">
        <v>1508</v>
      </c>
      <c r="U80" s="15">
        <v>1216</v>
      </c>
      <c r="V80" s="14">
        <v>574</v>
      </c>
      <c r="W80" s="15">
        <v>191</v>
      </c>
      <c r="X80" s="14">
        <v>222</v>
      </c>
      <c r="Y80" s="15">
        <v>278</v>
      </c>
      <c r="Z80" s="14">
        <v>253</v>
      </c>
      <c r="AA80" s="15">
        <v>230</v>
      </c>
      <c r="AB80" s="14">
        <v>253</v>
      </c>
      <c r="AC80" s="15">
        <v>2780</v>
      </c>
      <c r="AD80" s="14">
        <v>1227</v>
      </c>
      <c r="AE80" s="15">
        <v>1448</v>
      </c>
      <c r="AF80" s="14">
        <v>639</v>
      </c>
      <c r="AG80" s="18" t="s">
        <v>60</v>
      </c>
      <c r="AH80" s="14" t="s">
        <v>60</v>
      </c>
      <c r="AI80" s="13">
        <v>404</v>
      </c>
      <c r="AJ80" s="14">
        <v>431</v>
      </c>
      <c r="AK80" s="15">
        <v>318</v>
      </c>
      <c r="AL80" s="14">
        <v>194</v>
      </c>
      <c r="AM80" s="15">
        <v>292</v>
      </c>
      <c r="AN80" s="14">
        <v>261</v>
      </c>
      <c r="AO80" s="15">
        <v>84</v>
      </c>
      <c r="AP80" s="14">
        <v>98</v>
      </c>
      <c r="AQ80" s="15">
        <v>1135</v>
      </c>
      <c r="AR80" s="14">
        <v>709</v>
      </c>
      <c r="AS80" s="15">
        <v>485</v>
      </c>
      <c r="AT80" s="14">
        <v>630</v>
      </c>
      <c r="AU80" s="15">
        <v>207</v>
      </c>
      <c r="AV80" s="14">
        <v>183</v>
      </c>
      <c r="AW80" s="15">
        <v>91</v>
      </c>
      <c r="AX80" s="14">
        <v>147</v>
      </c>
      <c r="AY80" s="15">
        <v>2491</v>
      </c>
      <c r="AZ80" s="14">
        <v>1610</v>
      </c>
      <c r="BA80" s="15">
        <v>1266</v>
      </c>
      <c r="BB80" s="14">
        <v>962</v>
      </c>
      <c r="BC80" s="15">
        <v>321</v>
      </c>
      <c r="BD80" s="14">
        <v>189</v>
      </c>
      <c r="BE80" s="15">
        <v>192</v>
      </c>
      <c r="BF80" s="14">
        <v>240</v>
      </c>
      <c r="BG80" s="15">
        <v>44</v>
      </c>
      <c r="BH80" s="14">
        <v>52</v>
      </c>
      <c r="BI80" s="15">
        <v>944</v>
      </c>
      <c r="BJ80" s="14">
        <v>630</v>
      </c>
      <c r="BK80" s="15">
        <v>131</v>
      </c>
      <c r="BL80" s="14">
        <v>172</v>
      </c>
      <c r="BM80" s="15">
        <v>75</v>
      </c>
      <c r="BN80" s="14">
        <v>125</v>
      </c>
      <c r="BO80" s="15">
        <v>760</v>
      </c>
      <c r="BP80" s="14">
        <v>424</v>
      </c>
      <c r="BQ80" s="15">
        <v>85</v>
      </c>
      <c r="BR80" s="14">
        <v>119</v>
      </c>
      <c r="BS80" s="15">
        <v>410</v>
      </c>
      <c r="BT80" s="14">
        <v>435</v>
      </c>
      <c r="BU80" s="15">
        <v>284</v>
      </c>
      <c r="BV80" s="14">
        <v>243</v>
      </c>
      <c r="BW80" s="15">
        <v>2382</v>
      </c>
      <c r="BX80" s="14">
        <v>1279</v>
      </c>
      <c r="BY80" s="15">
        <v>2241</v>
      </c>
      <c r="BZ80" s="14">
        <v>1274</v>
      </c>
      <c r="CA80" s="15">
        <v>0</v>
      </c>
      <c r="CB80" s="14">
        <v>177</v>
      </c>
      <c r="CC80" s="15">
        <v>884</v>
      </c>
      <c r="CD80" s="14">
        <v>995</v>
      </c>
      <c r="CE80" s="15">
        <v>1095</v>
      </c>
      <c r="CF80" s="14">
        <v>933</v>
      </c>
      <c r="CG80" s="15">
        <v>1763</v>
      </c>
      <c r="CH80" s="14">
        <v>764</v>
      </c>
      <c r="CI80" s="15">
        <v>1087</v>
      </c>
      <c r="CJ80" s="14">
        <v>770</v>
      </c>
      <c r="CK80" s="15">
        <v>106</v>
      </c>
      <c r="CL80" s="14">
        <v>176</v>
      </c>
      <c r="CM80" s="15">
        <v>644</v>
      </c>
      <c r="CN80" s="14">
        <v>460</v>
      </c>
      <c r="CO80" s="15">
        <v>459</v>
      </c>
      <c r="CP80" s="14">
        <v>726</v>
      </c>
      <c r="CQ80" s="15">
        <v>1314</v>
      </c>
      <c r="CR80" s="14">
        <v>675</v>
      </c>
      <c r="CS80" s="15">
        <v>3300</v>
      </c>
      <c r="CT80" s="14">
        <v>1887</v>
      </c>
      <c r="CU80" s="15">
        <v>2183</v>
      </c>
      <c r="CV80" s="14">
        <v>1283</v>
      </c>
      <c r="CW80" s="15">
        <v>0</v>
      </c>
      <c r="CX80" s="14">
        <v>177</v>
      </c>
      <c r="CY80" s="15">
        <v>1393</v>
      </c>
      <c r="CZ80" s="14">
        <v>755</v>
      </c>
      <c r="DA80" s="15">
        <v>5920</v>
      </c>
      <c r="DB80" s="14">
        <v>1901</v>
      </c>
      <c r="DC80" s="15">
        <v>197</v>
      </c>
      <c r="DD80" s="14">
        <v>330</v>
      </c>
      <c r="DE80" s="15">
        <v>295</v>
      </c>
      <c r="DF80" s="14">
        <v>234</v>
      </c>
      <c r="DG80" s="15">
        <v>50</v>
      </c>
      <c r="DH80" s="14">
        <v>66</v>
      </c>
      <c r="DI80" s="15">
        <v>336</v>
      </c>
      <c r="DJ80" s="14">
        <v>436</v>
      </c>
    </row>
    <row r="81" spans="9:114" x14ac:dyDescent="0.25">
      <c r="I81" s="16">
        <v>59283</v>
      </c>
      <c r="J81" s="17">
        <v>6040</v>
      </c>
      <c r="K81" s="15">
        <v>575</v>
      </c>
      <c r="L81" s="14">
        <v>838</v>
      </c>
      <c r="M81" s="13">
        <v>1198</v>
      </c>
      <c r="N81" s="14">
        <v>790</v>
      </c>
      <c r="O81" s="15">
        <v>2424</v>
      </c>
      <c r="P81" s="14">
        <v>1307</v>
      </c>
      <c r="Q81" s="15">
        <v>291</v>
      </c>
      <c r="R81" s="14">
        <v>268</v>
      </c>
      <c r="S81" s="15">
        <v>10280</v>
      </c>
      <c r="T81" s="14">
        <v>2708</v>
      </c>
      <c r="U81" s="15">
        <v>1186</v>
      </c>
      <c r="V81" s="14">
        <v>614</v>
      </c>
      <c r="W81" s="15">
        <v>44</v>
      </c>
      <c r="X81" s="14">
        <v>81</v>
      </c>
      <c r="Y81" s="15">
        <v>120</v>
      </c>
      <c r="Z81" s="14">
        <v>199</v>
      </c>
      <c r="AA81" s="15">
        <v>116</v>
      </c>
      <c r="AB81" s="14">
        <v>124</v>
      </c>
      <c r="AC81" s="15">
        <v>2014</v>
      </c>
      <c r="AD81" s="14">
        <v>1608</v>
      </c>
      <c r="AE81" s="15">
        <v>583</v>
      </c>
      <c r="AF81" s="14">
        <v>848</v>
      </c>
      <c r="AG81" s="15">
        <v>206</v>
      </c>
      <c r="AH81" s="14">
        <v>194</v>
      </c>
      <c r="AI81" s="18" t="s">
        <v>60</v>
      </c>
      <c r="AJ81" s="14" t="s">
        <v>60</v>
      </c>
      <c r="AK81" s="13">
        <v>532</v>
      </c>
      <c r="AL81" s="14">
        <v>469</v>
      </c>
      <c r="AM81" s="15">
        <v>283</v>
      </c>
      <c r="AN81" s="14">
        <v>282</v>
      </c>
      <c r="AO81" s="15">
        <v>90</v>
      </c>
      <c r="AP81" s="14">
        <v>170</v>
      </c>
      <c r="AQ81" s="15">
        <v>63</v>
      </c>
      <c r="AR81" s="14">
        <v>69</v>
      </c>
      <c r="AS81" s="15">
        <v>83</v>
      </c>
      <c r="AT81" s="14">
        <v>128</v>
      </c>
      <c r="AU81" s="15">
        <v>54</v>
      </c>
      <c r="AV81" s="14">
        <v>92</v>
      </c>
      <c r="AW81" s="15">
        <v>0</v>
      </c>
      <c r="AX81" s="14">
        <v>187</v>
      </c>
      <c r="AY81" s="15">
        <v>107</v>
      </c>
      <c r="AZ81" s="14">
        <v>161</v>
      </c>
      <c r="BA81" s="15">
        <v>338</v>
      </c>
      <c r="BB81" s="14">
        <v>391</v>
      </c>
      <c r="BC81" s="15">
        <v>683</v>
      </c>
      <c r="BD81" s="14">
        <v>777</v>
      </c>
      <c r="BE81" s="15">
        <v>637</v>
      </c>
      <c r="BF81" s="14">
        <v>528</v>
      </c>
      <c r="BG81" s="15">
        <v>87</v>
      </c>
      <c r="BH81" s="14">
        <v>170</v>
      </c>
      <c r="BI81" s="15">
        <v>214</v>
      </c>
      <c r="BJ81" s="14">
        <v>259</v>
      </c>
      <c r="BK81" s="15">
        <v>3800</v>
      </c>
      <c r="BL81" s="14">
        <v>2162</v>
      </c>
      <c r="BM81" s="15">
        <v>35</v>
      </c>
      <c r="BN81" s="14">
        <v>60</v>
      </c>
      <c r="BO81" s="15">
        <v>2535</v>
      </c>
      <c r="BP81" s="14">
        <v>1031</v>
      </c>
      <c r="BQ81" s="15">
        <v>0</v>
      </c>
      <c r="BR81" s="14">
        <v>187</v>
      </c>
      <c r="BS81" s="15">
        <v>214</v>
      </c>
      <c r="BT81" s="14">
        <v>206</v>
      </c>
      <c r="BU81" s="15">
        <v>675</v>
      </c>
      <c r="BV81" s="14">
        <v>554</v>
      </c>
      <c r="BW81" s="15">
        <v>938</v>
      </c>
      <c r="BX81" s="14">
        <v>554</v>
      </c>
      <c r="BY81" s="15">
        <v>817</v>
      </c>
      <c r="BZ81" s="14">
        <v>843</v>
      </c>
      <c r="CA81" s="15">
        <v>0</v>
      </c>
      <c r="CB81" s="14">
        <v>187</v>
      </c>
      <c r="CC81" s="15">
        <v>1018</v>
      </c>
      <c r="CD81" s="14">
        <v>753</v>
      </c>
      <c r="CE81" s="15">
        <v>93</v>
      </c>
      <c r="CF81" s="14">
        <v>108</v>
      </c>
      <c r="CG81" s="15">
        <v>4963</v>
      </c>
      <c r="CH81" s="14">
        <v>1377</v>
      </c>
      <c r="CI81" s="15">
        <v>169</v>
      </c>
      <c r="CJ81" s="14">
        <v>181</v>
      </c>
      <c r="CK81" s="15">
        <v>0</v>
      </c>
      <c r="CL81" s="14">
        <v>187</v>
      </c>
      <c r="CM81" s="15">
        <v>205</v>
      </c>
      <c r="CN81" s="14">
        <v>238</v>
      </c>
      <c r="CO81" s="15">
        <v>118</v>
      </c>
      <c r="CP81" s="14">
        <v>192</v>
      </c>
      <c r="CQ81" s="15">
        <v>1957</v>
      </c>
      <c r="CR81" s="14">
        <v>1539</v>
      </c>
      <c r="CS81" s="15">
        <v>1352</v>
      </c>
      <c r="CT81" s="14">
        <v>714</v>
      </c>
      <c r="CU81" s="15">
        <v>6617</v>
      </c>
      <c r="CV81" s="14">
        <v>3016</v>
      </c>
      <c r="CW81" s="15">
        <v>0</v>
      </c>
      <c r="CX81" s="14">
        <v>187</v>
      </c>
      <c r="CY81" s="15">
        <v>269</v>
      </c>
      <c r="CZ81" s="14">
        <v>388</v>
      </c>
      <c r="DA81" s="15">
        <v>10398</v>
      </c>
      <c r="DB81" s="14">
        <v>1919</v>
      </c>
      <c r="DC81" s="15">
        <v>0</v>
      </c>
      <c r="DD81" s="14">
        <v>187</v>
      </c>
      <c r="DE81" s="15">
        <v>225</v>
      </c>
      <c r="DF81" s="14">
        <v>272</v>
      </c>
      <c r="DG81" s="15">
        <v>677</v>
      </c>
      <c r="DH81" s="14">
        <v>406</v>
      </c>
      <c r="DI81" s="15">
        <v>136</v>
      </c>
      <c r="DJ81" s="14">
        <v>228</v>
      </c>
    </row>
    <row r="82" spans="9:114" x14ac:dyDescent="0.25">
      <c r="I82" s="16">
        <v>208755</v>
      </c>
      <c r="J82" s="17">
        <v>10844</v>
      </c>
      <c r="K82" s="15">
        <v>883</v>
      </c>
      <c r="L82" s="14">
        <v>478</v>
      </c>
      <c r="M82" s="13">
        <v>2250</v>
      </c>
      <c r="N82" s="14">
        <v>1511</v>
      </c>
      <c r="O82" s="15">
        <v>7139</v>
      </c>
      <c r="P82" s="14">
        <v>2314</v>
      </c>
      <c r="Q82" s="15">
        <v>1587</v>
      </c>
      <c r="R82" s="14">
        <v>643</v>
      </c>
      <c r="S82" s="15">
        <v>14940</v>
      </c>
      <c r="T82" s="14">
        <v>2770</v>
      </c>
      <c r="U82" s="15">
        <v>3036</v>
      </c>
      <c r="V82" s="14">
        <v>1235</v>
      </c>
      <c r="W82" s="15">
        <v>955</v>
      </c>
      <c r="X82" s="14">
        <v>634</v>
      </c>
      <c r="Y82" s="15">
        <v>234</v>
      </c>
      <c r="Z82" s="14">
        <v>228</v>
      </c>
      <c r="AA82" s="15">
        <v>1066</v>
      </c>
      <c r="AB82" s="14">
        <v>615</v>
      </c>
      <c r="AC82" s="15">
        <v>12687</v>
      </c>
      <c r="AD82" s="14">
        <v>2735</v>
      </c>
      <c r="AE82" s="15">
        <v>8745</v>
      </c>
      <c r="AF82" s="14">
        <v>3894</v>
      </c>
      <c r="AG82" s="15">
        <v>869</v>
      </c>
      <c r="AH82" s="14">
        <v>593</v>
      </c>
      <c r="AI82" s="15">
        <v>1384</v>
      </c>
      <c r="AJ82" s="14">
        <v>868</v>
      </c>
      <c r="AK82" s="18" t="s">
        <v>60</v>
      </c>
      <c r="AL82" s="14" t="s">
        <v>60</v>
      </c>
      <c r="AM82" s="13">
        <v>16907</v>
      </c>
      <c r="AN82" s="14">
        <v>2654</v>
      </c>
      <c r="AO82" s="15">
        <v>8529</v>
      </c>
      <c r="AP82" s="14">
        <v>1959</v>
      </c>
      <c r="AQ82" s="15">
        <v>2009</v>
      </c>
      <c r="AR82" s="14">
        <v>988</v>
      </c>
      <c r="AS82" s="15">
        <v>2923</v>
      </c>
      <c r="AT82" s="14">
        <v>1049</v>
      </c>
      <c r="AU82" s="15">
        <v>1229</v>
      </c>
      <c r="AV82" s="14">
        <v>561</v>
      </c>
      <c r="AW82" s="15">
        <v>526</v>
      </c>
      <c r="AX82" s="14">
        <v>347</v>
      </c>
      <c r="AY82" s="15">
        <v>1865</v>
      </c>
      <c r="AZ82" s="14">
        <v>755</v>
      </c>
      <c r="BA82" s="15">
        <v>3296</v>
      </c>
      <c r="BB82" s="14">
        <v>1088</v>
      </c>
      <c r="BC82" s="15">
        <v>12583</v>
      </c>
      <c r="BD82" s="14">
        <v>3412</v>
      </c>
      <c r="BE82" s="15">
        <v>6537</v>
      </c>
      <c r="BF82" s="14">
        <v>1781</v>
      </c>
      <c r="BG82" s="15">
        <v>2744</v>
      </c>
      <c r="BH82" s="14">
        <v>1178</v>
      </c>
      <c r="BI82" s="15">
        <v>13264</v>
      </c>
      <c r="BJ82" s="14">
        <v>3449</v>
      </c>
      <c r="BK82" s="15">
        <v>228</v>
      </c>
      <c r="BL82" s="14">
        <v>183</v>
      </c>
      <c r="BM82" s="15">
        <v>1302</v>
      </c>
      <c r="BN82" s="14">
        <v>637</v>
      </c>
      <c r="BO82" s="15">
        <v>1478</v>
      </c>
      <c r="BP82" s="14">
        <v>817</v>
      </c>
      <c r="BQ82" s="15">
        <v>283</v>
      </c>
      <c r="BR82" s="14">
        <v>255</v>
      </c>
      <c r="BS82" s="15">
        <v>2366</v>
      </c>
      <c r="BT82" s="14">
        <v>1097</v>
      </c>
      <c r="BU82" s="15">
        <v>1359</v>
      </c>
      <c r="BV82" s="14">
        <v>1078</v>
      </c>
      <c r="BW82" s="15">
        <v>7561</v>
      </c>
      <c r="BX82" s="14">
        <v>2307</v>
      </c>
      <c r="BY82" s="15">
        <v>3761</v>
      </c>
      <c r="BZ82" s="14">
        <v>1150</v>
      </c>
      <c r="CA82" s="15">
        <v>196</v>
      </c>
      <c r="CB82" s="14">
        <v>184</v>
      </c>
      <c r="CC82" s="15">
        <v>6872</v>
      </c>
      <c r="CD82" s="14">
        <v>1834</v>
      </c>
      <c r="CE82" s="15">
        <v>1491</v>
      </c>
      <c r="CF82" s="14">
        <v>860</v>
      </c>
      <c r="CG82" s="15">
        <v>954</v>
      </c>
      <c r="CH82" s="14">
        <v>517</v>
      </c>
      <c r="CI82" s="15">
        <v>4588</v>
      </c>
      <c r="CJ82" s="14">
        <v>1506</v>
      </c>
      <c r="CK82" s="15">
        <v>462</v>
      </c>
      <c r="CL82" s="14">
        <v>478</v>
      </c>
      <c r="CM82" s="15">
        <v>1583</v>
      </c>
      <c r="CN82" s="14">
        <v>875</v>
      </c>
      <c r="CO82" s="15">
        <v>394</v>
      </c>
      <c r="CP82" s="14">
        <v>444</v>
      </c>
      <c r="CQ82" s="15">
        <v>4648</v>
      </c>
      <c r="CR82" s="14">
        <v>1468</v>
      </c>
      <c r="CS82" s="15">
        <v>16780</v>
      </c>
      <c r="CT82" s="14">
        <v>3035</v>
      </c>
      <c r="CU82" s="15">
        <v>1154</v>
      </c>
      <c r="CV82" s="14">
        <v>495</v>
      </c>
      <c r="CW82" s="15">
        <v>156</v>
      </c>
      <c r="CX82" s="14">
        <v>133</v>
      </c>
      <c r="CY82" s="15">
        <v>4311</v>
      </c>
      <c r="CZ82" s="14">
        <v>1212</v>
      </c>
      <c r="DA82" s="15">
        <v>2704</v>
      </c>
      <c r="DB82" s="14">
        <v>971</v>
      </c>
      <c r="DC82" s="15">
        <v>1221</v>
      </c>
      <c r="DD82" s="14">
        <v>1224</v>
      </c>
      <c r="DE82" s="15">
        <v>14414</v>
      </c>
      <c r="DF82" s="14">
        <v>2249</v>
      </c>
      <c r="DG82" s="15">
        <v>302</v>
      </c>
      <c r="DH82" s="14">
        <v>309</v>
      </c>
      <c r="DI82" s="15">
        <v>2049</v>
      </c>
      <c r="DJ82" s="14">
        <v>1480</v>
      </c>
    </row>
    <row r="83" spans="9:114" x14ac:dyDescent="0.25">
      <c r="I83" s="16">
        <v>134137</v>
      </c>
      <c r="J83" s="17">
        <v>9664</v>
      </c>
      <c r="K83" s="15">
        <v>1625</v>
      </c>
      <c r="L83" s="14">
        <v>788</v>
      </c>
      <c r="M83" s="13">
        <v>479</v>
      </c>
      <c r="N83" s="14">
        <v>429</v>
      </c>
      <c r="O83" s="15">
        <v>2763</v>
      </c>
      <c r="P83" s="14">
        <v>1095</v>
      </c>
      <c r="Q83" s="15">
        <v>564</v>
      </c>
      <c r="R83" s="14">
        <v>753</v>
      </c>
      <c r="S83" s="15">
        <v>6033</v>
      </c>
      <c r="T83" s="14">
        <v>1477</v>
      </c>
      <c r="U83" s="15">
        <v>1225</v>
      </c>
      <c r="V83" s="14">
        <v>531</v>
      </c>
      <c r="W83" s="15">
        <v>823</v>
      </c>
      <c r="X83" s="14">
        <v>595</v>
      </c>
      <c r="Y83" s="15">
        <v>639</v>
      </c>
      <c r="Z83" s="14">
        <v>831</v>
      </c>
      <c r="AA83" s="15">
        <v>1045</v>
      </c>
      <c r="AB83" s="14">
        <v>733</v>
      </c>
      <c r="AC83" s="15">
        <v>11472</v>
      </c>
      <c r="AD83" s="14">
        <v>2864</v>
      </c>
      <c r="AE83" s="15">
        <v>2258</v>
      </c>
      <c r="AF83" s="14">
        <v>1176</v>
      </c>
      <c r="AG83" s="15">
        <v>856</v>
      </c>
      <c r="AH83" s="14">
        <v>998</v>
      </c>
      <c r="AI83" s="15">
        <v>186</v>
      </c>
      <c r="AJ83" s="14">
        <v>176</v>
      </c>
      <c r="AK83" s="15">
        <v>28436</v>
      </c>
      <c r="AL83" s="14">
        <v>4261</v>
      </c>
      <c r="AM83" s="18" t="s">
        <v>60</v>
      </c>
      <c r="AN83" s="14" t="s">
        <v>60</v>
      </c>
      <c r="AO83" s="13">
        <v>1678</v>
      </c>
      <c r="AP83" s="14">
        <v>860</v>
      </c>
      <c r="AQ83" s="15">
        <v>1624</v>
      </c>
      <c r="AR83" s="14">
        <v>785</v>
      </c>
      <c r="AS83" s="15">
        <v>11177</v>
      </c>
      <c r="AT83" s="14">
        <v>2929</v>
      </c>
      <c r="AU83" s="15">
        <v>736</v>
      </c>
      <c r="AV83" s="14">
        <v>416</v>
      </c>
      <c r="AW83" s="15">
        <v>0</v>
      </c>
      <c r="AX83" s="14">
        <v>184</v>
      </c>
      <c r="AY83" s="15">
        <v>1050</v>
      </c>
      <c r="AZ83" s="14">
        <v>648</v>
      </c>
      <c r="BA83" s="15">
        <v>837</v>
      </c>
      <c r="BB83" s="14">
        <v>590</v>
      </c>
      <c r="BC83" s="15">
        <v>11017</v>
      </c>
      <c r="BD83" s="14">
        <v>2594</v>
      </c>
      <c r="BE83" s="15">
        <v>1543</v>
      </c>
      <c r="BF83" s="14">
        <v>732</v>
      </c>
      <c r="BG83" s="15">
        <v>1948</v>
      </c>
      <c r="BH83" s="14">
        <v>1655</v>
      </c>
      <c r="BI83" s="15">
        <v>4526</v>
      </c>
      <c r="BJ83" s="14">
        <v>1802</v>
      </c>
      <c r="BK83" s="15">
        <v>134</v>
      </c>
      <c r="BL83" s="14">
        <v>191</v>
      </c>
      <c r="BM83" s="15">
        <v>591</v>
      </c>
      <c r="BN83" s="14">
        <v>541</v>
      </c>
      <c r="BO83" s="15">
        <v>1011</v>
      </c>
      <c r="BP83" s="14">
        <v>549</v>
      </c>
      <c r="BQ83" s="15">
        <v>0</v>
      </c>
      <c r="BR83" s="14">
        <v>184</v>
      </c>
      <c r="BS83" s="15">
        <v>1537</v>
      </c>
      <c r="BT83" s="14">
        <v>1034</v>
      </c>
      <c r="BU83" s="15">
        <v>219</v>
      </c>
      <c r="BV83" s="14">
        <v>245</v>
      </c>
      <c r="BW83" s="15">
        <v>2316</v>
      </c>
      <c r="BX83" s="14">
        <v>724</v>
      </c>
      <c r="BY83" s="15">
        <v>2665</v>
      </c>
      <c r="BZ83" s="14">
        <v>884</v>
      </c>
      <c r="CA83" s="15">
        <v>113</v>
      </c>
      <c r="CB83" s="14">
        <v>164</v>
      </c>
      <c r="CC83" s="15">
        <v>11235</v>
      </c>
      <c r="CD83" s="14">
        <v>2192</v>
      </c>
      <c r="CE83" s="15">
        <v>1198</v>
      </c>
      <c r="CF83" s="14">
        <v>725</v>
      </c>
      <c r="CG83" s="15">
        <v>387</v>
      </c>
      <c r="CH83" s="14">
        <v>239</v>
      </c>
      <c r="CI83" s="15">
        <v>2419</v>
      </c>
      <c r="CJ83" s="14">
        <v>1101</v>
      </c>
      <c r="CK83" s="15">
        <v>0</v>
      </c>
      <c r="CL83" s="14">
        <v>184</v>
      </c>
      <c r="CM83" s="15">
        <v>1414</v>
      </c>
      <c r="CN83" s="14">
        <v>901</v>
      </c>
      <c r="CO83" s="15">
        <v>111</v>
      </c>
      <c r="CP83" s="14">
        <v>147</v>
      </c>
      <c r="CQ83" s="15">
        <v>3547</v>
      </c>
      <c r="CR83" s="14">
        <v>1422</v>
      </c>
      <c r="CS83" s="15">
        <v>4490</v>
      </c>
      <c r="CT83" s="14">
        <v>1562</v>
      </c>
      <c r="CU83" s="15">
        <v>105</v>
      </c>
      <c r="CV83" s="14">
        <v>124</v>
      </c>
      <c r="CW83" s="15">
        <v>0</v>
      </c>
      <c r="CX83" s="14">
        <v>184</v>
      </c>
      <c r="CY83" s="15">
        <v>1932</v>
      </c>
      <c r="CZ83" s="14">
        <v>1101</v>
      </c>
      <c r="DA83" s="15">
        <v>258</v>
      </c>
      <c r="DB83" s="14">
        <v>221</v>
      </c>
      <c r="DC83" s="15">
        <v>507</v>
      </c>
      <c r="DD83" s="14">
        <v>345</v>
      </c>
      <c r="DE83" s="15">
        <v>1727</v>
      </c>
      <c r="DF83" s="14">
        <v>769</v>
      </c>
      <c r="DG83" s="15">
        <v>1681</v>
      </c>
      <c r="DH83" s="14">
        <v>2023</v>
      </c>
      <c r="DI83" s="15">
        <v>136</v>
      </c>
      <c r="DJ83" s="14">
        <v>194</v>
      </c>
    </row>
    <row r="84" spans="9:114" x14ac:dyDescent="0.25">
      <c r="I84" s="16">
        <v>75760</v>
      </c>
      <c r="J84" s="17">
        <v>5982</v>
      </c>
      <c r="K84" s="15">
        <v>503</v>
      </c>
      <c r="L84" s="14">
        <v>400</v>
      </c>
      <c r="M84" s="13">
        <v>951</v>
      </c>
      <c r="N84" s="14">
        <v>814</v>
      </c>
      <c r="O84" s="15">
        <v>1590</v>
      </c>
      <c r="P84" s="14">
        <v>803</v>
      </c>
      <c r="Q84" s="15">
        <v>451</v>
      </c>
      <c r="R84" s="14">
        <v>237</v>
      </c>
      <c r="S84" s="15">
        <v>3268</v>
      </c>
      <c r="T84" s="14">
        <v>1296</v>
      </c>
      <c r="U84" s="15">
        <v>3252</v>
      </c>
      <c r="V84" s="14">
        <v>1250</v>
      </c>
      <c r="W84" s="15">
        <v>112</v>
      </c>
      <c r="X84" s="14">
        <v>135</v>
      </c>
      <c r="Y84" s="15">
        <v>0</v>
      </c>
      <c r="Z84" s="14">
        <v>151</v>
      </c>
      <c r="AA84" s="15">
        <v>151</v>
      </c>
      <c r="AB84" s="14">
        <v>155</v>
      </c>
      <c r="AC84" s="15">
        <v>4335</v>
      </c>
      <c r="AD84" s="14">
        <v>2060</v>
      </c>
      <c r="AE84" s="15">
        <v>596</v>
      </c>
      <c r="AF84" s="14">
        <v>481</v>
      </c>
      <c r="AG84" s="15">
        <v>521</v>
      </c>
      <c r="AH84" s="14">
        <v>476</v>
      </c>
      <c r="AI84" s="15">
        <v>290</v>
      </c>
      <c r="AJ84" s="14">
        <v>218</v>
      </c>
      <c r="AK84" s="15">
        <v>11969</v>
      </c>
      <c r="AL84" s="14">
        <v>2313</v>
      </c>
      <c r="AM84" s="15">
        <v>1716</v>
      </c>
      <c r="AN84" s="14">
        <v>1097</v>
      </c>
      <c r="AO84" s="18" t="s">
        <v>60</v>
      </c>
      <c r="AP84" s="14" t="s">
        <v>60</v>
      </c>
      <c r="AQ84" s="13">
        <v>918</v>
      </c>
      <c r="AR84" s="14">
        <v>500</v>
      </c>
      <c r="AS84" s="15">
        <v>819</v>
      </c>
      <c r="AT84" s="14">
        <v>609</v>
      </c>
      <c r="AU84" s="15">
        <v>763</v>
      </c>
      <c r="AV84" s="14">
        <v>568</v>
      </c>
      <c r="AW84" s="15">
        <v>78</v>
      </c>
      <c r="AX84" s="14">
        <v>125</v>
      </c>
      <c r="AY84" s="15">
        <v>419</v>
      </c>
      <c r="AZ84" s="14">
        <v>287</v>
      </c>
      <c r="BA84" s="15">
        <v>585</v>
      </c>
      <c r="BB84" s="14">
        <v>520</v>
      </c>
      <c r="BC84" s="15">
        <v>946</v>
      </c>
      <c r="BD84" s="14">
        <v>497</v>
      </c>
      <c r="BE84" s="15">
        <v>7505</v>
      </c>
      <c r="BF84" s="14">
        <v>1826</v>
      </c>
      <c r="BG84" s="15">
        <v>751</v>
      </c>
      <c r="BH84" s="14">
        <v>621</v>
      </c>
      <c r="BI84" s="15">
        <v>4168</v>
      </c>
      <c r="BJ84" s="14">
        <v>1021</v>
      </c>
      <c r="BK84" s="15">
        <v>452</v>
      </c>
      <c r="BL84" s="14">
        <v>305</v>
      </c>
      <c r="BM84" s="15">
        <v>7698</v>
      </c>
      <c r="BN84" s="14">
        <v>1806</v>
      </c>
      <c r="BO84" s="15">
        <v>681</v>
      </c>
      <c r="BP84" s="14">
        <v>602</v>
      </c>
      <c r="BQ84" s="15">
        <v>56</v>
      </c>
      <c r="BR84" s="14">
        <v>93</v>
      </c>
      <c r="BS84" s="15">
        <v>1018</v>
      </c>
      <c r="BT84" s="14">
        <v>767</v>
      </c>
      <c r="BU84" s="15">
        <v>114</v>
      </c>
      <c r="BV84" s="14">
        <v>188</v>
      </c>
      <c r="BW84" s="15">
        <v>1230</v>
      </c>
      <c r="BX84" s="14">
        <v>819</v>
      </c>
      <c r="BY84" s="15">
        <v>734</v>
      </c>
      <c r="BZ84" s="14">
        <v>428</v>
      </c>
      <c r="CA84" s="15">
        <v>833</v>
      </c>
      <c r="CB84" s="14">
        <v>617</v>
      </c>
      <c r="CC84" s="15">
        <v>1127</v>
      </c>
      <c r="CD84" s="14">
        <v>692</v>
      </c>
      <c r="CE84" s="15">
        <v>1465</v>
      </c>
      <c r="CF84" s="14">
        <v>974</v>
      </c>
      <c r="CG84" s="15">
        <v>348</v>
      </c>
      <c r="CH84" s="14">
        <v>302</v>
      </c>
      <c r="CI84" s="15">
        <v>451</v>
      </c>
      <c r="CJ84" s="14">
        <v>353</v>
      </c>
      <c r="CK84" s="15">
        <v>0</v>
      </c>
      <c r="CL84" s="14">
        <v>151</v>
      </c>
      <c r="CM84" s="15">
        <v>943</v>
      </c>
      <c r="CN84" s="14">
        <v>556</v>
      </c>
      <c r="CO84" s="15">
        <v>1158</v>
      </c>
      <c r="CP84" s="14">
        <v>441</v>
      </c>
      <c r="CQ84" s="15">
        <v>1148</v>
      </c>
      <c r="CR84" s="14">
        <v>871</v>
      </c>
      <c r="CS84" s="15">
        <v>3553</v>
      </c>
      <c r="CT84" s="14">
        <v>1275</v>
      </c>
      <c r="CU84" s="15">
        <v>886</v>
      </c>
      <c r="CV84" s="14">
        <v>880</v>
      </c>
      <c r="CW84" s="15">
        <v>0</v>
      </c>
      <c r="CX84" s="14">
        <v>151</v>
      </c>
      <c r="CY84" s="15">
        <v>268</v>
      </c>
      <c r="CZ84" s="14">
        <v>200</v>
      </c>
      <c r="DA84" s="15">
        <v>919</v>
      </c>
      <c r="DB84" s="14">
        <v>485</v>
      </c>
      <c r="DC84" s="15">
        <v>22</v>
      </c>
      <c r="DD84" s="14">
        <v>41</v>
      </c>
      <c r="DE84" s="15">
        <v>3607</v>
      </c>
      <c r="DF84" s="14">
        <v>849</v>
      </c>
      <c r="DG84" s="15">
        <v>392</v>
      </c>
      <c r="DH84" s="14">
        <v>316</v>
      </c>
      <c r="DI84" s="15">
        <v>786</v>
      </c>
      <c r="DJ84" s="14">
        <v>1190</v>
      </c>
    </row>
    <row r="85" spans="9:114" x14ac:dyDescent="0.25">
      <c r="I85" s="16">
        <v>88284</v>
      </c>
      <c r="J85" s="17">
        <v>7145</v>
      </c>
      <c r="K85" s="15">
        <v>853</v>
      </c>
      <c r="L85" s="14">
        <v>609</v>
      </c>
      <c r="M85" s="13">
        <v>333</v>
      </c>
      <c r="N85" s="14">
        <v>407</v>
      </c>
      <c r="O85" s="15">
        <v>3094</v>
      </c>
      <c r="P85" s="14">
        <v>1630</v>
      </c>
      <c r="Q85" s="15">
        <v>2158</v>
      </c>
      <c r="R85" s="14">
        <v>890</v>
      </c>
      <c r="S85" s="15">
        <v>5411</v>
      </c>
      <c r="T85" s="14">
        <v>2012</v>
      </c>
      <c r="U85" s="15">
        <v>3746</v>
      </c>
      <c r="V85" s="14">
        <v>1360</v>
      </c>
      <c r="W85" s="15">
        <v>210</v>
      </c>
      <c r="X85" s="14">
        <v>208</v>
      </c>
      <c r="Y85" s="15">
        <v>0</v>
      </c>
      <c r="Z85" s="14">
        <v>165</v>
      </c>
      <c r="AA85" s="15">
        <v>456</v>
      </c>
      <c r="AB85" s="14">
        <v>737</v>
      </c>
      <c r="AC85" s="15">
        <v>3118</v>
      </c>
      <c r="AD85" s="14">
        <v>1380</v>
      </c>
      <c r="AE85" s="15">
        <v>1896</v>
      </c>
      <c r="AF85" s="14">
        <v>1395</v>
      </c>
      <c r="AG85" s="15">
        <v>149</v>
      </c>
      <c r="AH85" s="14">
        <v>156</v>
      </c>
      <c r="AI85" s="15">
        <v>456</v>
      </c>
      <c r="AJ85" s="14">
        <v>356</v>
      </c>
      <c r="AK85" s="15">
        <v>1702</v>
      </c>
      <c r="AL85" s="14">
        <v>582</v>
      </c>
      <c r="AM85" s="15">
        <v>1679</v>
      </c>
      <c r="AN85" s="14">
        <v>839</v>
      </c>
      <c r="AO85" s="15">
        <v>1527</v>
      </c>
      <c r="AP85" s="14">
        <v>860</v>
      </c>
      <c r="AQ85" s="18" t="s">
        <v>60</v>
      </c>
      <c r="AR85" s="14" t="s">
        <v>60</v>
      </c>
      <c r="AS85" s="13">
        <v>617</v>
      </c>
      <c r="AT85" s="14">
        <v>476</v>
      </c>
      <c r="AU85" s="15">
        <v>438</v>
      </c>
      <c r="AV85" s="14">
        <v>408</v>
      </c>
      <c r="AW85" s="15">
        <v>211</v>
      </c>
      <c r="AX85" s="14">
        <v>225</v>
      </c>
      <c r="AY85" s="15">
        <v>282</v>
      </c>
      <c r="AZ85" s="14">
        <v>282</v>
      </c>
      <c r="BA85" s="15">
        <v>187</v>
      </c>
      <c r="BB85" s="14">
        <v>203</v>
      </c>
      <c r="BC85" s="15">
        <v>1125</v>
      </c>
      <c r="BD85" s="14">
        <v>682</v>
      </c>
      <c r="BE85" s="15">
        <v>682</v>
      </c>
      <c r="BF85" s="14">
        <v>367</v>
      </c>
      <c r="BG85" s="15">
        <v>452</v>
      </c>
      <c r="BH85" s="14">
        <v>501</v>
      </c>
      <c r="BI85" s="15">
        <v>21022</v>
      </c>
      <c r="BJ85" s="14">
        <v>3073</v>
      </c>
      <c r="BK85" s="15">
        <v>300</v>
      </c>
      <c r="BL85" s="14">
        <v>326</v>
      </c>
      <c r="BM85" s="15">
        <v>4126</v>
      </c>
      <c r="BN85" s="14">
        <v>1245</v>
      </c>
      <c r="BO85" s="15">
        <v>851</v>
      </c>
      <c r="BP85" s="14">
        <v>606</v>
      </c>
      <c r="BQ85" s="15">
        <v>0</v>
      </c>
      <c r="BR85" s="14">
        <v>165</v>
      </c>
      <c r="BS85" s="15">
        <v>267</v>
      </c>
      <c r="BT85" s="14">
        <v>228</v>
      </c>
      <c r="BU85" s="15">
        <v>1029</v>
      </c>
      <c r="BV85" s="14">
        <v>627</v>
      </c>
      <c r="BW85" s="15">
        <v>571</v>
      </c>
      <c r="BX85" s="14">
        <v>367</v>
      </c>
      <c r="BY85" s="15">
        <v>813</v>
      </c>
      <c r="BZ85" s="14">
        <v>476</v>
      </c>
      <c r="CA85" s="15">
        <v>261</v>
      </c>
      <c r="CB85" s="14">
        <v>263</v>
      </c>
      <c r="CC85" s="15">
        <v>1310</v>
      </c>
      <c r="CD85" s="14">
        <v>638</v>
      </c>
      <c r="CE85" s="15">
        <v>8408</v>
      </c>
      <c r="CF85" s="14">
        <v>2299</v>
      </c>
      <c r="CG85" s="15">
        <v>848</v>
      </c>
      <c r="CH85" s="14">
        <v>557</v>
      </c>
      <c r="CI85" s="15">
        <v>918</v>
      </c>
      <c r="CJ85" s="14">
        <v>672</v>
      </c>
      <c r="CK85" s="15">
        <v>18</v>
      </c>
      <c r="CL85" s="14">
        <v>31</v>
      </c>
      <c r="CM85" s="15">
        <v>556</v>
      </c>
      <c r="CN85" s="14">
        <v>375</v>
      </c>
      <c r="CO85" s="15">
        <v>154</v>
      </c>
      <c r="CP85" s="14">
        <v>195</v>
      </c>
      <c r="CQ85" s="15">
        <v>1542</v>
      </c>
      <c r="CR85" s="14">
        <v>825</v>
      </c>
      <c r="CS85" s="15">
        <v>8468</v>
      </c>
      <c r="CT85" s="14">
        <v>2434</v>
      </c>
      <c r="CU85" s="15">
        <v>97</v>
      </c>
      <c r="CV85" s="14">
        <v>106</v>
      </c>
      <c r="CW85" s="15">
        <v>70</v>
      </c>
      <c r="CX85" s="14">
        <v>138</v>
      </c>
      <c r="CY85" s="15">
        <v>1705</v>
      </c>
      <c r="CZ85" s="14">
        <v>853</v>
      </c>
      <c r="DA85" s="15">
        <v>3265</v>
      </c>
      <c r="DB85" s="14">
        <v>1675</v>
      </c>
      <c r="DC85" s="15">
        <v>139</v>
      </c>
      <c r="DD85" s="14">
        <v>132</v>
      </c>
      <c r="DE85" s="15">
        <v>486</v>
      </c>
      <c r="DF85" s="14">
        <v>530</v>
      </c>
      <c r="DG85" s="15">
        <v>278</v>
      </c>
      <c r="DH85" s="14">
        <v>239</v>
      </c>
      <c r="DI85" s="15">
        <v>82</v>
      </c>
      <c r="DJ85" s="14">
        <v>147</v>
      </c>
    </row>
    <row r="86" spans="9:114" x14ac:dyDescent="0.25">
      <c r="I86" s="16">
        <v>112787</v>
      </c>
      <c r="J86" s="17">
        <v>7854</v>
      </c>
      <c r="K86" s="15">
        <v>4137</v>
      </c>
      <c r="L86" s="14">
        <v>1628</v>
      </c>
      <c r="M86" s="13">
        <v>304</v>
      </c>
      <c r="N86" s="14">
        <v>370</v>
      </c>
      <c r="O86" s="15">
        <v>1103</v>
      </c>
      <c r="P86" s="14">
        <v>715</v>
      </c>
      <c r="Q86" s="15">
        <v>518</v>
      </c>
      <c r="R86" s="14">
        <v>299</v>
      </c>
      <c r="S86" s="15">
        <v>3415</v>
      </c>
      <c r="T86" s="14">
        <v>1157</v>
      </c>
      <c r="U86" s="15">
        <v>712</v>
      </c>
      <c r="V86" s="14">
        <v>572</v>
      </c>
      <c r="W86" s="15">
        <v>246</v>
      </c>
      <c r="X86" s="14">
        <v>290</v>
      </c>
      <c r="Y86" s="15">
        <v>706</v>
      </c>
      <c r="Z86" s="14">
        <v>774</v>
      </c>
      <c r="AA86" s="15">
        <v>254</v>
      </c>
      <c r="AB86" s="14">
        <v>262</v>
      </c>
      <c r="AC86" s="15">
        <v>9232</v>
      </c>
      <c r="AD86" s="14">
        <v>2697</v>
      </c>
      <c r="AE86" s="15">
        <v>4173</v>
      </c>
      <c r="AF86" s="14">
        <v>1184</v>
      </c>
      <c r="AG86" s="15">
        <v>647</v>
      </c>
      <c r="AH86" s="14">
        <v>665</v>
      </c>
      <c r="AI86" s="15">
        <v>50</v>
      </c>
      <c r="AJ86" s="14">
        <v>91</v>
      </c>
      <c r="AK86" s="15">
        <v>4445</v>
      </c>
      <c r="AL86" s="14">
        <v>1359</v>
      </c>
      <c r="AM86" s="15">
        <v>12203</v>
      </c>
      <c r="AN86" s="14">
        <v>2150</v>
      </c>
      <c r="AO86" s="15">
        <v>238</v>
      </c>
      <c r="AP86" s="14">
        <v>257</v>
      </c>
      <c r="AQ86" s="15">
        <v>602</v>
      </c>
      <c r="AR86" s="14">
        <v>464</v>
      </c>
      <c r="AS86" s="18" t="s">
        <v>60</v>
      </c>
      <c r="AT86" s="14" t="s">
        <v>60</v>
      </c>
      <c r="AU86" s="13">
        <v>666</v>
      </c>
      <c r="AV86" s="14">
        <v>294</v>
      </c>
      <c r="AW86" s="15">
        <v>46</v>
      </c>
      <c r="AX86" s="14">
        <v>80</v>
      </c>
      <c r="AY86" s="15">
        <v>1120</v>
      </c>
      <c r="AZ86" s="14">
        <v>615</v>
      </c>
      <c r="BA86" s="15">
        <v>419</v>
      </c>
      <c r="BB86" s="14">
        <v>285</v>
      </c>
      <c r="BC86" s="15">
        <v>7302</v>
      </c>
      <c r="BD86" s="14">
        <v>1809</v>
      </c>
      <c r="BE86" s="15">
        <v>605</v>
      </c>
      <c r="BF86" s="14">
        <v>346</v>
      </c>
      <c r="BG86" s="15">
        <v>646</v>
      </c>
      <c r="BH86" s="14">
        <v>467</v>
      </c>
      <c r="BI86" s="15">
        <v>2381</v>
      </c>
      <c r="BJ86" s="14">
        <v>1021</v>
      </c>
      <c r="BK86" s="15">
        <v>0</v>
      </c>
      <c r="BL86" s="14">
        <v>181</v>
      </c>
      <c r="BM86" s="15">
        <v>723</v>
      </c>
      <c r="BN86" s="14">
        <v>588</v>
      </c>
      <c r="BO86" s="15">
        <v>301</v>
      </c>
      <c r="BP86" s="14">
        <v>294</v>
      </c>
      <c r="BQ86" s="15">
        <v>84</v>
      </c>
      <c r="BR86" s="14">
        <v>103</v>
      </c>
      <c r="BS86" s="15">
        <v>496</v>
      </c>
      <c r="BT86" s="14">
        <v>551</v>
      </c>
      <c r="BU86" s="15">
        <v>554</v>
      </c>
      <c r="BV86" s="14">
        <v>348</v>
      </c>
      <c r="BW86" s="15">
        <v>5239</v>
      </c>
      <c r="BX86" s="14">
        <v>1774</v>
      </c>
      <c r="BY86" s="15">
        <v>3643</v>
      </c>
      <c r="BZ86" s="14">
        <v>1903</v>
      </c>
      <c r="CA86" s="15">
        <v>122</v>
      </c>
      <c r="CB86" s="14">
        <v>192</v>
      </c>
      <c r="CC86" s="15">
        <v>17041</v>
      </c>
      <c r="CD86" s="14">
        <v>3384</v>
      </c>
      <c r="CE86" s="15">
        <v>577</v>
      </c>
      <c r="CF86" s="14">
        <v>437</v>
      </c>
      <c r="CG86" s="15">
        <v>298</v>
      </c>
      <c r="CH86" s="14">
        <v>212</v>
      </c>
      <c r="CI86" s="15">
        <v>2226</v>
      </c>
      <c r="CJ86" s="14">
        <v>964</v>
      </c>
      <c r="CK86" s="15">
        <v>0</v>
      </c>
      <c r="CL86" s="14">
        <v>181</v>
      </c>
      <c r="CM86" s="15">
        <v>1347</v>
      </c>
      <c r="CN86" s="14">
        <v>671</v>
      </c>
      <c r="CO86" s="15">
        <v>0</v>
      </c>
      <c r="CP86" s="14">
        <v>181</v>
      </c>
      <c r="CQ86" s="15">
        <v>10064</v>
      </c>
      <c r="CR86" s="14">
        <v>2378</v>
      </c>
      <c r="CS86" s="15">
        <v>3345</v>
      </c>
      <c r="CT86" s="14">
        <v>1420</v>
      </c>
      <c r="CU86" s="15">
        <v>464</v>
      </c>
      <c r="CV86" s="14">
        <v>360</v>
      </c>
      <c r="CW86" s="15">
        <v>45</v>
      </c>
      <c r="CX86" s="14">
        <v>81</v>
      </c>
      <c r="CY86" s="15">
        <v>3319</v>
      </c>
      <c r="CZ86" s="14">
        <v>1111</v>
      </c>
      <c r="DA86" s="15">
        <v>1988</v>
      </c>
      <c r="DB86" s="14">
        <v>998</v>
      </c>
      <c r="DC86" s="15">
        <v>3346</v>
      </c>
      <c r="DD86" s="14">
        <v>1472</v>
      </c>
      <c r="DE86" s="15">
        <v>1395</v>
      </c>
      <c r="DF86" s="14">
        <v>845</v>
      </c>
      <c r="DG86" s="15">
        <v>0</v>
      </c>
      <c r="DH86" s="14">
        <v>181</v>
      </c>
      <c r="DI86" s="15">
        <v>170</v>
      </c>
      <c r="DJ86" s="14">
        <v>197</v>
      </c>
    </row>
    <row r="87" spans="9:114" x14ac:dyDescent="0.25">
      <c r="I87" s="16">
        <v>91215</v>
      </c>
      <c r="J87" s="17">
        <v>6941</v>
      </c>
      <c r="K87" s="15">
        <v>2329</v>
      </c>
      <c r="L87" s="14">
        <v>1114</v>
      </c>
      <c r="M87" s="13">
        <v>403</v>
      </c>
      <c r="N87" s="14">
        <v>467</v>
      </c>
      <c r="O87" s="15">
        <v>2021</v>
      </c>
      <c r="P87" s="14">
        <v>1191</v>
      </c>
      <c r="Q87" s="15">
        <v>3645</v>
      </c>
      <c r="R87" s="14">
        <v>2324</v>
      </c>
      <c r="S87" s="15">
        <v>5139</v>
      </c>
      <c r="T87" s="14">
        <v>1438</v>
      </c>
      <c r="U87" s="15">
        <v>1433</v>
      </c>
      <c r="V87" s="14">
        <v>1002</v>
      </c>
      <c r="W87" s="15">
        <v>164</v>
      </c>
      <c r="X87" s="14">
        <v>149</v>
      </c>
      <c r="Y87" s="15">
        <v>0</v>
      </c>
      <c r="Z87" s="14">
        <v>193</v>
      </c>
      <c r="AA87" s="15">
        <v>596</v>
      </c>
      <c r="AB87" s="14">
        <v>517</v>
      </c>
      <c r="AC87" s="15">
        <v>6534</v>
      </c>
      <c r="AD87" s="14">
        <v>2276</v>
      </c>
      <c r="AE87" s="15">
        <v>4478</v>
      </c>
      <c r="AF87" s="14">
        <v>1559</v>
      </c>
      <c r="AG87" s="15">
        <v>378</v>
      </c>
      <c r="AH87" s="14">
        <v>283</v>
      </c>
      <c r="AI87" s="15">
        <v>265</v>
      </c>
      <c r="AJ87" s="14">
        <v>242</v>
      </c>
      <c r="AK87" s="15">
        <v>1229</v>
      </c>
      <c r="AL87" s="14">
        <v>466</v>
      </c>
      <c r="AM87" s="15">
        <v>1359</v>
      </c>
      <c r="AN87" s="14">
        <v>954</v>
      </c>
      <c r="AO87" s="15">
        <v>544</v>
      </c>
      <c r="AP87" s="14">
        <v>447</v>
      </c>
      <c r="AQ87" s="15">
        <v>420</v>
      </c>
      <c r="AR87" s="14">
        <v>392</v>
      </c>
      <c r="AS87" s="15">
        <v>1649</v>
      </c>
      <c r="AT87" s="14">
        <v>1224</v>
      </c>
      <c r="AU87" s="18" t="s">
        <v>60</v>
      </c>
      <c r="AV87" s="14" t="s">
        <v>60</v>
      </c>
      <c r="AW87" s="13">
        <v>251</v>
      </c>
      <c r="AX87" s="14">
        <v>334</v>
      </c>
      <c r="AY87" s="15">
        <v>642</v>
      </c>
      <c r="AZ87" s="14">
        <v>701</v>
      </c>
      <c r="BA87" s="15">
        <v>549</v>
      </c>
      <c r="BB87" s="14">
        <v>354</v>
      </c>
      <c r="BC87" s="15">
        <v>1080</v>
      </c>
      <c r="BD87" s="14">
        <v>782</v>
      </c>
      <c r="BE87" s="15">
        <v>330</v>
      </c>
      <c r="BF87" s="14">
        <v>324</v>
      </c>
      <c r="BG87" s="15">
        <v>6791</v>
      </c>
      <c r="BH87" s="14">
        <v>1938</v>
      </c>
      <c r="BI87" s="15">
        <v>1591</v>
      </c>
      <c r="BJ87" s="14">
        <v>684</v>
      </c>
      <c r="BK87" s="15">
        <v>428</v>
      </c>
      <c r="BL87" s="14">
        <v>524</v>
      </c>
      <c r="BM87" s="15">
        <v>745</v>
      </c>
      <c r="BN87" s="14">
        <v>538</v>
      </c>
      <c r="BO87" s="15">
        <v>931</v>
      </c>
      <c r="BP87" s="14">
        <v>682</v>
      </c>
      <c r="BQ87" s="15">
        <v>11</v>
      </c>
      <c r="BR87" s="14">
        <v>21</v>
      </c>
      <c r="BS87" s="15">
        <v>975</v>
      </c>
      <c r="BT87" s="14">
        <v>575</v>
      </c>
      <c r="BU87" s="15">
        <v>150</v>
      </c>
      <c r="BV87" s="14">
        <v>188</v>
      </c>
      <c r="BW87" s="15">
        <v>2786</v>
      </c>
      <c r="BX87" s="14">
        <v>1105</v>
      </c>
      <c r="BY87" s="15">
        <v>2284</v>
      </c>
      <c r="BZ87" s="14">
        <v>1152</v>
      </c>
      <c r="CA87" s="15">
        <v>64</v>
      </c>
      <c r="CB87" s="14">
        <v>113</v>
      </c>
      <c r="CC87" s="15">
        <v>1115</v>
      </c>
      <c r="CD87" s="14">
        <v>773</v>
      </c>
      <c r="CE87" s="15">
        <v>2159</v>
      </c>
      <c r="CF87" s="14">
        <v>1365</v>
      </c>
      <c r="CG87" s="15">
        <v>195</v>
      </c>
      <c r="CH87" s="14">
        <v>232</v>
      </c>
      <c r="CI87" s="15">
        <v>1239</v>
      </c>
      <c r="CJ87" s="14">
        <v>616</v>
      </c>
      <c r="CK87" s="15">
        <v>737</v>
      </c>
      <c r="CL87" s="14">
        <v>695</v>
      </c>
      <c r="CM87" s="15">
        <v>1914</v>
      </c>
      <c r="CN87" s="14">
        <v>1377</v>
      </c>
      <c r="CO87" s="15">
        <v>0</v>
      </c>
      <c r="CP87" s="14">
        <v>193</v>
      </c>
      <c r="CQ87" s="15">
        <v>2348</v>
      </c>
      <c r="CR87" s="14">
        <v>1546</v>
      </c>
      <c r="CS87" s="15">
        <v>24488</v>
      </c>
      <c r="CT87" s="14">
        <v>4076</v>
      </c>
      <c r="CU87" s="15">
        <v>277</v>
      </c>
      <c r="CV87" s="14">
        <v>288</v>
      </c>
      <c r="CW87" s="15">
        <v>45</v>
      </c>
      <c r="CX87" s="14">
        <v>72</v>
      </c>
      <c r="CY87" s="15">
        <v>1857</v>
      </c>
      <c r="CZ87" s="14">
        <v>1033</v>
      </c>
      <c r="DA87" s="15">
        <v>1581</v>
      </c>
      <c r="DB87" s="14">
        <v>631</v>
      </c>
      <c r="DC87" s="15">
        <v>238</v>
      </c>
      <c r="DD87" s="14">
        <v>271</v>
      </c>
      <c r="DE87" s="15">
        <v>682</v>
      </c>
      <c r="DF87" s="14">
        <v>474</v>
      </c>
      <c r="DG87" s="15">
        <v>146</v>
      </c>
      <c r="DH87" s="14">
        <v>216</v>
      </c>
      <c r="DI87" s="15">
        <v>655</v>
      </c>
      <c r="DJ87" s="14">
        <v>507</v>
      </c>
    </row>
    <row r="88" spans="9:114" x14ac:dyDescent="0.25">
      <c r="I88" s="16">
        <v>27523</v>
      </c>
      <c r="J88" s="17">
        <v>3132</v>
      </c>
      <c r="K88" s="15">
        <v>129</v>
      </c>
      <c r="L88" s="14">
        <v>172</v>
      </c>
      <c r="M88" s="13">
        <v>38</v>
      </c>
      <c r="N88" s="14">
        <v>48</v>
      </c>
      <c r="O88" s="15">
        <v>230</v>
      </c>
      <c r="P88" s="14">
        <v>170</v>
      </c>
      <c r="Q88" s="15">
        <v>0</v>
      </c>
      <c r="R88" s="14">
        <v>155</v>
      </c>
      <c r="S88" s="15">
        <v>1610</v>
      </c>
      <c r="T88" s="14">
        <v>860</v>
      </c>
      <c r="U88" s="15">
        <v>314</v>
      </c>
      <c r="V88" s="14">
        <v>287</v>
      </c>
      <c r="W88" s="15">
        <v>1468</v>
      </c>
      <c r="X88" s="14">
        <v>620</v>
      </c>
      <c r="Y88" s="15">
        <v>234</v>
      </c>
      <c r="Z88" s="14">
        <v>299</v>
      </c>
      <c r="AA88" s="15">
        <v>32</v>
      </c>
      <c r="AB88" s="14">
        <v>55</v>
      </c>
      <c r="AC88" s="15">
        <v>2926</v>
      </c>
      <c r="AD88" s="14">
        <v>1292</v>
      </c>
      <c r="AE88" s="15">
        <v>511</v>
      </c>
      <c r="AF88" s="14">
        <v>538</v>
      </c>
      <c r="AG88" s="15">
        <v>0</v>
      </c>
      <c r="AH88" s="14">
        <v>155</v>
      </c>
      <c r="AI88" s="15">
        <v>143</v>
      </c>
      <c r="AJ88" s="14">
        <v>128</v>
      </c>
      <c r="AK88" s="15">
        <v>195</v>
      </c>
      <c r="AL88" s="14">
        <v>277</v>
      </c>
      <c r="AM88" s="15">
        <v>0</v>
      </c>
      <c r="AN88" s="14">
        <v>155</v>
      </c>
      <c r="AO88" s="15">
        <v>7</v>
      </c>
      <c r="AP88" s="14">
        <v>16</v>
      </c>
      <c r="AQ88" s="15">
        <v>277</v>
      </c>
      <c r="AR88" s="14">
        <v>401</v>
      </c>
      <c r="AS88" s="15">
        <v>482</v>
      </c>
      <c r="AT88" s="14">
        <v>521</v>
      </c>
      <c r="AU88" s="15">
        <v>15</v>
      </c>
      <c r="AV88" s="14">
        <v>30</v>
      </c>
      <c r="AW88" s="18" t="s">
        <v>60</v>
      </c>
      <c r="AX88" s="14" t="s">
        <v>60</v>
      </c>
      <c r="AY88" s="13">
        <v>325</v>
      </c>
      <c r="AZ88" s="14">
        <v>263</v>
      </c>
      <c r="BA88" s="15">
        <v>3887</v>
      </c>
      <c r="BB88" s="14">
        <v>1167</v>
      </c>
      <c r="BC88" s="15">
        <v>116</v>
      </c>
      <c r="BD88" s="14">
        <v>123</v>
      </c>
      <c r="BE88" s="15">
        <v>430</v>
      </c>
      <c r="BF88" s="14">
        <v>359</v>
      </c>
      <c r="BG88" s="15">
        <v>79</v>
      </c>
      <c r="BH88" s="14">
        <v>134</v>
      </c>
      <c r="BI88" s="15">
        <v>69</v>
      </c>
      <c r="BJ88" s="14">
        <v>112</v>
      </c>
      <c r="BK88" s="15">
        <v>0</v>
      </c>
      <c r="BL88" s="14">
        <v>155</v>
      </c>
      <c r="BM88" s="15">
        <v>82</v>
      </c>
      <c r="BN88" s="14">
        <v>136</v>
      </c>
      <c r="BO88" s="15">
        <v>35</v>
      </c>
      <c r="BP88" s="14">
        <v>56</v>
      </c>
      <c r="BQ88" s="15">
        <v>3655</v>
      </c>
      <c r="BR88" s="14">
        <v>1077</v>
      </c>
      <c r="BS88" s="15">
        <v>405</v>
      </c>
      <c r="BT88" s="14">
        <v>281</v>
      </c>
      <c r="BU88" s="15">
        <v>272</v>
      </c>
      <c r="BV88" s="14">
        <v>320</v>
      </c>
      <c r="BW88" s="15">
        <v>2519</v>
      </c>
      <c r="BX88" s="14">
        <v>1180</v>
      </c>
      <c r="BY88" s="15">
        <v>1112</v>
      </c>
      <c r="BZ88" s="14">
        <v>574</v>
      </c>
      <c r="CA88" s="15">
        <v>0</v>
      </c>
      <c r="CB88" s="14">
        <v>155</v>
      </c>
      <c r="CC88" s="15">
        <v>628</v>
      </c>
      <c r="CD88" s="14">
        <v>368</v>
      </c>
      <c r="CE88" s="15">
        <v>79</v>
      </c>
      <c r="CF88" s="14">
        <v>115</v>
      </c>
      <c r="CG88" s="15">
        <v>215</v>
      </c>
      <c r="CH88" s="14">
        <v>255</v>
      </c>
      <c r="CI88" s="15">
        <v>976</v>
      </c>
      <c r="CJ88" s="14">
        <v>600</v>
      </c>
      <c r="CK88" s="15">
        <v>1024</v>
      </c>
      <c r="CL88" s="14">
        <v>656</v>
      </c>
      <c r="CM88" s="15">
        <v>173</v>
      </c>
      <c r="CN88" s="14">
        <v>143</v>
      </c>
      <c r="CO88" s="15">
        <v>0</v>
      </c>
      <c r="CP88" s="14">
        <v>155</v>
      </c>
      <c r="CQ88" s="15">
        <v>985</v>
      </c>
      <c r="CR88" s="14">
        <v>1062</v>
      </c>
      <c r="CS88" s="15">
        <v>496</v>
      </c>
      <c r="CT88" s="14">
        <v>381</v>
      </c>
      <c r="CU88" s="15">
        <v>200</v>
      </c>
      <c r="CV88" s="14">
        <v>183</v>
      </c>
      <c r="CW88" s="15">
        <v>349</v>
      </c>
      <c r="CX88" s="14">
        <v>340</v>
      </c>
      <c r="CY88" s="15">
        <v>573</v>
      </c>
      <c r="CZ88" s="14">
        <v>408</v>
      </c>
      <c r="DA88" s="15">
        <v>118</v>
      </c>
      <c r="DB88" s="14">
        <v>137</v>
      </c>
      <c r="DC88" s="15">
        <v>51</v>
      </c>
      <c r="DD88" s="14">
        <v>85</v>
      </c>
      <c r="DE88" s="15">
        <v>0</v>
      </c>
      <c r="DF88" s="14">
        <v>155</v>
      </c>
      <c r="DG88" s="15">
        <v>59</v>
      </c>
      <c r="DH88" s="14">
        <v>81</v>
      </c>
      <c r="DI88" s="15">
        <v>38</v>
      </c>
      <c r="DJ88" s="14">
        <v>69</v>
      </c>
    </row>
    <row r="89" spans="9:114" x14ac:dyDescent="0.25">
      <c r="I89" s="16">
        <v>154983</v>
      </c>
      <c r="J89" s="17">
        <v>8958</v>
      </c>
      <c r="K89" s="15">
        <v>1261</v>
      </c>
      <c r="L89" s="14">
        <v>713</v>
      </c>
      <c r="M89" s="13">
        <v>1947</v>
      </c>
      <c r="N89" s="14">
        <v>1123</v>
      </c>
      <c r="O89" s="15">
        <v>760</v>
      </c>
      <c r="P89" s="14">
        <v>359</v>
      </c>
      <c r="Q89" s="15">
        <v>136</v>
      </c>
      <c r="R89" s="14">
        <v>159</v>
      </c>
      <c r="S89" s="15">
        <v>8614</v>
      </c>
      <c r="T89" s="14">
        <v>2155</v>
      </c>
      <c r="U89" s="15">
        <v>1071</v>
      </c>
      <c r="V89" s="14">
        <v>609</v>
      </c>
      <c r="W89" s="15">
        <v>881</v>
      </c>
      <c r="X89" s="14">
        <v>516</v>
      </c>
      <c r="Y89" s="15">
        <v>4100</v>
      </c>
      <c r="Z89" s="14">
        <v>1303</v>
      </c>
      <c r="AA89" s="15">
        <v>21213</v>
      </c>
      <c r="AB89" s="14">
        <v>3437</v>
      </c>
      <c r="AC89" s="15">
        <v>9610</v>
      </c>
      <c r="AD89" s="14">
        <v>2515</v>
      </c>
      <c r="AE89" s="15">
        <v>4610</v>
      </c>
      <c r="AF89" s="14">
        <v>2430</v>
      </c>
      <c r="AG89" s="15">
        <v>610</v>
      </c>
      <c r="AH89" s="14">
        <v>474</v>
      </c>
      <c r="AI89" s="15">
        <v>429</v>
      </c>
      <c r="AJ89" s="14">
        <v>444</v>
      </c>
      <c r="AK89" s="15">
        <v>3621</v>
      </c>
      <c r="AL89" s="14">
        <v>1647</v>
      </c>
      <c r="AM89" s="15">
        <v>1210</v>
      </c>
      <c r="AN89" s="14">
        <v>709</v>
      </c>
      <c r="AO89" s="15">
        <v>569</v>
      </c>
      <c r="AP89" s="14">
        <v>389</v>
      </c>
      <c r="AQ89" s="15">
        <v>1726</v>
      </c>
      <c r="AR89" s="14">
        <v>1123</v>
      </c>
      <c r="AS89" s="15">
        <v>715</v>
      </c>
      <c r="AT89" s="14">
        <v>602</v>
      </c>
      <c r="AU89" s="15">
        <v>606</v>
      </c>
      <c r="AV89" s="14">
        <v>441</v>
      </c>
      <c r="AW89" s="15">
        <v>332</v>
      </c>
      <c r="AX89" s="14">
        <v>261</v>
      </c>
      <c r="AY89" s="18" t="s">
        <v>60</v>
      </c>
      <c r="AZ89" s="14" t="s">
        <v>60</v>
      </c>
      <c r="BA89" s="13">
        <v>3977</v>
      </c>
      <c r="BB89" s="14">
        <v>1805</v>
      </c>
      <c r="BC89" s="15">
        <v>2167</v>
      </c>
      <c r="BD89" s="14">
        <v>973</v>
      </c>
      <c r="BE89" s="15">
        <v>1422</v>
      </c>
      <c r="BF89" s="14">
        <v>707</v>
      </c>
      <c r="BG89" s="15">
        <v>581</v>
      </c>
      <c r="BH89" s="14">
        <v>706</v>
      </c>
      <c r="BI89" s="15">
        <v>256</v>
      </c>
      <c r="BJ89" s="14">
        <v>199</v>
      </c>
      <c r="BK89" s="15">
        <v>0</v>
      </c>
      <c r="BL89" s="14">
        <v>190</v>
      </c>
      <c r="BM89" s="15">
        <v>132</v>
      </c>
      <c r="BN89" s="14">
        <v>152</v>
      </c>
      <c r="BO89" s="15">
        <v>330</v>
      </c>
      <c r="BP89" s="14">
        <v>258</v>
      </c>
      <c r="BQ89" s="15">
        <v>1124</v>
      </c>
      <c r="BR89" s="14">
        <v>820</v>
      </c>
      <c r="BS89" s="15">
        <v>6260</v>
      </c>
      <c r="BT89" s="14">
        <v>2244</v>
      </c>
      <c r="BU89" s="15">
        <v>638</v>
      </c>
      <c r="BV89" s="14">
        <v>453</v>
      </c>
      <c r="BW89" s="15">
        <v>11736</v>
      </c>
      <c r="BX89" s="14">
        <v>2585</v>
      </c>
      <c r="BY89" s="15">
        <v>7507</v>
      </c>
      <c r="BZ89" s="14">
        <v>2284</v>
      </c>
      <c r="CA89" s="15">
        <v>116</v>
      </c>
      <c r="CB89" s="14">
        <v>94</v>
      </c>
      <c r="CC89" s="15">
        <v>2522</v>
      </c>
      <c r="CD89" s="14">
        <v>1035</v>
      </c>
      <c r="CE89" s="15">
        <v>463</v>
      </c>
      <c r="CF89" s="14">
        <v>447</v>
      </c>
      <c r="CG89" s="15">
        <v>378</v>
      </c>
      <c r="CH89" s="14">
        <v>426</v>
      </c>
      <c r="CI89" s="15">
        <v>15485</v>
      </c>
      <c r="CJ89" s="14">
        <v>2922</v>
      </c>
      <c r="CK89" s="15">
        <v>82</v>
      </c>
      <c r="CL89" s="14">
        <v>95</v>
      </c>
      <c r="CM89" s="15">
        <v>2297</v>
      </c>
      <c r="CN89" s="14">
        <v>1139</v>
      </c>
      <c r="CO89" s="15">
        <v>0</v>
      </c>
      <c r="CP89" s="14">
        <v>190</v>
      </c>
      <c r="CQ89" s="15">
        <v>1800</v>
      </c>
      <c r="CR89" s="14">
        <v>986</v>
      </c>
      <c r="CS89" s="15">
        <v>5612</v>
      </c>
      <c r="CT89" s="14">
        <v>1271</v>
      </c>
      <c r="CU89" s="15">
        <v>1061</v>
      </c>
      <c r="CV89" s="14">
        <v>831</v>
      </c>
      <c r="CW89" s="15">
        <v>589</v>
      </c>
      <c r="CX89" s="14">
        <v>598</v>
      </c>
      <c r="CY89" s="15">
        <v>20579</v>
      </c>
      <c r="CZ89" s="14">
        <v>2668</v>
      </c>
      <c r="DA89" s="15">
        <v>1431</v>
      </c>
      <c r="DB89" s="14">
        <v>884</v>
      </c>
      <c r="DC89" s="15">
        <v>1957</v>
      </c>
      <c r="DD89" s="14">
        <v>799</v>
      </c>
      <c r="DE89" s="15">
        <v>460</v>
      </c>
      <c r="DF89" s="14">
        <v>371</v>
      </c>
      <c r="DG89" s="15">
        <v>0</v>
      </c>
      <c r="DH89" s="14">
        <v>190</v>
      </c>
      <c r="DI89" s="15">
        <v>294</v>
      </c>
      <c r="DJ89" s="14">
        <v>249</v>
      </c>
    </row>
    <row r="90" spans="9:114" x14ac:dyDescent="0.25">
      <c r="I90" s="16">
        <v>142577</v>
      </c>
      <c r="J90" s="17">
        <v>7863</v>
      </c>
      <c r="K90" s="15">
        <v>636</v>
      </c>
      <c r="L90" s="14">
        <v>622</v>
      </c>
      <c r="M90" s="13">
        <v>890</v>
      </c>
      <c r="N90" s="14">
        <v>600</v>
      </c>
      <c r="O90" s="15">
        <v>1972</v>
      </c>
      <c r="P90" s="14">
        <v>979</v>
      </c>
      <c r="Q90" s="15">
        <v>394</v>
      </c>
      <c r="R90" s="14">
        <v>340</v>
      </c>
      <c r="S90" s="15">
        <v>12770</v>
      </c>
      <c r="T90" s="14">
        <v>2994</v>
      </c>
      <c r="U90" s="15">
        <v>980</v>
      </c>
      <c r="V90" s="14">
        <v>438</v>
      </c>
      <c r="W90" s="15">
        <v>10525</v>
      </c>
      <c r="X90" s="14">
        <v>2062</v>
      </c>
      <c r="Y90" s="15">
        <v>506</v>
      </c>
      <c r="Z90" s="14">
        <v>505</v>
      </c>
      <c r="AA90" s="15">
        <v>379</v>
      </c>
      <c r="AB90" s="14">
        <v>219</v>
      </c>
      <c r="AC90" s="15">
        <v>12890</v>
      </c>
      <c r="AD90" s="14">
        <v>2568</v>
      </c>
      <c r="AE90" s="15">
        <v>2789</v>
      </c>
      <c r="AF90" s="14">
        <v>1129</v>
      </c>
      <c r="AG90" s="15">
        <v>1108</v>
      </c>
      <c r="AH90" s="14">
        <v>564</v>
      </c>
      <c r="AI90" s="15">
        <v>188</v>
      </c>
      <c r="AJ90" s="14">
        <v>164</v>
      </c>
      <c r="AK90" s="15">
        <v>2886</v>
      </c>
      <c r="AL90" s="14">
        <v>1041</v>
      </c>
      <c r="AM90" s="15">
        <v>677</v>
      </c>
      <c r="AN90" s="14">
        <v>497</v>
      </c>
      <c r="AO90" s="15">
        <v>151</v>
      </c>
      <c r="AP90" s="14">
        <v>251</v>
      </c>
      <c r="AQ90" s="15">
        <v>565</v>
      </c>
      <c r="AR90" s="14">
        <v>429</v>
      </c>
      <c r="AS90" s="15">
        <v>52</v>
      </c>
      <c r="AT90" s="14">
        <v>87</v>
      </c>
      <c r="AU90" s="15">
        <v>1556</v>
      </c>
      <c r="AV90" s="14">
        <v>742</v>
      </c>
      <c r="AW90" s="15">
        <v>3907</v>
      </c>
      <c r="AX90" s="14">
        <v>1349</v>
      </c>
      <c r="AY90" s="15">
        <v>2381</v>
      </c>
      <c r="AZ90" s="14">
        <v>895</v>
      </c>
      <c r="BA90" s="18" t="s">
        <v>60</v>
      </c>
      <c r="BB90" s="14" t="s">
        <v>60</v>
      </c>
      <c r="BC90" s="13">
        <v>1337</v>
      </c>
      <c r="BD90" s="14">
        <v>680</v>
      </c>
      <c r="BE90" s="15">
        <v>966</v>
      </c>
      <c r="BF90" s="14">
        <v>367</v>
      </c>
      <c r="BG90" s="15">
        <v>155</v>
      </c>
      <c r="BH90" s="14">
        <v>186</v>
      </c>
      <c r="BI90" s="15">
        <v>453</v>
      </c>
      <c r="BJ90" s="14">
        <v>218</v>
      </c>
      <c r="BK90" s="15">
        <v>49</v>
      </c>
      <c r="BL90" s="14">
        <v>81</v>
      </c>
      <c r="BM90" s="15">
        <v>182</v>
      </c>
      <c r="BN90" s="14">
        <v>189</v>
      </c>
      <c r="BO90" s="15">
        <v>787</v>
      </c>
      <c r="BP90" s="14">
        <v>544</v>
      </c>
      <c r="BQ90" s="15">
        <v>13331</v>
      </c>
      <c r="BR90" s="14">
        <v>2144</v>
      </c>
      <c r="BS90" s="15">
        <v>8046</v>
      </c>
      <c r="BT90" s="14">
        <v>1874</v>
      </c>
      <c r="BU90" s="15">
        <v>521</v>
      </c>
      <c r="BV90" s="14">
        <v>364</v>
      </c>
      <c r="BW90" s="15">
        <v>19467</v>
      </c>
      <c r="BX90" s="14">
        <v>2432</v>
      </c>
      <c r="BY90" s="15">
        <v>2514</v>
      </c>
      <c r="BZ90" s="14">
        <v>1003</v>
      </c>
      <c r="CA90" s="15">
        <v>81</v>
      </c>
      <c r="CB90" s="14">
        <v>133</v>
      </c>
      <c r="CC90" s="15">
        <v>1829</v>
      </c>
      <c r="CD90" s="14">
        <v>772</v>
      </c>
      <c r="CE90" s="15">
        <v>297</v>
      </c>
      <c r="CF90" s="14">
        <v>206</v>
      </c>
      <c r="CG90" s="15">
        <v>1528</v>
      </c>
      <c r="CH90" s="14">
        <v>1359</v>
      </c>
      <c r="CI90" s="15">
        <v>8236</v>
      </c>
      <c r="CJ90" s="14">
        <v>1924</v>
      </c>
      <c r="CK90" s="15">
        <v>6863</v>
      </c>
      <c r="CL90" s="14">
        <v>1317</v>
      </c>
      <c r="CM90" s="15">
        <v>2477</v>
      </c>
      <c r="CN90" s="14">
        <v>1120</v>
      </c>
      <c r="CO90" s="15">
        <v>194</v>
      </c>
      <c r="CP90" s="14">
        <v>326</v>
      </c>
      <c r="CQ90" s="15">
        <v>823</v>
      </c>
      <c r="CR90" s="14">
        <v>342</v>
      </c>
      <c r="CS90" s="15">
        <v>3694</v>
      </c>
      <c r="CT90" s="14">
        <v>1078</v>
      </c>
      <c r="CU90" s="15">
        <v>1027</v>
      </c>
      <c r="CV90" s="14">
        <v>666</v>
      </c>
      <c r="CW90" s="15">
        <v>2534</v>
      </c>
      <c r="CX90" s="14">
        <v>913</v>
      </c>
      <c r="CY90" s="15">
        <v>4098</v>
      </c>
      <c r="CZ90" s="14">
        <v>1470</v>
      </c>
      <c r="DA90" s="15">
        <v>1653</v>
      </c>
      <c r="DB90" s="14">
        <v>696</v>
      </c>
      <c r="DC90" s="15">
        <v>385</v>
      </c>
      <c r="DD90" s="14">
        <v>569</v>
      </c>
      <c r="DE90" s="15">
        <v>584</v>
      </c>
      <c r="DF90" s="14">
        <v>445</v>
      </c>
      <c r="DG90" s="15">
        <v>264</v>
      </c>
      <c r="DH90" s="14">
        <v>404</v>
      </c>
      <c r="DI90" s="15">
        <v>4056</v>
      </c>
      <c r="DJ90" s="14">
        <v>1883</v>
      </c>
    </row>
    <row r="91" spans="9:114" x14ac:dyDescent="0.25">
      <c r="I91" s="16">
        <v>133981</v>
      </c>
      <c r="J91" s="17">
        <v>8566</v>
      </c>
      <c r="K91" s="15">
        <v>2341</v>
      </c>
      <c r="L91" s="14">
        <v>1013</v>
      </c>
      <c r="M91" s="13">
        <v>1152</v>
      </c>
      <c r="N91" s="14">
        <v>685</v>
      </c>
      <c r="O91" s="15">
        <v>7168</v>
      </c>
      <c r="P91" s="14">
        <v>3100</v>
      </c>
      <c r="Q91" s="15">
        <v>906</v>
      </c>
      <c r="R91" s="14">
        <v>559</v>
      </c>
      <c r="S91" s="15">
        <v>8085</v>
      </c>
      <c r="T91" s="14">
        <v>1721</v>
      </c>
      <c r="U91" s="15">
        <v>2363</v>
      </c>
      <c r="V91" s="14">
        <v>967</v>
      </c>
      <c r="W91" s="15">
        <v>798</v>
      </c>
      <c r="X91" s="14">
        <v>506</v>
      </c>
      <c r="Y91" s="15">
        <v>114</v>
      </c>
      <c r="Z91" s="14">
        <v>164</v>
      </c>
      <c r="AA91" s="15">
        <v>274</v>
      </c>
      <c r="AB91" s="14">
        <v>282</v>
      </c>
      <c r="AC91" s="15">
        <v>13146</v>
      </c>
      <c r="AD91" s="14">
        <v>3306</v>
      </c>
      <c r="AE91" s="15">
        <v>4270</v>
      </c>
      <c r="AF91" s="14">
        <v>1652</v>
      </c>
      <c r="AG91" s="15">
        <v>291</v>
      </c>
      <c r="AH91" s="14">
        <v>238</v>
      </c>
      <c r="AI91" s="15">
        <v>242</v>
      </c>
      <c r="AJ91" s="14">
        <v>371</v>
      </c>
      <c r="AK91" s="15">
        <v>10047</v>
      </c>
      <c r="AL91" s="14">
        <v>1702</v>
      </c>
      <c r="AM91" s="15">
        <v>10976</v>
      </c>
      <c r="AN91" s="14">
        <v>2324</v>
      </c>
      <c r="AO91" s="15">
        <v>993</v>
      </c>
      <c r="AP91" s="14">
        <v>495</v>
      </c>
      <c r="AQ91" s="15">
        <v>805</v>
      </c>
      <c r="AR91" s="14">
        <v>608</v>
      </c>
      <c r="AS91" s="15">
        <v>3409</v>
      </c>
      <c r="AT91" s="14">
        <v>1388</v>
      </c>
      <c r="AU91" s="15">
        <v>1284</v>
      </c>
      <c r="AV91" s="14">
        <v>662</v>
      </c>
      <c r="AW91" s="15">
        <v>261</v>
      </c>
      <c r="AX91" s="14">
        <v>218</v>
      </c>
      <c r="AY91" s="15">
        <v>2201</v>
      </c>
      <c r="AZ91" s="14">
        <v>1094</v>
      </c>
      <c r="BA91" s="15">
        <v>1720</v>
      </c>
      <c r="BB91" s="14">
        <v>764</v>
      </c>
      <c r="BC91" s="18" t="s">
        <v>60</v>
      </c>
      <c r="BD91" s="14" t="s">
        <v>60</v>
      </c>
      <c r="BE91" s="13">
        <v>1127</v>
      </c>
      <c r="BF91" s="14">
        <v>512</v>
      </c>
      <c r="BG91" s="15">
        <v>922</v>
      </c>
      <c r="BH91" s="14">
        <v>671</v>
      </c>
      <c r="BI91" s="15">
        <v>2206</v>
      </c>
      <c r="BJ91" s="14">
        <v>695</v>
      </c>
      <c r="BK91" s="15">
        <v>218</v>
      </c>
      <c r="BL91" s="14">
        <v>171</v>
      </c>
      <c r="BM91" s="15">
        <v>113</v>
      </c>
      <c r="BN91" s="14">
        <v>137</v>
      </c>
      <c r="BO91" s="15">
        <v>1354</v>
      </c>
      <c r="BP91" s="14">
        <v>715</v>
      </c>
      <c r="BQ91" s="15">
        <v>446</v>
      </c>
      <c r="BR91" s="14">
        <v>342</v>
      </c>
      <c r="BS91" s="15">
        <v>1617</v>
      </c>
      <c r="BT91" s="14">
        <v>721</v>
      </c>
      <c r="BU91" s="15">
        <v>1318</v>
      </c>
      <c r="BV91" s="14">
        <v>685</v>
      </c>
      <c r="BW91" s="15">
        <v>5731</v>
      </c>
      <c r="BX91" s="14">
        <v>1680</v>
      </c>
      <c r="BY91" s="15">
        <v>3912</v>
      </c>
      <c r="BZ91" s="14">
        <v>1056</v>
      </c>
      <c r="CA91" s="15">
        <v>265</v>
      </c>
      <c r="CB91" s="14">
        <v>202</v>
      </c>
      <c r="CC91" s="15">
        <v>11318</v>
      </c>
      <c r="CD91" s="14">
        <v>2251</v>
      </c>
      <c r="CE91" s="15">
        <v>705</v>
      </c>
      <c r="CF91" s="14">
        <v>307</v>
      </c>
      <c r="CG91" s="15">
        <v>811</v>
      </c>
      <c r="CH91" s="14">
        <v>440</v>
      </c>
      <c r="CI91" s="15">
        <v>2739</v>
      </c>
      <c r="CJ91" s="14">
        <v>686</v>
      </c>
      <c r="CK91" s="15">
        <v>68</v>
      </c>
      <c r="CL91" s="14">
        <v>114</v>
      </c>
      <c r="CM91" s="15">
        <v>1822</v>
      </c>
      <c r="CN91" s="14">
        <v>797</v>
      </c>
      <c r="CO91" s="15">
        <v>66</v>
      </c>
      <c r="CP91" s="14">
        <v>77</v>
      </c>
      <c r="CQ91" s="15">
        <v>3259</v>
      </c>
      <c r="CR91" s="14">
        <v>997</v>
      </c>
      <c r="CS91" s="15">
        <v>8638</v>
      </c>
      <c r="CT91" s="14">
        <v>2574</v>
      </c>
      <c r="CU91" s="15">
        <v>819</v>
      </c>
      <c r="CV91" s="14">
        <v>534</v>
      </c>
      <c r="CW91" s="15">
        <v>60</v>
      </c>
      <c r="CX91" s="14">
        <v>120</v>
      </c>
      <c r="CY91" s="15">
        <v>3057</v>
      </c>
      <c r="CZ91" s="14">
        <v>855</v>
      </c>
      <c r="DA91" s="15">
        <v>2146</v>
      </c>
      <c r="DB91" s="14">
        <v>839</v>
      </c>
      <c r="DC91" s="15">
        <v>353</v>
      </c>
      <c r="DD91" s="14">
        <v>279</v>
      </c>
      <c r="DE91" s="15">
        <v>4768</v>
      </c>
      <c r="DF91" s="14">
        <v>1111</v>
      </c>
      <c r="DG91" s="15">
        <v>1277</v>
      </c>
      <c r="DH91" s="14">
        <v>862</v>
      </c>
      <c r="DI91" s="15">
        <v>782</v>
      </c>
      <c r="DJ91" s="14">
        <v>797</v>
      </c>
    </row>
    <row r="92" spans="9:114" x14ac:dyDescent="0.25">
      <c r="I92" s="16">
        <v>101042</v>
      </c>
      <c r="J92" s="17">
        <v>6534</v>
      </c>
      <c r="K92" s="15">
        <v>1299</v>
      </c>
      <c r="L92" s="14">
        <v>919</v>
      </c>
      <c r="M92" s="13">
        <v>523</v>
      </c>
      <c r="N92" s="14">
        <v>312</v>
      </c>
      <c r="O92" s="15">
        <v>3065</v>
      </c>
      <c r="P92" s="14">
        <v>861</v>
      </c>
      <c r="Q92" s="15">
        <v>375</v>
      </c>
      <c r="R92" s="14">
        <v>222</v>
      </c>
      <c r="S92" s="15">
        <v>8086</v>
      </c>
      <c r="T92" s="14">
        <v>2263</v>
      </c>
      <c r="U92" s="15">
        <v>3565</v>
      </c>
      <c r="V92" s="14">
        <v>1095</v>
      </c>
      <c r="W92" s="15">
        <v>696</v>
      </c>
      <c r="X92" s="14">
        <v>360</v>
      </c>
      <c r="Y92" s="15">
        <v>0</v>
      </c>
      <c r="Z92" s="14">
        <v>139</v>
      </c>
      <c r="AA92" s="15">
        <v>310</v>
      </c>
      <c r="AB92" s="14">
        <v>353</v>
      </c>
      <c r="AC92" s="15">
        <v>2372</v>
      </c>
      <c r="AD92" s="14">
        <v>752</v>
      </c>
      <c r="AE92" s="15">
        <v>2235</v>
      </c>
      <c r="AF92" s="14">
        <v>1482</v>
      </c>
      <c r="AG92" s="15">
        <v>1277</v>
      </c>
      <c r="AH92" s="14">
        <v>1179</v>
      </c>
      <c r="AI92" s="15">
        <v>575</v>
      </c>
      <c r="AJ92" s="14">
        <v>531</v>
      </c>
      <c r="AK92" s="15">
        <v>5896</v>
      </c>
      <c r="AL92" s="14">
        <v>1405</v>
      </c>
      <c r="AM92" s="15">
        <v>2026</v>
      </c>
      <c r="AN92" s="14">
        <v>1057</v>
      </c>
      <c r="AO92" s="15">
        <v>7220</v>
      </c>
      <c r="AP92" s="14">
        <v>1774</v>
      </c>
      <c r="AQ92" s="15">
        <v>924</v>
      </c>
      <c r="AR92" s="14">
        <v>513</v>
      </c>
      <c r="AS92" s="15">
        <v>57</v>
      </c>
      <c r="AT92" s="14">
        <v>103</v>
      </c>
      <c r="AU92" s="15">
        <v>791</v>
      </c>
      <c r="AV92" s="14">
        <v>858</v>
      </c>
      <c r="AW92" s="15">
        <v>187</v>
      </c>
      <c r="AX92" s="14">
        <v>136</v>
      </c>
      <c r="AY92" s="15">
        <v>1841</v>
      </c>
      <c r="AZ92" s="14">
        <v>2080</v>
      </c>
      <c r="BA92" s="15">
        <v>814</v>
      </c>
      <c r="BB92" s="14">
        <v>434</v>
      </c>
      <c r="BC92" s="15">
        <v>2212</v>
      </c>
      <c r="BD92" s="14">
        <v>822</v>
      </c>
      <c r="BE92" s="18" t="s">
        <v>60</v>
      </c>
      <c r="BF92" s="14" t="s">
        <v>60</v>
      </c>
      <c r="BG92" s="13">
        <v>202</v>
      </c>
      <c r="BH92" s="14">
        <v>323</v>
      </c>
      <c r="BI92" s="15">
        <v>1709</v>
      </c>
      <c r="BJ92" s="14">
        <v>750</v>
      </c>
      <c r="BK92" s="15">
        <v>1257</v>
      </c>
      <c r="BL92" s="14">
        <v>900</v>
      </c>
      <c r="BM92" s="15">
        <v>992</v>
      </c>
      <c r="BN92" s="14">
        <v>477</v>
      </c>
      <c r="BO92" s="15">
        <v>932</v>
      </c>
      <c r="BP92" s="14">
        <v>542</v>
      </c>
      <c r="BQ92" s="15">
        <v>0</v>
      </c>
      <c r="BR92" s="14">
        <v>139</v>
      </c>
      <c r="BS92" s="15">
        <v>1038</v>
      </c>
      <c r="BT92" s="14">
        <v>546</v>
      </c>
      <c r="BU92" s="15">
        <v>322</v>
      </c>
      <c r="BV92" s="14">
        <v>224</v>
      </c>
      <c r="BW92" s="15">
        <v>1849</v>
      </c>
      <c r="BX92" s="14">
        <v>732</v>
      </c>
      <c r="BY92" s="15">
        <v>1745</v>
      </c>
      <c r="BZ92" s="14">
        <v>956</v>
      </c>
      <c r="CA92" s="15">
        <v>6672</v>
      </c>
      <c r="CB92" s="14">
        <v>1485</v>
      </c>
      <c r="CC92" s="15">
        <v>2635</v>
      </c>
      <c r="CD92" s="14">
        <v>1248</v>
      </c>
      <c r="CE92" s="15">
        <v>1212</v>
      </c>
      <c r="CF92" s="14">
        <v>894</v>
      </c>
      <c r="CG92" s="15">
        <v>781</v>
      </c>
      <c r="CH92" s="14">
        <v>513</v>
      </c>
      <c r="CI92" s="15">
        <v>1106</v>
      </c>
      <c r="CJ92" s="14">
        <v>570</v>
      </c>
      <c r="CK92" s="15">
        <v>299</v>
      </c>
      <c r="CL92" s="14">
        <v>226</v>
      </c>
      <c r="CM92" s="15">
        <v>1705</v>
      </c>
      <c r="CN92" s="14">
        <v>1448</v>
      </c>
      <c r="CO92" s="15">
        <v>3442</v>
      </c>
      <c r="CP92" s="14">
        <v>990</v>
      </c>
      <c r="CQ92" s="15">
        <v>1738</v>
      </c>
      <c r="CR92" s="14">
        <v>1141</v>
      </c>
      <c r="CS92" s="15">
        <v>4001</v>
      </c>
      <c r="CT92" s="14">
        <v>1244</v>
      </c>
      <c r="CU92" s="15">
        <v>429</v>
      </c>
      <c r="CV92" s="14">
        <v>312</v>
      </c>
      <c r="CW92" s="15">
        <v>77</v>
      </c>
      <c r="CX92" s="14">
        <v>126</v>
      </c>
      <c r="CY92" s="15">
        <v>1037</v>
      </c>
      <c r="CZ92" s="14">
        <v>434</v>
      </c>
      <c r="DA92" s="15">
        <v>1685</v>
      </c>
      <c r="DB92" s="14">
        <v>678</v>
      </c>
      <c r="DC92" s="15">
        <v>0</v>
      </c>
      <c r="DD92" s="14">
        <v>139</v>
      </c>
      <c r="DE92" s="15">
        <v>17618</v>
      </c>
      <c r="DF92" s="14">
        <v>2358</v>
      </c>
      <c r="DG92" s="15">
        <v>213</v>
      </c>
      <c r="DH92" s="14">
        <v>213</v>
      </c>
      <c r="DI92" s="15">
        <v>134</v>
      </c>
      <c r="DJ92" s="14">
        <v>136</v>
      </c>
    </row>
    <row r="93" spans="9:114" x14ac:dyDescent="0.25">
      <c r="I93" s="16">
        <v>73500</v>
      </c>
      <c r="J93" s="17">
        <v>7080</v>
      </c>
      <c r="K93" s="15">
        <v>5141</v>
      </c>
      <c r="L93" s="14">
        <v>1870</v>
      </c>
      <c r="M93" s="13">
        <v>0</v>
      </c>
      <c r="N93" s="14">
        <v>198</v>
      </c>
      <c r="O93" s="15">
        <v>710</v>
      </c>
      <c r="P93" s="14">
        <v>509</v>
      </c>
      <c r="Q93" s="15">
        <v>2680</v>
      </c>
      <c r="R93" s="14">
        <v>1447</v>
      </c>
      <c r="S93" s="15">
        <v>4371</v>
      </c>
      <c r="T93" s="14">
        <v>1070</v>
      </c>
      <c r="U93" s="15">
        <v>799</v>
      </c>
      <c r="V93" s="14">
        <v>426</v>
      </c>
      <c r="W93" s="15">
        <v>106</v>
      </c>
      <c r="X93" s="14">
        <v>147</v>
      </c>
      <c r="Y93" s="15">
        <v>0</v>
      </c>
      <c r="Z93" s="14">
        <v>198</v>
      </c>
      <c r="AA93" s="15">
        <v>97</v>
      </c>
      <c r="AB93" s="14">
        <v>164</v>
      </c>
      <c r="AC93" s="15">
        <v>4676</v>
      </c>
      <c r="AD93" s="14">
        <v>1396</v>
      </c>
      <c r="AE93" s="15">
        <v>2669</v>
      </c>
      <c r="AF93" s="14">
        <v>865</v>
      </c>
      <c r="AG93" s="15">
        <v>184</v>
      </c>
      <c r="AH93" s="14">
        <v>191</v>
      </c>
      <c r="AI93" s="15">
        <v>586</v>
      </c>
      <c r="AJ93" s="14">
        <v>597</v>
      </c>
      <c r="AK93" s="15">
        <v>2703</v>
      </c>
      <c r="AL93" s="14">
        <v>933</v>
      </c>
      <c r="AM93" s="15">
        <v>1200</v>
      </c>
      <c r="AN93" s="14">
        <v>621</v>
      </c>
      <c r="AO93" s="15">
        <v>160</v>
      </c>
      <c r="AP93" s="14">
        <v>275</v>
      </c>
      <c r="AQ93" s="15">
        <v>400</v>
      </c>
      <c r="AR93" s="14">
        <v>339</v>
      </c>
      <c r="AS93" s="15">
        <v>446</v>
      </c>
      <c r="AT93" s="14">
        <v>276</v>
      </c>
      <c r="AU93" s="15">
        <v>8588</v>
      </c>
      <c r="AV93" s="14">
        <v>2293</v>
      </c>
      <c r="AW93" s="15">
        <v>163</v>
      </c>
      <c r="AX93" s="14">
        <v>167</v>
      </c>
      <c r="AY93" s="15">
        <v>379</v>
      </c>
      <c r="AZ93" s="14">
        <v>262</v>
      </c>
      <c r="BA93" s="15">
        <v>67</v>
      </c>
      <c r="BB93" s="14">
        <v>113</v>
      </c>
      <c r="BC93" s="15">
        <v>1768</v>
      </c>
      <c r="BD93" s="14">
        <v>1071</v>
      </c>
      <c r="BE93" s="15">
        <v>568</v>
      </c>
      <c r="BF93" s="14">
        <v>385</v>
      </c>
      <c r="BG93" s="18" t="s">
        <v>60</v>
      </c>
      <c r="BH93" s="14" t="s">
        <v>60</v>
      </c>
      <c r="BI93" s="13">
        <v>2634</v>
      </c>
      <c r="BJ93" s="14">
        <v>1581</v>
      </c>
      <c r="BK93" s="15">
        <v>166</v>
      </c>
      <c r="BL93" s="14">
        <v>168</v>
      </c>
      <c r="BM93" s="15">
        <v>138</v>
      </c>
      <c r="BN93" s="14">
        <v>159</v>
      </c>
      <c r="BO93" s="15">
        <v>526</v>
      </c>
      <c r="BP93" s="14">
        <v>342</v>
      </c>
      <c r="BQ93" s="15">
        <v>60</v>
      </c>
      <c r="BR93" s="14">
        <v>117</v>
      </c>
      <c r="BS93" s="15">
        <v>2127</v>
      </c>
      <c r="BT93" s="14">
        <v>1495</v>
      </c>
      <c r="BU93" s="15">
        <v>86</v>
      </c>
      <c r="BV93" s="14">
        <v>102</v>
      </c>
      <c r="BW93" s="15">
        <v>1492</v>
      </c>
      <c r="BX93" s="14">
        <v>660</v>
      </c>
      <c r="BY93" s="15">
        <v>1709</v>
      </c>
      <c r="BZ93" s="14">
        <v>609</v>
      </c>
      <c r="CA93" s="15">
        <v>98</v>
      </c>
      <c r="CB93" s="14">
        <v>118</v>
      </c>
      <c r="CC93" s="15">
        <v>896</v>
      </c>
      <c r="CD93" s="14">
        <v>703</v>
      </c>
      <c r="CE93" s="15">
        <v>562</v>
      </c>
      <c r="CF93" s="14">
        <v>352</v>
      </c>
      <c r="CG93" s="15">
        <v>465</v>
      </c>
      <c r="CH93" s="14">
        <v>768</v>
      </c>
      <c r="CI93" s="15">
        <v>613</v>
      </c>
      <c r="CJ93" s="14">
        <v>434</v>
      </c>
      <c r="CK93" s="15">
        <v>185</v>
      </c>
      <c r="CL93" s="14">
        <v>229</v>
      </c>
      <c r="CM93" s="15">
        <v>596</v>
      </c>
      <c r="CN93" s="14">
        <v>469</v>
      </c>
      <c r="CO93" s="15">
        <v>79</v>
      </c>
      <c r="CP93" s="14">
        <v>129</v>
      </c>
      <c r="CQ93" s="15">
        <v>11643</v>
      </c>
      <c r="CR93" s="14">
        <v>2856</v>
      </c>
      <c r="CS93" s="15">
        <v>7230</v>
      </c>
      <c r="CT93" s="14">
        <v>2491</v>
      </c>
      <c r="CU93" s="15">
        <v>454</v>
      </c>
      <c r="CV93" s="14">
        <v>724</v>
      </c>
      <c r="CW93" s="15">
        <v>0</v>
      </c>
      <c r="CX93" s="14">
        <v>198</v>
      </c>
      <c r="CY93" s="15">
        <v>1929</v>
      </c>
      <c r="CZ93" s="14">
        <v>1285</v>
      </c>
      <c r="DA93" s="15">
        <v>433</v>
      </c>
      <c r="DB93" s="14">
        <v>309</v>
      </c>
      <c r="DC93" s="15">
        <v>0</v>
      </c>
      <c r="DD93" s="14">
        <v>198</v>
      </c>
      <c r="DE93" s="15">
        <v>611</v>
      </c>
      <c r="DF93" s="14">
        <v>521</v>
      </c>
      <c r="DG93" s="15">
        <v>307</v>
      </c>
      <c r="DH93" s="14">
        <v>287</v>
      </c>
      <c r="DI93" s="15">
        <v>81</v>
      </c>
      <c r="DJ93" s="14">
        <v>108</v>
      </c>
    </row>
    <row r="94" spans="9:114" x14ac:dyDescent="0.25">
      <c r="I94" s="16">
        <v>162930</v>
      </c>
      <c r="J94" s="17">
        <v>8034</v>
      </c>
      <c r="K94" s="15">
        <v>1333</v>
      </c>
      <c r="L94" s="14">
        <v>768</v>
      </c>
      <c r="M94" s="13">
        <v>2186</v>
      </c>
      <c r="N94" s="14">
        <v>1289</v>
      </c>
      <c r="O94" s="15">
        <v>2297</v>
      </c>
      <c r="P94" s="14">
        <v>741</v>
      </c>
      <c r="Q94" s="15">
        <v>9434</v>
      </c>
      <c r="R94" s="14">
        <v>2224</v>
      </c>
      <c r="S94" s="15">
        <v>10717</v>
      </c>
      <c r="T94" s="14">
        <v>2409</v>
      </c>
      <c r="U94" s="15">
        <v>3798</v>
      </c>
      <c r="V94" s="14">
        <v>1371</v>
      </c>
      <c r="W94" s="15">
        <v>410</v>
      </c>
      <c r="X94" s="14">
        <v>331</v>
      </c>
      <c r="Y94" s="15">
        <v>234</v>
      </c>
      <c r="Z94" s="14">
        <v>314</v>
      </c>
      <c r="AA94" s="15">
        <v>144</v>
      </c>
      <c r="AB94" s="14">
        <v>172</v>
      </c>
      <c r="AC94" s="15">
        <v>8374</v>
      </c>
      <c r="AD94" s="14">
        <v>1990</v>
      </c>
      <c r="AE94" s="15">
        <v>3451</v>
      </c>
      <c r="AF94" s="14">
        <v>1391</v>
      </c>
      <c r="AG94" s="15">
        <v>2114</v>
      </c>
      <c r="AH94" s="14">
        <v>1271</v>
      </c>
      <c r="AI94" s="15">
        <v>596</v>
      </c>
      <c r="AJ94" s="14">
        <v>478</v>
      </c>
      <c r="AK94" s="15">
        <v>22001</v>
      </c>
      <c r="AL94" s="14">
        <v>2893</v>
      </c>
      <c r="AM94" s="15">
        <v>4184</v>
      </c>
      <c r="AN94" s="14">
        <v>1267</v>
      </c>
      <c r="AO94" s="15">
        <v>5956</v>
      </c>
      <c r="AP94" s="14">
        <v>1324</v>
      </c>
      <c r="AQ94" s="15">
        <v>20218</v>
      </c>
      <c r="AR94" s="14">
        <v>3673</v>
      </c>
      <c r="AS94" s="15">
        <v>2291</v>
      </c>
      <c r="AT94" s="14">
        <v>1067</v>
      </c>
      <c r="AU94" s="15">
        <v>1178</v>
      </c>
      <c r="AV94" s="14">
        <v>651</v>
      </c>
      <c r="AW94" s="15">
        <v>996</v>
      </c>
      <c r="AX94" s="14">
        <v>1247</v>
      </c>
      <c r="AY94" s="15">
        <v>1246</v>
      </c>
      <c r="AZ94" s="14">
        <v>717</v>
      </c>
      <c r="BA94" s="15">
        <v>810</v>
      </c>
      <c r="BB94" s="14">
        <v>486</v>
      </c>
      <c r="BC94" s="15">
        <v>2964</v>
      </c>
      <c r="BD94" s="14">
        <v>1169</v>
      </c>
      <c r="BE94" s="15">
        <v>2798</v>
      </c>
      <c r="BF94" s="14">
        <v>1265</v>
      </c>
      <c r="BG94" s="15">
        <v>1110</v>
      </c>
      <c r="BH94" s="14">
        <v>532</v>
      </c>
      <c r="BI94" s="18" t="s">
        <v>60</v>
      </c>
      <c r="BJ94" s="14" t="s">
        <v>60</v>
      </c>
      <c r="BK94" s="13">
        <v>511</v>
      </c>
      <c r="BL94" s="14">
        <v>506</v>
      </c>
      <c r="BM94" s="15">
        <v>1999</v>
      </c>
      <c r="BN94" s="14">
        <v>833</v>
      </c>
      <c r="BO94" s="15">
        <v>836</v>
      </c>
      <c r="BP94" s="14">
        <v>366</v>
      </c>
      <c r="BQ94" s="15">
        <v>35</v>
      </c>
      <c r="BR94" s="14">
        <v>58</v>
      </c>
      <c r="BS94" s="15">
        <v>960</v>
      </c>
      <c r="BT94" s="14">
        <v>536</v>
      </c>
      <c r="BU94" s="15">
        <v>451</v>
      </c>
      <c r="BV94" s="14">
        <v>309</v>
      </c>
      <c r="BW94" s="15">
        <v>2834</v>
      </c>
      <c r="BX94" s="14">
        <v>918</v>
      </c>
      <c r="BY94" s="15">
        <v>3988</v>
      </c>
      <c r="BZ94" s="14">
        <v>1420</v>
      </c>
      <c r="CA94" s="15">
        <v>636</v>
      </c>
      <c r="CB94" s="14">
        <v>462</v>
      </c>
      <c r="CC94" s="15">
        <v>3557</v>
      </c>
      <c r="CD94" s="14">
        <v>1317</v>
      </c>
      <c r="CE94" s="15">
        <v>5298</v>
      </c>
      <c r="CF94" s="14">
        <v>2199</v>
      </c>
      <c r="CG94" s="15">
        <v>1186</v>
      </c>
      <c r="CH94" s="14">
        <v>899</v>
      </c>
      <c r="CI94" s="15">
        <v>1535</v>
      </c>
      <c r="CJ94" s="14">
        <v>639</v>
      </c>
      <c r="CK94" s="15">
        <v>361</v>
      </c>
      <c r="CL94" s="14">
        <v>582</v>
      </c>
      <c r="CM94" s="15">
        <v>2856</v>
      </c>
      <c r="CN94" s="14">
        <v>1625</v>
      </c>
      <c r="CO94" s="15">
        <v>527</v>
      </c>
      <c r="CP94" s="14">
        <v>542</v>
      </c>
      <c r="CQ94" s="15">
        <v>3122</v>
      </c>
      <c r="CR94" s="14">
        <v>1350</v>
      </c>
      <c r="CS94" s="15">
        <v>9278</v>
      </c>
      <c r="CT94" s="14">
        <v>2841</v>
      </c>
      <c r="CU94" s="15">
        <v>3287</v>
      </c>
      <c r="CV94" s="14">
        <v>1733</v>
      </c>
      <c r="CW94" s="15">
        <v>318</v>
      </c>
      <c r="CX94" s="14">
        <v>413</v>
      </c>
      <c r="CY94" s="15">
        <v>2609</v>
      </c>
      <c r="CZ94" s="14">
        <v>1081</v>
      </c>
      <c r="DA94" s="15">
        <v>2312</v>
      </c>
      <c r="DB94" s="14">
        <v>1093</v>
      </c>
      <c r="DC94" s="15">
        <v>148</v>
      </c>
      <c r="DD94" s="14">
        <v>181</v>
      </c>
      <c r="DE94" s="15">
        <v>2636</v>
      </c>
      <c r="DF94" s="14">
        <v>999</v>
      </c>
      <c r="DG94" s="15">
        <v>810</v>
      </c>
      <c r="DH94" s="14">
        <v>452</v>
      </c>
      <c r="DI94" s="15">
        <v>826</v>
      </c>
      <c r="DJ94" s="14">
        <v>958</v>
      </c>
    </row>
    <row r="95" spans="9:114" x14ac:dyDescent="0.25">
      <c r="I95" s="16">
        <v>37690</v>
      </c>
      <c r="J95" s="17">
        <v>4305</v>
      </c>
      <c r="K95" s="15">
        <v>31</v>
      </c>
      <c r="L95" s="14">
        <v>55</v>
      </c>
      <c r="M95" s="13">
        <v>726</v>
      </c>
      <c r="N95" s="14">
        <v>442</v>
      </c>
      <c r="O95" s="15">
        <v>1548</v>
      </c>
      <c r="P95" s="14">
        <v>938</v>
      </c>
      <c r="Q95" s="15">
        <v>63</v>
      </c>
      <c r="R95" s="14">
        <v>102</v>
      </c>
      <c r="S95" s="15">
        <v>5428</v>
      </c>
      <c r="T95" s="14">
        <v>2229</v>
      </c>
      <c r="U95" s="15">
        <v>2135</v>
      </c>
      <c r="V95" s="14">
        <v>896</v>
      </c>
      <c r="W95" s="15">
        <v>0</v>
      </c>
      <c r="X95" s="14">
        <v>157</v>
      </c>
      <c r="Y95" s="15">
        <v>0</v>
      </c>
      <c r="Z95" s="14">
        <v>157</v>
      </c>
      <c r="AA95" s="15">
        <v>0</v>
      </c>
      <c r="AB95" s="14">
        <v>157</v>
      </c>
      <c r="AC95" s="15">
        <v>1875</v>
      </c>
      <c r="AD95" s="14">
        <v>1029</v>
      </c>
      <c r="AE95" s="15">
        <v>292</v>
      </c>
      <c r="AF95" s="14">
        <v>270</v>
      </c>
      <c r="AG95" s="15">
        <v>556</v>
      </c>
      <c r="AH95" s="14">
        <v>572</v>
      </c>
      <c r="AI95" s="15">
        <v>3385</v>
      </c>
      <c r="AJ95" s="14">
        <v>1349</v>
      </c>
      <c r="AK95" s="15">
        <v>542</v>
      </c>
      <c r="AL95" s="14">
        <v>371</v>
      </c>
      <c r="AM95" s="15">
        <v>163</v>
      </c>
      <c r="AN95" s="14">
        <v>164</v>
      </c>
      <c r="AO95" s="15">
        <v>415</v>
      </c>
      <c r="AP95" s="14">
        <v>384</v>
      </c>
      <c r="AQ95" s="15">
        <v>224</v>
      </c>
      <c r="AR95" s="14">
        <v>268</v>
      </c>
      <c r="AS95" s="15">
        <v>367</v>
      </c>
      <c r="AT95" s="14">
        <v>352</v>
      </c>
      <c r="AU95" s="15">
        <v>0</v>
      </c>
      <c r="AV95" s="14">
        <v>157</v>
      </c>
      <c r="AW95" s="15">
        <v>225</v>
      </c>
      <c r="AX95" s="14">
        <v>269</v>
      </c>
      <c r="AY95" s="15">
        <v>33</v>
      </c>
      <c r="AZ95" s="14">
        <v>65</v>
      </c>
      <c r="BA95" s="15">
        <v>97</v>
      </c>
      <c r="BB95" s="14">
        <v>109</v>
      </c>
      <c r="BC95" s="15">
        <v>822</v>
      </c>
      <c r="BD95" s="14">
        <v>760</v>
      </c>
      <c r="BE95" s="15">
        <v>481</v>
      </c>
      <c r="BF95" s="14">
        <v>297</v>
      </c>
      <c r="BG95" s="15">
        <v>32</v>
      </c>
      <c r="BH95" s="14">
        <v>58</v>
      </c>
      <c r="BI95" s="15">
        <v>447</v>
      </c>
      <c r="BJ95" s="14">
        <v>385</v>
      </c>
      <c r="BK95" s="18" t="s">
        <v>60</v>
      </c>
      <c r="BL95" s="14" t="s">
        <v>60</v>
      </c>
      <c r="BM95" s="13">
        <v>108</v>
      </c>
      <c r="BN95" s="14">
        <v>149</v>
      </c>
      <c r="BO95" s="15">
        <v>968</v>
      </c>
      <c r="BP95" s="14">
        <v>499</v>
      </c>
      <c r="BQ95" s="15">
        <v>115</v>
      </c>
      <c r="BR95" s="14">
        <v>177</v>
      </c>
      <c r="BS95" s="15">
        <v>156</v>
      </c>
      <c r="BT95" s="14">
        <v>198</v>
      </c>
      <c r="BU95" s="15">
        <v>259</v>
      </c>
      <c r="BV95" s="14">
        <v>178</v>
      </c>
      <c r="BW95" s="15">
        <v>482</v>
      </c>
      <c r="BX95" s="14">
        <v>371</v>
      </c>
      <c r="BY95" s="15">
        <v>1082</v>
      </c>
      <c r="BZ95" s="14">
        <v>808</v>
      </c>
      <c r="CA95" s="15">
        <v>977</v>
      </c>
      <c r="CB95" s="14">
        <v>604</v>
      </c>
      <c r="CC95" s="15">
        <v>402</v>
      </c>
      <c r="CD95" s="14">
        <v>332</v>
      </c>
      <c r="CE95" s="15">
        <v>1018</v>
      </c>
      <c r="CF95" s="14">
        <v>948</v>
      </c>
      <c r="CG95" s="15">
        <v>2950</v>
      </c>
      <c r="CH95" s="14">
        <v>1687</v>
      </c>
      <c r="CI95" s="15">
        <v>457</v>
      </c>
      <c r="CJ95" s="14">
        <v>362</v>
      </c>
      <c r="CK95" s="15">
        <v>0</v>
      </c>
      <c r="CL95" s="14">
        <v>157</v>
      </c>
      <c r="CM95" s="15">
        <v>230</v>
      </c>
      <c r="CN95" s="14">
        <v>304</v>
      </c>
      <c r="CO95" s="15">
        <v>191</v>
      </c>
      <c r="CP95" s="14">
        <v>142</v>
      </c>
      <c r="CQ95" s="15">
        <v>45</v>
      </c>
      <c r="CR95" s="14">
        <v>40</v>
      </c>
      <c r="CS95" s="15">
        <v>1393</v>
      </c>
      <c r="CT95" s="14">
        <v>612</v>
      </c>
      <c r="CU95" s="15">
        <v>260</v>
      </c>
      <c r="CV95" s="14">
        <v>261</v>
      </c>
      <c r="CW95" s="15">
        <v>87</v>
      </c>
      <c r="CX95" s="14">
        <v>135</v>
      </c>
      <c r="CY95" s="15">
        <v>156</v>
      </c>
      <c r="CZ95" s="14">
        <v>153</v>
      </c>
      <c r="DA95" s="15">
        <v>4783</v>
      </c>
      <c r="DB95" s="14">
        <v>1555</v>
      </c>
      <c r="DC95" s="15">
        <v>0</v>
      </c>
      <c r="DD95" s="14">
        <v>157</v>
      </c>
      <c r="DE95" s="15">
        <v>750</v>
      </c>
      <c r="DF95" s="14">
        <v>425</v>
      </c>
      <c r="DG95" s="15">
        <v>934</v>
      </c>
      <c r="DH95" s="14">
        <v>387</v>
      </c>
      <c r="DI95" s="15">
        <v>0</v>
      </c>
      <c r="DJ95" s="14">
        <v>157</v>
      </c>
    </row>
    <row r="96" spans="9:114" x14ac:dyDescent="0.25">
      <c r="I96" s="16">
        <v>43266</v>
      </c>
      <c r="J96" s="17">
        <v>4512</v>
      </c>
      <c r="K96" s="15">
        <v>245</v>
      </c>
      <c r="L96" s="14">
        <v>275</v>
      </c>
      <c r="M96" s="15">
        <v>626</v>
      </c>
      <c r="N96" s="14">
        <v>531</v>
      </c>
      <c r="O96" s="15">
        <v>2406</v>
      </c>
      <c r="P96" s="14">
        <v>1120</v>
      </c>
      <c r="Q96" s="15">
        <v>363</v>
      </c>
      <c r="R96" s="14">
        <v>317</v>
      </c>
      <c r="S96" s="15">
        <v>3438</v>
      </c>
      <c r="T96" s="14">
        <v>1425</v>
      </c>
      <c r="U96" s="15">
        <v>2023</v>
      </c>
      <c r="V96" s="14">
        <v>791</v>
      </c>
      <c r="W96" s="15">
        <v>0</v>
      </c>
      <c r="X96" s="14">
        <v>149</v>
      </c>
      <c r="Y96" s="15">
        <v>0</v>
      </c>
      <c r="Z96" s="14">
        <v>149</v>
      </c>
      <c r="AA96" s="15">
        <v>0</v>
      </c>
      <c r="AB96" s="14">
        <v>149</v>
      </c>
      <c r="AC96" s="15">
        <v>1368</v>
      </c>
      <c r="AD96" s="14">
        <v>978</v>
      </c>
      <c r="AE96" s="15">
        <v>786</v>
      </c>
      <c r="AF96" s="14">
        <v>482</v>
      </c>
      <c r="AG96" s="15">
        <v>165</v>
      </c>
      <c r="AH96" s="14">
        <v>149</v>
      </c>
      <c r="AI96" s="15">
        <v>315</v>
      </c>
      <c r="AJ96" s="14">
        <v>374</v>
      </c>
      <c r="AK96" s="15">
        <v>1193</v>
      </c>
      <c r="AL96" s="14">
        <v>546</v>
      </c>
      <c r="AM96" s="15">
        <v>290</v>
      </c>
      <c r="AN96" s="14">
        <v>214</v>
      </c>
      <c r="AO96" s="15">
        <v>6815</v>
      </c>
      <c r="AP96" s="14">
        <v>2803</v>
      </c>
      <c r="AQ96" s="15">
        <v>3103</v>
      </c>
      <c r="AR96" s="14">
        <v>822</v>
      </c>
      <c r="AS96" s="15">
        <v>131</v>
      </c>
      <c r="AT96" s="14">
        <v>133</v>
      </c>
      <c r="AU96" s="15">
        <v>411</v>
      </c>
      <c r="AV96" s="14">
        <v>371</v>
      </c>
      <c r="AW96" s="15">
        <v>68</v>
      </c>
      <c r="AX96" s="14">
        <v>90</v>
      </c>
      <c r="AY96" s="15">
        <v>129</v>
      </c>
      <c r="AZ96" s="14">
        <v>126</v>
      </c>
      <c r="BA96" s="15">
        <v>195</v>
      </c>
      <c r="BB96" s="14">
        <v>112</v>
      </c>
      <c r="BC96" s="15">
        <v>258</v>
      </c>
      <c r="BD96" s="14">
        <v>197</v>
      </c>
      <c r="BE96" s="15">
        <v>1489</v>
      </c>
      <c r="BF96" s="14">
        <v>1049</v>
      </c>
      <c r="BG96" s="15">
        <v>176</v>
      </c>
      <c r="BH96" s="14">
        <v>132</v>
      </c>
      <c r="BI96" s="15">
        <v>2223</v>
      </c>
      <c r="BJ96" s="14">
        <v>836</v>
      </c>
      <c r="BK96" s="15">
        <v>108</v>
      </c>
      <c r="BL96" s="14">
        <v>156</v>
      </c>
      <c r="BM96" s="18" t="s">
        <v>60</v>
      </c>
      <c r="BN96" s="14" t="s">
        <v>60</v>
      </c>
      <c r="BO96" s="13">
        <v>233</v>
      </c>
      <c r="BP96" s="14">
        <v>178</v>
      </c>
      <c r="BQ96" s="15">
        <v>0</v>
      </c>
      <c r="BR96" s="14">
        <v>149</v>
      </c>
      <c r="BS96" s="15">
        <v>524</v>
      </c>
      <c r="BT96" s="14">
        <v>363</v>
      </c>
      <c r="BU96" s="15">
        <v>158</v>
      </c>
      <c r="BV96" s="14">
        <v>187</v>
      </c>
      <c r="BW96" s="15">
        <v>318</v>
      </c>
      <c r="BX96" s="14">
        <v>246</v>
      </c>
      <c r="BY96" s="15">
        <v>874</v>
      </c>
      <c r="BZ96" s="14">
        <v>414</v>
      </c>
      <c r="CA96" s="15">
        <v>497</v>
      </c>
      <c r="CB96" s="14">
        <v>492</v>
      </c>
      <c r="CC96" s="15">
        <v>563</v>
      </c>
      <c r="CD96" s="14">
        <v>373</v>
      </c>
      <c r="CE96" s="15">
        <v>587</v>
      </c>
      <c r="CF96" s="14">
        <v>408</v>
      </c>
      <c r="CG96" s="15">
        <v>106</v>
      </c>
      <c r="CH96" s="14">
        <v>113</v>
      </c>
      <c r="CI96" s="15">
        <v>702</v>
      </c>
      <c r="CJ96" s="14">
        <v>528</v>
      </c>
      <c r="CK96" s="15">
        <v>0</v>
      </c>
      <c r="CL96" s="14">
        <v>149</v>
      </c>
      <c r="CM96" s="15">
        <v>456</v>
      </c>
      <c r="CN96" s="14">
        <v>381</v>
      </c>
      <c r="CO96" s="15">
        <v>2507</v>
      </c>
      <c r="CP96" s="14">
        <v>677</v>
      </c>
      <c r="CQ96" s="15">
        <v>232</v>
      </c>
      <c r="CR96" s="14">
        <v>184</v>
      </c>
      <c r="CS96" s="15">
        <v>3130</v>
      </c>
      <c r="CT96" s="14">
        <v>1218</v>
      </c>
      <c r="CU96" s="15">
        <v>229</v>
      </c>
      <c r="CV96" s="14">
        <v>230</v>
      </c>
      <c r="CW96" s="15">
        <v>79</v>
      </c>
      <c r="CX96" s="14">
        <v>131</v>
      </c>
      <c r="CY96" s="15">
        <v>1076</v>
      </c>
      <c r="CZ96" s="14">
        <v>758</v>
      </c>
      <c r="DA96" s="15">
        <v>1327</v>
      </c>
      <c r="DB96" s="14">
        <v>673</v>
      </c>
      <c r="DC96" s="15">
        <v>111</v>
      </c>
      <c r="DD96" s="14">
        <v>152</v>
      </c>
      <c r="DE96" s="15">
        <v>316</v>
      </c>
      <c r="DF96" s="14">
        <v>218</v>
      </c>
      <c r="DG96" s="15">
        <v>917</v>
      </c>
      <c r="DH96" s="14">
        <v>371</v>
      </c>
      <c r="DI96" s="15">
        <v>0</v>
      </c>
      <c r="DJ96" s="14">
        <v>149</v>
      </c>
    </row>
    <row r="97" spans="9:114" x14ac:dyDescent="0.25">
      <c r="I97" s="16">
        <v>124285</v>
      </c>
      <c r="J97" s="17">
        <v>9956</v>
      </c>
      <c r="K97" s="15">
        <v>761</v>
      </c>
      <c r="L97" s="14">
        <v>724</v>
      </c>
      <c r="M97" s="15">
        <v>2161</v>
      </c>
      <c r="N97" s="14">
        <v>1047</v>
      </c>
      <c r="O97" s="15">
        <v>8748</v>
      </c>
      <c r="P97" s="14">
        <v>2540</v>
      </c>
      <c r="Q97" s="15">
        <v>353</v>
      </c>
      <c r="R97" s="14">
        <v>404</v>
      </c>
      <c r="S97" s="15">
        <v>49978</v>
      </c>
      <c r="T97" s="14">
        <v>7637</v>
      </c>
      <c r="U97" s="15">
        <v>6402</v>
      </c>
      <c r="V97" s="14">
        <v>2736</v>
      </c>
      <c r="W97" s="15">
        <v>143</v>
      </c>
      <c r="X97" s="14">
        <v>181</v>
      </c>
      <c r="Y97" s="15">
        <v>373</v>
      </c>
      <c r="Z97" s="14">
        <v>521</v>
      </c>
      <c r="AA97" s="15">
        <v>468</v>
      </c>
      <c r="AB97" s="14">
        <v>759</v>
      </c>
      <c r="AC97" s="15">
        <v>3381</v>
      </c>
      <c r="AD97" s="14">
        <v>1488</v>
      </c>
      <c r="AE97" s="15">
        <v>745</v>
      </c>
      <c r="AF97" s="14">
        <v>477</v>
      </c>
      <c r="AG97" s="15">
        <v>2053</v>
      </c>
      <c r="AH97" s="14">
        <v>949</v>
      </c>
      <c r="AI97" s="15">
        <v>1503</v>
      </c>
      <c r="AJ97" s="14">
        <v>743</v>
      </c>
      <c r="AK97" s="15">
        <v>2822</v>
      </c>
      <c r="AL97" s="14">
        <v>1412</v>
      </c>
      <c r="AM97" s="15">
        <v>362</v>
      </c>
      <c r="AN97" s="14">
        <v>341</v>
      </c>
      <c r="AO97" s="15">
        <v>714</v>
      </c>
      <c r="AP97" s="14">
        <v>592</v>
      </c>
      <c r="AQ97" s="15">
        <v>1202</v>
      </c>
      <c r="AR97" s="14">
        <v>1085</v>
      </c>
      <c r="AS97" s="15">
        <v>952</v>
      </c>
      <c r="AT97" s="14">
        <v>651</v>
      </c>
      <c r="AU97" s="15">
        <v>421</v>
      </c>
      <c r="AV97" s="14">
        <v>296</v>
      </c>
      <c r="AW97" s="15">
        <v>209</v>
      </c>
      <c r="AX97" s="14">
        <v>286</v>
      </c>
      <c r="AY97" s="15">
        <v>934</v>
      </c>
      <c r="AZ97" s="14">
        <v>689</v>
      </c>
      <c r="BA97" s="15">
        <v>318</v>
      </c>
      <c r="BB97" s="14">
        <v>267</v>
      </c>
      <c r="BC97" s="15">
        <v>1235</v>
      </c>
      <c r="BD97" s="14">
        <v>574</v>
      </c>
      <c r="BE97" s="15">
        <v>1157</v>
      </c>
      <c r="BF97" s="14">
        <v>718</v>
      </c>
      <c r="BG97" s="15">
        <v>783</v>
      </c>
      <c r="BH97" s="14">
        <v>658</v>
      </c>
      <c r="BI97" s="15">
        <v>694</v>
      </c>
      <c r="BJ97" s="14">
        <v>516</v>
      </c>
      <c r="BK97" s="15">
        <v>1086</v>
      </c>
      <c r="BL97" s="14">
        <v>605</v>
      </c>
      <c r="BM97" s="15">
        <v>714</v>
      </c>
      <c r="BN97" s="14">
        <v>551</v>
      </c>
      <c r="BO97" s="18" t="s">
        <v>60</v>
      </c>
      <c r="BP97" s="14" t="s">
        <v>60</v>
      </c>
      <c r="BQ97" s="13">
        <v>175</v>
      </c>
      <c r="BR97" s="14">
        <v>230</v>
      </c>
      <c r="BS97" s="15">
        <v>912</v>
      </c>
      <c r="BT97" s="14">
        <v>600</v>
      </c>
      <c r="BU97" s="15">
        <v>1138</v>
      </c>
      <c r="BV97" s="14">
        <v>665</v>
      </c>
      <c r="BW97" s="15">
        <v>3521</v>
      </c>
      <c r="BX97" s="14">
        <v>1460</v>
      </c>
      <c r="BY97" s="15">
        <v>767</v>
      </c>
      <c r="BZ97" s="14">
        <v>589</v>
      </c>
      <c r="CA97" s="15">
        <v>702</v>
      </c>
      <c r="CB97" s="14">
        <v>661</v>
      </c>
      <c r="CC97" s="15">
        <v>1407</v>
      </c>
      <c r="CD97" s="14">
        <v>791</v>
      </c>
      <c r="CE97" s="15">
        <v>1520</v>
      </c>
      <c r="CF97" s="14">
        <v>1384</v>
      </c>
      <c r="CG97" s="15">
        <v>3101</v>
      </c>
      <c r="CH97" s="14">
        <v>1186</v>
      </c>
      <c r="CI97" s="15">
        <v>1601</v>
      </c>
      <c r="CJ97" s="14">
        <v>1078</v>
      </c>
      <c r="CK97" s="15">
        <v>336</v>
      </c>
      <c r="CL97" s="14">
        <v>548</v>
      </c>
      <c r="CM97" s="15">
        <v>480</v>
      </c>
      <c r="CN97" s="14">
        <v>403</v>
      </c>
      <c r="CO97" s="15">
        <v>0</v>
      </c>
      <c r="CP97" s="14">
        <v>200</v>
      </c>
      <c r="CQ97" s="15">
        <v>1699</v>
      </c>
      <c r="CR97" s="14">
        <v>822</v>
      </c>
      <c r="CS97" s="15">
        <v>5484</v>
      </c>
      <c r="CT97" s="14">
        <v>1772</v>
      </c>
      <c r="CU97" s="15">
        <v>4605</v>
      </c>
      <c r="CV97" s="14">
        <v>1899</v>
      </c>
      <c r="CW97" s="15">
        <v>121</v>
      </c>
      <c r="CX97" s="14">
        <v>222</v>
      </c>
      <c r="CY97" s="15">
        <v>1135</v>
      </c>
      <c r="CZ97" s="14">
        <v>832</v>
      </c>
      <c r="DA97" s="15">
        <v>2997</v>
      </c>
      <c r="DB97" s="14">
        <v>1103</v>
      </c>
      <c r="DC97" s="15">
        <v>100</v>
      </c>
      <c r="DD97" s="14">
        <v>161</v>
      </c>
      <c r="DE97" s="15">
        <v>1046</v>
      </c>
      <c r="DF97" s="14">
        <v>666</v>
      </c>
      <c r="DG97" s="15">
        <v>766</v>
      </c>
      <c r="DH97" s="14">
        <v>706</v>
      </c>
      <c r="DI97" s="15">
        <v>237</v>
      </c>
      <c r="DJ97" s="14">
        <v>356</v>
      </c>
    </row>
    <row r="98" spans="9:114" x14ac:dyDescent="0.25">
      <c r="I98" s="16">
        <v>50484</v>
      </c>
      <c r="J98" s="17">
        <v>5282</v>
      </c>
      <c r="K98" s="15">
        <v>0</v>
      </c>
      <c r="L98" s="14">
        <v>181</v>
      </c>
      <c r="M98" s="15">
        <v>437</v>
      </c>
      <c r="N98" s="14">
        <v>378</v>
      </c>
      <c r="O98" s="15">
        <v>440</v>
      </c>
      <c r="P98" s="14">
        <v>413</v>
      </c>
      <c r="Q98" s="15">
        <v>0</v>
      </c>
      <c r="R98" s="14">
        <v>181</v>
      </c>
      <c r="S98" s="15">
        <v>1514</v>
      </c>
      <c r="T98" s="14">
        <v>935</v>
      </c>
      <c r="U98" s="15">
        <v>572</v>
      </c>
      <c r="V98" s="14">
        <v>637</v>
      </c>
      <c r="W98" s="15">
        <v>1345</v>
      </c>
      <c r="X98" s="14">
        <v>478</v>
      </c>
      <c r="Y98" s="15">
        <v>0</v>
      </c>
      <c r="Z98" s="14">
        <v>181</v>
      </c>
      <c r="AA98" s="15">
        <v>101</v>
      </c>
      <c r="AB98" s="14">
        <v>131</v>
      </c>
      <c r="AC98" s="15">
        <v>2746</v>
      </c>
      <c r="AD98" s="14">
        <v>1312</v>
      </c>
      <c r="AE98" s="15">
        <v>470</v>
      </c>
      <c r="AF98" s="14">
        <v>324</v>
      </c>
      <c r="AG98" s="15">
        <v>43</v>
      </c>
      <c r="AH98" s="14">
        <v>78</v>
      </c>
      <c r="AI98" s="15">
        <v>20</v>
      </c>
      <c r="AJ98" s="14">
        <v>38</v>
      </c>
      <c r="AK98" s="15">
        <v>673</v>
      </c>
      <c r="AL98" s="14">
        <v>608</v>
      </c>
      <c r="AM98" s="15">
        <v>297</v>
      </c>
      <c r="AN98" s="14">
        <v>365</v>
      </c>
      <c r="AO98" s="15">
        <v>53</v>
      </c>
      <c r="AP98" s="14">
        <v>89</v>
      </c>
      <c r="AQ98" s="15">
        <v>102</v>
      </c>
      <c r="AR98" s="14">
        <v>161</v>
      </c>
      <c r="AS98" s="15">
        <v>284</v>
      </c>
      <c r="AT98" s="14">
        <v>250</v>
      </c>
      <c r="AU98" s="15">
        <v>7</v>
      </c>
      <c r="AV98" s="14">
        <v>13</v>
      </c>
      <c r="AW98" s="15">
        <v>6118</v>
      </c>
      <c r="AX98" s="14">
        <v>1749</v>
      </c>
      <c r="AY98" s="15">
        <v>33</v>
      </c>
      <c r="AZ98" s="14">
        <v>57</v>
      </c>
      <c r="BA98" s="15">
        <v>18990</v>
      </c>
      <c r="BB98" s="14">
        <v>3350</v>
      </c>
      <c r="BC98" s="15">
        <v>426</v>
      </c>
      <c r="BD98" s="14">
        <v>441</v>
      </c>
      <c r="BE98" s="15">
        <v>0</v>
      </c>
      <c r="BF98" s="14">
        <v>181</v>
      </c>
      <c r="BG98" s="15">
        <v>0</v>
      </c>
      <c r="BH98" s="14">
        <v>181</v>
      </c>
      <c r="BI98" s="15">
        <v>289</v>
      </c>
      <c r="BJ98" s="14">
        <v>262</v>
      </c>
      <c r="BK98" s="15">
        <v>0</v>
      </c>
      <c r="BL98" s="14">
        <v>181</v>
      </c>
      <c r="BM98" s="15">
        <v>110</v>
      </c>
      <c r="BN98" s="14">
        <v>136</v>
      </c>
      <c r="BO98" s="15">
        <v>0</v>
      </c>
      <c r="BP98" s="14">
        <v>181</v>
      </c>
      <c r="BQ98" s="18" t="s">
        <v>60</v>
      </c>
      <c r="BR98" s="14" t="s">
        <v>60</v>
      </c>
      <c r="BS98" s="13">
        <v>591</v>
      </c>
      <c r="BT98" s="14">
        <v>330</v>
      </c>
      <c r="BU98" s="15">
        <v>223</v>
      </c>
      <c r="BV98" s="14">
        <v>279</v>
      </c>
      <c r="BW98" s="15">
        <v>2905</v>
      </c>
      <c r="BX98" s="14">
        <v>1027</v>
      </c>
      <c r="BY98" s="15">
        <v>1609</v>
      </c>
      <c r="BZ98" s="14">
        <v>1456</v>
      </c>
      <c r="CA98" s="15">
        <v>0</v>
      </c>
      <c r="CB98" s="14">
        <v>181</v>
      </c>
      <c r="CC98" s="15">
        <v>324</v>
      </c>
      <c r="CD98" s="14">
        <v>240</v>
      </c>
      <c r="CE98" s="15">
        <v>186</v>
      </c>
      <c r="CF98" s="14">
        <v>266</v>
      </c>
      <c r="CG98" s="15">
        <v>208</v>
      </c>
      <c r="CH98" s="14">
        <v>299</v>
      </c>
      <c r="CI98" s="15">
        <v>890</v>
      </c>
      <c r="CJ98" s="14">
        <v>561</v>
      </c>
      <c r="CK98" s="15">
        <v>1248</v>
      </c>
      <c r="CL98" s="14">
        <v>819</v>
      </c>
      <c r="CM98" s="15">
        <v>323</v>
      </c>
      <c r="CN98" s="14">
        <v>257</v>
      </c>
      <c r="CO98" s="15">
        <v>0</v>
      </c>
      <c r="CP98" s="14">
        <v>181</v>
      </c>
      <c r="CQ98" s="15">
        <v>77</v>
      </c>
      <c r="CR98" s="14">
        <v>133</v>
      </c>
      <c r="CS98" s="15">
        <v>2150</v>
      </c>
      <c r="CT98" s="14">
        <v>1715</v>
      </c>
      <c r="CU98" s="15">
        <v>557</v>
      </c>
      <c r="CV98" s="14">
        <v>762</v>
      </c>
      <c r="CW98" s="15">
        <v>2960</v>
      </c>
      <c r="CX98" s="14">
        <v>1339</v>
      </c>
      <c r="CY98" s="15">
        <v>660</v>
      </c>
      <c r="CZ98" s="14">
        <v>433</v>
      </c>
      <c r="DA98" s="15">
        <v>113</v>
      </c>
      <c r="DB98" s="14">
        <v>119</v>
      </c>
      <c r="DC98" s="15">
        <v>80</v>
      </c>
      <c r="DD98" s="14">
        <v>131</v>
      </c>
      <c r="DE98" s="15">
        <v>239</v>
      </c>
      <c r="DF98" s="14">
        <v>277</v>
      </c>
      <c r="DG98" s="15">
        <v>71</v>
      </c>
      <c r="DH98" s="14">
        <v>120</v>
      </c>
      <c r="DI98" s="15">
        <v>75</v>
      </c>
      <c r="DJ98" s="14">
        <v>123</v>
      </c>
    </row>
    <row r="99" spans="9:114" x14ac:dyDescent="0.25">
      <c r="I99" s="15">
        <v>130223</v>
      </c>
      <c r="J99" s="14">
        <v>7649</v>
      </c>
      <c r="K99" s="15">
        <v>779</v>
      </c>
      <c r="L99" s="14">
        <v>509</v>
      </c>
      <c r="M99" s="15">
        <v>359</v>
      </c>
      <c r="N99" s="14">
        <v>437</v>
      </c>
      <c r="O99" s="15">
        <v>1328</v>
      </c>
      <c r="P99" s="14">
        <v>704</v>
      </c>
      <c r="Q99" s="15">
        <v>57</v>
      </c>
      <c r="R99" s="14">
        <v>70</v>
      </c>
      <c r="S99" s="15">
        <v>4330</v>
      </c>
      <c r="T99" s="14">
        <v>1070</v>
      </c>
      <c r="U99" s="15">
        <v>380</v>
      </c>
      <c r="V99" s="14">
        <v>264</v>
      </c>
      <c r="W99" s="15">
        <v>3466</v>
      </c>
      <c r="X99" s="14">
        <v>1711</v>
      </c>
      <c r="Y99" s="15">
        <v>1921</v>
      </c>
      <c r="Z99" s="14">
        <v>1383</v>
      </c>
      <c r="AA99" s="15">
        <v>840</v>
      </c>
      <c r="AB99" s="14">
        <v>637</v>
      </c>
      <c r="AC99" s="15">
        <v>10649</v>
      </c>
      <c r="AD99" s="14">
        <v>2430</v>
      </c>
      <c r="AE99" s="15">
        <v>3002</v>
      </c>
      <c r="AF99" s="14">
        <v>1032</v>
      </c>
      <c r="AG99" s="15">
        <v>22</v>
      </c>
      <c r="AH99" s="14">
        <v>41</v>
      </c>
      <c r="AI99" s="15">
        <v>113</v>
      </c>
      <c r="AJ99" s="14">
        <v>134</v>
      </c>
      <c r="AK99" s="15">
        <v>2052</v>
      </c>
      <c r="AL99" s="14">
        <v>874</v>
      </c>
      <c r="AM99" s="15">
        <v>1039</v>
      </c>
      <c r="AN99" s="14">
        <v>559</v>
      </c>
      <c r="AO99" s="15">
        <v>357</v>
      </c>
      <c r="AP99" s="14">
        <v>405</v>
      </c>
      <c r="AQ99" s="15">
        <v>426</v>
      </c>
      <c r="AR99" s="14">
        <v>405</v>
      </c>
      <c r="AS99" s="15">
        <v>631</v>
      </c>
      <c r="AT99" s="14">
        <v>614</v>
      </c>
      <c r="AU99" s="15">
        <v>339</v>
      </c>
      <c r="AV99" s="14">
        <v>343</v>
      </c>
      <c r="AW99" s="15">
        <v>430</v>
      </c>
      <c r="AX99" s="14">
        <v>388</v>
      </c>
      <c r="AY99" s="15">
        <v>3474</v>
      </c>
      <c r="AZ99" s="14">
        <v>1241</v>
      </c>
      <c r="BA99" s="15">
        <v>4907</v>
      </c>
      <c r="BB99" s="14">
        <v>1730</v>
      </c>
      <c r="BC99" s="15">
        <v>324</v>
      </c>
      <c r="BD99" s="14">
        <v>191</v>
      </c>
      <c r="BE99" s="15">
        <v>570</v>
      </c>
      <c r="BF99" s="14">
        <v>429</v>
      </c>
      <c r="BG99" s="15">
        <v>106</v>
      </c>
      <c r="BH99" s="14">
        <v>165</v>
      </c>
      <c r="BI99" s="15">
        <v>384</v>
      </c>
      <c r="BJ99" s="14">
        <v>363</v>
      </c>
      <c r="BK99" s="15">
        <v>67</v>
      </c>
      <c r="BL99" s="14">
        <v>112</v>
      </c>
      <c r="BM99" s="15">
        <v>35</v>
      </c>
      <c r="BN99" s="14">
        <v>58</v>
      </c>
      <c r="BO99" s="15">
        <v>908</v>
      </c>
      <c r="BP99" s="14">
        <v>526</v>
      </c>
      <c r="BQ99" s="15">
        <v>126</v>
      </c>
      <c r="BR99" s="14">
        <v>219</v>
      </c>
      <c r="BS99" s="18" t="s">
        <v>60</v>
      </c>
      <c r="BT99" s="14" t="s">
        <v>60</v>
      </c>
      <c r="BU99" s="13">
        <v>45</v>
      </c>
      <c r="BV99" s="14">
        <v>75</v>
      </c>
      <c r="BW99" s="15">
        <v>40495</v>
      </c>
      <c r="BX99" s="14">
        <v>4293</v>
      </c>
      <c r="BY99" s="15">
        <v>3236</v>
      </c>
      <c r="BZ99" s="14">
        <v>1238</v>
      </c>
      <c r="CA99" s="15">
        <v>55</v>
      </c>
      <c r="CB99" s="14">
        <v>93</v>
      </c>
      <c r="CC99" s="15">
        <v>1452</v>
      </c>
      <c r="CD99" s="14">
        <v>596</v>
      </c>
      <c r="CE99" s="15">
        <v>1540</v>
      </c>
      <c r="CF99" s="14">
        <v>1537</v>
      </c>
      <c r="CG99" s="15">
        <v>760</v>
      </c>
      <c r="CH99" s="14">
        <v>587</v>
      </c>
      <c r="CI99" s="15">
        <v>23597</v>
      </c>
      <c r="CJ99" s="14">
        <v>2976</v>
      </c>
      <c r="CK99" s="15">
        <v>429</v>
      </c>
      <c r="CL99" s="14">
        <v>410</v>
      </c>
      <c r="CM99" s="15">
        <v>2372</v>
      </c>
      <c r="CN99" s="14">
        <v>1386</v>
      </c>
      <c r="CO99" s="15">
        <v>581</v>
      </c>
      <c r="CP99" s="14">
        <v>644</v>
      </c>
      <c r="CQ99" s="15">
        <v>1400</v>
      </c>
      <c r="CR99" s="14">
        <v>612</v>
      </c>
      <c r="CS99" s="15">
        <v>2509</v>
      </c>
      <c r="CT99" s="14">
        <v>1335</v>
      </c>
      <c r="CU99" s="15">
        <v>425</v>
      </c>
      <c r="CV99" s="14">
        <v>341</v>
      </c>
      <c r="CW99" s="15">
        <v>35</v>
      </c>
      <c r="CX99" s="14">
        <v>57</v>
      </c>
      <c r="CY99" s="15">
        <v>5024</v>
      </c>
      <c r="CZ99" s="14">
        <v>1899</v>
      </c>
      <c r="DA99" s="15">
        <v>1847</v>
      </c>
      <c r="DB99" s="14">
        <v>1244</v>
      </c>
      <c r="DC99" s="15">
        <v>297</v>
      </c>
      <c r="DD99" s="14">
        <v>201</v>
      </c>
      <c r="DE99" s="15">
        <v>680</v>
      </c>
      <c r="DF99" s="14">
        <v>457</v>
      </c>
      <c r="DG99" s="15">
        <v>23</v>
      </c>
      <c r="DH99" s="14">
        <v>30</v>
      </c>
      <c r="DI99" s="15">
        <v>2574</v>
      </c>
      <c r="DJ99" s="14">
        <v>1462</v>
      </c>
    </row>
    <row r="100" spans="9:114" x14ac:dyDescent="0.25">
      <c r="I100" s="15">
        <v>54693</v>
      </c>
      <c r="J100" s="14">
        <v>5877</v>
      </c>
      <c r="K100" s="15">
        <v>787</v>
      </c>
      <c r="L100" s="14">
        <v>509</v>
      </c>
      <c r="M100" s="15">
        <v>320</v>
      </c>
      <c r="N100" s="14">
        <v>264</v>
      </c>
      <c r="O100" s="15">
        <v>6391</v>
      </c>
      <c r="P100" s="14">
        <v>1673</v>
      </c>
      <c r="Q100" s="15">
        <v>410</v>
      </c>
      <c r="R100" s="14">
        <v>286</v>
      </c>
      <c r="S100" s="15">
        <v>4536</v>
      </c>
      <c r="T100" s="14">
        <v>1440</v>
      </c>
      <c r="U100" s="15">
        <v>4780</v>
      </c>
      <c r="V100" s="14">
        <v>1546</v>
      </c>
      <c r="W100" s="15">
        <v>280</v>
      </c>
      <c r="X100" s="14">
        <v>250</v>
      </c>
      <c r="Y100" s="15">
        <v>100</v>
      </c>
      <c r="Z100" s="14">
        <v>136</v>
      </c>
      <c r="AA100" s="15">
        <v>25</v>
      </c>
      <c r="AB100" s="14">
        <v>51</v>
      </c>
      <c r="AC100" s="15">
        <v>4707</v>
      </c>
      <c r="AD100" s="14">
        <v>2184</v>
      </c>
      <c r="AE100" s="15">
        <v>192</v>
      </c>
      <c r="AF100" s="14">
        <v>184</v>
      </c>
      <c r="AG100" s="15">
        <v>168</v>
      </c>
      <c r="AH100" s="14">
        <v>127</v>
      </c>
      <c r="AI100" s="15">
        <v>355</v>
      </c>
      <c r="AJ100" s="14">
        <v>352</v>
      </c>
      <c r="AK100" s="15">
        <v>790</v>
      </c>
      <c r="AL100" s="14">
        <v>530</v>
      </c>
      <c r="AM100" s="15">
        <v>660</v>
      </c>
      <c r="AN100" s="14">
        <v>524</v>
      </c>
      <c r="AO100" s="15">
        <v>384</v>
      </c>
      <c r="AP100" s="14">
        <v>331</v>
      </c>
      <c r="AQ100" s="15">
        <v>672</v>
      </c>
      <c r="AR100" s="14">
        <v>537</v>
      </c>
      <c r="AS100" s="15">
        <v>159</v>
      </c>
      <c r="AT100" s="14">
        <v>160</v>
      </c>
      <c r="AU100" s="15">
        <v>790</v>
      </c>
      <c r="AV100" s="14">
        <v>883</v>
      </c>
      <c r="AW100" s="15">
        <v>57</v>
      </c>
      <c r="AX100" s="14">
        <v>80</v>
      </c>
      <c r="AY100" s="15">
        <v>505</v>
      </c>
      <c r="AZ100" s="14">
        <v>355</v>
      </c>
      <c r="BA100" s="15">
        <v>303</v>
      </c>
      <c r="BB100" s="14">
        <v>298</v>
      </c>
      <c r="BC100" s="15">
        <v>602</v>
      </c>
      <c r="BD100" s="14">
        <v>490</v>
      </c>
      <c r="BE100" s="15">
        <v>284</v>
      </c>
      <c r="BF100" s="14">
        <v>428</v>
      </c>
      <c r="BG100" s="15">
        <v>451</v>
      </c>
      <c r="BH100" s="14">
        <v>630</v>
      </c>
      <c r="BI100" s="15">
        <v>1216</v>
      </c>
      <c r="BJ100" s="14">
        <v>793</v>
      </c>
      <c r="BK100" s="15">
        <v>139</v>
      </c>
      <c r="BL100" s="14">
        <v>162</v>
      </c>
      <c r="BM100" s="15">
        <v>194</v>
      </c>
      <c r="BN100" s="14">
        <v>220</v>
      </c>
      <c r="BO100" s="15">
        <v>604</v>
      </c>
      <c r="BP100" s="14">
        <v>853</v>
      </c>
      <c r="BQ100" s="15">
        <v>268</v>
      </c>
      <c r="BR100" s="14">
        <v>259</v>
      </c>
      <c r="BS100" s="15">
        <v>252</v>
      </c>
      <c r="BT100" s="14">
        <v>271</v>
      </c>
      <c r="BU100" s="18" t="s">
        <v>60</v>
      </c>
      <c r="BV100" s="14" t="s">
        <v>60</v>
      </c>
      <c r="BW100" s="13">
        <v>1111</v>
      </c>
      <c r="BX100" s="14">
        <v>618</v>
      </c>
      <c r="BY100" s="15">
        <v>335</v>
      </c>
      <c r="BZ100" s="14">
        <v>373</v>
      </c>
      <c r="CA100" s="15">
        <v>41</v>
      </c>
      <c r="CB100" s="14">
        <v>82</v>
      </c>
      <c r="CC100" s="15">
        <v>1178</v>
      </c>
      <c r="CD100" s="14">
        <v>1049</v>
      </c>
      <c r="CE100" s="15">
        <v>1076</v>
      </c>
      <c r="CF100" s="14">
        <v>568</v>
      </c>
      <c r="CG100" s="15">
        <v>932</v>
      </c>
      <c r="CH100" s="14">
        <v>481</v>
      </c>
      <c r="CI100" s="15">
        <v>822</v>
      </c>
      <c r="CJ100" s="14">
        <v>666</v>
      </c>
      <c r="CK100" s="15">
        <v>0</v>
      </c>
      <c r="CL100" s="14">
        <v>185</v>
      </c>
      <c r="CM100" s="15">
        <v>325</v>
      </c>
      <c r="CN100" s="14">
        <v>260</v>
      </c>
      <c r="CO100" s="15">
        <v>509</v>
      </c>
      <c r="CP100" s="14">
        <v>547</v>
      </c>
      <c r="CQ100" s="15">
        <v>338</v>
      </c>
      <c r="CR100" s="14">
        <v>274</v>
      </c>
      <c r="CS100" s="15">
        <v>11955</v>
      </c>
      <c r="CT100" s="14">
        <v>2917</v>
      </c>
      <c r="CU100" s="15">
        <v>1382</v>
      </c>
      <c r="CV100" s="14">
        <v>889</v>
      </c>
      <c r="CW100" s="15">
        <v>81</v>
      </c>
      <c r="CX100" s="14">
        <v>103</v>
      </c>
      <c r="CY100" s="15">
        <v>1560</v>
      </c>
      <c r="CZ100" s="14">
        <v>1330</v>
      </c>
      <c r="DA100" s="15">
        <v>1251</v>
      </c>
      <c r="DB100" s="14">
        <v>575</v>
      </c>
      <c r="DC100" s="15">
        <v>0</v>
      </c>
      <c r="DD100" s="14">
        <v>185</v>
      </c>
      <c r="DE100" s="15">
        <v>321</v>
      </c>
      <c r="DF100" s="14">
        <v>514</v>
      </c>
      <c r="DG100" s="15">
        <v>95</v>
      </c>
      <c r="DH100" s="14">
        <v>100</v>
      </c>
      <c r="DI100" s="15">
        <v>429</v>
      </c>
      <c r="DJ100" s="14">
        <v>466</v>
      </c>
    </row>
    <row r="101" spans="9:114" x14ac:dyDescent="0.25">
      <c r="I101" s="15">
        <v>270053</v>
      </c>
      <c r="J101" s="14">
        <v>11861</v>
      </c>
      <c r="K101" s="15">
        <v>1364</v>
      </c>
      <c r="L101" s="14">
        <v>864</v>
      </c>
      <c r="M101" s="15">
        <v>4002</v>
      </c>
      <c r="N101" s="14">
        <v>2016</v>
      </c>
      <c r="O101" s="15">
        <v>4146</v>
      </c>
      <c r="P101" s="14">
        <v>2468</v>
      </c>
      <c r="Q101" s="15">
        <v>247</v>
      </c>
      <c r="R101" s="14">
        <v>203</v>
      </c>
      <c r="S101" s="15">
        <v>24623</v>
      </c>
      <c r="T101" s="14">
        <v>2557</v>
      </c>
      <c r="U101" s="15">
        <v>3596</v>
      </c>
      <c r="V101" s="14">
        <v>976</v>
      </c>
      <c r="W101" s="15">
        <v>14595</v>
      </c>
      <c r="X101" s="14">
        <v>2921</v>
      </c>
      <c r="Y101" s="15">
        <v>477</v>
      </c>
      <c r="Z101" s="14">
        <v>284</v>
      </c>
      <c r="AA101" s="15">
        <v>3936</v>
      </c>
      <c r="AB101" s="14">
        <v>1392</v>
      </c>
      <c r="AC101" s="15">
        <v>27392</v>
      </c>
      <c r="AD101" s="14">
        <v>3450</v>
      </c>
      <c r="AE101" s="15">
        <v>7592</v>
      </c>
      <c r="AF101" s="14">
        <v>1925</v>
      </c>
      <c r="AG101" s="15">
        <v>1598</v>
      </c>
      <c r="AH101" s="14">
        <v>734</v>
      </c>
      <c r="AI101" s="15">
        <v>607</v>
      </c>
      <c r="AJ101" s="14">
        <v>472</v>
      </c>
      <c r="AK101" s="15">
        <v>8017</v>
      </c>
      <c r="AL101" s="14">
        <v>2204</v>
      </c>
      <c r="AM101" s="15">
        <v>3040</v>
      </c>
      <c r="AN101" s="14">
        <v>1128</v>
      </c>
      <c r="AO101" s="15">
        <v>955</v>
      </c>
      <c r="AP101" s="14">
        <v>658</v>
      </c>
      <c r="AQ101" s="15">
        <v>1437</v>
      </c>
      <c r="AR101" s="14">
        <v>906</v>
      </c>
      <c r="AS101" s="15">
        <v>1753</v>
      </c>
      <c r="AT101" s="14">
        <v>808</v>
      </c>
      <c r="AU101" s="15">
        <v>1083</v>
      </c>
      <c r="AV101" s="14">
        <v>465</v>
      </c>
      <c r="AW101" s="15">
        <v>1345</v>
      </c>
      <c r="AX101" s="14">
        <v>536</v>
      </c>
      <c r="AY101" s="15">
        <v>7321</v>
      </c>
      <c r="AZ101" s="14">
        <v>1575</v>
      </c>
      <c r="BA101" s="15">
        <v>15073</v>
      </c>
      <c r="BB101" s="14">
        <v>2292</v>
      </c>
      <c r="BC101" s="15">
        <v>5191</v>
      </c>
      <c r="BD101" s="14">
        <v>1445</v>
      </c>
      <c r="BE101" s="15">
        <v>1059</v>
      </c>
      <c r="BF101" s="14">
        <v>631</v>
      </c>
      <c r="BG101" s="15">
        <v>773</v>
      </c>
      <c r="BH101" s="14">
        <v>800</v>
      </c>
      <c r="BI101" s="15">
        <v>3310</v>
      </c>
      <c r="BJ101" s="14">
        <v>1260</v>
      </c>
      <c r="BK101" s="15">
        <v>421</v>
      </c>
      <c r="BL101" s="14">
        <v>424</v>
      </c>
      <c r="BM101" s="15">
        <v>78</v>
      </c>
      <c r="BN101" s="14">
        <v>108</v>
      </c>
      <c r="BO101" s="15">
        <v>600</v>
      </c>
      <c r="BP101" s="14">
        <v>382</v>
      </c>
      <c r="BQ101" s="15">
        <v>2760</v>
      </c>
      <c r="BR101" s="14">
        <v>1059</v>
      </c>
      <c r="BS101" s="15">
        <v>42574</v>
      </c>
      <c r="BT101" s="14">
        <v>4802</v>
      </c>
      <c r="BU101" s="15">
        <v>646</v>
      </c>
      <c r="BV101" s="14">
        <v>445</v>
      </c>
      <c r="BW101" s="18" t="s">
        <v>60</v>
      </c>
      <c r="BX101" s="14" t="s">
        <v>60</v>
      </c>
      <c r="BY101" s="13">
        <v>10544</v>
      </c>
      <c r="BZ101" s="14">
        <v>2568</v>
      </c>
      <c r="CA101" s="15">
        <v>77</v>
      </c>
      <c r="CB101" s="14">
        <v>129</v>
      </c>
      <c r="CC101" s="15">
        <v>4625</v>
      </c>
      <c r="CD101" s="14">
        <v>1103</v>
      </c>
      <c r="CE101" s="15">
        <v>1327</v>
      </c>
      <c r="CF101" s="14">
        <v>652</v>
      </c>
      <c r="CG101" s="15">
        <v>1055</v>
      </c>
      <c r="CH101" s="14">
        <v>716</v>
      </c>
      <c r="CI101" s="15">
        <v>22895</v>
      </c>
      <c r="CJ101" s="14">
        <v>3206</v>
      </c>
      <c r="CK101" s="15">
        <v>3222</v>
      </c>
      <c r="CL101" s="14">
        <v>1538</v>
      </c>
      <c r="CM101" s="15">
        <v>5952</v>
      </c>
      <c r="CN101" s="14">
        <v>1542</v>
      </c>
      <c r="CO101" s="15">
        <v>0</v>
      </c>
      <c r="CP101" s="14">
        <v>185</v>
      </c>
      <c r="CQ101" s="15">
        <v>1279</v>
      </c>
      <c r="CR101" s="14">
        <v>624</v>
      </c>
      <c r="CS101" s="15">
        <v>11231</v>
      </c>
      <c r="CT101" s="14">
        <v>2384</v>
      </c>
      <c r="CU101" s="15">
        <v>622</v>
      </c>
      <c r="CV101" s="14">
        <v>489</v>
      </c>
      <c r="CW101" s="15">
        <v>2764</v>
      </c>
      <c r="CX101" s="14">
        <v>1025</v>
      </c>
      <c r="CY101" s="15">
        <v>7939</v>
      </c>
      <c r="CZ101" s="14">
        <v>2109</v>
      </c>
      <c r="DA101" s="15">
        <v>2614</v>
      </c>
      <c r="DB101" s="14">
        <v>840</v>
      </c>
      <c r="DC101" s="15">
        <v>921</v>
      </c>
      <c r="DD101" s="14">
        <v>689</v>
      </c>
      <c r="DE101" s="15">
        <v>979</v>
      </c>
      <c r="DF101" s="14">
        <v>507</v>
      </c>
      <c r="DG101" s="15">
        <v>396</v>
      </c>
      <c r="DH101" s="14">
        <v>370</v>
      </c>
      <c r="DI101" s="15">
        <v>7321</v>
      </c>
      <c r="DJ101" s="14">
        <v>1791</v>
      </c>
    </row>
    <row r="102" spans="9:114" x14ac:dyDescent="0.25">
      <c r="I102" s="15">
        <v>273149</v>
      </c>
      <c r="J102" s="14">
        <v>13136</v>
      </c>
      <c r="K102" s="15">
        <v>4329</v>
      </c>
      <c r="L102" s="14">
        <v>1544</v>
      </c>
      <c r="M102" s="15">
        <v>1458</v>
      </c>
      <c r="N102" s="14">
        <v>925</v>
      </c>
      <c r="O102" s="15">
        <v>3493</v>
      </c>
      <c r="P102" s="14">
        <v>1189</v>
      </c>
      <c r="Q102" s="15">
        <v>861</v>
      </c>
      <c r="R102" s="14">
        <v>649</v>
      </c>
      <c r="S102" s="15">
        <v>13883</v>
      </c>
      <c r="T102" s="14">
        <v>2813</v>
      </c>
      <c r="U102" s="15">
        <v>4790</v>
      </c>
      <c r="V102" s="14">
        <v>2047</v>
      </c>
      <c r="W102" s="15">
        <v>4914</v>
      </c>
      <c r="X102" s="14">
        <v>1990</v>
      </c>
      <c r="Y102" s="15">
        <v>2180</v>
      </c>
      <c r="Z102" s="14">
        <v>1732</v>
      </c>
      <c r="AA102" s="15">
        <v>1801</v>
      </c>
      <c r="AB102" s="14">
        <v>687</v>
      </c>
      <c r="AC102" s="15">
        <v>26365</v>
      </c>
      <c r="AD102" s="14">
        <v>3750</v>
      </c>
      <c r="AE102" s="15">
        <v>16823</v>
      </c>
      <c r="AF102" s="14">
        <v>2851</v>
      </c>
      <c r="AG102" s="15">
        <v>1566</v>
      </c>
      <c r="AH102" s="14">
        <v>921</v>
      </c>
      <c r="AI102" s="15">
        <v>334</v>
      </c>
      <c r="AJ102" s="14">
        <v>256</v>
      </c>
      <c r="AK102" s="15">
        <v>6378</v>
      </c>
      <c r="AL102" s="14">
        <v>2177</v>
      </c>
      <c r="AM102" s="15">
        <v>4532</v>
      </c>
      <c r="AN102" s="14">
        <v>2259</v>
      </c>
      <c r="AO102" s="15">
        <v>775</v>
      </c>
      <c r="AP102" s="14">
        <v>524</v>
      </c>
      <c r="AQ102" s="15">
        <v>1595</v>
      </c>
      <c r="AR102" s="14">
        <v>748</v>
      </c>
      <c r="AS102" s="15">
        <v>1531</v>
      </c>
      <c r="AT102" s="14">
        <v>794</v>
      </c>
      <c r="AU102" s="15">
        <v>919</v>
      </c>
      <c r="AV102" s="14">
        <v>758</v>
      </c>
      <c r="AW102" s="15">
        <v>1259</v>
      </c>
      <c r="AX102" s="14">
        <v>972</v>
      </c>
      <c r="AY102" s="15">
        <v>9005</v>
      </c>
      <c r="AZ102" s="14">
        <v>2221</v>
      </c>
      <c r="BA102" s="15">
        <v>3710</v>
      </c>
      <c r="BB102" s="14">
        <v>1158</v>
      </c>
      <c r="BC102" s="15">
        <v>6161</v>
      </c>
      <c r="BD102" s="14">
        <v>2547</v>
      </c>
      <c r="BE102" s="15">
        <v>1523</v>
      </c>
      <c r="BF102" s="14">
        <v>838</v>
      </c>
      <c r="BG102" s="15">
        <v>2377</v>
      </c>
      <c r="BH102" s="14">
        <v>1092</v>
      </c>
      <c r="BI102" s="15">
        <v>2623</v>
      </c>
      <c r="BJ102" s="14">
        <v>1742</v>
      </c>
      <c r="BK102" s="15">
        <v>244</v>
      </c>
      <c r="BL102" s="14">
        <v>306</v>
      </c>
      <c r="BM102" s="15">
        <v>628</v>
      </c>
      <c r="BN102" s="14">
        <v>628</v>
      </c>
      <c r="BO102" s="15">
        <v>1627</v>
      </c>
      <c r="BP102" s="14">
        <v>807</v>
      </c>
      <c r="BQ102" s="15">
        <v>754</v>
      </c>
      <c r="BR102" s="14">
        <v>525</v>
      </c>
      <c r="BS102" s="15">
        <v>11468</v>
      </c>
      <c r="BT102" s="14">
        <v>4262</v>
      </c>
      <c r="BU102" s="15">
        <v>1138</v>
      </c>
      <c r="BV102" s="14">
        <v>705</v>
      </c>
      <c r="BW102" s="15">
        <v>19891</v>
      </c>
      <c r="BX102" s="14">
        <v>3951</v>
      </c>
      <c r="BY102" s="18" t="s">
        <v>60</v>
      </c>
      <c r="BZ102" s="14" t="s">
        <v>60</v>
      </c>
      <c r="CA102" s="13">
        <v>206</v>
      </c>
      <c r="CB102" s="14">
        <v>232</v>
      </c>
      <c r="CC102" s="15">
        <v>9337</v>
      </c>
      <c r="CD102" s="14">
        <v>2484</v>
      </c>
      <c r="CE102" s="15">
        <v>1263</v>
      </c>
      <c r="CF102" s="14">
        <v>753</v>
      </c>
      <c r="CG102" s="15">
        <v>1333</v>
      </c>
      <c r="CH102" s="14">
        <v>772</v>
      </c>
      <c r="CI102" s="15">
        <v>12179</v>
      </c>
      <c r="CJ102" s="14">
        <v>2356</v>
      </c>
      <c r="CK102" s="15">
        <v>290</v>
      </c>
      <c r="CL102" s="14">
        <v>198</v>
      </c>
      <c r="CM102" s="15">
        <v>25532</v>
      </c>
      <c r="CN102" s="14">
        <v>4732</v>
      </c>
      <c r="CO102" s="15">
        <v>351</v>
      </c>
      <c r="CP102" s="14">
        <v>186</v>
      </c>
      <c r="CQ102" s="15">
        <v>9230</v>
      </c>
      <c r="CR102" s="14">
        <v>2122</v>
      </c>
      <c r="CS102" s="15">
        <v>12638</v>
      </c>
      <c r="CT102" s="14">
        <v>2381</v>
      </c>
      <c r="CU102" s="15">
        <v>1189</v>
      </c>
      <c r="CV102" s="14">
        <v>1040</v>
      </c>
      <c r="CW102" s="15">
        <v>445</v>
      </c>
      <c r="CX102" s="14">
        <v>291</v>
      </c>
      <c r="CY102" s="15">
        <v>26759</v>
      </c>
      <c r="CZ102" s="14">
        <v>4229</v>
      </c>
      <c r="DA102" s="15">
        <v>5915</v>
      </c>
      <c r="DB102" s="14">
        <v>2630</v>
      </c>
      <c r="DC102" s="15">
        <v>2677</v>
      </c>
      <c r="DD102" s="14">
        <v>985</v>
      </c>
      <c r="DE102" s="15">
        <v>2266</v>
      </c>
      <c r="DF102" s="14">
        <v>980</v>
      </c>
      <c r="DG102" s="15">
        <v>604</v>
      </c>
      <c r="DH102" s="14">
        <v>687</v>
      </c>
      <c r="DI102" s="15">
        <v>2025</v>
      </c>
      <c r="DJ102" s="14">
        <v>1218</v>
      </c>
    </row>
    <row r="103" spans="9:114" x14ac:dyDescent="0.25">
      <c r="I103" s="15">
        <v>38213</v>
      </c>
      <c r="J103" s="14">
        <v>3616</v>
      </c>
      <c r="K103" s="15">
        <v>83</v>
      </c>
      <c r="L103" s="14">
        <v>142</v>
      </c>
      <c r="M103" s="15">
        <v>70</v>
      </c>
      <c r="N103" s="14">
        <v>105</v>
      </c>
      <c r="O103" s="15">
        <v>1571</v>
      </c>
      <c r="P103" s="14">
        <v>788</v>
      </c>
      <c r="Q103" s="15">
        <v>0</v>
      </c>
      <c r="R103" s="14">
        <v>141</v>
      </c>
      <c r="S103" s="15">
        <v>999</v>
      </c>
      <c r="T103" s="14">
        <v>460</v>
      </c>
      <c r="U103" s="15">
        <v>546</v>
      </c>
      <c r="V103" s="14">
        <v>293</v>
      </c>
      <c r="W103" s="15">
        <v>65</v>
      </c>
      <c r="X103" s="14">
        <v>100</v>
      </c>
      <c r="Y103" s="15">
        <v>0</v>
      </c>
      <c r="Z103" s="14">
        <v>141</v>
      </c>
      <c r="AA103" s="15">
        <v>70</v>
      </c>
      <c r="AB103" s="14">
        <v>112</v>
      </c>
      <c r="AC103" s="15">
        <v>950</v>
      </c>
      <c r="AD103" s="14">
        <v>860</v>
      </c>
      <c r="AE103" s="15">
        <v>98</v>
      </c>
      <c r="AF103" s="14">
        <v>154</v>
      </c>
      <c r="AG103" s="15">
        <v>160</v>
      </c>
      <c r="AH103" s="14">
        <v>148</v>
      </c>
      <c r="AI103" s="15">
        <v>540</v>
      </c>
      <c r="AJ103" s="14">
        <v>521</v>
      </c>
      <c r="AK103" s="15">
        <v>799</v>
      </c>
      <c r="AL103" s="14">
        <v>523</v>
      </c>
      <c r="AM103" s="15">
        <v>55</v>
      </c>
      <c r="AN103" s="14">
        <v>77</v>
      </c>
      <c r="AO103" s="15">
        <v>458</v>
      </c>
      <c r="AP103" s="14">
        <v>316</v>
      </c>
      <c r="AQ103" s="15">
        <v>161</v>
      </c>
      <c r="AR103" s="14">
        <v>122</v>
      </c>
      <c r="AS103" s="15">
        <v>22</v>
      </c>
      <c r="AT103" s="14">
        <v>44</v>
      </c>
      <c r="AU103" s="15">
        <v>18</v>
      </c>
      <c r="AV103" s="14">
        <v>27</v>
      </c>
      <c r="AW103" s="15">
        <v>98</v>
      </c>
      <c r="AX103" s="14">
        <v>176</v>
      </c>
      <c r="AY103" s="15">
        <v>232</v>
      </c>
      <c r="AZ103" s="14">
        <v>311</v>
      </c>
      <c r="BA103" s="15">
        <v>187</v>
      </c>
      <c r="BB103" s="14">
        <v>281</v>
      </c>
      <c r="BC103" s="15">
        <v>757</v>
      </c>
      <c r="BD103" s="14">
        <v>571</v>
      </c>
      <c r="BE103" s="15">
        <v>15257</v>
      </c>
      <c r="BF103" s="14">
        <v>2266</v>
      </c>
      <c r="BG103" s="15">
        <v>72</v>
      </c>
      <c r="BH103" s="14">
        <v>109</v>
      </c>
      <c r="BI103" s="15">
        <v>1490</v>
      </c>
      <c r="BJ103" s="14">
        <v>1346</v>
      </c>
      <c r="BK103" s="15">
        <v>1776</v>
      </c>
      <c r="BL103" s="14">
        <v>709</v>
      </c>
      <c r="BM103" s="15">
        <v>950</v>
      </c>
      <c r="BN103" s="14">
        <v>764</v>
      </c>
      <c r="BO103" s="15">
        <v>854</v>
      </c>
      <c r="BP103" s="14">
        <v>572</v>
      </c>
      <c r="BQ103" s="15">
        <v>0</v>
      </c>
      <c r="BR103" s="14">
        <v>141</v>
      </c>
      <c r="BS103" s="15">
        <v>140</v>
      </c>
      <c r="BT103" s="14">
        <v>231</v>
      </c>
      <c r="BU103" s="15">
        <v>161</v>
      </c>
      <c r="BV103" s="14">
        <v>228</v>
      </c>
      <c r="BW103" s="15">
        <v>331</v>
      </c>
      <c r="BX103" s="14">
        <v>331</v>
      </c>
      <c r="BY103" s="15">
        <v>231</v>
      </c>
      <c r="BZ103" s="14">
        <v>243</v>
      </c>
      <c r="CA103" s="18" t="s">
        <v>60</v>
      </c>
      <c r="CB103" s="14" t="s">
        <v>60</v>
      </c>
      <c r="CC103" s="13">
        <v>6</v>
      </c>
      <c r="CD103" s="14">
        <v>14</v>
      </c>
      <c r="CE103" s="15">
        <v>280</v>
      </c>
      <c r="CF103" s="14">
        <v>260</v>
      </c>
      <c r="CG103" s="15">
        <v>724</v>
      </c>
      <c r="CH103" s="14">
        <v>529</v>
      </c>
      <c r="CI103" s="15">
        <v>114</v>
      </c>
      <c r="CJ103" s="14">
        <v>157</v>
      </c>
      <c r="CK103" s="15">
        <v>244</v>
      </c>
      <c r="CL103" s="14">
        <v>255</v>
      </c>
      <c r="CM103" s="15">
        <v>14</v>
      </c>
      <c r="CN103" s="14">
        <v>28</v>
      </c>
      <c r="CO103" s="15">
        <v>1754</v>
      </c>
      <c r="CP103" s="14">
        <v>822</v>
      </c>
      <c r="CQ103" s="15">
        <v>746</v>
      </c>
      <c r="CR103" s="14">
        <v>694</v>
      </c>
      <c r="CS103" s="15">
        <v>1414</v>
      </c>
      <c r="CT103" s="14">
        <v>756</v>
      </c>
      <c r="CU103" s="15">
        <v>43</v>
      </c>
      <c r="CV103" s="14">
        <v>60</v>
      </c>
      <c r="CW103" s="15">
        <v>758</v>
      </c>
      <c r="CX103" s="14">
        <v>1014</v>
      </c>
      <c r="CY103" s="15">
        <v>403</v>
      </c>
      <c r="CZ103" s="14">
        <v>309</v>
      </c>
      <c r="DA103" s="15">
        <v>1604</v>
      </c>
      <c r="DB103" s="14">
        <v>796</v>
      </c>
      <c r="DC103" s="15">
        <v>0</v>
      </c>
      <c r="DD103" s="14">
        <v>141</v>
      </c>
      <c r="DE103" s="15">
        <v>543</v>
      </c>
      <c r="DF103" s="14">
        <v>327</v>
      </c>
      <c r="DG103" s="15">
        <v>365</v>
      </c>
      <c r="DH103" s="14">
        <v>269</v>
      </c>
      <c r="DI103" s="15">
        <v>0</v>
      </c>
      <c r="DJ103" s="14">
        <v>141</v>
      </c>
    </row>
    <row r="104" spans="9:114" x14ac:dyDescent="0.25">
      <c r="I104" s="15">
        <v>196391</v>
      </c>
      <c r="J104" s="14">
        <v>9611</v>
      </c>
      <c r="K104" s="15">
        <v>3705</v>
      </c>
      <c r="L104" s="14">
        <v>2297</v>
      </c>
      <c r="M104" s="15">
        <v>2207</v>
      </c>
      <c r="N104" s="14">
        <v>1757</v>
      </c>
      <c r="O104" s="15">
        <v>4929</v>
      </c>
      <c r="P104" s="14">
        <v>1912</v>
      </c>
      <c r="Q104" s="15">
        <v>884</v>
      </c>
      <c r="R104" s="14">
        <v>604</v>
      </c>
      <c r="S104" s="15">
        <v>8995</v>
      </c>
      <c r="T104" s="14">
        <v>1803</v>
      </c>
      <c r="U104" s="15">
        <v>3180</v>
      </c>
      <c r="V104" s="14">
        <v>1230</v>
      </c>
      <c r="W104" s="15">
        <v>1355</v>
      </c>
      <c r="X104" s="14">
        <v>887</v>
      </c>
      <c r="Y104" s="15">
        <v>1079</v>
      </c>
      <c r="Z104" s="14">
        <v>696</v>
      </c>
      <c r="AA104" s="15">
        <v>985</v>
      </c>
      <c r="AB104" s="14">
        <v>722</v>
      </c>
      <c r="AC104" s="15">
        <v>16366</v>
      </c>
      <c r="AD104" s="14">
        <v>2560</v>
      </c>
      <c r="AE104" s="15">
        <v>8052</v>
      </c>
      <c r="AF104" s="14">
        <v>2973</v>
      </c>
      <c r="AG104" s="15">
        <v>1198</v>
      </c>
      <c r="AH104" s="14">
        <v>591</v>
      </c>
      <c r="AI104" s="15">
        <v>412</v>
      </c>
      <c r="AJ104" s="14">
        <v>295</v>
      </c>
      <c r="AK104" s="15">
        <v>9510</v>
      </c>
      <c r="AL104" s="14">
        <v>2157</v>
      </c>
      <c r="AM104" s="15">
        <v>13534</v>
      </c>
      <c r="AN104" s="14">
        <v>2157</v>
      </c>
      <c r="AO104" s="15">
        <v>1039</v>
      </c>
      <c r="AP104" s="14">
        <v>765</v>
      </c>
      <c r="AQ104" s="15">
        <v>1166</v>
      </c>
      <c r="AR104" s="14">
        <v>617</v>
      </c>
      <c r="AS104" s="15">
        <v>13227</v>
      </c>
      <c r="AT104" s="14">
        <v>2976</v>
      </c>
      <c r="AU104" s="15">
        <v>2214</v>
      </c>
      <c r="AV104" s="14">
        <v>1011</v>
      </c>
      <c r="AW104" s="15">
        <v>1189</v>
      </c>
      <c r="AX104" s="14">
        <v>889</v>
      </c>
      <c r="AY104" s="15">
        <v>5026</v>
      </c>
      <c r="AZ104" s="14">
        <v>2570</v>
      </c>
      <c r="BA104" s="15">
        <v>2189</v>
      </c>
      <c r="BB104" s="14">
        <v>808</v>
      </c>
      <c r="BC104" s="15">
        <v>16336</v>
      </c>
      <c r="BD104" s="14">
        <v>2656</v>
      </c>
      <c r="BE104" s="15">
        <v>1122</v>
      </c>
      <c r="BF104" s="14">
        <v>597</v>
      </c>
      <c r="BG104" s="15">
        <v>1017</v>
      </c>
      <c r="BH104" s="14">
        <v>865</v>
      </c>
      <c r="BI104" s="15">
        <v>3026</v>
      </c>
      <c r="BJ104" s="14">
        <v>1068</v>
      </c>
      <c r="BK104" s="15">
        <v>276</v>
      </c>
      <c r="BL104" s="14">
        <v>292</v>
      </c>
      <c r="BM104" s="15">
        <v>1052</v>
      </c>
      <c r="BN104" s="14">
        <v>656</v>
      </c>
      <c r="BO104" s="15">
        <v>907</v>
      </c>
      <c r="BP104" s="14">
        <v>525</v>
      </c>
      <c r="BQ104" s="15">
        <v>189</v>
      </c>
      <c r="BR104" s="14">
        <v>156</v>
      </c>
      <c r="BS104" s="15">
        <v>4703</v>
      </c>
      <c r="BT104" s="14">
        <v>2119</v>
      </c>
      <c r="BU104" s="15">
        <v>1361</v>
      </c>
      <c r="BV104" s="14">
        <v>817</v>
      </c>
      <c r="BW104" s="15">
        <v>8732</v>
      </c>
      <c r="BX104" s="14">
        <v>1741</v>
      </c>
      <c r="BY104" s="15">
        <v>5498</v>
      </c>
      <c r="BZ104" s="14">
        <v>1525</v>
      </c>
      <c r="CA104" s="15">
        <v>453</v>
      </c>
      <c r="CB104" s="14">
        <v>346</v>
      </c>
      <c r="CC104" s="18" t="s">
        <v>60</v>
      </c>
      <c r="CD104" s="14" t="s">
        <v>60</v>
      </c>
      <c r="CE104" s="13">
        <v>858</v>
      </c>
      <c r="CF104" s="14">
        <v>417</v>
      </c>
      <c r="CG104" s="15">
        <v>432</v>
      </c>
      <c r="CH104" s="14">
        <v>307</v>
      </c>
      <c r="CI104" s="15">
        <v>14147</v>
      </c>
      <c r="CJ104" s="14">
        <v>2612</v>
      </c>
      <c r="CK104" s="15">
        <v>435</v>
      </c>
      <c r="CL104" s="14">
        <v>384</v>
      </c>
      <c r="CM104" s="15">
        <v>2445</v>
      </c>
      <c r="CN104" s="14">
        <v>1029</v>
      </c>
      <c r="CO104" s="15">
        <v>47</v>
      </c>
      <c r="CP104" s="14">
        <v>76</v>
      </c>
      <c r="CQ104" s="15">
        <v>3542</v>
      </c>
      <c r="CR104" s="14">
        <v>1429</v>
      </c>
      <c r="CS104" s="15">
        <v>11760</v>
      </c>
      <c r="CT104" s="14">
        <v>2739</v>
      </c>
      <c r="CU104" s="15">
        <v>197</v>
      </c>
      <c r="CV104" s="14">
        <v>211</v>
      </c>
      <c r="CW104" s="15">
        <v>364</v>
      </c>
      <c r="CX104" s="14">
        <v>350</v>
      </c>
      <c r="CY104" s="15">
        <v>3193</v>
      </c>
      <c r="CZ104" s="14">
        <v>1055</v>
      </c>
      <c r="DA104" s="15">
        <v>2862</v>
      </c>
      <c r="DB104" s="14">
        <v>2150</v>
      </c>
      <c r="DC104" s="15">
        <v>7820</v>
      </c>
      <c r="DD104" s="14">
        <v>2219</v>
      </c>
      <c r="DE104" s="15">
        <v>974</v>
      </c>
      <c r="DF104" s="14">
        <v>725</v>
      </c>
      <c r="DG104" s="15">
        <v>202</v>
      </c>
      <c r="DH104" s="14">
        <v>210</v>
      </c>
      <c r="DI104" s="15">
        <v>1403</v>
      </c>
      <c r="DJ104" s="14">
        <v>910</v>
      </c>
    </row>
    <row r="105" spans="9:114" x14ac:dyDescent="0.25">
      <c r="I105" s="15">
        <v>108972</v>
      </c>
      <c r="J105" s="14">
        <v>6570</v>
      </c>
      <c r="K105" s="15">
        <v>1030</v>
      </c>
      <c r="L105" s="14">
        <v>467</v>
      </c>
      <c r="M105" s="15">
        <v>1279</v>
      </c>
      <c r="N105" s="14">
        <v>600</v>
      </c>
      <c r="O105" s="15">
        <v>2974</v>
      </c>
      <c r="P105" s="14">
        <v>1435</v>
      </c>
      <c r="Q105" s="15">
        <v>5777</v>
      </c>
      <c r="R105" s="14">
        <v>1187</v>
      </c>
      <c r="S105" s="15">
        <v>8950</v>
      </c>
      <c r="T105" s="14">
        <v>2184</v>
      </c>
      <c r="U105" s="15">
        <v>4717</v>
      </c>
      <c r="V105" s="14">
        <v>1556</v>
      </c>
      <c r="W105" s="15">
        <v>0</v>
      </c>
      <c r="X105" s="14">
        <v>149</v>
      </c>
      <c r="Y105" s="15">
        <v>380</v>
      </c>
      <c r="Z105" s="14">
        <v>288</v>
      </c>
      <c r="AA105" s="15">
        <v>151</v>
      </c>
      <c r="AB105" s="14">
        <v>148</v>
      </c>
      <c r="AC105" s="15">
        <v>5011</v>
      </c>
      <c r="AD105" s="14">
        <v>1525</v>
      </c>
      <c r="AE105" s="15">
        <v>2581</v>
      </c>
      <c r="AF105" s="14">
        <v>935</v>
      </c>
      <c r="AG105" s="15">
        <v>189</v>
      </c>
      <c r="AH105" s="14">
        <v>295</v>
      </c>
      <c r="AI105" s="15">
        <v>905</v>
      </c>
      <c r="AJ105" s="14">
        <v>600</v>
      </c>
      <c r="AK105" s="15">
        <v>1100</v>
      </c>
      <c r="AL105" s="14">
        <v>487</v>
      </c>
      <c r="AM105" s="15">
        <v>1490</v>
      </c>
      <c r="AN105" s="14">
        <v>936</v>
      </c>
      <c r="AO105" s="15">
        <v>1088</v>
      </c>
      <c r="AP105" s="14">
        <v>689</v>
      </c>
      <c r="AQ105" s="15">
        <v>7065</v>
      </c>
      <c r="AR105" s="14">
        <v>1535</v>
      </c>
      <c r="AS105" s="15">
        <v>1354</v>
      </c>
      <c r="AT105" s="14">
        <v>898</v>
      </c>
      <c r="AU105" s="15">
        <v>2562</v>
      </c>
      <c r="AV105" s="14">
        <v>1354</v>
      </c>
      <c r="AW105" s="15">
        <v>167</v>
      </c>
      <c r="AX105" s="14">
        <v>260</v>
      </c>
      <c r="AY105" s="15">
        <v>750</v>
      </c>
      <c r="AZ105" s="14">
        <v>685</v>
      </c>
      <c r="BA105" s="15">
        <v>1233</v>
      </c>
      <c r="BB105" s="14">
        <v>906</v>
      </c>
      <c r="BC105" s="15">
        <v>1347</v>
      </c>
      <c r="BD105" s="14">
        <v>671</v>
      </c>
      <c r="BE105" s="15">
        <v>906</v>
      </c>
      <c r="BF105" s="14">
        <v>469</v>
      </c>
      <c r="BG105" s="15">
        <v>1850</v>
      </c>
      <c r="BH105" s="14">
        <v>752</v>
      </c>
      <c r="BI105" s="15">
        <v>5210</v>
      </c>
      <c r="BJ105" s="14">
        <v>1349</v>
      </c>
      <c r="BK105" s="15">
        <v>798</v>
      </c>
      <c r="BL105" s="14">
        <v>710</v>
      </c>
      <c r="BM105" s="15">
        <v>300</v>
      </c>
      <c r="BN105" s="14">
        <v>208</v>
      </c>
      <c r="BO105" s="15">
        <v>1101</v>
      </c>
      <c r="BP105" s="14">
        <v>799</v>
      </c>
      <c r="BQ105" s="15">
        <v>549</v>
      </c>
      <c r="BR105" s="14">
        <v>383</v>
      </c>
      <c r="BS105" s="15">
        <v>1523</v>
      </c>
      <c r="BT105" s="14">
        <v>748</v>
      </c>
      <c r="BU105" s="15">
        <v>1244</v>
      </c>
      <c r="BV105" s="14">
        <v>712</v>
      </c>
      <c r="BW105" s="15">
        <v>1981</v>
      </c>
      <c r="BX105" s="14">
        <v>936</v>
      </c>
      <c r="BY105" s="15">
        <v>1961</v>
      </c>
      <c r="BZ105" s="14">
        <v>912</v>
      </c>
      <c r="CA105" s="15">
        <v>308</v>
      </c>
      <c r="CB105" s="14">
        <v>340</v>
      </c>
      <c r="CC105" s="15">
        <v>1148</v>
      </c>
      <c r="CD105" s="14">
        <v>533</v>
      </c>
      <c r="CE105" s="18" t="s">
        <v>60</v>
      </c>
      <c r="CF105" s="14" t="s">
        <v>60</v>
      </c>
      <c r="CG105" s="13">
        <v>1261</v>
      </c>
      <c r="CH105" s="14">
        <v>771</v>
      </c>
      <c r="CI105" s="15">
        <v>494</v>
      </c>
      <c r="CJ105" s="14">
        <v>285</v>
      </c>
      <c r="CK105" s="15">
        <v>0</v>
      </c>
      <c r="CL105" s="14">
        <v>149</v>
      </c>
      <c r="CM105" s="15">
        <v>569</v>
      </c>
      <c r="CN105" s="14">
        <v>346</v>
      </c>
      <c r="CO105" s="15">
        <v>108</v>
      </c>
      <c r="CP105" s="14">
        <v>154</v>
      </c>
      <c r="CQ105" s="15">
        <v>2471</v>
      </c>
      <c r="CR105" s="14">
        <v>1035</v>
      </c>
      <c r="CS105" s="15">
        <v>25508</v>
      </c>
      <c r="CT105" s="14">
        <v>2960</v>
      </c>
      <c r="CU105" s="15">
        <v>2588</v>
      </c>
      <c r="CV105" s="14">
        <v>1465</v>
      </c>
      <c r="CW105" s="15">
        <v>197</v>
      </c>
      <c r="CX105" s="14">
        <v>316</v>
      </c>
      <c r="CY105" s="15">
        <v>1749</v>
      </c>
      <c r="CZ105" s="14">
        <v>829</v>
      </c>
      <c r="DA105" s="15">
        <v>1574</v>
      </c>
      <c r="DB105" s="14">
        <v>575</v>
      </c>
      <c r="DC105" s="15">
        <v>368</v>
      </c>
      <c r="DD105" s="14">
        <v>298</v>
      </c>
      <c r="DE105" s="15">
        <v>1061</v>
      </c>
      <c r="DF105" s="14">
        <v>758</v>
      </c>
      <c r="DG105" s="15">
        <v>45</v>
      </c>
      <c r="DH105" s="14">
        <v>68</v>
      </c>
      <c r="DI105" s="15">
        <v>0</v>
      </c>
      <c r="DJ105" s="14">
        <v>149</v>
      </c>
    </row>
    <row r="106" spans="9:114" x14ac:dyDescent="0.25">
      <c r="I106" s="15">
        <v>118925</v>
      </c>
      <c r="J106" s="14">
        <v>7769</v>
      </c>
      <c r="K106" s="15">
        <v>373</v>
      </c>
      <c r="L106" s="14">
        <v>425</v>
      </c>
      <c r="M106" s="15">
        <v>2513</v>
      </c>
      <c r="N106" s="14">
        <v>953</v>
      </c>
      <c r="O106" s="15">
        <v>7954</v>
      </c>
      <c r="P106" s="14">
        <v>2060</v>
      </c>
      <c r="Q106" s="15">
        <v>165</v>
      </c>
      <c r="R106" s="14">
        <v>158</v>
      </c>
      <c r="S106" s="15">
        <v>31862</v>
      </c>
      <c r="T106" s="14">
        <v>3767</v>
      </c>
      <c r="U106" s="15">
        <v>4472</v>
      </c>
      <c r="V106" s="14">
        <v>2133</v>
      </c>
      <c r="W106" s="15">
        <v>381</v>
      </c>
      <c r="X106" s="14">
        <v>457</v>
      </c>
      <c r="Y106" s="15">
        <v>0</v>
      </c>
      <c r="Z106" s="14">
        <v>193</v>
      </c>
      <c r="AA106" s="15">
        <v>696</v>
      </c>
      <c r="AB106" s="14">
        <v>919</v>
      </c>
      <c r="AC106" s="15">
        <v>1660</v>
      </c>
      <c r="AD106" s="14">
        <v>620</v>
      </c>
      <c r="AE106" s="15">
        <v>1032</v>
      </c>
      <c r="AF106" s="14">
        <v>523</v>
      </c>
      <c r="AG106" s="15">
        <v>2501</v>
      </c>
      <c r="AH106" s="14">
        <v>813</v>
      </c>
      <c r="AI106" s="15">
        <v>5093</v>
      </c>
      <c r="AJ106" s="14">
        <v>1880</v>
      </c>
      <c r="AK106" s="15">
        <v>1676</v>
      </c>
      <c r="AL106" s="14">
        <v>1192</v>
      </c>
      <c r="AM106" s="15">
        <v>1380</v>
      </c>
      <c r="AN106" s="14">
        <v>1000</v>
      </c>
      <c r="AO106" s="15">
        <v>834</v>
      </c>
      <c r="AP106" s="14">
        <v>781</v>
      </c>
      <c r="AQ106" s="15">
        <v>556</v>
      </c>
      <c r="AR106" s="14">
        <v>534</v>
      </c>
      <c r="AS106" s="15">
        <v>202</v>
      </c>
      <c r="AT106" s="14">
        <v>261</v>
      </c>
      <c r="AU106" s="15">
        <v>227</v>
      </c>
      <c r="AV106" s="14">
        <v>229</v>
      </c>
      <c r="AW106" s="15">
        <v>446</v>
      </c>
      <c r="AX106" s="14">
        <v>353</v>
      </c>
      <c r="AY106" s="15">
        <v>457</v>
      </c>
      <c r="AZ106" s="14">
        <v>422</v>
      </c>
      <c r="BA106" s="15">
        <v>760</v>
      </c>
      <c r="BB106" s="14">
        <v>604</v>
      </c>
      <c r="BC106" s="15">
        <v>570</v>
      </c>
      <c r="BD106" s="14">
        <v>338</v>
      </c>
      <c r="BE106" s="15">
        <v>1792</v>
      </c>
      <c r="BF106" s="14">
        <v>799</v>
      </c>
      <c r="BG106" s="15">
        <v>186</v>
      </c>
      <c r="BH106" s="14">
        <v>237</v>
      </c>
      <c r="BI106" s="15">
        <v>403</v>
      </c>
      <c r="BJ106" s="14">
        <v>269</v>
      </c>
      <c r="BK106" s="15">
        <v>2192</v>
      </c>
      <c r="BL106" s="14">
        <v>968</v>
      </c>
      <c r="BM106" s="15">
        <v>570</v>
      </c>
      <c r="BN106" s="14">
        <v>448</v>
      </c>
      <c r="BO106" s="15">
        <v>5935</v>
      </c>
      <c r="BP106" s="14">
        <v>2774</v>
      </c>
      <c r="BQ106" s="15">
        <v>39</v>
      </c>
      <c r="BR106" s="14">
        <v>65</v>
      </c>
      <c r="BS106" s="15">
        <v>385</v>
      </c>
      <c r="BT106" s="14">
        <v>327</v>
      </c>
      <c r="BU106" s="15">
        <v>920</v>
      </c>
      <c r="BV106" s="14">
        <v>676</v>
      </c>
      <c r="BW106" s="15">
        <v>2379</v>
      </c>
      <c r="BX106" s="14">
        <v>1032</v>
      </c>
      <c r="BY106" s="15">
        <v>1482</v>
      </c>
      <c r="BZ106" s="14">
        <v>1046</v>
      </c>
      <c r="CA106" s="15">
        <v>42</v>
      </c>
      <c r="CB106" s="14">
        <v>85</v>
      </c>
      <c r="CC106" s="15">
        <v>1411</v>
      </c>
      <c r="CD106" s="14">
        <v>789</v>
      </c>
      <c r="CE106" s="15">
        <v>725</v>
      </c>
      <c r="CF106" s="14">
        <v>546</v>
      </c>
      <c r="CG106" s="18" t="s">
        <v>60</v>
      </c>
      <c r="CH106" s="14" t="s">
        <v>60</v>
      </c>
      <c r="CI106" s="13">
        <v>904</v>
      </c>
      <c r="CJ106" s="14">
        <v>535</v>
      </c>
      <c r="CK106" s="15">
        <v>177</v>
      </c>
      <c r="CL106" s="14">
        <v>214</v>
      </c>
      <c r="CM106" s="15">
        <v>461</v>
      </c>
      <c r="CN106" s="14">
        <v>364</v>
      </c>
      <c r="CO106" s="15">
        <v>119</v>
      </c>
      <c r="CP106" s="14">
        <v>143</v>
      </c>
      <c r="CQ106" s="15">
        <v>802</v>
      </c>
      <c r="CR106" s="14">
        <v>583</v>
      </c>
      <c r="CS106" s="15">
        <v>3347</v>
      </c>
      <c r="CT106" s="14">
        <v>1277</v>
      </c>
      <c r="CU106" s="15">
        <v>4793</v>
      </c>
      <c r="CV106" s="14">
        <v>2328</v>
      </c>
      <c r="CW106" s="15">
        <v>367</v>
      </c>
      <c r="CX106" s="14">
        <v>435</v>
      </c>
      <c r="CY106" s="15">
        <v>676</v>
      </c>
      <c r="CZ106" s="14">
        <v>510</v>
      </c>
      <c r="DA106" s="15">
        <v>21224</v>
      </c>
      <c r="DB106" s="14">
        <v>3153</v>
      </c>
      <c r="DC106" s="15">
        <v>593</v>
      </c>
      <c r="DD106" s="14">
        <v>502</v>
      </c>
      <c r="DE106" s="15">
        <v>426</v>
      </c>
      <c r="DF106" s="14">
        <v>284</v>
      </c>
      <c r="DG106" s="15">
        <v>765</v>
      </c>
      <c r="DH106" s="14">
        <v>664</v>
      </c>
      <c r="DI106" s="15">
        <v>152</v>
      </c>
      <c r="DJ106" s="14">
        <v>177</v>
      </c>
    </row>
    <row r="107" spans="9:114" x14ac:dyDescent="0.25">
      <c r="I107" s="15">
        <v>215500</v>
      </c>
      <c r="J107" s="14">
        <v>8872</v>
      </c>
      <c r="K107" s="15">
        <v>1926</v>
      </c>
      <c r="L107" s="14">
        <v>1318</v>
      </c>
      <c r="M107" s="15">
        <v>1658</v>
      </c>
      <c r="N107" s="14">
        <v>857</v>
      </c>
      <c r="O107" s="15">
        <v>3529</v>
      </c>
      <c r="P107" s="14">
        <v>1256</v>
      </c>
      <c r="Q107" s="15">
        <v>573</v>
      </c>
      <c r="R107" s="14">
        <v>315</v>
      </c>
      <c r="S107" s="15">
        <v>7772</v>
      </c>
      <c r="T107" s="14">
        <v>1558</v>
      </c>
      <c r="U107" s="15">
        <v>2574</v>
      </c>
      <c r="V107" s="14">
        <v>1488</v>
      </c>
      <c r="W107" s="15">
        <v>3311</v>
      </c>
      <c r="X107" s="14">
        <v>905</v>
      </c>
      <c r="Y107" s="15">
        <v>4814</v>
      </c>
      <c r="Z107" s="14">
        <v>1468</v>
      </c>
      <c r="AA107" s="15">
        <v>2921</v>
      </c>
      <c r="AB107" s="14">
        <v>830</v>
      </c>
      <c r="AC107" s="15">
        <v>14631</v>
      </c>
      <c r="AD107" s="14">
        <v>2565</v>
      </c>
      <c r="AE107" s="15">
        <v>4337</v>
      </c>
      <c r="AF107" s="14">
        <v>1703</v>
      </c>
      <c r="AG107" s="15">
        <v>245</v>
      </c>
      <c r="AH107" s="14">
        <v>180</v>
      </c>
      <c r="AI107" s="15">
        <v>359</v>
      </c>
      <c r="AJ107" s="14">
        <v>350</v>
      </c>
      <c r="AK107" s="15">
        <v>3749</v>
      </c>
      <c r="AL107" s="14">
        <v>1137</v>
      </c>
      <c r="AM107" s="15">
        <v>1599</v>
      </c>
      <c r="AN107" s="14">
        <v>680</v>
      </c>
      <c r="AO107" s="15">
        <v>125</v>
      </c>
      <c r="AP107" s="14">
        <v>177</v>
      </c>
      <c r="AQ107" s="15">
        <v>967</v>
      </c>
      <c r="AR107" s="14">
        <v>860</v>
      </c>
      <c r="AS107" s="15">
        <v>1233</v>
      </c>
      <c r="AT107" s="14">
        <v>604</v>
      </c>
      <c r="AU107" s="15">
        <v>694</v>
      </c>
      <c r="AV107" s="14">
        <v>431</v>
      </c>
      <c r="AW107" s="15">
        <v>988</v>
      </c>
      <c r="AX107" s="14">
        <v>675</v>
      </c>
      <c r="AY107" s="15">
        <v>17529</v>
      </c>
      <c r="AZ107" s="14">
        <v>3084</v>
      </c>
      <c r="BA107" s="15">
        <v>5900</v>
      </c>
      <c r="BB107" s="14">
        <v>1368</v>
      </c>
      <c r="BC107" s="15">
        <v>2642</v>
      </c>
      <c r="BD107" s="14">
        <v>1235</v>
      </c>
      <c r="BE107" s="15">
        <v>1169</v>
      </c>
      <c r="BF107" s="14">
        <v>588</v>
      </c>
      <c r="BG107" s="15">
        <v>55</v>
      </c>
      <c r="BH107" s="14">
        <v>49</v>
      </c>
      <c r="BI107" s="15">
        <v>1171</v>
      </c>
      <c r="BJ107" s="14">
        <v>575</v>
      </c>
      <c r="BK107" s="15">
        <v>135</v>
      </c>
      <c r="BL107" s="14">
        <v>169</v>
      </c>
      <c r="BM107" s="15">
        <v>214</v>
      </c>
      <c r="BN107" s="14">
        <v>187</v>
      </c>
      <c r="BO107" s="15">
        <v>1600</v>
      </c>
      <c r="BP107" s="14">
        <v>999</v>
      </c>
      <c r="BQ107" s="15">
        <v>1138</v>
      </c>
      <c r="BR107" s="14">
        <v>609</v>
      </c>
      <c r="BS107" s="15">
        <v>33791</v>
      </c>
      <c r="BT107" s="14">
        <v>4576</v>
      </c>
      <c r="BU107" s="15">
        <v>1001</v>
      </c>
      <c r="BV107" s="14">
        <v>740</v>
      </c>
      <c r="BW107" s="15">
        <v>32898</v>
      </c>
      <c r="BX107" s="14">
        <v>4482</v>
      </c>
      <c r="BY107" s="15">
        <v>6380</v>
      </c>
      <c r="BZ107" s="14">
        <v>1734</v>
      </c>
      <c r="CA107" s="15">
        <v>166</v>
      </c>
      <c r="CB107" s="14">
        <v>195</v>
      </c>
      <c r="CC107" s="15">
        <v>14319</v>
      </c>
      <c r="CD107" s="14">
        <v>2479</v>
      </c>
      <c r="CE107" s="15">
        <v>378</v>
      </c>
      <c r="CF107" s="14">
        <v>253</v>
      </c>
      <c r="CG107" s="15">
        <v>234</v>
      </c>
      <c r="CH107" s="14">
        <v>220</v>
      </c>
      <c r="CI107" s="18" t="s">
        <v>60</v>
      </c>
      <c r="CJ107" s="14" t="s">
        <v>60</v>
      </c>
      <c r="CK107" s="13">
        <v>771</v>
      </c>
      <c r="CL107" s="14">
        <v>472</v>
      </c>
      <c r="CM107" s="15">
        <v>3023</v>
      </c>
      <c r="CN107" s="14">
        <v>869</v>
      </c>
      <c r="CO107" s="15">
        <v>159</v>
      </c>
      <c r="CP107" s="14">
        <v>206</v>
      </c>
      <c r="CQ107" s="15">
        <v>1273</v>
      </c>
      <c r="CR107" s="14">
        <v>533</v>
      </c>
      <c r="CS107" s="15">
        <v>6768</v>
      </c>
      <c r="CT107" s="14">
        <v>1688</v>
      </c>
      <c r="CU107" s="15">
        <v>1276</v>
      </c>
      <c r="CV107" s="14">
        <v>804</v>
      </c>
      <c r="CW107" s="15">
        <v>1012</v>
      </c>
      <c r="CX107" s="14">
        <v>873</v>
      </c>
      <c r="CY107" s="15">
        <v>11960</v>
      </c>
      <c r="CZ107" s="14">
        <v>2213</v>
      </c>
      <c r="DA107" s="15">
        <v>1787</v>
      </c>
      <c r="DB107" s="14">
        <v>1202</v>
      </c>
      <c r="DC107" s="15">
        <v>6762</v>
      </c>
      <c r="DD107" s="14">
        <v>2075</v>
      </c>
      <c r="DE107" s="15">
        <v>1550</v>
      </c>
      <c r="DF107" s="14">
        <v>722</v>
      </c>
      <c r="DG107" s="15">
        <v>434</v>
      </c>
      <c r="DH107" s="14">
        <v>439</v>
      </c>
      <c r="DI107" s="15">
        <v>7847</v>
      </c>
      <c r="DJ107" s="14">
        <v>2646</v>
      </c>
    </row>
    <row r="108" spans="9:114" x14ac:dyDescent="0.25">
      <c r="I108" s="15">
        <v>33446</v>
      </c>
      <c r="J108" s="14">
        <v>3551</v>
      </c>
      <c r="K108" s="15">
        <v>20</v>
      </c>
      <c r="L108" s="14">
        <v>44</v>
      </c>
      <c r="M108" s="15">
        <v>0</v>
      </c>
      <c r="N108" s="14">
        <v>200</v>
      </c>
      <c r="O108" s="15">
        <v>93</v>
      </c>
      <c r="P108" s="14">
        <v>151</v>
      </c>
      <c r="Q108" s="15">
        <v>0</v>
      </c>
      <c r="R108" s="14">
        <v>200</v>
      </c>
      <c r="S108" s="15">
        <v>2146</v>
      </c>
      <c r="T108" s="14">
        <v>811</v>
      </c>
      <c r="U108" s="15">
        <v>332</v>
      </c>
      <c r="V108" s="14">
        <v>315</v>
      </c>
      <c r="W108" s="15">
        <v>4170</v>
      </c>
      <c r="X108" s="14">
        <v>1101</v>
      </c>
      <c r="Y108" s="15">
        <v>0</v>
      </c>
      <c r="Z108" s="14">
        <v>200</v>
      </c>
      <c r="AA108" s="15">
        <v>313</v>
      </c>
      <c r="AB108" s="14">
        <v>381</v>
      </c>
      <c r="AC108" s="15">
        <v>2752</v>
      </c>
      <c r="AD108" s="14">
        <v>1143</v>
      </c>
      <c r="AE108" s="15">
        <v>168</v>
      </c>
      <c r="AF108" s="14">
        <v>211</v>
      </c>
      <c r="AG108" s="15">
        <v>120</v>
      </c>
      <c r="AH108" s="14">
        <v>145</v>
      </c>
      <c r="AI108" s="15">
        <v>0</v>
      </c>
      <c r="AJ108" s="14">
        <v>200</v>
      </c>
      <c r="AK108" s="15">
        <v>385</v>
      </c>
      <c r="AL108" s="14">
        <v>382</v>
      </c>
      <c r="AM108" s="15">
        <v>0</v>
      </c>
      <c r="AN108" s="14">
        <v>200</v>
      </c>
      <c r="AO108" s="15">
        <v>0</v>
      </c>
      <c r="AP108" s="14">
        <v>200</v>
      </c>
      <c r="AQ108" s="15">
        <v>27</v>
      </c>
      <c r="AR108" s="14">
        <v>47</v>
      </c>
      <c r="AS108" s="15">
        <v>286</v>
      </c>
      <c r="AT108" s="14">
        <v>405</v>
      </c>
      <c r="AU108" s="15">
        <v>24</v>
      </c>
      <c r="AV108" s="14">
        <v>45</v>
      </c>
      <c r="AW108" s="15">
        <v>279</v>
      </c>
      <c r="AX108" s="14">
        <v>249</v>
      </c>
      <c r="AY108" s="15">
        <v>482</v>
      </c>
      <c r="AZ108" s="14">
        <v>325</v>
      </c>
      <c r="BA108" s="15">
        <v>11253</v>
      </c>
      <c r="BB108" s="14">
        <v>1937</v>
      </c>
      <c r="BC108" s="15">
        <v>230</v>
      </c>
      <c r="BD108" s="14">
        <v>169</v>
      </c>
      <c r="BE108" s="15">
        <v>131</v>
      </c>
      <c r="BF108" s="14">
        <v>131</v>
      </c>
      <c r="BG108" s="15">
        <v>0</v>
      </c>
      <c r="BH108" s="14">
        <v>200</v>
      </c>
      <c r="BI108" s="15">
        <v>210</v>
      </c>
      <c r="BJ108" s="14">
        <v>158</v>
      </c>
      <c r="BK108" s="15">
        <v>0</v>
      </c>
      <c r="BL108" s="14">
        <v>200</v>
      </c>
      <c r="BM108" s="15">
        <v>188</v>
      </c>
      <c r="BN108" s="14">
        <v>250</v>
      </c>
      <c r="BO108" s="15">
        <v>25</v>
      </c>
      <c r="BP108" s="14">
        <v>48</v>
      </c>
      <c r="BQ108" s="15">
        <v>611</v>
      </c>
      <c r="BR108" s="14">
        <v>385</v>
      </c>
      <c r="BS108" s="15">
        <v>1219</v>
      </c>
      <c r="BT108" s="14">
        <v>641</v>
      </c>
      <c r="BU108" s="15">
        <v>36</v>
      </c>
      <c r="BV108" s="14">
        <v>58</v>
      </c>
      <c r="BW108" s="15">
        <v>3603</v>
      </c>
      <c r="BX108" s="14">
        <v>1335</v>
      </c>
      <c r="BY108" s="15">
        <v>478</v>
      </c>
      <c r="BZ108" s="14">
        <v>508</v>
      </c>
      <c r="CA108" s="15">
        <v>0</v>
      </c>
      <c r="CB108" s="14">
        <v>200</v>
      </c>
      <c r="CC108" s="15">
        <v>63</v>
      </c>
      <c r="CD108" s="14">
        <v>80</v>
      </c>
      <c r="CE108" s="15">
        <v>0</v>
      </c>
      <c r="CF108" s="14">
        <v>200</v>
      </c>
      <c r="CG108" s="15">
        <v>139</v>
      </c>
      <c r="CH108" s="14">
        <v>235</v>
      </c>
      <c r="CI108" s="15">
        <v>735</v>
      </c>
      <c r="CJ108" s="14">
        <v>552</v>
      </c>
      <c r="CK108" s="18" t="s">
        <v>60</v>
      </c>
      <c r="CL108" s="14" t="s">
        <v>60</v>
      </c>
      <c r="CM108" s="13">
        <v>481</v>
      </c>
      <c r="CN108" s="14">
        <v>609</v>
      </c>
      <c r="CO108" s="15">
        <v>0</v>
      </c>
      <c r="CP108" s="14">
        <v>200</v>
      </c>
      <c r="CQ108" s="15">
        <v>120</v>
      </c>
      <c r="CR108" s="14">
        <v>199</v>
      </c>
      <c r="CS108" s="15">
        <v>823</v>
      </c>
      <c r="CT108" s="14">
        <v>433</v>
      </c>
      <c r="CU108" s="15">
        <v>0</v>
      </c>
      <c r="CV108" s="14">
        <v>200</v>
      </c>
      <c r="CW108" s="15">
        <v>53</v>
      </c>
      <c r="CX108" s="14">
        <v>76</v>
      </c>
      <c r="CY108" s="15">
        <v>1008</v>
      </c>
      <c r="CZ108" s="14">
        <v>569</v>
      </c>
      <c r="DA108" s="15">
        <v>287</v>
      </c>
      <c r="DB108" s="14">
        <v>320</v>
      </c>
      <c r="DC108" s="15">
        <v>0</v>
      </c>
      <c r="DD108" s="14">
        <v>200</v>
      </c>
      <c r="DE108" s="15">
        <v>135</v>
      </c>
      <c r="DF108" s="14">
        <v>124</v>
      </c>
      <c r="DG108" s="15">
        <v>21</v>
      </c>
      <c r="DH108" s="14">
        <v>32</v>
      </c>
      <c r="DI108" s="15">
        <v>116</v>
      </c>
      <c r="DJ108" s="14">
        <v>186</v>
      </c>
    </row>
    <row r="109" spans="9:114" x14ac:dyDescent="0.25">
      <c r="I109" s="15">
        <v>156705</v>
      </c>
      <c r="J109" s="14">
        <v>9611</v>
      </c>
      <c r="K109" s="15">
        <v>1665</v>
      </c>
      <c r="L109" s="14">
        <v>635</v>
      </c>
      <c r="M109" s="15">
        <v>1244</v>
      </c>
      <c r="N109" s="14">
        <v>1016</v>
      </c>
      <c r="O109" s="15">
        <v>2222</v>
      </c>
      <c r="P109" s="14">
        <v>1160</v>
      </c>
      <c r="Q109" s="15">
        <v>839</v>
      </c>
      <c r="R109" s="14">
        <v>526</v>
      </c>
      <c r="S109" s="15">
        <v>5979</v>
      </c>
      <c r="T109" s="14">
        <v>1473</v>
      </c>
      <c r="U109" s="15">
        <v>1915</v>
      </c>
      <c r="V109" s="14">
        <v>1059</v>
      </c>
      <c r="W109" s="15">
        <v>1590</v>
      </c>
      <c r="X109" s="14">
        <v>729</v>
      </c>
      <c r="Y109" s="15">
        <v>697</v>
      </c>
      <c r="Z109" s="14">
        <v>492</v>
      </c>
      <c r="AA109" s="15">
        <v>435</v>
      </c>
      <c r="AB109" s="14">
        <v>352</v>
      </c>
      <c r="AC109" s="15">
        <v>11552</v>
      </c>
      <c r="AD109" s="14">
        <v>2367</v>
      </c>
      <c r="AE109" s="15">
        <v>18570</v>
      </c>
      <c r="AF109" s="14">
        <v>3616</v>
      </c>
      <c r="AG109" s="15">
        <v>638</v>
      </c>
      <c r="AH109" s="14">
        <v>493</v>
      </c>
      <c r="AI109" s="15">
        <v>198</v>
      </c>
      <c r="AJ109" s="14">
        <v>321</v>
      </c>
      <c r="AK109" s="15">
        <v>2125</v>
      </c>
      <c r="AL109" s="14">
        <v>1128</v>
      </c>
      <c r="AM109" s="15">
        <v>3802</v>
      </c>
      <c r="AN109" s="14">
        <v>1911</v>
      </c>
      <c r="AO109" s="15">
        <v>643</v>
      </c>
      <c r="AP109" s="14">
        <v>437</v>
      </c>
      <c r="AQ109" s="15">
        <v>1064</v>
      </c>
      <c r="AR109" s="14">
        <v>855</v>
      </c>
      <c r="AS109" s="15">
        <v>1924</v>
      </c>
      <c r="AT109" s="14">
        <v>991</v>
      </c>
      <c r="AU109" s="15">
        <v>2709</v>
      </c>
      <c r="AV109" s="14">
        <v>2265</v>
      </c>
      <c r="AW109" s="15">
        <v>2077</v>
      </c>
      <c r="AX109" s="14">
        <v>942</v>
      </c>
      <c r="AY109" s="15">
        <v>3565</v>
      </c>
      <c r="AZ109" s="14">
        <v>1205</v>
      </c>
      <c r="BA109" s="15">
        <v>2313</v>
      </c>
      <c r="BB109" s="14">
        <v>826</v>
      </c>
      <c r="BC109" s="15">
        <v>2966</v>
      </c>
      <c r="BD109" s="14">
        <v>1289</v>
      </c>
      <c r="BE109" s="15">
        <v>757</v>
      </c>
      <c r="BF109" s="14">
        <v>582</v>
      </c>
      <c r="BG109" s="15">
        <v>1407</v>
      </c>
      <c r="BH109" s="14">
        <v>802</v>
      </c>
      <c r="BI109" s="15">
        <v>1884</v>
      </c>
      <c r="BJ109" s="14">
        <v>724</v>
      </c>
      <c r="BK109" s="15">
        <v>93</v>
      </c>
      <c r="BL109" s="14">
        <v>127</v>
      </c>
      <c r="BM109" s="15">
        <v>158</v>
      </c>
      <c r="BN109" s="14">
        <v>165</v>
      </c>
      <c r="BO109" s="15">
        <v>1025</v>
      </c>
      <c r="BP109" s="14">
        <v>834</v>
      </c>
      <c r="BQ109" s="15">
        <v>917</v>
      </c>
      <c r="BR109" s="14">
        <v>696</v>
      </c>
      <c r="BS109" s="15">
        <v>6517</v>
      </c>
      <c r="BT109" s="14">
        <v>2181</v>
      </c>
      <c r="BU109" s="15">
        <v>1052</v>
      </c>
      <c r="BV109" s="14">
        <v>1085</v>
      </c>
      <c r="BW109" s="15">
        <v>10746</v>
      </c>
      <c r="BX109" s="14">
        <v>3642</v>
      </c>
      <c r="BY109" s="15">
        <v>24764</v>
      </c>
      <c r="BZ109" s="14">
        <v>3907</v>
      </c>
      <c r="CA109" s="15">
        <v>656</v>
      </c>
      <c r="CB109" s="14">
        <v>650</v>
      </c>
      <c r="CC109" s="15">
        <v>4388</v>
      </c>
      <c r="CD109" s="14">
        <v>1326</v>
      </c>
      <c r="CE109" s="15">
        <v>555</v>
      </c>
      <c r="CF109" s="14">
        <v>354</v>
      </c>
      <c r="CG109" s="15">
        <v>255</v>
      </c>
      <c r="CH109" s="14">
        <v>202</v>
      </c>
      <c r="CI109" s="15">
        <v>6497</v>
      </c>
      <c r="CJ109" s="14">
        <v>2067</v>
      </c>
      <c r="CK109" s="15">
        <v>538</v>
      </c>
      <c r="CL109" s="14">
        <v>332</v>
      </c>
      <c r="CM109" s="18" t="s">
        <v>60</v>
      </c>
      <c r="CN109" s="14" t="s">
        <v>60</v>
      </c>
      <c r="CO109" s="13">
        <v>816</v>
      </c>
      <c r="CP109" s="14">
        <v>1252</v>
      </c>
      <c r="CQ109" s="15">
        <v>3550</v>
      </c>
      <c r="CR109" s="14">
        <v>1136</v>
      </c>
      <c r="CS109" s="15">
        <v>5351</v>
      </c>
      <c r="CT109" s="14">
        <v>1482</v>
      </c>
      <c r="CU109" s="15">
        <v>566</v>
      </c>
      <c r="CV109" s="14">
        <v>425</v>
      </c>
      <c r="CW109" s="15">
        <v>298</v>
      </c>
      <c r="CX109" s="14">
        <v>244</v>
      </c>
      <c r="CY109" s="15">
        <v>9377</v>
      </c>
      <c r="CZ109" s="14">
        <v>3040</v>
      </c>
      <c r="DA109" s="15">
        <v>1629</v>
      </c>
      <c r="DB109" s="14">
        <v>1165</v>
      </c>
      <c r="DC109" s="15">
        <v>1345</v>
      </c>
      <c r="DD109" s="14">
        <v>720</v>
      </c>
      <c r="DE109" s="15">
        <v>832</v>
      </c>
      <c r="DF109" s="14">
        <v>570</v>
      </c>
      <c r="DG109" s="15">
        <v>0</v>
      </c>
      <c r="DH109" s="14">
        <v>197</v>
      </c>
      <c r="DI109" s="15">
        <v>1070</v>
      </c>
      <c r="DJ109" s="14">
        <v>890</v>
      </c>
    </row>
    <row r="110" spans="9:114" x14ac:dyDescent="0.25">
      <c r="I110" s="15">
        <v>26051</v>
      </c>
      <c r="J110" s="14">
        <v>2891</v>
      </c>
      <c r="K110" s="15">
        <v>0</v>
      </c>
      <c r="L110" s="14">
        <v>147</v>
      </c>
      <c r="M110" s="15">
        <v>855</v>
      </c>
      <c r="N110" s="14">
        <v>1127</v>
      </c>
      <c r="O110" s="15">
        <v>435</v>
      </c>
      <c r="P110" s="14">
        <v>333</v>
      </c>
      <c r="Q110" s="15">
        <v>227</v>
      </c>
      <c r="R110" s="14">
        <v>354</v>
      </c>
      <c r="S110" s="15">
        <v>1494</v>
      </c>
      <c r="T110" s="14">
        <v>663</v>
      </c>
      <c r="U110" s="15">
        <v>1744</v>
      </c>
      <c r="V110" s="14">
        <v>839</v>
      </c>
      <c r="W110" s="15">
        <v>2</v>
      </c>
      <c r="X110" s="14">
        <v>4</v>
      </c>
      <c r="Y110" s="15">
        <v>0</v>
      </c>
      <c r="Z110" s="14">
        <v>147</v>
      </c>
      <c r="AA110" s="15">
        <v>0</v>
      </c>
      <c r="AB110" s="14">
        <v>147</v>
      </c>
      <c r="AC110" s="15">
        <v>970</v>
      </c>
      <c r="AD110" s="14">
        <v>638</v>
      </c>
      <c r="AE110" s="15">
        <v>122</v>
      </c>
      <c r="AF110" s="14">
        <v>130</v>
      </c>
      <c r="AG110" s="15">
        <v>8</v>
      </c>
      <c r="AH110" s="14">
        <v>13</v>
      </c>
      <c r="AI110" s="15">
        <v>78</v>
      </c>
      <c r="AJ110" s="14">
        <v>104</v>
      </c>
      <c r="AK110" s="15">
        <v>74</v>
      </c>
      <c r="AL110" s="14">
        <v>102</v>
      </c>
      <c r="AM110" s="15">
        <v>210</v>
      </c>
      <c r="AN110" s="14">
        <v>289</v>
      </c>
      <c r="AO110" s="15">
        <v>2441</v>
      </c>
      <c r="AP110" s="14">
        <v>932</v>
      </c>
      <c r="AQ110" s="15">
        <v>403</v>
      </c>
      <c r="AR110" s="14">
        <v>295</v>
      </c>
      <c r="AS110" s="15">
        <v>0</v>
      </c>
      <c r="AT110" s="14">
        <v>147</v>
      </c>
      <c r="AU110" s="15">
        <v>0</v>
      </c>
      <c r="AV110" s="14">
        <v>147</v>
      </c>
      <c r="AW110" s="15">
        <v>0</v>
      </c>
      <c r="AX110" s="14">
        <v>147</v>
      </c>
      <c r="AY110" s="15">
        <v>60</v>
      </c>
      <c r="AZ110" s="14">
        <v>65</v>
      </c>
      <c r="BA110" s="15">
        <v>61</v>
      </c>
      <c r="BB110" s="14">
        <v>101</v>
      </c>
      <c r="BC110" s="15">
        <v>892</v>
      </c>
      <c r="BD110" s="14">
        <v>747</v>
      </c>
      <c r="BE110" s="15">
        <v>3568</v>
      </c>
      <c r="BF110" s="14">
        <v>1023</v>
      </c>
      <c r="BG110" s="15">
        <v>34</v>
      </c>
      <c r="BH110" s="14">
        <v>48</v>
      </c>
      <c r="BI110" s="15">
        <v>474</v>
      </c>
      <c r="BJ110" s="14">
        <v>274</v>
      </c>
      <c r="BK110" s="15">
        <v>248</v>
      </c>
      <c r="BL110" s="14">
        <v>208</v>
      </c>
      <c r="BM110" s="15">
        <v>2175</v>
      </c>
      <c r="BN110" s="14">
        <v>801</v>
      </c>
      <c r="BO110" s="15">
        <v>135</v>
      </c>
      <c r="BP110" s="14">
        <v>171</v>
      </c>
      <c r="BQ110" s="15">
        <v>0</v>
      </c>
      <c r="BR110" s="14">
        <v>147</v>
      </c>
      <c r="BS110" s="15">
        <v>0</v>
      </c>
      <c r="BT110" s="14">
        <v>147</v>
      </c>
      <c r="BU110" s="15">
        <v>175</v>
      </c>
      <c r="BV110" s="14">
        <v>187</v>
      </c>
      <c r="BW110" s="15">
        <v>371</v>
      </c>
      <c r="BX110" s="14">
        <v>317</v>
      </c>
      <c r="BY110" s="15">
        <v>240</v>
      </c>
      <c r="BZ110" s="14">
        <v>220</v>
      </c>
      <c r="CA110" s="15">
        <v>1725</v>
      </c>
      <c r="CB110" s="14">
        <v>823</v>
      </c>
      <c r="CC110" s="15">
        <v>64</v>
      </c>
      <c r="CD110" s="14">
        <v>77</v>
      </c>
      <c r="CE110" s="15">
        <v>21</v>
      </c>
      <c r="CF110" s="14">
        <v>36</v>
      </c>
      <c r="CG110" s="15">
        <v>667</v>
      </c>
      <c r="CH110" s="14">
        <v>583</v>
      </c>
      <c r="CI110" s="15">
        <v>515</v>
      </c>
      <c r="CJ110" s="14">
        <v>633</v>
      </c>
      <c r="CK110" s="15">
        <v>0</v>
      </c>
      <c r="CL110" s="14">
        <v>147</v>
      </c>
      <c r="CM110" s="15">
        <v>158</v>
      </c>
      <c r="CN110" s="14">
        <v>159</v>
      </c>
      <c r="CO110" s="18" t="s">
        <v>60</v>
      </c>
      <c r="CP110" s="14" t="s">
        <v>60</v>
      </c>
      <c r="CQ110" s="13">
        <v>507</v>
      </c>
      <c r="CR110" s="14">
        <v>346</v>
      </c>
      <c r="CS110" s="15">
        <v>1715</v>
      </c>
      <c r="CT110" s="14">
        <v>1067</v>
      </c>
      <c r="CU110" s="15">
        <v>388</v>
      </c>
      <c r="CV110" s="14">
        <v>372</v>
      </c>
      <c r="CW110" s="15">
        <v>5</v>
      </c>
      <c r="CX110" s="14">
        <v>9</v>
      </c>
      <c r="CY110" s="15">
        <v>340</v>
      </c>
      <c r="CZ110" s="14">
        <v>300</v>
      </c>
      <c r="DA110" s="15">
        <v>1026</v>
      </c>
      <c r="DB110" s="14">
        <v>681</v>
      </c>
      <c r="DC110" s="15">
        <v>131</v>
      </c>
      <c r="DD110" s="14">
        <v>216</v>
      </c>
      <c r="DE110" s="15">
        <v>314</v>
      </c>
      <c r="DF110" s="14">
        <v>413</v>
      </c>
      <c r="DG110" s="15">
        <v>979</v>
      </c>
      <c r="DH110" s="14">
        <v>735</v>
      </c>
      <c r="DI110" s="15">
        <v>134</v>
      </c>
      <c r="DJ110" s="14">
        <v>235</v>
      </c>
    </row>
    <row r="111" spans="9:114" x14ac:dyDescent="0.25">
      <c r="I111" s="15">
        <v>177098</v>
      </c>
      <c r="J111" s="14">
        <v>10625</v>
      </c>
      <c r="K111" s="15">
        <v>12116</v>
      </c>
      <c r="L111" s="14">
        <v>3309</v>
      </c>
      <c r="M111" s="15">
        <v>1281</v>
      </c>
      <c r="N111" s="14">
        <v>847</v>
      </c>
      <c r="O111" s="15">
        <v>2250</v>
      </c>
      <c r="P111" s="14">
        <v>907</v>
      </c>
      <c r="Q111" s="15">
        <v>3306</v>
      </c>
      <c r="R111" s="14">
        <v>1731</v>
      </c>
      <c r="S111" s="15">
        <v>8396</v>
      </c>
      <c r="T111" s="14">
        <v>2447</v>
      </c>
      <c r="U111" s="15">
        <v>2473</v>
      </c>
      <c r="V111" s="14">
        <v>1156</v>
      </c>
      <c r="W111" s="15">
        <v>936</v>
      </c>
      <c r="X111" s="14">
        <v>900</v>
      </c>
      <c r="Y111" s="15">
        <v>176</v>
      </c>
      <c r="Z111" s="14">
        <v>222</v>
      </c>
      <c r="AA111" s="15">
        <v>180</v>
      </c>
      <c r="AB111" s="14">
        <v>203</v>
      </c>
      <c r="AC111" s="15">
        <v>15641</v>
      </c>
      <c r="AD111" s="14">
        <v>3639</v>
      </c>
      <c r="AE111" s="15">
        <v>16012</v>
      </c>
      <c r="AF111" s="14">
        <v>3114</v>
      </c>
      <c r="AG111" s="15">
        <v>1058</v>
      </c>
      <c r="AH111" s="14">
        <v>1052</v>
      </c>
      <c r="AI111" s="15">
        <v>787</v>
      </c>
      <c r="AJ111" s="14">
        <v>817</v>
      </c>
      <c r="AK111" s="15">
        <v>7094</v>
      </c>
      <c r="AL111" s="14">
        <v>1891</v>
      </c>
      <c r="AM111" s="15">
        <v>5591</v>
      </c>
      <c r="AN111" s="14">
        <v>2209</v>
      </c>
      <c r="AO111" s="15">
        <v>617</v>
      </c>
      <c r="AP111" s="14">
        <v>556</v>
      </c>
      <c r="AQ111" s="15">
        <v>2630</v>
      </c>
      <c r="AR111" s="14">
        <v>1972</v>
      </c>
      <c r="AS111" s="15">
        <v>13202</v>
      </c>
      <c r="AT111" s="14">
        <v>2695</v>
      </c>
      <c r="AU111" s="15">
        <v>2452</v>
      </c>
      <c r="AV111" s="14">
        <v>1206</v>
      </c>
      <c r="AW111" s="15">
        <v>1040</v>
      </c>
      <c r="AX111" s="14">
        <v>589</v>
      </c>
      <c r="AY111" s="15">
        <v>1743</v>
      </c>
      <c r="AZ111" s="14">
        <v>867</v>
      </c>
      <c r="BA111" s="15">
        <v>1525</v>
      </c>
      <c r="BB111" s="14">
        <v>706</v>
      </c>
      <c r="BC111" s="15">
        <v>4507</v>
      </c>
      <c r="BD111" s="14">
        <v>1434</v>
      </c>
      <c r="BE111" s="15">
        <v>1178</v>
      </c>
      <c r="BF111" s="14">
        <v>896</v>
      </c>
      <c r="BG111" s="15">
        <v>10568</v>
      </c>
      <c r="BH111" s="14">
        <v>2321</v>
      </c>
      <c r="BI111" s="15">
        <v>2694</v>
      </c>
      <c r="BJ111" s="14">
        <v>1254</v>
      </c>
      <c r="BK111" s="15">
        <v>308</v>
      </c>
      <c r="BL111" s="14">
        <v>278</v>
      </c>
      <c r="BM111" s="15">
        <v>432</v>
      </c>
      <c r="BN111" s="14">
        <v>389</v>
      </c>
      <c r="BO111" s="15">
        <v>735</v>
      </c>
      <c r="BP111" s="14">
        <v>443</v>
      </c>
      <c r="BQ111" s="15">
        <v>271</v>
      </c>
      <c r="BR111" s="14">
        <v>287</v>
      </c>
      <c r="BS111" s="15">
        <v>783</v>
      </c>
      <c r="BT111" s="14">
        <v>507</v>
      </c>
      <c r="BU111" s="15">
        <v>751</v>
      </c>
      <c r="BV111" s="14">
        <v>640</v>
      </c>
      <c r="BW111" s="15">
        <v>6279</v>
      </c>
      <c r="BX111" s="14">
        <v>2008</v>
      </c>
      <c r="BY111" s="15">
        <v>5904</v>
      </c>
      <c r="BZ111" s="14">
        <v>1834</v>
      </c>
      <c r="CA111" s="15">
        <v>7</v>
      </c>
      <c r="CB111" s="14">
        <v>16</v>
      </c>
      <c r="CC111" s="15">
        <v>6200</v>
      </c>
      <c r="CD111" s="14">
        <v>1742</v>
      </c>
      <c r="CE111" s="15">
        <v>2495</v>
      </c>
      <c r="CF111" s="14">
        <v>1410</v>
      </c>
      <c r="CG111" s="15">
        <v>1080</v>
      </c>
      <c r="CH111" s="14">
        <v>589</v>
      </c>
      <c r="CI111" s="15">
        <v>3329</v>
      </c>
      <c r="CJ111" s="14">
        <v>999</v>
      </c>
      <c r="CK111" s="15">
        <v>26</v>
      </c>
      <c r="CL111" s="14">
        <v>55</v>
      </c>
      <c r="CM111" s="15">
        <v>4300</v>
      </c>
      <c r="CN111" s="14">
        <v>1280</v>
      </c>
      <c r="CO111" s="15">
        <v>0</v>
      </c>
      <c r="CP111" s="14">
        <v>193</v>
      </c>
      <c r="CQ111" s="18" t="s">
        <v>60</v>
      </c>
      <c r="CR111" s="14" t="s">
        <v>60</v>
      </c>
      <c r="CS111" s="13">
        <v>8716</v>
      </c>
      <c r="CT111" s="14">
        <v>2938</v>
      </c>
      <c r="CU111" s="15">
        <v>784</v>
      </c>
      <c r="CV111" s="14">
        <v>1131</v>
      </c>
      <c r="CW111" s="15">
        <v>133</v>
      </c>
      <c r="CX111" s="14">
        <v>133</v>
      </c>
      <c r="CY111" s="15">
        <v>8008</v>
      </c>
      <c r="CZ111" s="14">
        <v>2159</v>
      </c>
      <c r="DA111" s="15">
        <v>1876</v>
      </c>
      <c r="DB111" s="14">
        <v>852</v>
      </c>
      <c r="DC111" s="15">
        <v>3248</v>
      </c>
      <c r="DD111" s="14">
        <v>1760</v>
      </c>
      <c r="DE111" s="15">
        <v>1622</v>
      </c>
      <c r="DF111" s="14">
        <v>727</v>
      </c>
      <c r="DG111" s="15">
        <v>358</v>
      </c>
      <c r="DH111" s="14">
        <v>382</v>
      </c>
      <c r="DI111" s="15">
        <v>717</v>
      </c>
      <c r="DJ111" s="14">
        <v>499</v>
      </c>
    </row>
    <row r="112" spans="9:114" x14ac:dyDescent="0.25">
      <c r="I112" s="15">
        <v>507752</v>
      </c>
      <c r="J112" s="14">
        <v>20202</v>
      </c>
      <c r="K112" s="15">
        <v>9993</v>
      </c>
      <c r="L112" s="14">
        <v>3132</v>
      </c>
      <c r="M112" s="15">
        <v>6759</v>
      </c>
      <c r="N112" s="14">
        <v>2614</v>
      </c>
      <c r="O112" s="15">
        <v>18908</v>
      </c>
      <c r="P112" s="14">
        <v>3870</v>
      </c>
      <c r="Q112" s="15">
        <v>13781</v>
      </c>
      <c r="R112" s="14">
        <v>3771</v>
      </c>
      <c r="S112" s="15">
        <v>62702</v>
      </c>
      <c r="T112" s="14">
        <v>8792</v>
      </c>
      <c r="U112" s="15">
        <v>16616</v>
      </c>
      <c r="V112" s="14">
        <v>3638</v>
      </c>
      <c r="W112" s="15">
        <v>2769</v>
      </c>
      <c r="X112" s="14">
        <v>1124</v>
      </c>
      <c r="Y112" s="15">
        <v>181</v>
      </c>
      <c r="Z112" s="14">
        <v>168</v>
      </c>
      <c r="AA112" s="15">
        <v>1189</v>
      </c>
      <c r="AB112" s="14">
        <v>610</v>
      </c>
      <c r="AC112" s="15">
        <v>31259</v>
      </c>
      <c r="AD112" s="14">
        <v>6252</v>
      </c>
      <c r="AE112" s="15">
        <v>20362</v>
      </c>
      <c r="AF112" s="14">
        <v>3365</v>
      </c>
      <c r="AG112" s="15">
        <v>5040</v>
      </c>
      <c r="AH112" s="14">
        <v>2386</v>
      </c>
      <c r="AI112" s="15">
        <v>2387</v>
      </c>
      <c r="AJ112" s="14">
        <v>1190</v>
      </c>
      <c r="AK112" s="15">
        <v>19672</v>
      </c>
      <c r="AL112" s="14">
        <v>3645</v>
      </c>
      <c r="AM112" s="15">
        <v>8264</v>
      </c>
      <c r="AN112" s="14">
        <v>2734</v>
      </c>
      <c r="AO112" s="15">
        <v>4934</v>
      </c>
      <c r="AP112" s="14">
        <v>2063</v>
      </c>
      <c r="AQ112" s="15">
        <v>12699</v>
      </c>
      <c r="AR112" s="14">
        <v>3202</v>
      </c>
      <c r="AS112" s="15">
        <v>6040</v>
      </c>
      <c r="AT112" s="14">
        <v>2224</v>
      </c>
      <c r="AU112" s="15">
        <v>29348</v>
      </c>
      <c r="AV112" s="14">
        <v>5712</v>
      </c>
      <c r="AW112" s="15">
        <v>1293</v>
      </c>
      <c r="AX112" s="14">
        <v>1284</v>
      </c>
      <c r="AY112" s="15">
        <v>4969</v>
      </c>
      <c r="AZ112" s="14">
        <v>2026</v>
      </c>
      <c r="BA112" s="15">
        <v>4813</v>
      </c>
      <c r="BB112" s="14">
        <v>1584</v>
      </c>
      <c r="BC112" s="15">
        <v>9501</v>
      </c>
      <c r="BD112" s="14">
        <v>2273</v>
      </c>
      <c r="BE112" s="15">
        <v>2803</v>
      </c>
      <c r="BF112" s="14">
        <v>948</v>
      </c>
      <c r="BG112" s="15">
        <v>6402</v>
      </c>
      <c r="BH112" s="14">
        <v>2032</v>
      </c>
      <c r="BI112" s="15">
        <v>12319</v>
      </c>
      <c r="BJ112" s="14">
        <v>2205</v>
      </c>
      <c r="BK112" s="15">
        <v>1813</v>
      </c>
      <c r="BL112" s="14">
        <v>986</v>
      </c>
      <c r="BM112" s="15">
        <v>4794</v>
      </c>
      <c r="BN112" s="14">
        <v>2045</v>
      </c>
      <c r="BO112" s="15">
        <v>8266</v>
      </c>
      <c r="BP112" s="14">
        <v>4162</v>
      </c>
      <c r="BQ112" s="15">
        <v>761</v>
      </c>
      <c r="BR112" s="14">
        <v>749</v>
      </c>
      <c r="BS112" s="15">
        <v>6797</v>
      </c>
      <c r="BT112" s="14">
        <v>2141</v>
      </c>
      <c r="BU112" s="15">
        <v>16762</v>
      </c>
      <c r="BV112" s="14">
        <v>3127</v>
      </c>
      <c r="BW112" s="15">
        <v>20274</v>
      </c>
      <c r="BX112" s="14">
        <v>4211</v>
      </c>
      <c r="BY112" s="15">
        <v>22660</v>
      </c>
      <c r="BZ112" s="14">
        <v>6953</v>
      </c>
      <c r="CA112" s="15">
        <v>989</v>
      </c>
      <c r="CB112" s="14">
        <v>542</v>
      </c>
      <c r="CC112" s="15">
        <v>8728</v>
      </c>
      <c r="CD112" s="14">
        <v>1739</v>
      </c>
      <c r="CE112" s="15">
        <v>26284</v>
      </c>
      <c r="CF112" s="14">
        <v>4418</v>
      </c>
      <c r="CG112" s="15">
        <v>3827</v>
      </c>
      <c r="CH112" s="14">
        <v>1684</v>
      </c>
      <c r="CI112" s="15">
        <v>10449</v>
      </c>
      <c r="CJ112" s="14">
        <v>2158</v>
      </c>
      <c r="CK112" s="15">
        <v>1763</v>
      </c>
      <c r="CL112" s="14">
        <v>1605</v>
      </c>
      <c r="CM112" s="15">
        <v>4470</v>
      </c>
      <c r="CN112" s="14">
        <v>1665</v>
      </c>
      <c r="CO112" s="15">
        <v>1264</v>
      </c>
      <c r="CP112" s="14">
        <v>757</v>
      </c>
      <c r="CQ112" s="15">
        <v>10368</v>
      </c>
      <c r="CR112" s="14">
        <v>2623</v>
      </c>
      <c r="CS112" s="18" t="s">
        <v>60</v>
      </c>
      <c r="CT112" s="14" t="s">
        <v>60</v>
      </c>
      <c r="CU112" s="13">
        <v>4610</v>
      </c>
      <c r="CV112" s="14">
        <v>2045</v>
      </c>
      <c r="CW112" s="15">
        <v>113</v>
      </c>
      <c r="CX112" s="14">
        <v>135</v>
      </c>
      <c r="CY112" s="15">
        <v>17734</v>
      </c>
      <c r="CZ112" s="14">
        <v>4904</v>
      </c>
      <c r="DA112" s="15">
        <v>11630</v>
      </c>
      <c r="DB112" s="14">
        <v>2741</v>
      </c>
      <c r="DC112" s="15">
        <v>1729</v>
      </c>
      <c r="DD112" s="14">
        <v>938</v>
      </c>
      <c r="DE112" s="15">
        <v>4192</v>
      </c>
      <c r="DF112" s="14">
        <v>1322</v>
      </c>
      <c r="DG112" s="15">
        <v>2472</v>
      </c>
      <c r="DH112" s="14">
        <v>1676</v>
      </c>
      <c r="DI112" s="15">
        <v>4435</v>
      </c>
      <c r="DJ112" s="14">
        <v>1611</v>
      </c>
    </row>
    <row r="113" spans="9:114" x14ac:dyDescent="0.25">
      <c r="I113" s="15">
        <v>87870</v>
      </c>
      <c r="J113" s="14">
        <v>7490</v>
      </c>
      <c r="K113" s="15">
        <v>126</v>
      </c>
      <c r="L113" s="14">
        <v>171</v>
      </c>
      <c r="M113" s="15">
        <v>2819</v>
      </c>
      <c r="N113" s="14">
        <v>1292</v>
      </c>
      <c r="O113" s="15">
        <v>7966</v>
      </c>
      <c r="P113" s="14">
        <v>2419</v>
      </c>
      <c r="Q113" s="15">
        <v>361</v>
      </c>
      <c r="R113" s="14">
        <v>402</v>
      </c>
      <c r="S113" s="15">
        <v>15286</v>
      </c>
      <c r="T113" s="14">
        <v>2837</v>
      </c>
      <c r="U113" s="15">
        <v>5350</v>
      </c>
      <c r="V113" s="14">
        <v>1845</v>
      </c>
      <c r="W113" s="15">
        <v>142</v>
      </c>
      <c r="X113" s="14">
        <v>168</v>
      </c>
      <c r="Y113" s="15">
        <v>0</v>
      </c>
      <c r="Z113" s="14">
        <v>181</v>
      </c>
      <c r="AA113" s="15">
        <v>0</v>
      </c>
      <c r="AB113" s="14">
        <v>181</v>
      </c>
      <c r="AC113" s="15">
        <v>2428</v>
      </c>
      <c r="AD113" s="14">
        <v>1105</v>
      </c>
      <c r="AE113" s="15">
        <v>1142</v>
      </c>
      <c r="AF113" s="14">
        <v>622</v>
      </c>
      <c r="AG113" s="15">
        <v>1436</v>
      </c>
      <c r="AH113" s="14">
        <v>876</v>
      </c>
      <c r="AI113" s="15">
        <v>5129</v>
      </c>
      <c r="AJ113" s="14">
        <v>1135</v>
      </c>
      <c r="AK113" s="15">
        <v>1588</v>
      </c>
      <c r="AL113" s="14">
        <v>802</v>
      </c>
      <c r="AM113" s="15">
        <v>475</v>
      </c>
      <c r="AN113" s="14">
        <v>296</v>
      </c>
      <c r="AO113" s="15">
        <v>2791</v>
      </c>
      <c r="AP113" s="14">
        <v>2779</v>
      </c>
      <c r="AQ113" s="15">
        <v>398</v>
      </c>
      <c r="AR113" s="14">
        <v>333</v>
      </c>
      <c r="AS113" s="15">
        <v>217</v>
      </c>
      <c r="AT113" s="14">
        <v>221</v>
      </c>
      <c r="AU113" s="15">
        <v>345</v>
      </c>
      <c r="AV113" s="14">
        <v>313</v>
      </c>
      <c r="AW113" s="15">
        <v>380</v>
      </c>
      <c r="AX113" s="14">
        <v>339</v>
      </c>
      <c r="AY113" s="15">
        <v>613</v>
      </c>
      <c r="AZ113" s="14">
        <v>361</v>
      </c>
      <c r="BA113" s="15">
        <v>1503</v>
      </c>
      <c r="BB113" s="14">
        <v>1343</v>
      </c>
      <c r="BC113" s="15">
        <v>1670</v>
      </c>
      <c r="BD113" s="14">
        <v>1210</v>
      </c>
      <c r="BE113" s="15">
        <v>385</v>
      </c>
      <c r="BF113" s="14">
        <v>300</v>
      </c>
      <c r="BG113" s="15">
        <v>284</v>
      </c>
      <c r="BH113" s="14">
        <v>229</v>
      </c>
      <c r="BI113" s="15">
        <v>1553</v>
      </c>
      <c r="BJ113" s="14">
        <v>769</v>
      </c>
      <c r="BK113" s="15">
        <v>1057</v>
      </c>
      <c r="BL113" s="14">
        <v>729</v>
      </c>
      <c r="BM113" s="15">
        <v>489</v>
      </c>
      <c r="BN113" s="14">
        <v>384</v>
      </c>
      <c r="BO113" s="15">
        <v>5391</v>
      </c>
      <c r="BP113" s="14">
        <v>1743</v>
      </c>
      <c r="BQ113" s="15">
        <v>507</v>
      </c>
      <c r="BR113" s="14">
        <v>442</v>
      </c>
      <c r="BS113" s="15">
        <v>437</v>
      </c>
      <c r="BT113" s="14">
        <v>322</v>
      </c>
      <c r="BU113" s="15">
        <v>686</v>
      </c>
      <c r="BV113" s="14">
        <v>505</v>
      </c>
      <c r="BW113" s="15">
        <v>2129</v>
      </c>
      <c r="BX113" s="14">
        <v>924</v>
      </c>
      <c r="BY113" s="15">
        <v>842</v>
      </c>
      <c r="BZ113" s="14">
        <v>611</v>
      </c>
      <c r="CA113" s="15">
        <v>175</v>
      </c>
      <c r="CB113" s="14">
        <v>218</v>
      </c>
      <c r="CC113" s="15">
        <v>1875</v>
      </c>
      <c r="CD113" s="14">
        <v>881</v>
      </c>
      <c r="CE113" s="15">
        <v>1338</v>
      </c>
      <c r="CF113" s="14">
        <v>691</v>
      </c>
      <c r="CG113" s="15">
        <v>4089</v>
      </c>
      <c r="CH113" s="14">
        <v>2693</v>
      </c>
      <c r="CI113" s="15">
        <v>944</v>
      </c>
      <c r="CJ113" s="14">
        <v>450</v>
      </c>
      <c r="CK113" s="15">
        <v>351</v>
      </c>
      <c r="CL113" s="14">
        <v>571</v>
      </c>
      <c r="CM113" s="15">
        <v>60</v>
      </c>
      <c r="CN113" s="14">
        <v>100</v>
      </c>
      <c r="CO113" s="15">
        <v>47</v>
      </c>
      <c r="CP113" s="14">
        <v>74</v>
      </c>
      <c r="CQ113" s="15">
        <v>863</v>
      </c>
      <c r="CR113" s="14">
        <v>529</v>
      </c>
      <c r="CS113" s="15">
        <v>3605</v>
      </c>
      <c r="CT113" s="14">
        <v>1278</v>
      </c>
      <c r="CU113" s="18" t="s">
        <v>60</v>
      </c>
      <c r="CV113" s="14" t="s">
        <v>60</v>
      </c>
      <c r="CW113" s="13">
        <v>39</v>
      </c>
      <c r="CX113" s="14">
        <v>63</v>
      </c>
      <c r="CY113" s="15">
        <v>1369</v>
      </c>
      <c r="CZ113" s="14">
        <v>668</v>
      </c>
      <c r="DA113" s="15">
        <v>3529</v>
      </c>
      <c r="DB113" s="14">
        <v>1319</v>
      </c>
      <c r="DC113" s="15">
        <v>0</v>
      </c>
      <c r="DD113" s="14">
        <v>181</v>
      </c>
      <c r="DE113" s="15">
        <v>1445</v>
      </c>
      <c r="DF113" s="14">
        <v>1512</v>
      </c>
      <c r="DG113" s="15">
        <v>2216</v>
      </c>
      <c r="DH113" s="14">
        <v>715</v>
      </c>
      <c r="DI113" s="15">
        <v>239</v>
      </c>
      <c r="DJ113" s="14">
        <v>190</v>
      </c>
    </row>
    <row r="114" spans="9:114" x14ac:dyDescent="0.25">
      <c r="I114" s="15">
        <v>24431</v>
      </c>
      <c r="J114" s="14">
        <v>2713</v>
      </c>
      <c r="K114" s="15">
        <v>16</v>
      </c>
      <c r="L114" s="14">
        <v>23</v>
      </c>
      <c r="M114" s="15">
        <v>93</v>
      </c>
      <c r="N114" s="14">
        <v>153</v>
      </c>
      <c r="O114" s="15">
        <v>127</v>
      </c>
      <c r="P114" s="14">
        <v>165</v>
      </c>
      <c r="Q114" s="15">
        <v>0</v>
      </c>
      <c r="R114" s="14">
        <v>143</v>
      </c>
      <c r="S114" s="15">
        <v>1112</v>
      </c>
      <c r="T114" s="14">
        <v>537</v>
      </c>
      <c r="U114" s="15">
        <v>382</v>
      </c>
      <c r="V114" s="14">
        <v>296</v>
      </c>
      <c r="W114" s="15">
        <v>1626</v>
      </c>
      <c r="X114" s="14">
        <v>540</v>
      </c>
      <c r="Y114" s="15">
        <v>0</v>
      </c>
      <c r="Z114" s="14">
        <v>143</v>
      </c>
      <c r="AA114" s="15">
        <v>116</v>
      </c>
      <c r="AB114" s="14">
        <v>134</v>
      </c>
      <c r="AC114" s="15">
        <v>966</v>
      </c>
      <c r="AD114" s="14">
        <v>519</v>
      </c>
      <c r="AE114" s="15">
        <v>56</v>
      </c>
      <c r="AF114" s="14">
        <v>81</v>
      </c>
      <c r="AG114" s="15">
        <v>6</v>
      </c>
      <c r="AH114" s="14">
        <v>10</v>
      </c>
      <c r="AI114" s="15">
        <v>0</v>
      </c>
      <c r="AJ114" s="14">
        <v>143</v>
      </c>
      <c r="AK114" s="15">
        <v>230</v>
      </c>
      <c r="AL114" s="14">
        <v>221</v>
      </c>
      <c r="AM114" s="15">
        <v>68</v>
      </c>
      <c r="AN114" s="14">
        <v>81</v>
      </c>
      <c r="AO114" s="15">
        <v>30</v>
      </c>
      <c r="AP114" s="14">
        <v>43</v>
      </c>
      <c r="AQ114" s="15">
        <v>0</v>
      </c>
      <c r="AR114" s="14">
        <v>143</v>
      </c>
      <c r="AS114" s="15">
        <v>1243</v>
      </c>
      <c r="AT114" s="14">
        <v>1690</v>
      </c>
      <c r="AU114" s="15">
        <v>73</v>
      </c>
      <c r="AV114" s="14">
        <v>105</v>
      </c>
      <c r="AW114" s="15">
        <v>883</v>
      </c>
      <c r="AX114" s="14">
        <v>546</v>
      </c>
      <c r="AY114" s="15">
        <v>862</v>
      </c>
      <c r="AZ114" s="14">
        <v>396</v>
      </c>
      <c r="BA114" s="15">
        <v>3318</v>
      </c>
      <c r="BB114" s="14">
        <v>657</v>
      </c>
      <c r="BC114" s="15">
        <v>284</v>
      </c>
      <c r="BD114" s="14">
        <v>246</v>
      </c>
      <c r="BE114" s="15">
        <v>315</v>
      </c>
      <c r="BF114" s="14">
        <v>349</v>
      </c>
      <c r="BG114" s="15">
        <v>0</v>
      </c>
      <c r="BH114" s="14">
        <v>143</v>
      </c>
      <c r="BI114" s="15">
        <v>23</v>
      </c>
      <c r="BJ114" s="14">
        <v>26</v>
      </c>
      <c r="BK114" s="15">
        <v>147</v>
      </c>
      <c r="BL114" s="14">
        <v>189</v>
      </c>
      <c r="BM114" s="15">
        <v>0</v>
      </c>
      <c r="BN114" s="14">
        <v>143</v>
      </c>
      <c r="BO114" s="15">
        <v>17</v>
      </c>
      <c r="BP114" s="14">
        <v>37</v>
      </c>
      <c r="BQ114" s="15">
        <v>2893</v>
      </c>
      <c r="BR114" s="14">
        <v>812</v>
      </c>
      <c r="BS114" s="15">
        <v>833</v>
      </c>
      <c r="BT114" s="14">
        <v>364</v>
      </c>
      <c r="BU114" s="15">
        <v>74</v>
      </c>
      <c r="BV114" s="14">
        <v>89</v>
      </c>
      <c r="BW114" s="15">
        <v>4780</v>
      </c>
      <c r="BX114" s="14">
        <v>921</v>
      </c>
      <c r="BY114" s="15">
        <v>328</v>
      </c>
      <c r="BZ114" s="14">
        <v>248</v>
      </c>
      <c r="CA114" s="15">
        <v>0</v>
      </c>
      <c r="CB114" s="14">
        <v>143</v>
      </c>
      <c r="CC114" s="15">
        <v>214</v>
      </c>
      <c r="CD114" s="14">
        <v>247</v>
      </c>
      <c r="CE114" s="15">
        <v>11</v>
      </c>
      <c r="CF114" s="14">
        <v>13</v>
      </c>
      <c r="CG114" s="15">
        <v>26</v>
      </c>
      <c r="CH114" s="14">
        <v>38</v>
      </c>
      <c r="CI114" s="15">
        <v>935</v>
      </c>
      <c r="CJ114" s="14">
        <v>525</v>
      </c>
      <c r="CK114" s="15">
        <v>341</v>
      </c>
      <c r="CL114" s="14">
        <v>220</v>
      </c>
      <c r="CM114" s="15">
        <v>124</v>
      </c>
      <c r="CN114" s="14">
        <v>208</v>
      </c>
      <c r="CO114" s="15">
        <v>39</v>
      </c>
      <c r="CP114" s="14">
        <v>66</v>
      </c>
      <c r="CQ114" s="15">
        <v>193</v>
      </c>
      <c r="CR114" s="14">
        <v>185</v>
      </c>
      <c r="CS114" s="15">
        <v>493</v>
      </c>
      <c r="CT114" s="14">
        <v>334</v>
      </c>
      <c r="CU114" s="15">
        <v>81</v>
      </c>
      <c r="CV114" s="14">
        <v>96</v>
      </c>
      <c r="CW114" s="18" t="s">
        <v>60</v>
      </c>
      <c r="CX114" s="14" t="s">
        <v>60</v>
      </c>
      <c r="CY114" s="13">
        <v>728</v>
      </c>
      <c r="CZ114" s="14">
        <v>427</v>
      </c>
      <c r="DA114" s="15">
        <v>98</v>
      </c>
      <c r="DB114" s="14">
        <v>109</v>
      </c>
      <c r="DC114" s="15">
        <v>0</v>
      </c>
      <c r="DD114" s="14">
        <v>143</v>
      </c>
      <c r="DE114" s="15">
        <v>151</v>
      </c>
      <c r="DF114" s="14">
        <v>115</v>
      </c>
      <c r="DG114" s="15">
        <v>96</v>
      </c>
      <c r="DH114" s="14">
        <v>102</v>
      </c>
      <c r="DI114" s="15">
        <v>0</v>
      </c>
      <c r="DJ114" s="14">
        <v>143</v>
      </c>
    </row>
    <row r="115" spans="9:114" x14ac:dyDescent="0.25">
      <c r="I115" s="15">
        <v>250653</v>
      </c>
      <c r="J115" s="14">
        <v>11997</v>
      </c>
      <c r="K115" s="15">
        <v>2515</v>
      </c>
      <c r="L115" s="14">
        <v>990</v>
      </c>
      <c r="M115" s="15">
        <v>1906</v>
      </c>
      <c r="N115" s="14">
        <v>1287</v>
      </c>
      <c r="O115" s="15">
        <v>2420</v>
      </c>
      <c r="P115" s="14">
        <v>1030</v>
      </c>
      <c r="Q115" s="15">
        <v>445</v>
      </c>
      <c r="R115" s="14">
        <v>319</v>
      </c>
      <c r="S115" s="15">
        <v>14780</v>
      </c>
      <c r="T115" s="14">
        <v>2760</v>
      </c>
      <c r="U115" s="15">
        <v>5352</v>
      </c>
      <c r="V115" s="14">
        <v>1834</v>
      </c>
      <c r="W115" s="15">
        <v>2725</v>
      </c>
      <c r="X115" s="14">
        <v>1001</v>
      </c>
      <c r="Y115" s="15">
        <v>2279</v>
      </c>
      <c r="Z115" s="14">
        <v>1465</v>
      </c>
      <c r="AA115" s="15">
        <v>10964</v>
      </c>
      <c r="AB115" s="14">
        <v>4084</v>
      </c>
      <c r="AC115" s="15">
        <v>19574</v>
      </c>
      <c r="AD115" s="14">
        <v>3694</v>
      </c>
      <c r="AE115" s="15">
        <v>9535</v>
      </c>
      <c r="AF115" s="14">
        <v>1889</v>
      </c>
      <c r="AG115" s="15">
        <v>3823</v>
      </c>
      <c r="AH115" s="14">
        <v>1460</v>
      </c>
      <c r="AI115" s="15">
        <v>652</v>
      </c>
      <c r="AJ115" s="14">
        <v>411</v>
      </c>
      <c r="AK115" s="15">
        <v>7089</v>
      </c>
      <c r="AL115" s="14">
        <v>3237</v>
      </c>
      <c r="AM115" s="15">
        <v>2663</v>
      </c>
      <c r="AN115" s="14">
        <v>1228</v>
      </c>
      <c r="AO115" s="15">
        <v>221</v>
      </c>
      <c r="AP115" s="14">
        <v>209</v>
      </c>
      <c r="AQ115" s="15">
        <v>1144</v>
      </c>
      <c r="AR115" s="14">
        <v>669</v>
      </c>
      <c r="AS115" s="15">
        <v>3908</v>
      </c>
      <c r="AT115" s="14">
        <v>1422</v>
      </c>
      <c r="AU115" s="15">
        <v>1638</v>
      </c>
      <c r="AV115" s="14">
        <v>936</v>
      </c>
      <c r="AW115" s="15">
        <v>1144</v>
      </c>
      <c r="AX115" s="14">
        <v>689</v>
      </c>
      <c r="AY115" s="15">
        <v>23925</v>
      </c>
      <c r="AZ115" s="14">
        <v>4264</v>
      </c>
      <c r="BA115" s="15">
        <v>3767</v>
      </c>
      <c r="BB115" s="14">
        <v>1503</v>
      </c>
      <c r="BC115" s="15">
        <v>2982</v>
      </c>
      <c r="BD115" s="14">
        <v>1136</v>
      </c>
      <c r="BE115" s="15">
        <v>2294</v>
      </c>
      <c r="BF115" s="14">
        <v>1414</v>
      </c>
      <c r="BG115" s="15">
        <v>1344</v>
      </c>
      <c r="BH115" s="14">
        <v>730</v>
      </c>
      <c r="BI115" s="15">
        <v>1914</v>
      </c>
      <c r="BJ115" s="14">
        <v>837</v>
      </c>
      <c r="BK115" s="15">
        <v>658</v>
      </c>
      <c r="BL115" s="14">
        <v>433</v>
      </c>
      <c r="BM115" s="15">
        <v>357</v>
      </c>
      <c r="BN115" s="14">
        <v>313</v>
      </c>
      <c r="BO115" s="15">
        <v>973</v>
      </c>
      <c r="BP115" s="14">
        <v>522</v>
      </c>
      <c r="BQ115" s="15">
        <v>535</v>
      </c>
      <c r="BR115" s="14">
        <v>398</v>
      </c>
      <c r="BS115" s="15">
        <v>9073</v>
      </c>
      <c r="BT115" s="14">
        <v>2029</v>
      </c>
      <c r="BU115" s="15">
        <v>947</v>
      </c>
      <c r="BV115" s="14">
        <v>637</v>
      </c>
      <c r="BW115" s="15">
        <v>15893</v>
      </c>
      <c r="BX115" s="14">
        <v>3260</v>
      </c>
      <c r="BY115" s="15">
        <v>25575</v>
      </c>
      <c r="BZ115" s="14">
        <v>4182</v>
      </c>
      <c r="CA115" s="15">
        <v>852</v>
      </c>
      <c r="CB115" s="14">
        <v>1019</v>
      </c>
      <c r="CC115" s="15">
        <v>5622</v>
      </c>
      <c r="CD115" s="14">
        <v>1519</v>
      </c>
      <c r="CE115" s="15">
        <v>2810</v>
      </c>
      <c r="CF115" s="14">
        <v>1873</v>
      </c>
      <c r="CG115" s="15">
        <v>1541</v>
      </c>
      <c r="CH115" s="14">
        <v>1069</v>
      </c>
      <c r="CI115" s="15">
        <v>14190</v>
      </c>
      <c r="CJ115" s="14">
        <v>2998</v>
      </c>
      <c r="CK115" s="15">
        <v>1605</v>
      </c>
      <c r="CL115" s="14">
        <v>731</v>
      </c>
      <c r="CM115" s="15">
        <v>7936</v>
      </c>
      <c r="CN115" s="14">
        <v>2435</v>
      </c>
      <c r="CO115" s="15">
        <v>35</v>
      </c>
      <c r="CP115" s="14">
        <v>57</v>
      </c>
      <c r="CQ115" s="15">
        <v>6189</v>
      </c>
      <c r="CR115" s="14">
        <v>1858</v>
      </c>
      <c r="CS115" s="15">
        <v>12944</v>
      </c>
      <c r="CT115" s="14">
        <v>2828</v>
      </c>
      <c r="CU115" s="15">
        <v>2092</v>
      </c>
      <c r="CV115" s="14">
        <v>994</v>
      </c>
      <c r="CW115" s="15">
        <v>423</v>
      </c>
      <c r="CX115" s="14">
        <v>437</v>
      </c>
      <c r="CY115" s="18" t="s">
        <v>60</v>
      </c>
      <c r="CZ115" s="14" t="s">
        <v>60</v>
      </c>
      <c r="DA115" s="13">
        <v>4160</v>
      </c>
      <c r="DB115" s="14">
        <v>1420</v>
      </c>
      <c r="DC115" s="15">
        <v>3839</v>
      </c>
      <c r="DD115" s="14">
        <v>1234</v>
      </c>
      <c r="DE115" s="15">
        <v>1258</v>
      </c>
      <c r="DF115" s="14">
        <v>880</v>
      </c>
      <c r="DG115" s="15">
        <v>143</v>
      </c>
      <c r="DH115" s="14">
        <v>166</v>
      </c>
      <c r="DI115" s="15">
        <v>516</v>
      </c>
      <c r="DJ115" s="14">
        <v>466</v>
      </c>
    </row>
    <row r="116" spans="9:114" x14ac:dyDescent="0.25">
      <c r="I116" s="15">
        <v>215494</v>
      </c>
      <c r="J116" s="14">
        <v>12552</v>
      </c>
      <c r="K116" s="15">
        <v>1507</v>
      </c>
      <c r="L116" s="14">
        <v>730</v>
      </c>
      <c r="M116" s="15">
        <v>4328</v>
      </c>
      <c r="N116" s="14">
        <v>1682</v>
      </c>
      <c r="O116" s="15">
        <v>8362</v>
      </c>
      <c r="P116" s="14">
        <v>2641</v>
      </c>
      <c r="Q116" s="15">
        <v>1413</v>
      </c>
      <c r="R116" s="14">
        <v>1121</v>
      </c>
      <c r="S116" s="15">
        <v>45597</v>
      </c>
      <c r="T116" s="14">
        <v>5884</v>
      </c>
      <c r="U116" s="15">
        <v>5195</v>
      </c>
      <c r="V116" s="14">
        <v>2150</v>
      </c>
      <c r="W116" s="15">
        <v>2901</v>
      </c>
      <c r="X116" s="14">
        <v>1138</v>
      </c>
      <c r="Y116" s="15">
        <v>100</v>
      </c>
      <c r="Z116" s="14">
        <v>164</v>
      </c>
      <c r="AA116" s="15">
        <v>773</v>
      </c>
      <c r="AB116" s="14">
        <v>528</v>
      </c>
      <c r="AC116" s="15">
        <v>9370</v>
      </c>
      <c r="AD116" s="14">
        <v>2417</v>
      </c>
      <c r="AE116" s="15">
        <v>6363</v>
      </c>
      <c r="AF116" s="14">
        <v>2288</v>
      </c>
      <c r="AG116" s="15">
        <v>5239</v>
      </c>
      <c r="AH116" s="14">
        <v>2393</v>
      </c>
      <c r="AI116" s="15">
        <v>10604</v>
      </c>
      <c r="AJ116" s="14">
        <v>2191</v>
      </c>
      <c r="AK116" s="15">
        <v>4298</v>
      </c>
      <c r="AL116" s="14">
        <v>1727</v>
      </c>
      <c r="AM116" s="15">
        <v>1089</v>
      </c>
      <c r="AN116" s="14">
        <v>521</v>
      </c>
      <c r="AO116" s="15">
        <v>1159</v>
      </c>
      <c r="AP116" s="14">
        <v>845</v>
      </c>
      <c r="AQ116" s="15">
        <v>2544</v>
      </c>
      <c r="AR116" s="14">
        <v>1029</v>
      </c>
      <c r="AS116" s="15">
        <v>1368</v>
      </c>
      <c r="AT116" s="14">
        <v>911</v>
      </c>
      <c r="AU116" s="15">
        <v>1646</v>
      </c>
      <c r="AV116" s="14">
        <v>915</v>
      </c>
      <c r="AW116" s="15">
        <v>532</v>
      </c>
      <c r="AX116" s="14">
        <v>655</v>
      </c>
      <c r="AY116" s="15">
        <v>1191</v>
      </c>
      <c r="AZ116" s="14">
        <v>923</v>
      </c>
      <c r="BA116" s="15">
        <v>2911</v>
      </c>
      <c r="BB116" s="14">
        <v>1011</v>
      </c>
      <c r="BC116" s="15">
        <v>3470</v>
      </c>
      <c r="BD116" s="14">
        <v>1605</v>
      </c>
      <c r="BE116" s="15">
        <v>2703</v>
      </c>
      <c r="BF116" s="14">
        <v>1971</v>
      </c>
      <c r="BG116" s="15">
        <v>615</v>
      </c>
      <c r="BH116" s="14">
        <v>444</v>
      </c>
      <c r="BI116" s="15">
        <v>2802</v>
      </c>
      <c r="BJ116" s="14">
        <v>1017</v>
      </c>
      <c r="BK116" s="15">
        <v>2919</v>
      </c>
      <c r="BL116" s="14">
        <v>1013</v>
      </c>
      <c r="BM116" s="15">
        <v>682</v>
      </c>
      <c r="BN116" s="14">
        <v>456</v>
      </c>
      <c r="BO116" s="15">
        <v>5671</v>
      </c>
      <c r="BP116" s="14">
        <v>2919</v>
      </c>
      <c r="BQ116" s="15">
        <v>309</v>
      </c>
      <c r="BR116" s="14">
        <v>248</v>
      </c>
      <c r="BS116" s="15">
        <v>2300</v>
      </c>
      <c r="BT116" s="14">
        <v>1441</v>
      </c>
      <c r="BU116" s="15">
        <v>872</v>
      </c>
      <c r="BV116" s="14">
        <v>527</v>
      </c>
      <c r="BW116" s="15">
        <v>5562</v>
      </c>
      <c r="BX116" s="14">
        <v>1947</v>
      </c>
      <c r="BY116" s="15">
        <v>4088</v>
      </c>
      <c r="BZ116" s="14">
        <v>1854</v>
      </c>
      <c r="CA116" s="15">
        <v>217</v>
      </c>
      <c r="CB116" s="14">
        <v>200</v>
      </c>
      <c r="CC116" s="15">
        <v>3192</v>
      </c>
      <c r="CD116" s="14">
        <v>1400</v>
      </c>
      <c r="CE116" s="15">
        <v>1223</v>
      </c>
      <c r="CF116" s="14">
        <v>768</v>
      </c>
      <c r="CG116" s="15">
        <v>25525</v>
      </c>
      <c r="CH116" s="14">
        <v>4052</v>
      </c>
      <c r="CI116" s="15">
        <v>3397</v>
      </c>
      <c r="CJ116" s="14">
        <v>1799</v>
      </c>
      <c r="CK116" s="15">
        <v>97</v>
      </c>
      <c r="CL116" s="14">
        <v>162</v>
      </c>
      <c r="CM116" s="15">
        <v>2727</v>
      </c>
      <c r="CN116" s="14">
        <v>1542</v>
      </c>
      <c r="CO116" s="15">
        <v>94</v>
      </c>
      <c r="CP116" s="14">
        <v>155</v>
      </c>
      <c r="CQ116" s="15">
        <v>3206</v>
      </c>
      <c r="CR116" s="14">
        <v>1819</v>
      </c>
      <c r="CS116" s="15">
        <v>14196</v>
      </c>
      <c r="CT116" s="14">
        <v>3417</v>
      </c>
      <c r="CU116" s="15">
        <v>5298</v>
      </c>
      <c r="CV116" s="14">
        <v>1995</v>
      </c>
      <c r="CW116" s="15">
        <v>223</v>
      </c>
      <c r="CX116" s="14">
        <v>216</v>
      </c>
      <c r="CY116" s="15">
        <v>3839</v>
      </c>
      <c r="CZ116" s="14">
        <v>1320</v>
      </c>
      <c r="DA116" s="18" t="s">
        <v>60</v>
      </c>
      <c r="DB116" s="14" t="s">
        <v>60</v>
      </c>
      <c r="DC116" s="13">
        <v>215</v>
      </c>
      <c r="DD116" s="14">
        <v>271</v>
      </c>
      <c r="DE116" s="15">
        <v>1168</v>
      </c>
      <c r="DF116" s="14">
        <v>638</v>
      </c>
      <c r="DG116" s="15">
        <v>394</v>
      </c>
      <c r="DH116" s="14">
        <v>495</v>
      </c>
      <c r="DI116" s="15">
        <v>1025</v>
      </c>
      <c r="DJ116" s="14">
        <v>878</v>
      </c>
    </row>
    <row r="117" spans="9:114" x14ac:dyDescent="0.25">
      <c r="I117" s="15">
        <v>47125</v>
      </c>
      <c r="J117" s="14">
        <v>4317</v>
      </c>
      <c r="K117" s="15">
        <v>477</v>
      </c>
      <c r="L117" s="14">
        <v>339</v>
      </c>
      <c r="M117" s="15">
        <v>306</v>
      </c>
      <c r="N117" s="14">
        <v>455</v>
      </c>
      <c r="O117" s="15">
        <v>79</v>
      </c>
      <c r="P117" s="14">
        <v>129</v>
      </c>
      <c r="Q117" s="15">
        <v>0</v>
      </c>
      <c r="R117" s="14">
        <v>182</v>
      </c>
      <c r="S117" s="15">
        <v>1231</v>
      </c>
      <c r="T117" s="14">
        <v>516</v>
      </c>
      <c r="U117" s="15">
        <v>104</v>
      </c>
      <c r="V117" s="14">
        <v>114</v>
      </c>
      <c r="W117" s="15">
        <v>143</v>
      </c>
      <c r="X117" s="14">
        <v>177</v>
      </c>
      <c r="Y117" s="15">
        <v>674</v>
      </c>
      <c r="Z117" s="14">
        <v>525</v>
      </c>
      <c r="AA117" s="15">
        <v>294</v>
      </c>
      <c r="AB117" s="14">
        <v>194</v>
      </c>
      <c r="AC117" s="15">
        <v>1919</v>
      </c>
      <c r="AD117" s="14">
        <v>666</v>
      </c>
      <c r="AE117" s="15">
        <v>1108</v>
      </c>
      <c r="AF117" s="14">
        <v>483</v>
      </c>
      <c r="AG117" s="15">
        <v>166</v>
      </c>
      <c r="AH117" s="14">
        <v>277</v>
      </c>
      <c r="AI117" s="15">
        <v>181</v>
      </c>
      <c r="AJ117" s="14">
        <v>250</v>
      </c>
      <c r="AK117" s="15">
        <v>220</v>
      </c>
      <c r="AL117" s="14">
        <v>190</v>
      </c>
      <c r="AM117" s="15">
        <v>328</v>
      </c>
      <c r="AN117" s="14">
        <v>406</v>
      </c>
      <c r="AO117" s="15">
        <v>68</v>
      </c>
      <c r="AP117" s="14">
        <v>111</v>
      </c>
      <c r="AQ117" s="15">
        <v>39</v>
      </c>
      <c r="AR117" s="14">
        <v>64</v>
      </c>
      <c r="AS117" s="15">
        <v>2249</v>
      </c>
      <c r="AT117" s="14">
        <v>1019</v>
      </c>
      <c r="AU117" s="15">
        <v>90</v>
      </c>
      <c r="AV117" s="14">
        <v>88</v>
      </c>
      <c r="AW117" s="15">
        <v>35</v>
      </c>
      <c r="AX117" s="14">
        <v>74</v>
      </c>
      <c r="AY117" s="15">
        <v>5352</v>
      </c>
      <c r="AZ117" s="14">
        <v>1897</v>
      </c>
      <c r="BA117" s="15">
        <v>164</v>
      </c>
      <c r="BB117" s="14">
        <v>191</v>
      </c>
      <c r="BC117" s="15">
        <v>778</v>
      </c>
      <c r="BD117" s="14">
        <v>581</v>
      </c>
      <c r="BE117" s="15">
        <v>20</v>
      </c>
      <c r="BF117" s="14">
        <v>37</v>
      </c>
      <c r="BG117" s="15">
        <v>0</v>
      </c>
      <c r="BH117" s="14">
        <v>182</v>
      </c>
      <c r="BI117" s="15">
        <v>59</v>
      </c>
      <c r="BJ117" s="14">
        <v>76</v>
      </c>
      <c r="BK117" s="15">
        <v>0</v>
      </c>
      <c r="BL117" s="14">
        <v>182</v>
      </c>
      <c r="BM117" s="15">
        <v>0</v>
      </c>
      <c r="BN117" s="14">
        <v>182</v>
      </c>
      <c r="BO117" s="15">
        <v>229</v>
      </c>
      <c r="BP117" s="14">
        <v>268</v>
      </c>
      <c r="BQ117" s="15">
        <v>129</v>
      </c>
      <c r="BR117" s="14">
        <v>147</v>
      </c>
      <c r="BS117" s="15">
        <v>1213</v>
      </c>
      <c r="BT117" s="14">
        <v>679</v>
      </c>
      <c r="BU117" s="15">
        <v>81</v>
      </c>
      <c r="BV117" s="14">
        <v>90</v>
      </c>
      <c r="BW117" s="15">
        <v>1721</v>
      </c>
      <c r="BX117" s="14">
        <v>965</v>
      </c>
      <c r="BY117" s="15">
        <v>4683</v>
      </c>
      <c r="BZ117" s="14">
        <v>1933</v>
      </c>
      <c r="CA117" s="15">
        <v>175</v>
      </c>
      <c r="CB117" s="14">
        <v>215</v>
      </c>
      <c r="CC117" s="15">
        <v>6757</v>
      </c>
      <c r="CD117" s="14">
        <v>1474</v>
      </c>
      <c r="CE117" s="15">
        <v>520</v>
      </c>
      <c r="CF117" s="14">
        <v>447</v>
      </c>
      <c r="CG117" s="15">
        <v>118</v>
      </c>
      <c r="CH117" s="14">
        <v>207</v>
      </c>
      <c r="CI117" s="15">
        <v>5208</v>
      </c>
      <c r="CJ117" s="14">
        <v>1699</v>
      </c>
      <c r="CK117" s="15">
        <v>0</v>
      </c>
      <c r="CL117" s="14">
        <v>182</v>
      </c>
      <c r="CM117" s="15">
        <v>1098</v>
      </c>
      <c r="CN117" s="14">
        <v>671</v>
      </c>
      <c r="CO117" s="15">
        <v>36</v>
      </c>
      <c r="CP117" s="14">
        <v>65</v>
      </c>
      <c r="CQ117" s="15">
        <v>1061</v>
      </c>
      <c r="CR117" s="14">
        <v>513</v>
      </c>
      <c r="CS117" s="15">
        <v>622</v>
      </c>
      <c r="CT117" s="14">
        <v>415</v>
      </c>
      <c r="CU117" s="15">
        <v>0</v>
      </c>
      <c r="CV117" s="14">
        <v>182</v>
      </c>
      <c r="CW117" s="15">
        <v>54</v>
      </c>
      <c r="CX117" s="14">
        <v>89</v>
      </c>
      <c r="CY117" s="15">
        <v>6317</v>
      </c>
      <c r="CZ117" s="14">
        <v>1774</v>
      </c>
      <c r="DA117" s="15">
        <v>297</v>
      </c>
      <c r="DB117" s="14">
        <v>285</v>
      </c>
      <c r="DC117" s="18" t="s">
        <v>60</v>
      </c>
      <c r="DD117" s="14" t="s">
        <v>60</v>
      </c>
      <c r="DE117" s="13">
        <v>470</v>
      </c>
      <c r="DF117" s="14">
        <v>555</v>
      </c>
      <c r="DG117" s="15">
        <v>252</v>
      </c>
      <c r="DH117" s="14">
        <v>395</v>
      </c>
      <c r="DI117" s="15">
        <v>79</v>
      </c>
      <c r="DJ117" s="14">
        <v>123</v>
      </c>
    </row>
    <row r="118" spans="9:114" x14ac:dyDescent="0.25">
      <c r="I118" s="15">
        <v>99192</v>
      </c>
      <c r="J118" s="14">
        <v>6959</v>
      </c>
      <c r="K118" s="15">
        <v>323</v>
      </c>
      <c r="L118" s="14">
        <v>262</v>
      </c>
      <c r="M118" s="15">
        <v>236</v>
      </c>
      <c r="N118" s="14">
        <v>193</v>
      </c>
      <c r="O118" s="15">
        <v>3257</v>
      </c>
      <c r="P118" s="14">
        <v>1696</v>
      </c>
      <c r="Q118" s="15">
        <v>253</v>
      </c>
      <c r="R118" s="14">
        <v>216</v>
      </c>
      <c r="S118" s="15">
        <v>5347</v>
      </c>
      <c r="T118" s="14">
        <v>2126</v>
      </c>
      <c r="U118" s="15">
        <v>1600</v>
      </c>
      <c r="V118" s="14">
        <v>604</v>
      </c>
      <c r="W118" s="15">
        <v>657</v>
      </c>
      <c r="X118" s="14">
        <v>432</v>
      </c>
      <c r="Y118" s="15">
        <v>296</v>
      </c>
      <c r="Z118" s="14">
        <v>475</v>
      </c>
      <c r="AA118" s="15">
        <v>15</v>
      </c>
      <c r="AB118" s="14">
        <v>25</v>
      </c>
      <c r="AC118" s="15">
        <v>4937</v>
      </c>
      <c r="AD118" s="14">
        <v>1590</v>
      </c>
      <c r="AE118" s="15">
        <v>970</v>
      </c>
      <c r="AF118" s="14">
        <v>396</v>
      </c>
      <c r="AG118" s="15">
        <v>333</v>
      </c>
      <c r="AH118" s="14">
        <v>416</v>
      </c>
      <c r="AI118" s="15">
        <v>360</v>
      </c>
      <c r="AJ118" s="14">
        <v>231</v>
      </c>
      <c r="AK118" s="15">
        <v>22285</v>
      </c>
      <c r="AL118" s="14">
        <v>3020</v>
      </c>
      <c r="AM118" s="15">
        <v>2480</v>
      </c>
      <c r="AN118" s="14">
        <v>1136</v>
      </c>
      <c r="AO118" s="15">
        <v>4161</v>
      </c>
      <c r="AP118" s="14">
        <v>1283</v>
      </c>
      <c r="AQ118" s="15">
        <v>1160</v>
      </c>
      <c r="AR118" s="14">
        <v>1199</v>
      </c>
      <c r="AS118" s="15">
        <v>635</v>
      </c>
      <c r="AT118" s="14">
        <v>502</v>
      </c>
      <c r="AU118" s="15">
        <v>598</v>
      </c>
      <c r="AV118" s="14">
        <v>403</v>
      </c>
      <c r="AW118" s="15">
        <v>233</v>
      </c>
      <c r="AX118" s="14">
        <v>195</v>
      </c>
      <c r="AY118" s="15">
        <v>1306</v>
      </c>
      <c r="AZ118" s="14">
        <v>586</v>
      </c>
      <c r="BA118" s="15">
        <v>489</v>
      </c>
      <c r="BB118" s="14">
        <v>356</v>
      </c>
      <c r="BC118" s="15">
        <v>3917</v>
      </c>
      <c r="BD118" s="14">
        <v>1160</v>
      </c>
      <c r="BE118" s="15">
        <v>18965</v>
      </c>
      <c r="BF118" s="14">
        <v>2405</v>
      </c>
      <c r="BG118" s="15">
        <v>238</v>
      </c>
      <c r="BH118" s="14">
        <v>211</v>
      </c>
      <c r="BI118" s="15">
        <v>1263</v>
      </c>
      <c r="BJ118" s="14">
        <v>681</v>
      </c>
      <c r="BK118" s="15">
        <v>784</v>
      </c>
      <c r="BL118" s="14">
        <v>512</v>
      </c>
      <c r="BM118" s="15">
        <v>324</v>
      </c>
      <c r="BN118" s="14">
        <v>240</v>
      </c>
      <c r="BO118" s="15">
        <v>1163</v>
      </c>
      <c r="BP118" s="14">
        <v>682</v>
      </c>
      <c r="BQ118" s="15">
        <v>3</v>
      </c>
      <c r="BR118" s="14">
        <v>7</v>
      </c>
      <c r="BS118" s="15">
        <v>606</v>
      </c>
      <c r="BT118" s="14">
        <v>477</v>
      </c>
      <c r="BU118" s="15">
        <v>526</v>
      </c>
      <c r="BV118" s="14">
        <v>553</v>
      </c>
      <c r="BW118" s="15">
        <v>2033</v>
      </c>
      <c r="BX118" s="14">
        <v>980</v>
      </c>
      <c r="BY118" s="15">
        <v>2939</v>
      </c>
      <c r="BZ118" s="14">
        <v>1454</v>
      </c>
      <c r="CA118" s="15">
        <v>284</v>
      </c>
      <c r="CB118" s="14">
        <v>318</v>
      </c>
      <c r="CC118" s="15">
        <v>2610</v>
      </c>
      <c r="CD118" s="14">
        <v>1053</v>
      </c>
      <c r="CE118" s="15">
        <v>289</v>
      </c>
      <c r="CF118" s="14">
        <v>204</v>
      </c>
      <c r="CG118" s="15">
        <v>945</v>
      </c>
      <c r="CH118" s="14">
        <v>601</v>
      </c>
      <c r="CI118" s="15">
        <v>1563</v>
      </c>
      <c r="CJ118" s="14">
        <v>750</v>
      </c>
      <c r="CK118" s="15">
        <v>144</v>
      </c>
      <c r="CL118" s="14">
        <v>157</v>
      </c>
      <c r="CM118" s="15">
        <v>1053</v>
      </c>
      <c r="CN118" s="14">
        <v>675</v>
      </c>
      <c r="CO118" s="15">
        <v>329</v>
      </c>
      <c r="CP118" s="14">
        <v>220</v>
      </c>
      <c r="CQ118" s="15">
        <v>1051</v>
      </c>
      <c r="CR118" s="14">
        <v>638</v>
      </c>
      <c r="CS118" s="15">
        <v>2765</v>
      </c>
      <c r="CT118" s="14">
        <v>1112</v>
      </c>
      <c r="CU118" s="15">
        <v>900</v>
      </c>
      <c r="CV118" s="14">
        <v>1091</v>
      </c>
      <c r="CW118" s="15">
        <v>62</v>
      </c>
      <c r="CX118" s="14">
        <v>88</v>
      </c>
      <c r="CY118" s="15">
        <v>1267</v>
      </c>
      <c r="CZ118" s="14">
        <v>916</v>
      </c>
      <c r="DA118" s="15">
        <v>1208</v>
      </c>
      <c r="DB118" s="14">
        <v>416</v>
      </c>
      <c r="DC118" s="15">
        <v>0</v>
      </c>
      <c r="DD118" s="14">
        <v>145</v>
      </c>
      <c r="DE118" s="18" t="s">
        <v>60</v>
      </c>
      <c r="DF118" s="14" t="s">
        <v>60</v>
      </c>
      <c r="DG118" s="13">
        <v>30</v>
      </c>
      <c r="DH118" s="14">
        <v>46</v>
      </c>
      <c r="DI118" s="13">
        <v>975</v>
      </c>
      <c r="DJ118" s="14">
        <v>943</v>
      </c>
    </row>
    <row r="119" spans="9:114" x14ac:dyDescent="0.25">
      <c r="I119" s="15">
        <v>31149</v>
      </c>
      <c r="J119" s="14">
        <v>3430</v>
      </c>
      <c r="K119" s="15">
        <v>260</v>
      </c>
      <c r="L119" s="14">
        <v>284</v>
      </c>
      <c r="M119" s="15">
        <v>590</v>
      </c>
      <c r="N119" s="14">
        <v>661</v>
      </c>
      <c r="O119" s="15">
        <v>2014</v>
      </c>
      <c r="P119" s="14">
        <v>1234</v>
      </c>
      <c r="Q119" s="15">
        <v>244</v>
      </c>
      <c r="R119" s="14">
        <v>405</v>
      </c>
      <c r="S119" s="15">
        <v>2035</v>
      </c>
      <c r="T119" s="14">
        <v>720</v>
      </c>
      <c r="U119" s="15">
        <v>5599</v>
      </c>
      <c r="V119" s="14">
        <v>1618</v>
      </c>
      <c r="W119" s="15">
        <v>0</v>
      </c>
      <c r="X119" s="14">
        <v>185</v>
      </c>
      <c r="Y119" s="15">
        <v>0</v>
      </c>
      <c r="Z119" s="14">
        <v>185</v>
      </c>
      <c r="AA119" s="15">
        <v>0</v>
      </c>
      <c r="AB119" s="14">
        <v>185</v>
      </c>
      <c r="AC119" s="15">
        <v>733</v>
      </c>
      <c r="AD119" s="14">
        <v>572</v>
      </c>
      <c r="AE119" s="15">
        <v>166</v>
      </c>
      <c r="AF119" s="14">
        <v>173</v>
      </c>
      <c r="AG119" s="15">
        <v>0</v>
      </c>
      <c r="AH119" s="14">
        <v>185</v>
      </c>
      <c r="AI119" s="15">
        <v>745</v>
      </c>
      <c r="AJ119" s="14">
        <v>481</v>
      </c>
      <c r="AK119" s="15">
        <v>905</v>
      </c>
      <c r="AL119" s="14">
        <v>823</v>
      </c>
      <c r="AM119" s="15">
        <v>179</v>
      </c>
      <c r="AN119" s="14">
        <v>179</v>
      </c>
      <c r="AO119" s="15">
        <v>259</v>
      </c>
      <c r="AP119" s="14">
        <v>273</v>
      </c>
      <c r="AQ119" s="15">
        <v>539</v>
      </c>
      <c r="AR119" s="14">
        <v>412</v>
      </c>
      <c r="AS119" s="15">
        <v>4</v>
      </c>
      <c r="AT119" s="14">
        <v>10</v>
      </c>
      <c r="AU119" s="15">
        <v>88</v>
      </c>
      <c r="AV119" s="14">
        <v>100</v>
      </c>
      <c r="AW119" s="15">
        <v>0</v>
      </c>
      <c r="AX119" s="14">
        <v>185</v>
      </c>
      <c r="AY119" s="15">
        <v>294</v>
      </c>
      <c r="AZ119" s="14">
        <v>304</v>
      </c>
      <c r="BA119" s="15">
        <v>548</v>
      </c>
      <c r="BB119" s="14">
        <v>638</v>
      </c>
      <c r="BC119" s="15">
        <v>965</v>
      </c>
      <c r="BD119" s="14">
        <v>730</v>
      </c>
      <c r="BE119" s="15">
        <v>290</v>
      </c>
      <c r="BF119" s="14">
        <v>240</v>
      </c>
      <c r="BG119" s="15">
        <v>136</v>
      </c>
      <c r="BH119" s="14">
        <v>229</v>
      </c>
      <c r="BI119" s="15">
        <v>244</v>
      </c>
      <c r="BJ119" s="14">
        <v>257</v>
      </c>
      <c r="BK119" s="15">
        <v>1901</v>
      </c>
      <c r="BL119" s="14">
        <v>789</v>
      </c>
      <c r="BM119" s="15">
        <v>1216</v>
      </c>
      <c r="BN119" s="14">
        <v>559</v>
      </c>
      <c r="BO119" s="15">
        <v>355</v>
      </c>
      <c r="BP119" s="14">
        <v>304</v>
      </c>
      <c r="BQ119" s="15">
        <v>0</v>
      </c>
      <c r="BR119" s="14">
        <v>185</v>
      </c>
      <c r="BS119" s="15">
        <v>121</v>
      </c>
      <c r="BT119" s="14">
        <v>147</v>
      </c>
      <c r="BU119" s="15">
        <v>604</v>
      </c>
      <c r="BV119" s="14">
        <v>658</v>
      </c>
      <c r="BW119" s="15">
        <v>231</v>
      </c>
      <c r="BX119" s="14">
        <v>252</v>
      </c>
      <c r="BY119" s="15">
        <v>459</v>
      </c>
      <c r="BZ119" s="14">
        <v>399</v>
      </c>
      <c r="CA119" s="15">
        <v>338</v>
      </c>
      <c r="CB119" s="14">
        <v>300</v>
      </c>
      <c r="CC119" s="15">
        <v>819</v>
      </c>
      <c r="CD119" s="14">
        <v>447</v>
      </c>
      <c r="CE119" s="15">
        <v>964</v>
      </c>
      <c r="CF119" s="14">
        <v>670</v>
      </c>
      <c r="CG119" s="15">
        <v>893</v>
      </c>
      <c r="CH119" s="14">
        <v>605</v>
      </c>
      <c r="CI119" s="15">
        <v>230</v>
      </c>
      <c r="CJ119" s="14">
        <v>254</v>
      </c>
      <c r="CK119" s="15">
        <v>0</v>
      </c>
      <c r="CL119" s="14">
        <v>185</v>
      </c>
      <c r="CM119" s="15">
        <v>122</v>
      </c>
      <c r="CN119" s="14">
        <v>201</v>
      </c>
      <c r="CO119" s="15">
        <v>1175</v>
      </c>
      <c r="CP119" s="14">
        <v>730</v>
      </c>
      <c r="CQ119" s="15">
        <v>4</v>
      </c>
      <c r="CR119" s="14">
        <v>7</v>
      </c>
      <c r="CS119" s="15">
        <v>1427</v>
      </c>
      <c r="CT119" s="14">
        <v>920</v>
      </c>
      <c r="CU119" s="15">
        <v>1710</v>
      </c>
      <c r="CV119" s="14">
        <v>948</v>
      </c>
      <c r="CW119" s="15">
        <v>0</v>
      </c>
      <c r="CX119" s="14">
        <v>185</v>
      </c>
      <c r="CY119" s="15">
        <v>138</v>
      </c>
      <c r="CZ119" s="14">
        <v>169</v>
      </c>
      <c r="DA119" s="15">
        <v>1323</v>
      </c>
      <c r="DB119" s="14">
        <v>785</v>
      </c>
      <c r="DC119" s="15">
        <v>0</v>
      </c>
      <c r="DD119" s="14">
        <v>185</v>
      </c>
      <c r="DE119" s="15">
        <v>282</v>
      </c>
      <c r="DF119" s="14">
        <v>210</v>
      </c>
      <c r="DG119" s="18" t="s">
        <v>60</v>
      </c>
      <c r="DH119" s="14" t="s">
        <v>60</v>
      </c>
      <c r="DI119" s="18">
        <v>16</v>
      </c>
      <c r="DJ119" s="14">
        <v>27</v>
      </c>
    </row>
    <row r="120" spans="9:114" x14ac:dyDescent="0.25">
      <c r="I120" s="15">
        <v>20044</v>
      </c>
      <c r="J120" s="14">
        <v>2902</v>
      </c>
      <c r="K120" s="15">
        <v>8</v>
      </c>
      <c r="L120" s="14">
        <v>15</v>
      </c>
      <c r="M120" s="15">
        <v>57</v>
      </c>
      <c r="N120" s="14">
        <v>94</v>
      </c>
      <c r="O120" s="15">
        <v>54</v>
      </c>
      <c r="P120" s="14">
        <v>90</v>
      </c>
      <c r="Q120" s="15">
        <v>93</v>
      </c>
      <c r="R120" s="14">
        <v>158</v>
      </c>
      <c r="S120" s="15">
        <v>519</v>
      </c>
      <c r="T120" s="14">
        <v>484</v>
      </c>
      <c r="U120" s="15">
        <v>0</v>
      </c>
      <c r="V120" s="14">
        <v>214</v>
      </c>
      <c r="W120" s="15">
        <v>370</v>
      </c>
      <c r="X120" s="14">
        <v>365</v>
      </c>
      <c r="Y120" s="15">
        <v>0</v>
      </c>
      <c r="Z120" s="14">
        <v>214</v>
      </c>
      <c r="AA120" s="15">
        <v>0</v>
      </c>
      <c r="AB120" s="14">
        <v>214</v>
      </c>
      <c r="AC120" s="15">
        <v>4192</v>
      </c>
      <c r="AD120" s="14">
        <v>1203</v>
      </c>
      <c r="AE120" s="15">
        <v>232</v>
      </c>
      <c r="AF120" s="14">
        <v>300</v>
      </c>
      <c r="AG120" s="15">
        <v>110</v>
      </c>
      <c r="AH120" s="14">
        <v>172</v>
      </c>
      <c r="AI120" s="15">
        <v>0</v>
      </c>
      <c r="AJ120" s="14">
        <v>214</v>
      </c>
      <c r="AK120" s="15">
        <v>1021</v>
      </c>
      <c r="AL120" s="14">
        <v>602</v>
      </c>
      <c r="AM120" s="15">
        <v>121</v>
      </c>
      <c r="AN120" s="14">
        <v>153</v>
      </c>
      <c r="AO120" s="15">
        <v>0</v>
      </c>
      <c r="AP120" s="14">
        <v>214</v>
      </c>
      <c r="AQ120" s="15">
        <v>143</v>
      </c>
      <c r="AR120" s="14">
        <v>240</v>
      </c>
      <c r="AS120" s="15">
        <v>37</v>
      </c>
      <c r="AT120" s="14">
        <v>72</v>
      </c>
      <c r="AU120" s="15">
        <v>59</v>
      </c>
      <c r="AV120" s="14">
        <v>101</v>
      </c>
      <c r="AW120" s="15">
        <v>0</v>
      </c>
      <c r="AX120" s="14">
        <v>214</v>
      </c>
      <c r="AY120" s="15">
        <v>108</v>
      </c>
      <c r="AZ120" s="14">
        <v>177</v>
      </c>
      <c r="BA120" s="15">
        <v>2258</v>
      </c>
      <c r="BB120" s="14">
        <v>1289</v>
      </c>
      <c r="BC120" s="15">
        <v>435</v>
      </c>
      <c r="BD120" s="14">
        <v>451</v>
      </c>
      <c r="BE120" s="15">
        <v>0</v>
      </c>
      <c r="BF120" s="14">
        <v>214</v>
      </c>
      <c r="BG120" s="15">
        <v>0</v>
      </c>
      <c r="BH120" s="14">
        <v>214</v>
      </c>
      <c r="BI120" s="15">
        <v>0</v>
      </c>
      <c r="BJ120" s="14">
        <v>214</v>
      </c>
      <c r="BK120" s="15">
        <v>0</v>
      </c>
      <c r="BL120" s="14">
        <v>214</v>
      </c>
      <c r="BM120" s="15">
        <v>0</v>
      </c>
      <c r="BN120" s="14">
        <v>214</v>
      </c>
      <c r="BO120" s="15">
        <v>0</v>
      </c>
      <c r="BP120" s="14">
        <v>214</v>
      </c>
      <c r="BQ120" s="15">
        <v>0</v>
      </c>
      <c r="BR120" s="14">
        <v>214</v>
      </c>
      <c r="BS120" s="15">
        <v>1922</v>
      </c>
      <c r="BT120" s="14">
        <v>1129</v>
      </c>
      <c r="BU120" s="15">
        <v>28</v>
      </c>
      <c r="BV120" s="14">
        <v>48</v>
      </c>
      <c r="BW120" s="15">
        <v>2314</v>
      </c>
      <c r="BX120" s="14">
        <v>761</v>
      </c>
      <c r="BY120" s="15">
        <v>638</v>
      </c>
      <c r="BZ120" s="14">
        <v>565</v>
      </c>
      <c r="CA120" s="15">
        <v>0</v>
      </c>
      <c r="CB120" s="14">
        <v>214</v>
      </c>
      <c r="CC120" s="15">
        <v>328</v>
      </c>
      <c r="CD120" s="14">
        <v>499</v>
      </c>
      <c r="CE120" s="15">
        <v>0</v>
      </c>
      <c r="CF120" s="14">
        <v>214</v>
      </c>
      <c r="CG120" s="15">
        <v>0</v>
      </c>
      <c r="CH120" s="14">
        <v>214</v>
      </c>
      <c r="CI120" s="15">
        <v>2313</v>
      </c>
      <c r="CJ120" s="14">
        <v>1063</v>
      </c>
      <c r="CK120" s="15">
        <v>624</v>
      </c>
      <c r="CL120" s="14">
        <v>688</v>
      </c>
      <c r="CM120" s="15">
        <v>4</v>
      </c>
      <c r="CN120" s="14">
        <v>7</v>
      </c>
      <c r="CO120" s="15">
        <v>0</v>
      </c>
      <c r="CP120" s="14">
        <v>214</v>
      </c>
      <c r="CQ120" s="15">
        <v>15</v>
      </c>
      <c r="CR120" s="14">
        <v>31</v>
      </c>
      <c r="CS120" s="15">
        <v>360</v>
      </c>
      <c r="CT120" s="14">
        <v>291</v>
      </c>
      <c r="CU120" s="15">
        <v>0</v>
      </c>
      <c r="CV120" s="14">
        <v>214</v>
      </c>
      <c r="CW120" s="15">
        <v>0</v>
      </c>
      <c r="CX120" s="14">
        <v>214</v>
      </c>
      <c r="CY120" s="15">
        <v>684</v>
      </c>
      <c r="CZ120" s="14">
        <v>777</v>
      </c>
      <c r="DA120" s="15">
        <v>0</v>
      </c>
      <c r="DB120" s="14">
        <v>214</v>
      </c>
      <c r="DC120" s="15">
        <v>8</v>
      </c>
      <c r="DD120" s="14">
        <v>15</v>
      </c>
      <c r="DE120" s="15">
        <v>989</v>
      </c>
      <c r="DF120" s="14">
        <v>654</v>
      </c>
      <c r="DG120" s="15">
        <v>0</v>
      </c>
      <c r="DH120" s="14">
        <v>214</v>
      </c>
      <c r="DI120" s="18" t="s">
        <v>60</v>
      </c>
      <c r="DJ120" s="14" t="s">
        <v>60</v>
      </c>
    </row>
  </sheetData>
  <mergeCells count="4">
    <mergeCell ref="C7:D8"/>
    <mergeCell ref="E7:F8"/>
    <mergeCell ref="G7:H8"/>
    <mergeCell ref="B7:B8"/>
  </mergeCells>
  <printOptions horizontalCentered="1"/>
  <pageMargins left="0.2" right="0.2" top="0.25" bottom="0.25" header="0.3" footer="0.3"/>
  <pageSetup paperSize="8" scale="3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2:DP120"/>
  <sheetViews>
    <sheetView showGridLines="0" zoomScaleNormal="100" workbookViewId="0">
      <selection activeCell="B6" sqref="B6"/>
    </sheetView>
  </sheetViews>
  <sheetFormatPr defaultRowHeight="15" x14ac:dyDescent="0.25"/>
  <cols>
    <col min="1" max="1" width="9.140625" style="19"/>
    <col min="2" max="2" width="21.28515625" style="19" customWidth="1"/>
    <col min="3" max="3" width="11.140625" style="19" bestFit="1" customWidth="1"/>
    <col min="4" max="4" width="9.5703125" style="19" bestFit="1" customWidth="1"/>
    <col min="5" max="5" width="11.140625" style="19" bestFit="1" customWidth="1"/>
    <col min="6" max="6" width="10.5703125" style="19" bestFit="1" customWidth="1"/>
    <col min="7" max="7" width="10.140625" style="19" bestFit="1" customWidth="1"/>
    <col min="8" max="8" width="10.5703125" style="19" bestFit="1" customWidth="1"/>
    <col min="9" max="9" width="9.28515625" style="19" bestFit="1" customWidth="1"/>
    <col min="10" max="10" width="9.5703125" style="19" bestFit="1" customWidth="1"/>
    <col min="11" max="11" width="9.28515625" style="19" bestFit="1" customWidth="1"/>
    <col min="12" max="12" width="9.5703125" style="19" bestFit="1" customWidth="1"/>
    <col min="13" max="120" width="9.28515625" style="19" bestFit="1" customWidth="1"/>
    <col min="121" max="16384" width="9.140625" style="19"/>
  </cols>
  <sheetData>
    <row r="2" spans="2:120" x14ac:dyDescent="0.25">
      <c r="B2" s="26" t="s">
        <v>67</v>
      </c>
    </row>
    <row r="3" spans="2:120" x14ac:dyDescent="0.25">
      <c r="B3" s="27" t="s">
        <v>66</v>
      </c>
    </row>
    <row r="4" spans="2:120" x14ac:dyDescent="0.25">
      <c r="B4" s="27" t="s">
        <v>2</v>
      </c>
    </row>
    <row r="6" spans="2:120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2:120" ht="15.75" customHeight="1" x14ac:dyDescent="0.25"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  <c r="DK7"/>
      <c r="DL7"/>
      <c r="DM7"/>
      <c r="DN7"/>
      <c r="DO7"/>
      <c r="DP7"/>
    </row>
    <row r="8" spans="2:120" ht="15" customHeight="1" x14ac:dyDescent="0.25"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  <c r="DK8"/>
      <c r="DL8"/>
      <c r="DM8"/>
      <c r="DN8"/>
      <c r="DO8"/>
      <c r="DP8"/>
    </row>
    <row r="9" spans="2:120" s="35" customFormat="1" x14ac:dyDescent="0.25">
      <c r="B9" s="73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2:120" x14ac:dyDescent="0.25">
      <c r="B10" s="37" t="s">
        <v>62</v>
      </c>
      <c r="C10" s="11">
        <v>307900319</v>
      </c>
      <c r="D10" s="12">
        <v>29996</v>
      </c>
      <c r="E10" s="11">
        <v>261087925</v>
      </c>
      <c r="F10" s="12">
        <v>263315</v>
      </c>
      <c r="G10" s="11">
        <v>37998701</v>
      </c>
      <c r="H10" s="12">
        <v>233440</v>
      </c>
      <c r="I10" s="36">
        <f>HLOOKUP(I$7,$I$66:$DJ$120,ROWS($A$10:$A10)+2,FALSE)</f>
        <v>6987416</v>
      </c>
      <c r="J10" s="25">
        <f>HLOOKUP(J$7,$I$66:$DJ$120,ROWS($A$10:$A10)+2,FALSE)</f>
        <v>106806</v>
      </c>
      <c r="K10" s="25">
        <f>HLOOKUP(K$7,$I$66:$DJ$120,ROWS($A$10:$A10)+2,FALSE)</f>
        <v>88850</v>
      </c>
      <c r="L10" s="25">
        <f>HLOOKUP(L$7,$I$66:$DJ$120,ROWS($A$10:$A10)+2,FALSE)</f>
        <v>211816</v>
      </c>
      <c r="M10" s="25">
        <f>HLOOKUP(M$7,$I$66:$DJ$120,ROWS($A$10:$A10)+2,FALSE)</f>
        <v>77226</v>
      </c>
      <c r="N10" s="25">
        <f>HLOOKUP(N$7,$I$66:$DJ$120,ROWS($A$10:$A10)+2,FALSE)</f>
        <v>562343</v>
      </c>
      <c r="O10" s="25">
        <f>HLOOKUP(O$7,$I$66:$DJ$120,ROWS($A$10:$A10)+2,FALSE)</f>
        <v>160623</v>
      </c>
      <c r="P10" s="25">
        <f>HLOOKUP(P$7,$I$66:$DJ$120,ROWS($A$10:$A10)+2,FALSE)</f>
        <v>91295</v>
      </c>
      <c r="Q10" s="25">
        <f>HLOOKUP(Q$7,$I$66:$DJ$120,ROWS($A$10:$A10)+2,FALSE)</f>
        <v>26631</v>
      </c>
      <c r="R10" s="25">
        <f>HLOOKUP(R$7,$I$66:$DJ$120,ROWS($A$10:$A10)+2,FALSE)</f>
        <v>49732</v>
      </c>
      <c r="S10" s="25">
        <f>HLOOKUP(S$7,$I$66:$DJ$120,ROWS($A$10:$A10)+2,FALSE)</f>
        <v>437202</v>
      </c>
      <c r="T10" s="25">
        <f>HLOOKUP(T$7,$I$66:$DJ$120,ROWS($A$10:$A10)+2,FALSE)</f>
        <v>248892</v>
      </c>
      <c r="U10" s="25">
        <f>HLOOKUP(U$7,$I$66:$DJ$120,ROWS($A$10:$A10)+2,FALSE)</f>
        <v>61940</v>
      </c>
      <c r="V10" s="25">
        <f>HLOOKUP(V$7,$I$66:$DJ$120,ROWS($A$10:$A10)+2,FALSE)</f>
        <v>57831</v>
      </c>
      <c r="W10" s="25">
        <f>HLOOKUP(W$7,$I$66:$DJ$120,ROWS($A$10:$A10)+2,FALSE)</f>
        <v>269008</v>
      </c>
      <c r="X10" s="25">
        <f>HLOOKUP(X$7,$I$66:$DJ$120,ROWS($A$10:$A10)+2,FALSE)</f>
        <v>143228</v>
      </c>
      <c r="Y10" s="25">
        <f>HLOOKUP(Y$7,$I$66:$DJ$120,ROWS($A$10:$A10)+2,FALSE)</f>
        <v>74516</v>
      </c>
      <c r="Z10" s="25">
        <f>HLOOKUP(Z$7,$I$66:$DJ$120,ROWS($A$10:$A10)+2,FALSE)</f>
        <v>94180</v>
      </c>
      <c r="AA10" s="25">
        <f>HLOOKUP(AA$7,$I$66:$DJ$120,ROWS($A$10:$A10)+2,FALSE)</f>
        <v>99256</v>
      </c>
      <c r="AB10" s="25">
        <f>HLOOKUP(AB$7,$I$66:$DJ$120,ROWS($A$10:$A10)+2,FALSE)</f>
        <v>86593</v>
      </c>
      <c r="AC10" s="25">
        <f>HLOOKUP(AC$7,$I$66:$DJ$120,ROWS($A$10:$A10)+2,FALSE)</f>
        <v>33729</v>
      </c>
      <c r="AD10" s="25">
        <f>HLOOKUP(AD$7,$I$66:$DJ$120,ROWS($A$10:$A10)+2,FALSE)</f>
        <v>165041</v>
      </c>
      <c r="AE10" s="25">
        <f>HLOOKUP(AE$7,$I$66:$DJ$120,ROWS($A$10:$A10)+2,FALSE)</f>
        <v>145869</v>
      </c>
      <c r="AF10" s="25">
        <f>HLOOKUP(AF$7,$I$66:$DJ$120,ROWS($A$10:$A10)+2,FALSE)</f>
        <v>186505</v>
      </c>
      <c r="AG10" s="25">
        <f>HLOOKUP(AG$7,$I$66:$DJ$120,ROWS($A$10:$A10)+2,FALSE)</f>
        <v>103253</v>
      </c>
      <c r="AH10" s="25">
        <f>HLOOKUP(AH$7,$I$66:$DJ$120,ROWS($A$10:$A10)+2,FALSE)</f>
        <v>68597</v>
      </c>
      <c r="AI10" s="25">
        <f>HLOOKUP(AI$7,$I$66:$DJ$120,ROWS($A$10:$A10)+2,FALSE)</f>
        <v>138404</v>
      </c>
      <c r="AJ10" s="25">
        <f>HLOOKUP(AJ$7,$I$66:$DJ$120,ROWS($A$10:$A10)+2,FALSE)</f>
        <v>31204</v>
      </c>
      <c r="AK10" s="25">
        <f>HLOOKUP(AK$7,$I$66:$DJ$120,ROWS($A$10:$A10)+2,FALSE)</f>
        <v>52809</v>
      </c>
      <c r="AL10" s="25">
        <f>HLOOKUP(AL$7,$I$66:$DJ$120,ROWS($A$10:$A10)+2,FALSE)</f>
        <v>115943</v>
      </c>
      <c r="AM10" s="25">
        <f>HLOOKUP(AM$7,$I$66:$DJ$120,ROWS($A$10:$A10)+2,FALSE)</f>
        <v>43277</v>
      </c>
      <c r="AN10" s="25">
        <f>HLOOKUP(AN$7,$I$66:$DJ$120,ROWS($A$10:$A10)+2,FALSE)</f>
        <v>216369</v>
      </c>
      <c r="AO10" s="25">
        <f>HLOOKUP(AO$7,$I$66:$DJ$120,ROWS($A$10:$A10)+2,FALSE)</f>
        <v>61431</v>
      </c>
      <c r="AP10" s="25">
        <f>HLOOKUP(AP$7,$I$66:$DJ$120,ROWS($A$10:$A10)+2,FALSE)</f>
        <v>377800</v>
      </c>
      <c r="AQ10" s="25">
        <f>HLOOKUP(AQ$7,$I$66:$DJ$120,ROWS($A$10:$A10)+2,FALSE)</f>
        <v>225147</v>
      </c>
      <c r="AR10" s="25">
        <f>HLOOKUP(AR$7,$I$66:$DJ$120,ROWS($A$10:$A10)+2,FALSE)</f>
        <v>26563</v>
      </c>
      <c r="AS10" s="25">
        <f>HLOOKUP(AS$7,$I$66:$DJ$120,ROWS($A$10:$A10)+2,FALSE)</f>
        <v>206049</v>
      </c>
      <c r="AT10" s="25">
        <f>HLOOKUP(AT$7,$I$66:$DJ$120,ROWS($A$10:$A10)+2,FALSE)</f>
        <v>81009</v>
      </c>
      <c r="AU10" s="25">
        <f>HLOOKUP(AU$7,$I$66:$DJ$120,ROWS($A$10:$A10)+2,FALSE)</f>
        <v>109795</v>
      </c>
      <c r="AV10" s="25">
        <f>HLOOKUP(AV$7,$I$66:$DJ$120,ROWS($A$10:$A10)+2,FALSE)</f>
        <v>215127</v>
      </c>
      <c r="AW10" s="25">
        <f>HLOOKUP(AW$7,$I$66:$DJ$120,ROWS($A$10:$A10)+2,FALSE)</f>
        <v>31065</v>
      </c>
      <c r="AX10" s="25">
        <f>HLOOKUP(AX$7,$I$66:$DJ$120,ROWS($A$10:$A10)+2,FALSE)</f>
        <v>121426</v>
      </c>
      <c r="AY10" s="25">
        <f>HLOOKUP(AY$7,$I$66:$DJ$120,ROWS($A$10:$A10)+2,FALSE)</f>
        <v>29383</v>
      </c>
      <c r="AZ10" s="25">
        <f>HLOOKUP(AZ$7,$I$66:$DJ$120,ROWS($A$10:$A10)+2,FALSE)</f>
        <v>154243</v>
      </c>
      <c r="BA10" s="25">
        <f>HLOOKUP(BA$7,$I$66:$DJ$120,ROWS($A$10:$A10)+2,FALSE)</f>
        <v>404839</v>
      </c>
      <c r="BB10" s="25">
        <f>HLOOKUP(BB$7,$I$66:$DJ$120,ROWS($A$10:$A10)+2,FALSE)</f>
        <v>73211</v>
      </c>
      <c r="BC10" s="25">
        <f>HLOOKUP(BC$7,$I$66:$DJ$120,ROWS($A$10:$A10)+2,FALSE)</f>
        <v>18172</v>
      </c>
      <c r="BD10" s="25">
        <f>HLOOKUP(BD$7,$I$66:$DJ$120,ROWS($A$10:$A10)+2,FALSE)</f>
        <v>229227</v>
      </c>
      <c r="BE10" s="25">
        <f>HLOOKUP(BE$7,$I$66:$DJ$120,ROWS($A$10:$A10)+2,FALSE)</f>
        <v>190644</v>
      </c>
      <c r="BF10" s="25">
        <f>HLOOKUP(BF$7,$I$66:$DJ$120,ROWS($A$10:$A10)+2,FALSE)</f>
        <v>45956</v>
      </c>
      <c r="BG10" s="25">
        <f>HLOOKUP(BG$7,$I$66:$DJ$120,ROWS($A$10:$A10)+2,FALSE)</f>
        <v>105370</v>
      </c>
      <c r="BH10" s="25">
        <f>HLOOKUP(BH$7,$I$66:$DJ$120,ROWS($A$10:$A10)+2,FALSE)</f>
        <v>31991</v>
      </c>
      <c r="BI10" s="25">
        <f>HLOOKUP(BI$7,$I$66:$DJ$120,ROWS($A$10:$A10)+2,FALSE)</f>
        <v>76218</v>
      </c>
      <c r="BJ10" s="34">
        <f>HLOOKUP(BJ$7+0.5,$I$66:$DJ$120,ROWS($A$10:$A10)+2,FALSE)</f>
        <v>77858</v>
      </c>
      <c r="BK10" s="34">
        <f>HLOOKUP(BK$7+0.5,$I$66:$DJ$120,ROWS($A$10:$A10)+2,FALSE)</f>
        <v>10575</v>
      </c>
      <c r="BL10" s="34">
        <f>HLOOKUP(BL$7+0.5,$I$66:$DJ$120,ROWS($A$10:$A10)+2,FALSE)</f>
        <v>10161</v>
      </c>
      <c r="BM10" s="34">
        <f>HLOOKUP(BM$7+0.5,$I$66:$DJ$120,ROWS($A$10:$A10)+2,FALSE)</f>
        <v>17644</v>
      </c>
      <c r="BN10" s="34">
        <f>HLOOKUP(BN$7+0.5,$I$66:$DJ$120,ROWS($A$10:$A10)+2,FALSE)</f>
        <v>6899</v>
      </c>
      <c r="BO10" s="34">
        <f>HLOOKUP(BO$7+0.5,$I$66:$DJ$120,ROWS($A$10:$A10)+2,FALSE)</f>
        <v>20646</v>
      </c>
      <c r="BP10" s="34">
        <f>HLOOKUP(BP$7+0.5,$I$66:$DJ$120,ROWS($A$10:$A10)+2,FALSE)</f>
        <v>10427</v>
      </c>
      <c r="BQ10" s="34">
        <f>HLOOKUP(BQ$7+0.5,$I$66:$DJ$120,ROWS($A$10:$A10)+2,FALSE)</f>
        <v>7653</v>
      </c>
      <c r="BR10" s="34">
        <f>HLOOKUP(BR$7+0.5,$I$66:$DJ$120,ROWS($A$10:$A10)+2,FALSE)</f>
        <v>3629</v>
      </c>
      <c r="BS10" s="34">
        <f>HLOOKUP(BS$7+0.5,$I$66:$DJ$120,ROWS($A$10:$A10)+2,FALSE)</f>
        <v>4949</v>
      </c>
      <c r="BT10" s="34">
        <f>HLOOKUP(BT$7+0.5,$I$66:$DJ$120,ROWS($A$10:$A10)+2,FALSE)</f>
        <v>19015</v>
      </c>
      <c r="BU10" s="34">
        <f>HLOOKUP(BU$7+0.5,$I$66:$DJ$120,ROWS($A$10:$A10)+2,FALSE)</f>
        <v>13318</v>
      </c>
      <c r="BV10" s="34">
        <f>HLOOKUP(BV$7+0.5,$I$66:$DJ$120,ROWS($A$10:$A10)+2,FALSE)</f>
        <v>7295</v>
      </c>
      <c r="BW10" s="34">
        <f>HLOOKUP(BW$7+0.5,$I$66:$DJ$120,ROWS($A$10:$A10)+2,FALSE)</f>
        <v>7401</v>
      </c>
      <c r="BX10" s="34">
        <f>HLOOKUP(BX$7+0.5,$I$66:$DJ$120,ROWS($A$10:$A10)+2,FALSE)</f>
        <v>13750</v>
      </c>
      <c r="BY10" s="34">
        <f>HLOOKUP(BY$7+0.5,$I$66:$DJ$120,ROWS($A$10:$A10)+2,FALSE)</f>
        <v>10568</v>
      </c>
      <c r="BZ10" s="34">
        <f>HLOOKUP(BZ$7+0.5,$I$66:$DJ$120,ROWS($A$10:$A10)+2,FALSE)</f>
        <v>6398</v>
      </c>
      <c r="CA10" s="34">
        <f>HLOOKUP(CA$7+0.5,$I$66:$DJ$120,ROWS($A$10:$A10)+2,FALSE)</f>
        <v>10699</v>
      </c>
      <c r="CB10" s="34">
        <f>HLOOKUP(CB$7+0.5,$I$66:$DJ$120,ROWS($A$10:$A10)+2,FALSE)</f>
        <v>7329</v>
      </c>
      <c r="CC10" s="34">
        <f>HLOOKUP(CC$7+0.5,$I$66:$DJ$120,ROWS($A$10:$A10)+2,FALSE)</f>
        <v>8952</v>
      </c>
      <c r="CD10" s="34">
        <f>HLOOKUP(CD$7+0.5,$I$66:$DJ$120,ROWS($A$10:$A10)+2,FALSE)</f>
        <v>4154</v>
      </c>
      <c r="CE10" s="34">
        <f>HLOOKUP(CE$7+0.5,$I$66:$DJ$120,ROWS($A$10:$A10)+2,FALSE)</f>
        <v>11278</v>
      </c>
      <c r="CF10" s="34">
        <f>HLOOKUP(CF$7+0.5,$I$66:$DJ$120,ROWS($A$10:$A10)+2,FALSE)</f>
        <v>10414</v>
      </c>
      <c r="CG10" s="34">
        <f>HLOOKUP(CG$7+0.5,$I$66:$DJ$120,ROWS($A$10:$A10)+2,FALSE)</f>
        <v>13304</v>
      </c>
      <c r="CH10" s="34">
        <f>HLOOKUP(CH$7+0.5,$I$66:$DJ$120,ROWS($A$10:$A10)+2,FALSE)</f>
        <v>6978</v>
      </c>
      <c r="CI10" s="34">
        <f>HLOOKUP(CI$7+0.5,$I$66:$DJ$120,ROWS($A$10:$A10)+2,FALSE)</f>
        <v>7559</v>
      </c>
      <c r="CJ10" s="34">
        <f>HLOOKUP(CJ$7+0.5,$I$66:$DJ$120,ROWS($A$10:$A10)+2,FALSE)</f>
        <v>11145</v>
      </c>
      <c r="CK10" s="34">
        <f>HLOOKUP(CK$7+0.5,$I$66:$DJ$120,ROWS($A$10:$A10)+2,FALSE)</f>
        <v>4179</v>
      </c>
      <c r="CL10" s="34">
        <f>HLOOKUP(CL$7+0.5,$I$66:$DJ$120,ROWS($A$10:$A10)+2,FALSE)</f>
        <v>6362</v>
      </c>
      <c r="CM10" s="34">
        <f>HLOOKUP(CM$7+0.5,$I$66:$DJ$120,ROWS($A$10:$A10)+2,FALSE)</f>
        <v>8686</v>
      </c>
      <c r="CN10" s="34">
        <f>HLOOKUP(CN$7+0.5,$I$66:$DJ$120,ROWS($A$10:$A10)+2,FALSE)</f>
        <v>4875</v>
      </c>
      <c r="CO10" s="34">
        <f>HLOOKUP(CO$7+0.5,$I$66:$DJ$120,ROWS($A$10:$A10)+2,FALSE)</f>
        <v>12474</v>
      </c>
      <c r="CP10" s="34">
        <f>HLOOKUP(CP$7+0.5,$I$66:$DJ$120,ROWS($A$10:$A10)+2,FALSE)</f>
        <v>5579</v>
      </c>
      <c r="CQ10" s="34">
        <f>HLOOKUP(CQ$7+0.5,$I$66:$DJ$120,ROWS($A$10:$A10)+2,FALSE)</f>
        <v>15333</v>
      </c>
      <c r="CR10" s="34">
        <f>HLOOKUP(CR$7+0.5,$I$66:$DJ$120,ROWS($A$10:$A10)+2,FALSE)</f>
        <v>14191</v>
      </c>
      <c r="CS10" s="34">
        <f>HLOOKUP(CS$7+0.5,$I$66:$DJ$120,ROWS($A$10:$A10)+2,FALSE)</f>
        <v>3090</v>
      </c>
      <c r="CT10" s="34">
        <f>HLOOKUP(CT$7+0.5,$I$66:$DJ$120,ROWS($A$10:$A10)+2,FALSE)</f>
        <v>11406</v>
      </c>
      <c r="CU10" s="34">
        <f>HLOOKUP(CU$7+0.5,$I$66:$DJ$120,ROWS($A$10:$A10)+2,FALSE)</f>
        <v>8616</v>
      </c>
      <c r="CV10" s="34">
        <f>HLOOKUP(CV$7+0.5,$I$66:$DJ$120,ROWS($A$10:$A10)+2,FALSE)</f>
        <v>8590</v>
      </c>
      <c r="CW10" s="34">
        <f>HLOOKUP(CW$7+0.5,$I$66:$DJ$120,ROWS($A$10:$A10)+2,FALSE)</f>
        <v>11482</v>
      </c>
      <c r="CX10" s="34">
        <f>HLOOKUP(CX$7+0.5,$I$66:$DJ$120,ROWS($A$10:$A10)+2,FALSE)</f>
        <v>4192</v>
      </c>
      <c r="CY10" s="34">
        <f>HLOOKUP(CY$7+0.5,$I$66:$DJ$120,ROWS($A$10:$A10)+2,FALSE)</f>
        <v>9952</v>
      </c>
      <c r="CZ10" s="34">
        <f>HLOOKUP(CZ$7+0.5,$I$66:$DJ$120,ROWS($A$10:$A10)+2,FALSE)</f>
        <v>4358</v>
      </c>
      <c r="DA10" s="34">
        <f>HLOOKUP(DA$7+0.5,$I$66:$DJ$120,ROWS($A$10:$A10)+2,FALSE)</f>
        <v>9679</v>
      </c>
      <c r="DB10" s="34">
        <f>HLOOKUP(DB$7+0.5,$I$66:$DJ$120,ROWS($A$10:$A10)+2,FALSE)</f>
        <v>17998</v>
      </c>
      <c r="DC10" s="34">
        <f>HLOOKUP(DC$7+0.5,$I$66:$DJ$120,ROWS($A$10:$A10)+2,FALSE)</f>
        <v>7130</v>
      </c>
      <c r="DD10" s="34">
        <f>HLOOKUP(DD$7+0.5,$I$66:$DJ$120,ROWS($A$10:$A10)+2,FALSE)</f>
        <v>2845</v>
      </c>
      <c r="DE10" s="34">
        <f>HLOOKUP(DE$7+0.5,$I$66:$DJ$120,ROWS($A$10:$A10)+2,FALSE)</f>
        <v>11582</v>
      </c>
      <c r="DF10" s="34">
        <f>HLOOKUP(DF$7+0.5,$I$66:$DJ$120,ROWS($A$10:$A10)+2,FALSE)</f>
        <v>11567</v>
      </c>
      <c r="DG10" s="34">
        <f>HLOOKUP(DG$7+0.5,$I$66:$DJ$120,ROWS($A$10:$A10)+2,FALSE)</f>
        <v>5684</v>
      </c>
      <c r="DH10" s="34">
        <f>HLOOKUP(DH$7+0.5,$I$66:$DJ$120,ROWS($A$10:$A10)+2,FALSE)</f>
        <v>8011</v>
      </c>
      <c r="DI10" s="34">
        <f>HLOOKUP(DI$7+0.5,$I$66:$DJ$120,ROWS($A$10:$A10)+2,FALSE)</f>
        <v>4631</v>
      </c>
      <c r="DJ10" s="34">
        <f>HLOOKUP(DJ$7+0.5,$I$66:$DJ$120,ROWS($A$10:$A10)+2,FALSE)</f>
        <v>8799</v>
      </c>
    </row>
    <row r="11" spans="2:120" x14ac:dyDescent="0.25">
      <c r="B11" s="38" t="s">
        <v>7</v>
      </c>
      <c r="C11" s="16">
        <v>4745278</v>
      </c>
      <c r="D11" s="17">
        <v>4078</v>
      </c>
      <c r="E11" s="16">
        <v>4024442</v>
      </c>
      <c r="F11" s="17">
        <v>22751</v>
      </c>
      <c r="G11" s="16">
        <v>588293</v>
      </c>
      <c r="H11" s="17">
        <v>20366</v>
      </c>
      <c r="I11" s="36">
        <f>HLOOKUP(I$7,$I$66:$DJ$120,ROWS($A$10:$A11)+2,FALSE)</f>
        <v>117726</v>
      </c>
      <c r="J11" s="25" t="str">
        <f>HLOOKUP(J$7,$I$66:$DJ$120,ROWS($A$10:$A11)+2,FALSE)</f>
        <v>N/A</v>
      </c>
      <c r="K11" s="25">
        <f>HLOOKUP(K$7,$I$66:$DJ$120,ROWS($A$10:$A11)+2,FALSE)</f>
        <v>1771</v>
      </c>
      <c r="L11" s="25">
        <f>HLOOKUP(L$7,$I$66:$DJ$120,ROWS($A$10:$A11)+2,FALSE)</f>
        <v>1677</v>
      </c>
      <c r="M11" s="25">
        <f>HLOOKUP(M$7,$I$66:$DJ$120,ROWS($A$10:$A11)+2,FALSE)</f>
        <v>1642</v>
      </c>
      <c r="N11" s="25">
        <f>HLOOKUP(N$7,$I$66:$DJ$120,ROWS($A$10:$A11)+2,FALSE)</f>
        <v>3389</v>
      </c>
      <c r="O11" s="25">
        <f>HLOOKUP(O$7,$I$66:$DJ$120,ROWS($A$10:$A11)+2,FALSE)</f>
        <v>348</v>
      </c>
      <c r="P11" s="25">
        <f>HLOOKUP(P$7,$I$66:$DJ$120,ROWS($A$10:$A11)+2,FALSE)</f>
        <v>2921</v>
      </c>
      <c r="Q11" s="25">
        <f>HLOOKUP(Q$7,$I$66:$DJ$120,ROWS($A$10:$A11)+2,FALSE)</f>
        <v>232</v>
      </c>
      <c r="R11" s="25">
        <f>HLOOKUP(R$7,$I$66:$DJ$120,ROWS($A$10:$A11)+2,FALSE)</f>
        <v>399</v>
      </c>
      <c r="S11" s="25">
        <f>HLOOKUP(S$7,$I$66:$DJ$120,ROWS($A$10:$A11)+2,FALSE)</f>
        <v>20063</v>
      </c>
      <c r="T11" s="25">
        <f>HLOOKUP(T$7,$I$66:$DJ$120,ROWS($A$10:$A11)+2,FALSE)</f>
        <v>19346</v>
      </c>
      <c r="U11" s="25">
        <f>HLOOKUP(U$7,$I$66:$DJ$120,ROWS($A$10:$A11)+2,FALSE)</f>
        <v>1259</v>
      </c>
      <c r="V11" s="25">
        <f>HLOOKUP(V$7,$I$66:$DJ$120,ROWS($A$10:$A11)+2,FALSE)</f>
        <v>137</v>
      </c>
      <c r="W11" s="25">
        <f>HLOOKUP(W$7,$I$66:$DJ$120,ROWS($A$10:$A11)+2,FALSE)</f>
        <v>6991</v>
      </c>
      <c r="X11" s="25">
        <f>HLOOKUP(X$7,$I$66:$DJ$120,ROWS($A$10:$A11)+2,FALSE)</f>
        <v>1434</v>
      </c>
      <c r="Y11" s="25">
        <f>HLOOKUP(Y$7,$I$66:$DJ$120,ROWS($A$10:$A11)+2,FALSE)</f>
        <v>30</v>
      </c>
      <c r="Z11" s="25">
        <f>HLOOKUP(Z$7,$I$66:$DJ$120,ROWS($A$10:$A11)+2,FALSE)</f>
        <v>842</v>
      </c>
      <c r="AA11" s="25">
        <f>HLOOKUP(AA$7,$I$66:$DJ$120,ROWS($A$10:$A11)+2,FALSE)</f>
        <v>2686</v>
      </c>
      <c r="AB11" s="25">
        <f>HLOOKUP(AB$7,$I$66:$DJ$120,ROWS($A$10:$A11)+2,FALSE)</f>
        <v>2413</v>
      </c>
      <c r="AC11" s="25">
        <f>HLOOKUP(AC$7,$I$66:$DJ$120,ROWS($A$10:$A11)+2,FALSE)</f>
        <v>626</v>
      </c>
      <c r="AD11" s="25">
        <f>HLOOKUP(AD$7,$I$66:$DJ$120,ROWS($A$10:$A11)+2,FALSE)</f>
        <v>1606</v>
      </c>
      <c r="AE11" s="25">
        <f>HLOOKUP(AE$7,$I$66:$DJ$120,ROWS($A$10:$A11)+2,FALSE)</f>
        <v>112</v>
      </c>
      <c r="AF11" s="25">
        <f>HLOOKUP(AF$7,$I$66:$DJ$120,ROWS($A$10:$A11)+2,FALSE)</f>
        <v>2797</v>
      </c>
      <c r="AG11" s="25">
        <f>HLOOKUP(AG$7,$I$66:$DJ$120,ROWS($A$10:$A11)+2,FALSE)</f>
        <v>327</v>
      </c>
      <c r="AH11" s="25">
        <f>HLOOKUP(AH$7,$I$66:$DJ$120,ROWS($A$10:$A11)+2,FALSE)</f>
        <v>3945</v>
      </c>
      <c r="AI11" s="25">
        <f>HLOOKUP(AI$7,$I$66:$DJ$120,ROWS($A$10:$A11)+2,FALSE)</f>
        <v>1086</v>
      </c>
      <c r="AJ11" s="25">
        <f>HLOOKUP(AJ$7,$I$66:$DJ$120,ROWS($A$10:$A11)+2,FALSE)</f>
        <v>317</v>
      </c>
      <c r="AK11" s="25">
        <f>HLOOKUP(AK$7,$I$66:$DJ$120,ROWS($A$10:$A11)+2,FALSE)</f>
        <v>770</v>
      </c>
      <c r="AL11" s="25">
        <f>HLOOKUP(AL$7,$I$66:$DJ$120,ROWS($A$10:$A11)+2,FALSE)</f>
        <v>257</v>
      </c>
      <c r="AM11" s="25">
        <f>HLOOKUP(AM$7,$I$66:$DJ$120,ROWS($A$10:$A11)+2,FALSE)</f>
        <v>64</v>
      </c>
      <c r="AN11" s="25">
        <f>HLOOKUP(AN$7,$I$66:$DJ$120,ROWS($A$10:$A11)+2,FALSE)</f>
        <v>1996</v>
      </c>
      <c r="AO11" s="25">
        <f>HLOOKUP(AO$7,$I$66:$DJ$120,ROWS($A$10:$A11)+2,FALSE)</f>
        <v>119</v>
      </c>
      <c r="AP11" s="25">
        <f>HLOOKUP(AP$7,$I$66:$DJ$120,ROWS($A$10:$A11)+2,FALSE)</f>
        <v>1108</v>
      </c>
      <c r="AQ11" s="25">
        <f>HLOOKUP(AQ$7,$I$66:$DJ$120,ROWS($A$10:$A11)+2,FALSE)</f>
        <v>2697</v>
      </c>
      <c r="AR11" s="25">
        <f>HLOOKUP(AR$7,$I$66:$DJ$120,ROWS($A$10:$A11)+2,FALSE)</f>
        <v>284</v>
      </c>
      <c r="AS11" s="25">
        <f>HLOOKUP(AS$7,$I$66:$DJ$120,ROWS($A$10:$A11)+2,FALSE)</f>
        <v>2596</v>
      </c>
      <c r="AT11" s="25">
        <f>HLOOKUP(AT$7,$I$66:$DJ$120,ROWS($A$10:$A11)+2,FALSE)</f>
        <v>973</v>
      </c>
      <c r="AU11" s="25">
        <f>HLOOKUP(AU$7,$I$66:$DJ$120,ROWS($A$10:$A11)+2,FALSE)</f>
        <v>169</v>
      </c>
      <c r="AV11" s="25">
        <f>HLOOKUP(AV$7,$I$66:$DJ$120,ROWS($A$10:$A11)+2,FALSE)</f>
        <v>1075</v>
      </c>
      <c r="AW11" s="25">
        <f>HLOOKUP(AW$7,$I$66:$DJ$120,ROWS($A$10:$A11)+2,FALSE)</f>
        <v>0</v>
      </c>
      <c r="AX11" s="25">
        <f>HLOOKUP(AX$7,$I$66:$DJ$120,ROWS($A$10:$A11)+2,FALSE)</f>
        <v>2036</v>
      </c>
      <c r="AY11" s="25">
        <f>HLOOKUP(AY$7,$I$66:$DJ$120,ROWS($A$10:$A11)+2,FALSE)</f>
        <v>90</v>
      </c>
      <c r="AZ11" s="25">
        <f>HLOOKUP(AZ$7,$I$66:$DJ$120,ROWS($A$10:$A11)+2,FALSE)</f>
        <v>8710</v>
      </c>
      <c r="BA11" s="25">
        <f>HLOOKUP(BA$7,$I$66:$DJ$120,ROWS($A$10:$A11)+2,FALSE)</f>
        <v>7973</v>
      </c>
      <c r="BB11" s="25">
        <f>HLOOKUP(BB$7,$I$66:$DJ$120,ROWS($A$10:$A11)+2,FALSE)</f>
        <v>300</v>
      </c>
      <c r="BC11" s="25">
        <f>HLOOKUP(BC$7,$I$66:$DJ$120,ROWS($A$10:$A11)+2,FALSE)</f>
        <v>66</v>
      </c>
      <c r="BD11" s="25">
        <f>HLOOKUP(BD$7,$I$66:$DJ$120,ROWS($A$10:$A11)+2,FALSE)</f>
        <v>4935</v>
      </c>
      <c r="BE11" s="25">
        <f>HLOOKUP(BE$7,$I$66:$DJ$120,ROWS($A$10:$A11)+2,FALSE)</f>
        <v>2621</v>
      </c>
      <c r="BF11" s="25">
        <f>HLOOKUP(BF$7,$I$66:$DJ$120,ROWS($A$10:$A11)+2,FALSE)</f>
        <v>65</v>
      </c>
      <c r="BG11" s="25">
        <f>HLOOKUP(BG$7,$I$66:$DJ$120,ROWS($A$10:$A11)+2,FALSE)</f>
        <v>417</v>
      </c>
      <c r="BH11" s="25">
        <f>HLOOKUP(BH$7,$I$66:$DJ$120,ROWS($A$10:$A11)+2,FALSE)</f>
        <v>9</v>
      </c>
      <c r="BI11" s="25">
        <f>HLOOKUP(BI$7,$I$66:$DJ$120,ROWS($A$10:$A11)+2,FALSE)</f>
        <v>569</v>
      </c>
      <c r="BJ11" s="34">
        <f>HLOOKUP(BJ$7+0.5,$I$66:$DJ$120,ROWS($A$10:$A11)+2,FALSE)</f>
        <v>9414</v>
      </c>
      <c r="BK11" s="34" t="str">
        <f>HLOOKUP(BK$7+0.5,$I$66:$DJ$120,ROWS($A$10:$A11)+2,FALSE)</f>
        <v>N/A</v>
      </c>
      <c r="BL11" s="34">
        <f>HLOOKUP(BL$7+0.5,$I$66:$DJ$120,ROWS($A$10:$A11)+2,FALSE)</f>
        <v>1098</v>
      </c>
      <c r="BM11" s="34">
        <f>HLOOKUP(BM$7+0.5,$I$66:$DJ$120,ROWS($A$10:$A11)+2,FALSE)</f>
        <v>1060</v>
      </c>
      <c r="BN11" s="34">
        <f>HLOOKUP(BN$7+0.5,$I$66:$DJ$120,ROWS($A$10:$A11)+2,FALSE)</f>
        <v>1063</v>
      </c>
      <c r="BO11" s="34">
        <f>HLOOKUP(BO$7+0.5,$I$66:$DJ$120,ROWS($A$10:$A11)+2,FALSE)</f>
        <v>1286</v>
      </c>
      <c r="BP11" s="34">
        <f>HLOOKUP(BP$7+0.5,$I$66:$DJ$120,ROWS($A$10:$A11)+2,FALSE)</f>
        <v>295</v>
      </c>
      <c r="BQ11" s="34">
        <f>HLOOKUP(BQ$7+0.5,$I$66:$DJ$120,ROWS($A$10:$A11)+2,FALSE)</f>
        <v>3231</v>
      </c>
      <c r="BR11" s="34">
        <f>HLOOKUP(BR$7+0.5,$I$66:$DJ$120,ROWS($A$10:$A11)+2,FALSE)</f>
        <v>301</v>
      </c>
      <c r="BS11" s="34">
        <f>HLOOKUP(BS$7+0.5,$I$66:$DJ$120,ROWS($A$10:$A11)+2,FALSE)</f>
        <v>359</v>
      </c>
      <c r="BT11" s="34">
        <f>HLOOKUP(BT$7+0.5,$I$66:$DJ$120,ROWS($A$10:$A11)+2,FALSE)</f>
        <v>4141</v>
      </c>
      <c r="BU11" s="34">
        <f>HLOOKUP(BU$7+0.5,$I$66:$DJ$120,ROWS($A$10:$A11)+2,FALSE)</f>
        <v>3711</v>
      </c>
      <c r="BV11" s="34">
        <f>HLOOKUP(BV$7+0.5,$I$66:$DJ$120,ROWS($A$10:$A11)+2,FALSE)</f>
        <v>1292</v>
      </c>
      <c r="BW11" s="34">
        <f>HLOOKUP(BW$7+0.5,$I$66:$DJ$120,ROWS($A$10:$A11)+2,FALSE)</f>
        <v>173</v>
      </c>
      <c r="BX11" s="34">
        <f>HLOOKUP(BX$7+0.5,$I$66:$DJ$120,ROWS($A$10:$A11)+2,FALSE)</f>
        <v>3376</v>
      </c>
      <c r="BY11" s="34">
        <f>HLOOKUP(BY$7+0.5,$I$66:$DJ$120,ROWS($A$10:$A11)+2,FALSE)</f>
        <v>634</v>
      </c>
      <c r="BZ11" s="34">
        <f>HLOOKUP(BZ$7+0.5,$I$66:$DJ$120,ROWS($A$10:$A11)+2,FALSE)</f>
        <v>52</v>
      </c>
      <c r="CA11" s="34">
        <f>HLOOKUP(CA$7+0.5,$I$66:$DJ$120,ROWS($A$10:$A11)+2,FALSE)</f>
        <v>632</v>
      </c>
      <c r="CB11" s="34">
        <f>HLOOKUP(CB$7+0.5,$I$66:$DJ$120,ROWS($A$10:$A11)+2,FALSE)</f>
        <v>856</v>
      </c>
      <c r="CC11" s="34">
        <f>HLOOKUP(CC$7+0.5,$I$66:$DJ$120,ROWS($A$10:$A11)+2,FALSE)</f>
        <v>972</v>
      </c>
      <c r="CD11" s="34">
        <f>HLOOKUP(CD$7+0.5,$I$66:$DJ$120,ROWS($A$10:$A11)+2,FALSE)</f>
        <v>378</v>
      </c>
      <c r="CE11" s="34">
        <f>HLOOKUP(CE$7+0.5,$I$66:$DJ$120,ROWS($A$10:$A11)+2,FALSE)</f>
        <v>987</v>
      </c>
      <c r="CF11" s="34">
        <f>HLOOKUP(CF$7+0.5,$I$66:$DJ$120,ROWS($A$10:$A11)+2,FALSE)</f>
        <v>146</v>
      </c>
      <c r="CG11" s="34">
        <f>HLOOKUP(CG$7+0.5,$I$66:$DJ$120,ROWS($A$10:$A11)+2,FALSE)</f>
        <v>1250</v>
      </c>
      <c r="CH11" s="34">
        <f>HLOOKUP(CH$7+0.5,$I$66:$DJ$120,ROWS($A$10:$A11)+2,FALSE)</f>
        <v>342</v>
      </c>
      <c r="CI11" s="34">
        <f>HLOOKUP(CI$7+0.5,$I$66:$DJ$120,ROWS($A$10:$A11)+2,FALSE)</f>
        <v>1492</v>
      </c>
      <c r="CJ11" s="34">
        <f>HLOOKUP(CJ$7+0.5,$I$66:$DJ$120,ROWS($A$10:$A11)+2,FALSE)</f>
        <v>536</v>
      </c>
      <c r="CK11" s="34">
        <f>HLOOKUP(CK$7+0.5,$I$66:$DJ$120,ROWS($A$10:$A11)+2,FALSE)</f>
        <v>463</v>
      </c>
      <c r="CL11" s="34">
        <f>HLOOKUP(CL$7+0.5,$I$66:$DJ$120,ROWS($A$10:$A11)+2,FALSE)</f>
        <v>638</v>
      </c>
      <c r="CM11" s="34">
        <f>HLOOKUP(CM$7+0.5,$I$66:$DJ$120,ROWS($A$10:$A11)+2,FALSE)</f>
        <v>333</v>
      </c>
      <c r="CN11" s="34">
        <f>HLOOKUP(CN$7+0.5,$I$66:$DJ$120,ROWS($A$10:$A11)+2,FALSE)</f>
        <v>109</v>
      </c>
      <c r="CO11" s="34">
        <f>HLOOKUP(CO$7+0.5,$I$66:$DJ$120,ROWS($A$10:$A11)+2,FALSE)</f>
        <v>2284</v>
      </c>
      <c r="CP11" s="34">
        <f>HLOOKUP(CP$7+0.5,$I$66:$DJ$120,ROWS($A$10:$A11)+2,FALSE)</f>
        <v>184</v>
      </c>
      <c r="CQ11" s="34">
        <f>HLOOKUP(CQ$7+0.5,$I$66:$DJ$120,ROWS($A$10:$A11)+2,FALSE)</f>
        <v>442</v>
      </c>
      <c r="CR11" s="34">
        <f>HLOOKUP(CR$7+0.5,$I$66:$DJ$120,ROWS($A$10:$A11)+2,FALSE)</f>
        <v>1820</v>
      </c>
      <c r="CS11" s="34">
        <f>HLOOKUP(CS$7+0.5,$I$66:$DJ$120,ROWS($A$10:$A11)+2,FALSE)</f>
        <v>333</v>
      </c>
      <c r="CT11" s="34">
        <f>HLOOKUP(CT$7+0.5,$I$66:$DJ$120,ROWS($A$10:$A11)+2,FALSE)</f>
        <v>958</v>
      </c>
      <c r="CU11" s="34">
        <f>HLOOKUP(CU$7+0.5,$I$66:$DJ$120,ROWS($A$10:$A11)+2,FALSE)</f>
        <v>840</v>
      </c>
      <c r="CV11" s="34">
        <f>HLOOKUP(CV$7+0.5,$I$66:$DJ$120,ROWS($A$10:$A11)+2,FALSE)</f>
        <v>182</v>
      </c>
      <c r="CW11" s="34">
        <f>HLOOKUP(CW$7+0.5,$I$66:$DJ$120,ROWS($A$10:$A11)+2,FALSE)</f>
        <v>474</v>
      </c>
      <c r="CX11" s="34">
        <f>HLOOKUP(CX$7+0.5,$I$66:$DJ$120,ROWS($A$10:$A11)+2,FALSE)</f>
        <v>190</v>
      </c>
      <c r="CY11" s="34">
        <f>HLOOKUP(CY$7+0.5,$I$66:$DJ$120,ROWS($A$10:$A11)+2,FALSE)</f>
        <v>973</v>
      </c>
      <c r="CZ11" s="34">
        <f>HLOOKUP(CZ$7+0.5,$I$66:$DJ$120,ROWS($A$10:$A11)+2,FALSE)</f>
        <v>98</v>
      </c>
      <c r="DA11" s="34">
        <f>HLOOKUP(DA$7+0.5,$I$66:$DJ$120,ROWS($A$10:$A11)+2,FALSE)</f>
        <v>2300</v>
      </c>
      <c r="DB11" s="34">
        <f>HLOOKUP(DB$7+0.5,$I$66:$DJ$120,ROWS($A$10:$A11)+2,FALSE)</f>
        <v>2240</v>
      </c>
      <c r="DC11" s="34">
        <f>HLOOKUP(DC$7+0.5,$I$66:$DJ$120,ROWS($A$10:$A11)+2,FALSE)</f>
        <v>390</v>
      </c>
      <c r="DD11" s="34">
        <f>HLOOKUP(DD$7+0.5,$I$66:$DJ$120,ROWS($A$10:$A11)+2,FALSE)</f>
        <v>108</v>
      </c>
      <c r="DE11" s="34">
        <f>HLOOKUP(DE$7+0.5,$I$66:$DJ$120,ROWS($A$10:$A11)+2,FALSE)</f>
        <v>2151</v>
      </c>
      <c r="DF11" s="34">
        <f>HLOOKUP(DF$7+0.5,$I$66:$DJ$120,ROWS($A$10:$A11)+2,FALSE)</f>
        <v>1272</v>
      </c>
      <c r="DG11" s="34">
        <f>HLOOKUP(DG$7+0.5,$I$66:$DJ$120,ROWS($A$10:$A11)+2,FALSE)</f>
        <v>110</v>
      </c>
      <c r="DH11" s="34">
        <f>HLOOKUP(DH$7+0.5,$I$66:$DJ$120,ROWS($A$10:$A11)+2,FALSE)</f>
        <v>457</v>
      </c>
      <c r="DI11" s="34">
        <f>HLOOKUP(DI$7+0.5,$I$66:$DJ$120,ROWS($A$10:$A11)+2,FALSE)</f>
        <v>15</v>
      </c>
      <c r="DJ11" s="34">
        <f>HLOOKUP(DJ$7+0.5,$I$66:$DJ$120,ROWS($A$10:$A11)+2,FALSE)</f>
        <v>601</v>
      </c>
    </row>
    <row r="12" spans="2:120" x14ac:dyDescent="0.25">
      <c r="B12" s="38" t="s">
        <v>8</v>
      </c>
      <c r="C12" s="16">
        <v>711962</v>
      </c>
      <c r="D12" s="17">
        <v>1401</v>
      </c>
      <c r="E12" s="16">
        <v>571857</v>
      </c>
      <c r="F12" s="17">
        <v>8892</v>
      </c>
      <c r="G12" s="16">
        <v>100280</v>
      </c>
      <c r="H12" s="17">
        <v>8388</v>
      </c>
      <c r="I12" s="36">
        <f>HLOOKUP(I$7,$I$66:$DJ$120,ROWS($A$10:$A12)+2,FALSE)</f>
        <v>35084</v>
      </c>
      <c r="J12" s="25">
        <f>HLOOKUP(J$7,$I$66:$DJ$120,ROWS($A$10:$A12)+2,FALSE)</f>
        <v>93</v>
      </c>
      <c r="K12" s="25" t="str">
        <f>HLOOKUP(K$7,$I$66:$DJ$120,ROWS($A$10:$A12)+2,FALSE)</f>
        <v>N/A</v>
      </c>
      <c r="L12" s="25">
        <f>HLOOKUP(L$7,$I$66:$DJ$120,ROWS($A$10:$A12)+2,FALSE)</f>
        <v>2467</v>
      </c>
      <c r="M12" s="25">
        <f>HLOOKUP(M$7,$I$66:$DJ$120,ROWS($A$10:$A12)+2,FALSE)</f>
        <v>190</v>
      </c>
      <c r="N12" s="25">
        <f>HLOOKUP(N$7,$I$66:$DJ$120,ROWS($A$10:$A12)+2,FALSE)</f>
        <v>3098</v>
      </c>
      <c r="O12" s="25">
        <f>HLOOKUP(O$7,$I$66:$DJ$120,ROWS($A$10:$A12)+2,FALSE)</f>
        <v>1583</v>
      </c>
      <c r="P12" s="25">
        <f>HLOOKUP(P$7,$I$66:$DJ$120,ROWS($A$10:$A12)+2,FALSE)</f>
        <v>138</v>
      </c>
      <c r="Q12" s="25">
        <f>HLOOKUP(Q$7,$I$66:$DJ$120,ROWS($A$10:$A12)+2,FALSE)</f>
        <v>11</v>
      </c>
      <c r="R12" s="25">
        <f>HLOOKUP(R$7,$I$66:$DJ$120,ROWS($A$10:$A12)+2,FALSE)</f>
        <v>140</v>
      </c>
      <c r="S12" s="25">
        <f>HLOOKUP(S$7,$I$66:$DJ$120,ROWS($A$10:$A12)+2,FALSE)</f>
        <v>1188</v>
      </c>
      <c r="T12" s="25">
        <f>HLOOKUP(T$7,$I$66:$DJ$120,ROWS($A$10:$A12)+2,FALSE)</f>
        <v>556</v>
      </c>
      <c r="U12" s="25">
        <f>HLOOKUP(U$7,$I$66:$DJ$120,ROWS($A$10:$A12)+2,FALSE)</f>
        <v>1366</v>
      </c>
      <c r="V12" s="25">
        <f>HLOOKUP(V$7,$I$66:$DJ$120,ROWS($A$10:$A12)+2,FALSE)</f>
        <v>475</v>
      </c>
      <c r="W12" s="25">
        <f>HLOOKUP(W$7,$I$66:$DJ$120,ROWS($A$10:$A12)+2,FALSE)</f>
        <v>985</v>
      </c>
      <c r="X12" s="25">
        <f>HLOOKUP(X$7,$I$66:$DJ$120,ROWS($A$10:$A12)+2,FALSE)</f>
        <v>181</v>
      </c>
      <c r="Y12" s="25">
        <f>HLOOKUP(Y$7,$I$66:$DJ$120,ROWS($A$10:$A12)+2,FALSE)</f>
        <v>319</v>
      </c>
      <c r="Z12" s="25">
        <f>HLOOKUP(Z$7,$I$66:$DJ$120,ROWS($A$10:$A12)+2,FALSE)</f>
        <v>750</v>
      </c>
      <c r="AA12" s="25">
        <f>HLOOKUP(AA$7,$I$66:$DJ$120,ROWS($A$10:$A12)+2,FALSE)</f>
        <v>237</v>
      </c>
      <c r="AB12" s="25">
        <f>HLOOKUP(AB$7,$I$66:$DJ$120,ROWS($A$10:$A12)+2,FALSE)</f>
        <v>1077</v>
      </c>
      <c r="AC12" s="25">
        <f>HLOOKUP(AC$7,$I$66:$DJ$120,ROWS($A$10:$A12)+2,FALSE)</f>
        <v>0</v>
      </c>
      <c r="AD12" s="25">
        <f>HLOOKUP(AD$7,$I$66:$DJ$120,ROWS($A$10:$A12)+2,FALSE)</f>
        <v>216</v>
      </c>
      <c r="AE12" s="25">
        <f>HLOOKUP(AE$7,$I$66:$DJ$120,ROWS($A$10:$A12)+2,FALSE)</f>
        <v>141</v>
      </c>
      <c r="AF12" s="25">
        <f>HLOOKUP(AF$7,$I$66:$DJ$120,ROWS($A$10:$A12)+2,FALSE)</f>
        <v>771</v>
      </c>
      <c r="AG12" s="25">
        <f>HLOOKUP(AG$7,$I$66:$DJ$120,ROWS($A$10:$A12)+2,FALSE)</f>
        <v>593</v>
      </c>
      <c r="AH12" s="25">
        <f>HLOOKUP(AH$7,$I$66:$DJ$120,ROWS($A$10:$A12)+2,FALSE)</f>
        <v>554</v>
      </c>
      <c r="AI12" s="25">
        <f>HLOOKUP(AI$7,$I$66:$DJ$120,ROWS($A$10:$A12)+2,FALSE)</f>
        <v>921</v>
      </c>
      <c r="AJ12" s="25">
        <f>HLOOKUP(AJ$7,$I$66:$DJ$120,ROWS($A$10:$A12)+2,FALSE)</f>
        <v>248</v>
      </c>
      <c r="AK12" s="25">
        <f>HLOOKUP(AK$7,$I$66:$DJ$120,ROWS($A$10:$A12)+2,FALSE)</f>
        <v>5</v>
      </c>
      <c r="AL12" s="25">
        <f>HLOOKUP(AL$7,$I$66:$DJ$120,ROWS($A$10:$A12)+2,FALSE)</f>
        <v>532</v>
      </c>
      <c r="AM12" s="25">
        <f>HLOOKUP(AM$7,$I$66:$DJ$120,ROWS($A$10:$A12)+2,FALSE)</f>
        <v>520</v>
      </c>
      <c r="AN12" s="25">
        <f>HLOOKUP(AN$7,$I$66:$DJ$120,ROWS($A$10:$A12)+2,FALSE)</f>
        <v>128</v>
      </c>
      <c r="AO12" s="25">
        <f>HLOOKUP(AO$7,$I$66:$DJ$120,ROWS($A$10:$A12)+2,FALSE)</f>
        <v>226</v>
      </c>
      <c r="AP12" s="25">
        <f>HLOOKUP(AP$7,$I$66:$DJ$120,ROWS($A$10:$A12)+2,FALSE)</f>
        <v>940</v>
      </c>
      <c r="AQ12" s="25">
        <f>HLOOKUP(AQ$7,$I$66:$DJ$120,ROWS($A$10:$A12)+2,FALSE)</f>
        <v>470</v>
      </c>
      <c r="AR12" s="25">
        <f>HLOOKUP(AR$7,$I$66:$DJ$120,ROWS($A$10:$A12)+2,FALSE)</f>
        <v>0</v>
      </c>
      <c r="AS12" s="25">
        <f>HLOOKUP(AS$7,$I$66:$DJ$120,ROWS($A$10:$A12)+2,FALSE)</f>
        <v>319</v>
      </c>
      <c r="AT12" s="25">
        <f>HLOOKUP(AT$7,$I$66:$DJ$120,ROWS($A$10:$A12)+2,FALSE)</f>
        <v>616</v>
      </c>
      <c r="AU12" s="25">
        <f>HLOOKUP(AU$7,$I$66:$DJ$120,ROWS($A$10:$A12)+2,FALSE)</f>
        <v>2161</v>
      </c>
      <c r="AV12" s="25">
        <f>HLOOKUP(AV$7,$I$66:$DJ$120,ROWS($A$10:$A12)+2,FALSE)</f>
        <v>378</v>
      </c>
      <c r="AW12" s="25">
        <f>HLOOKUP(AW$7,$I$66:$DJ$120,ROWS($A$10:$A12)+2,FALSE)</f>
        <v>0</v>
      </c>
      <c r="AX12" s="25">
        <f>HLOOKUP(AX$7,$I$66:$DJ$120,ROWS($A$10:$A12)+2,FALSE)</f>
        <v>186</v>
      </c>
      <c r="AY12" s="25">
        <f>HLOOKUP(AY$7,$I$66:$DJ$120,ROWS($A$10:$A12)+2,FALSE)</f>
        <v>301</v>
      </c>
      <c r="AZ12" s="25">
        <f>HLOOKUP(AZ$7,$I$66:$DJ$120,ROWS($A$10:$A12)+2,FALSE)</f>
        <v>388</v>
      </c>
      <c r="BA12" s="25">
        <f>HLOOKUP(BA$7,$I$66:$DJ$120,ROWS($A$10:$A12)+2,FALSE)</f>
        <v>2492</v>
      </c>
      <c r="BB12" s="25">
        <f>HLOOKUP(BB$7,$I$66:$DJ$120,ROWS($A$10:$A12)+2,FALSE)</f>
        <v>662</v>
      </c>
      <c r="BC12" s="25">
        <f>HLOOKUP(BC$7,$I$66:$DJ$120,ROWS($A$10:$A12)+2,FALSE)</f>
        <v>68</v>
      </c>
      <c r="BD12" s="25">
        <f>HLOOKUP(BD$7,$I$66:$DJ$120,ROWS($A$10:$A12)+2,FALSE)</f>
        <v>1488</v>
      </c>
      <c r="BE12" s="25">
        <f>HLOOKUP(BE$7,$I$66:$DJ$120,ROWS($A$10:$A12)+2,FALSE)</f>
        <v>4548</v>
      </c>
      <c r="BF12" s="25">
        <f>HLOOKUP(BF$7,$I$66:$DJ$120,ROWS($A$10:$A12)+2,FALSE)</f>
        <v>89</v>
      </c>
      <c r="BG12" s="25">
        <f>HLOOKUP(BG$7,$I$66:$DJ$120,ROWS($A$10:$A12)+2,FALSE)</f>
        <v>23</v>
      </c>
      <c r="BH12" s="25">
        <f>HLOOKUP(BH$7,$I$66:$DJ$120,ROWS($A$10:$A12)+2,FALSE)</f>
        <v>246</v>
      </c>
      <c r="BI12" s="25">
        <f>HLOOKUP(BI$7,$I$66:$DJ$120,ROWS($A$10:$A12)+2,FALSE)</f>
        <v>1044</v>
      </c>
      <c r="BJ12" s="34">
        <f>HLOOKUP(BJ$7+0.5,$I$66:$DJ$120,ROWS($A$10:$A12)+2,FALSE)</f>
        <v>4168</v>
      </c>
      <c r="BK12" s="34">
        <f>HLOOKUP(BK$7+0.5,$I$66:$DJ$120,ROWS($A$10:$A12)+2,FALSE)</f>
        <v>113</v>
      </c>
      <c r="BL12" s="34" t="str">
        <f>HLOOKUP(BL$7+0.5,$I$66:$DJ$120,ROWS($A$10:$A12)+2,FALSE)</f>
        <v>N/A</v>
      </c>
      <c r="BM12" s="34">
        <f>HLOOKUP(BM$7+0.5,$I$66:$DJ$120,ROWS($A$10:$A12)+2,FALSE)</f>
        <v>1902</v>
      </c>
      <c r="BN12" s="34">
        <f>HLOOKUP(BN$7+0.5,$I$66:$DJ$120,ROWS($A$10:$A12)+2,FALSE)</f>
        <v>258</v>
      </c>
      <c r="BO12" s="34">
        <f>HLOOKUP(BO$7+0.5,$I$66:$DJ$120,ROWS($A$10:$A12)+2,FALSE)</f>
        <v>1921</v>
      </c>
      <c r="BP12" s="34">
        <f>HLOOKUP(BP$7+0.5,$I$66:$DJ$120,ROWS($A$10:$A12)+2,FALSE)</f>
        <v>727</v>
      </c>
      <c r="BQ12" s="34">
        <f>HLOOKUP(BQ$7+0.5,$I$66:$DJ$120,ROWS($A$10:$A12)+2,FALSE)</f>
        <v>167</v>
      </c>
      <c r="BR12" s="34">
        <f>HLOOKUP(BR$7+0.5,$I$66:$DJ$120,ROWS($A$10:$A12)+2,FALSE)</f>
        <v>24</v>
      </c>
      <c r="BS12" s="34">
        <f>HLOOKUP(BS$7+0.5,$I$66:$DJ$120,ROWS($A$10:$A12)+2,FALSE)</f>
        <v>220</v>
      </c>
      <c r="BT12" s="34">
        <f>HLOOKUP(BT$7+0.5,$I$66:$DJ$120,ROWS($A$10:$A12)+2,FALSE)</f>
        <v>476</v>
      </c>
      <c r="BU12" s="34">
        <f>HLOOKUP(BU$7+0.5,$I$66:$DJ$120,ROWS($A$10:$A12)+2,FALSE)</f>
        <v>419</v>
      </c>
      <c r="BV12" s="34">
        <f>HLOOKUP(BV$7+0.5,$I$66:$DJ$120,ROWS($A$10:$A12)+2,FALSE)</f>
        <v>703</v>
      </c>
      <c r="BW12" s="34">
        <f>HLOOKUP(BW$7+0.5,$I$66:$DJ$120,ROWS($A$10:$A12)+2,FALSE)</f>
        <v>253</v>
      </c>
      <c r="BX12" s="34">
        <f>HLOOKUP(BX$7+0.5,$I$66:$DJ$120,ROWS($A$10:$A12)+2,FALSE)</f>
        <v>686</v>
      </c>
      <c r="BY12" s="34">
        <f>HLOOKUP(BY$7+0.5,$I$66:$DJ$120,ROWS($A$10:$A12)+2,FALSE)</f>
        <v>156</v>
      </c>
      <c r="BZ12" s="34">
        <f>HLOOKUP(BZ$7+0.5,$I$66:$DJ$120,ROWS($A$10:$A12)+2,FALSE)</f>
        <v>374</v>
      </c>
      <c r="CA12" s="34">
        <f>HLOOKUP(CA$7+0.5,$I$66:$DJ$120,ROWS($A$10:$A12)+2,FALSE)</f>
        <v>741</v>
      </c>
      <c r="CB12" s="34">
        <f>HLOOKUP(CB$7+0.5,$I$66:$DJ$120,ROWS($A$10:$A12)+2,FALSE)</f>
        <v>354</v>
      </c>
      <c r="CC12" s="34">
        <f>HLOOKUP(CC$7+0.5,$I$66:$DJ$120,ROWS($A$10:$A12)+2,FALSE)</f>
        <v>1276</v>
      </c>
      <c r="CD12" s="34">
        <f>HLOOKUP(CD$7+0.5,$I$66:$DJ$120,ROWS($A$10:$A12)+2,FALSE)</f>
        <v>149</v>
      </c>
      <c r="CE12" s="34">
        <f>HLOOKUP(CE$7+0.5,$I$66:$DJ$120,ROWS($A$10:$A12)+2,FALSE)</f>
        <v>155</v>
      </c>
      <c r="CF12" s="34">
        <f>HLOOKUP(CF$7+0.5,$I$66:$DJ$120,ROWS($A$10:$A12)+2,FALSE)</f>
        <v>120</v>
      </c>
      <c r="CG12" s="34">
        <f>HLOOKUP(CG$7+0.5,$I$66:$DJ$120,ROWS($A$10:$A12)+2,FALSE)</f>
        <v>435</v>
      </c>
      <c r="CH12" s="34">
        <f>HLOOKUP(CH$7+0.5,$I$66:$DJ$120,ROWS($A$10:$A12)+2,FALSE)</f>
        <v>568</v>
      </c>
      <c r="CI12" s="34">
        <f>HLOOKUP(CI$7+0.5,$I$66:$DJ$120,ROWS($A$10:$A12)+2,FALSE)</f>
        <v>904</v>
      </c>
      <c r="CJ12" s="34">
        <f>HLOOKUP(CJ$7+0.5,$I$66:$DJ$120,ROWS($A$10:$A12)+2,FALSE)</f>
        <v>1014</v>
      </c>
      <c r="CK12" s="34">
        <f>HLOOKUP(CK$7+0.5,$I$66:$DJ$120,ROWS($A$10:$A12)+2,FALSE)</f>
        <v>185</v>
      </c>
      <c r="CL12" s="34">
        <f>HLOOKUP(CL$7+0.5,$I$66:$DJ$120,ROWS($A$10:$A12)+2,FALSE)</f>
        <v>12</v>
      </c>
      <c r="CM12" s="34">
        <f>HLOOKUP(CM$7+0.5,$I$66:$DJ$120,ROWS($A$10:$A12)+2,FALSE)</f>
        <v>485</v>
      </c>
      <c r="CN12" s="34">
        <f>HLOOKUP(CN$7+0.5,$I$66:$DJ$120,ROWS($A$10:$A12)+2,FALSE)</f>
        <v>744</v>
      </c>
      <c r="CO12" s="34">
        <f>HLOOKUP(CO$7+0.5,$I$66:$DJ$120,ROWS($A$10:$A12)+2,FALSE)</f>
        <v>136</v>
      </c>
      <c r="CP12" s="34">
        <f>HLOOKUP(CP$7+0.5,$I$66:$DJ$120,ROWS($A$10:$A12)+2,FALSE)</f>
        <v>188</v>
      </c>
      <c r="CQ12" s="34">
        <f>HLOOKUP(CQ$7+0.5,$I$66:$DJ$120,ROWS($A$10:$A12)+2,FALSE)</f>
        <v>613</v>
      </c>
      <c r="CR12" s="34">
        <f>HLOOKUP(CR$7+0.5,$I$66:$DJ$120,ROWS($A$10:$A12)+2,FALSE)</f>
        <v>404</v>
      </c>
      <c r="CS12" s="34">
        <f>HLOOKUP(CS$7+0.5,$I$66:$DJ$120,ROWS($A$10:$A12)+2,FALSE)</f>
        <v>149</v>
      </c>
      <c r="CT12" s="34">
        <f>HLOOKUP(CT$7+0.5,$I$66:$DJ$120,ROWS($A$10:$A12)+2,FALSE)</f>
        <v>286</v>
      </c>
      <c r="CU12" s="34">
        <f>HLOOKUP(CU$7+0.5,$I$66:$DJ$120,ROWS($A$10:$A12)+2,FALSE)</f>
        <v>733</v>
      </c>
      <c r="CV12" s="34">
        <f>HLOOKUP(CV$7+0.5,$I$66:$DJ$120,ROWS($A$10:$A12)+2,FALSE)</f>
        <v>841</v>
      </c>
      <c r="CW12" s="34">
        <f>HLOOKUP(CW$7+0.5,$I$66:$DJ$120,ROWS($A$10:$A12)+2,FALSE)</f>
        <v>371</v>
      </c>
      <c r="CX12" s="34">
        <f>HLOOKUP(CX$7+0.5,$I$66:$DJ$120,ROWS($A$10:$A12)+2,FALSE)</f>
        <v>149</v>
      </c>
      <c r="CY12" s="34">
        <f>HLOOKUP(CY$7+0.5,$I$66:$DJ$120,ROWS($A$10:$A12)+2,FALSE)</f>
        <v>182</v>
      </c>
      <c r="CZ12" s="34">
        <f>HLOOKUP(CZ$7+0.5,$I$66:$DJ$120,ROWS($A$10:$A12)+2,FALSE)</f>
        <v>343</v>
      </c>
      <c r="DA12" s="34">
        <f>HLOOKUP(DA$7+0.5,$I$66:$DJ$120,ROWS($A$10:$A12)+2,FALSE)</f>
        <v>308</v>
      </c>
      <c r="DB12" s="34">
        <f>HLOOKUP(DB$7+0.5,$I$66:$DJ$120,ROWS($A$10:$A12)+2,FALSE)</f>
        <v>1105</v>
      </c>
      <c r="DC12" s="34">
        <f>HLOOKUP(DC$7+0.5,$I$66:$DJ$120,ROWS($A$10:$A12)+2,FALSE)</f>
        <v>731</v>
      </c>
      <c r="DD12" s="34">
        <f>HLOOKUP(DD$7+0.5,$I$66:$DJ$120,ROWS($A$10:$A12)+2,FALSE)</f>
        <v>105</v>
      </c>
      <c r="DE12" s="34">
        <f>HLOOKUP(DE$7+0.5,$I$66:$DJ$120,ROWS($A$10:$A12)+2,FALSE)</f>
        <v>1112</v>
      </c>
      <c r="DF12" s="34">
        <f>HLOOKUP(DF$7+0.5,$I$66:$DJ$120,ROWS($A$10:$A12)+2,FALSE)</f>
        <v>1520</v>
      </c>
      <c r="DG12" s="34">
        <f>HLOOKUP(DG$7+0.5,$I$66:$DJ$120,ROWS($A$10:$A12)+2,FALSE)</f>
        <v>75</v>
      </c>
      <c r="DH12" s="34">
        <f>HLOOKUP(DH$7+0.5,$I$66:$DJ$120,ROWS($A$10:$A12)+2,FALSE)</f>
        <v>35</v>
      </c>
      <c r="DI12" s="34">
        <f>HLOOKUP(DI$7+0.5,$I$66:$DJ$120,ROWS($A$10:$A12)+2,FALSE)</f>
        <v>272</v>
      </c>
      <c r="DJ12" s="34">
        <f>HLOOKUP(DJ$7+0.5,$I$66:$DJ$120,ROWS($A$10:$A12)+2,FALSE)</f>
        <v>962</v>
      </c>
    </row>
    <row r="13" spans="2:120" x14ac:dyDescent="0.25">
      <c r="B13" s="38" t="s">
        <v>9</v>
      </c>
      <c r="C13" s="16">
        <v>6402301</v>
      </c>
      <c r="D13" s="17">
        <v>5660</v>
      </c>
      <c r="E13" s="16">
        <v>5107496</v>
      </c>
      <c r="F13" s="17">
        <v>39045</v>
      </c>
      <c r="G13" s="16">
        <v>1028366</v>
      </c>
      <c r="H13" s="17">
        <v>36556</v>
      </c>
      <c r="I13" s="36">
        <f>HLOOKUP(I$7,$I$66:$DJ$120,ROWS($A$10:$A13)+2,FALSE)</f>
        <v>222877</v>
      </c>
      <c r="J13" s="25">
        <f>HLOOKUP(J$7,$I$66:$DJ$120,ROWS($A$10:$A13)+2,FALSE)</f>
        <v>833</v>
      </c>
      <c r="K13" s="25">
        <f>HLOOKUP(K$7,$I$66:$DJ$120,ROWS($A$10:$A13)+2,FALSE)</f>
        <v>5001</v>
      </c>
      <c r="L13" s="25" t="str">
        <f>HLOOKUP(L$7,$I$66:$DJ$120,ROWS($A$10:$A13)+2,FALSE)</f>
        <v>N/A</v>
      </c>
      <c r="M13" s="25">
        <f>HLOOKUP(M$7,$I$66:$DJ$120,ROWS($A$10:$A13)+2,FALSE)</f>
        <v>1066</v>
      </c>
      <c r="N13" s="25">
        <f>HLOOKUP(N$7,$I$66:$DJ$120,ROWS($A$10:$A13)+2,FALSE)</f>
        <v>49635</v>
      </c>
      <c r="O13" s="25">
        <f>HLOOKUP(O$7,$I$66:$DJ$120,ROWS($A$10:$A13)+2,FALSE)</f>
        <v>10189</v>
      </c>
      <c r="P13" s="25">
        <f>HLOOKUP(P$7,$I$66:$DJ$120,ROWS($A$10:$A13)+2,FALSE)</f>
        <v>1875</v>
      </c>
      <c r="Q13" s="25">
        <f>HLOOKUP(Q$7,$I$66:$DJ$120,ROWS($A$10:$A13)+2,FALSE)</f>
        <v>0</v>
      </c>
      <c r="R13" s="25">
        <f>HLOOKUP(R$7,$I$66:$DJ$120,ROWS($A$10:$A13)+2,FALSE)</f>
        <v>389</v>
      </c>
      <c r="S13" s="25">
        <f>HLOOKUP(S$7,$I$66:$DJ$120,ROWS($A$10:$A13)+2,FALSE)</f>
        <v>3732</v>
      </c>
      <c r="T13" s="25">
        <f>HLOOKUP(T$7,$I$66:$DJ$120,ROWS($A$10:$A13)+2,FALSE)</f>
        <v>2206</v>
      </c>
      <c r="U13" s="25">
        <f>HLOOKUP(U$7,$I$66:$DJ$120,ROWS($A$10:$A13)+2,FALSE)</f>
        <v>2199</v>
      </c>
      <c r="V13" s="25">
        <f>HLOOKUP(V$7,$I$66:$DJ$120,ROWS($A$10:$A13)+2,FALSE)</f>
        <v>2190</v>
      </c>
      <c r="W13" s="25">
        <f>HLOOKUP(W$7,$I$66:$DJ$120,ROWS($A$10:$A13)+2,FALSE)</f>
        <v>10035</v>
      </c>
      <c r="X13" s="25">
        <f>HLOOKUP(X$7,$I$66:$DJ$120,ROWS($A$10:$A13)+2,FALSE)</f>
        <v>5855</v>
      </c>
      <c r="Y13" s="25">
        <f>HLOOKUP(Y$7,$I$66:$DJ$120,ROWS($A$10:$A13)+2,FALSE)</f>
        <v>4526</v>
      </c>
      <c r="Z13" s="25">
        <f>HLOOKUP(Z$7,$I$66:$DJ$120,ROWS($A$10:$A13)+2,FALSE)</f>
        <v>1708</v>
      </c>
      <c r="AA13" s="25">
        <f>HLOOKUP(AA$7,$I$66:$DJ$120,ROWS($A$10:$A13)+2,FALSE)</f>
        <v>2134</v>
      </c>
      <c r="AB13" s="25">
        <f>HLOOKUP(AB$7,$I$66:$DJ$120,ROWS($A$10:$A13)+2,FALSE)</f>
        <v>844</v>
      </c>
      <c r="AC13" s="25">
        <f>HLOOKUP(AC$7,$I$66:$DJ$120,ROWS($A$10:$A13)+2,FALSE)</f>
        <v>0</v>
      </c>
      <c r="AD13" s="25">
        <f>HLOOKUP(AD$7,$I$66:$DJ$120,ROWS($A$10:$A13)+2,FALSE)</f>
        <v>1918</v>
      </c>
      <c r="AE13" s="25">
        <f>HLOOKUP(AE$7,$I$66:$DJ$120,ROWS($A$10:$A13)+2,FALSE)</f>
        <v>743</v>
      </c>
      <c r="AF13" s="25">
        <f>HLOOKUP(AF$7,$I$66:$DJ$120,ROWS($A$10:$A13)+2,FALSE)</f>
        <v>9396</v>
      </c>
      <c r="AG13" s="25">
        <f>HLOOKUP(AG$7,$I$66:$DJ$120,ROWS($A$10:$A13)+2,FALSE)</f>
        <v>3297</v>
      </c>
      <c r="AH13" s="25">
        <f>HLOOKUP(AH$7,$I$66:$DJ$120,ROWS($A$10:$A13)+2,FALSE)</f>
        <v>1226</v>
      </c>
      <c r="AI13" s="25">
        <f>HLOOKUP(AI$7,$I$66:$DJ$120,ROWS($A$10:$A13)+2,FALSE)</f>
        <v>3872</v>
      </c>
      <c r="AJ13" s="25">
        <f>HLOOKUP(AJ$7,$I$66:$DJ$120,ROWS($A$10:$A13)+2,FALSE)</f>
        <v>2431</v>
      </c>
      <c r="AK13" s="25">
        <f>HLOOKUP(AK$7,$I$66:$DJ$120,ROWS($A$10:$A13)+2,FALSE)</f>
        <v>1393</v>
      </c>
      <c r="AL13" s="25">
        <f>HLOOKUP(AL$7,$I$66:$DJ$120,ROWS($A$10:$A13)+2,FALSE)</f>
        <v>8756</v>
      </c>
      <c r="AM13" s="25">
        <f>HLOOKUP(AM$7,$I$66:$DJ$120,ROWS($A$10:$A13)+2,FALSE)</f>
        <v>228</v>
      </c>
      <c r="AN13" s="25">
        <f>HLOOKUP(AN$7,$I$66:$DJ$120,ROWS($A$10:$A13)+2,FALSE)</f>
        <v>3379</v>
      </c>
      <c r="AO13" s="25">
        <f>HLOOKUP(AO$7,$I$66:$DJ$120,ROWS($A$10:$A13)+2,FALSE)</f>
        <v>4610</v>
      </c>
      <c r="AP13" s="25">
        <f>HLOOKUP(AP$7,$I$66:$DJ$120,ROWS($A$10:$A13)+2,FALSE)</f>
        <v>3880</v>
      </c>
      <c r="AQ13" s="25">
        <f>HLOOKUP(AQ$7,$I$66:$DJ$120,ROWS($A$10:$A13)+2,FALSE)</f>
        <v>2548</v>
      </c>
      <c r="AR13" s="25">
        <f>HLOOKUP(AR$7,$I$66:$DJ$120,ROWS($A$10:$A13)+2,FALSE)</f>
        <v>1159</v>
      </c>
      <c r="AS13" s="25">
        <f>HLOOKUP(AS$7,$I$66:$DJ$120,ROWS($A$10:$A13)+2,FALSE)</f>
        <v>4682</v>
      </c>
      <c r="AT13" s="25">
        <f>HLOOKUP(AT$7,$I$66:$DJ$120,ROWS($A$10:$A13)+2,FALSE)</f>
        <v>3219</v>
      </c>
      <c r="AU13" s="25">
        <f>HLOOKUP(AU$7,$I$66:$DJ$120,ROWS($A$10:$A13)+2,FALSE)</f>
        <v>4613</v>
      </c>
      <c r="AV13" s="25">
        <f>HLOOKUP(AV$7,$I$66:$DJ$120,ROWS($A$10:$A13)+2,FALSE)</f>
        <v>3436</v>
      </c>
      <c r="AW13" s="25">
        <f>HLOOKUP(AW$7,$I$66:$DJ$120,ROWS($A$10:$A13)+2,FALSE)</f>
        <v>72</v>
      </c>
      <c r="AX13" s="25">
        <f>HLOOKUP(AX$7,$I$66:$DJ$120,ROWS($A$10:$A13)+2,FALSE)</f>
        <v>1774</v>
      </c>
      <c r="AY13" s="25">
        <f>HLOOKUP(AY$7,$I$66:$DJ$120,ROWS($A$10:$A13)+2,FALSE)</f>
        <v>1657</v>
      </c>
      <c r="AZ13" s="25">
        <f>HLOOKUP(AZ$7,$I$66:$DJ$120,ROWS($A$10:$A13)+2,FALSE)</f>
        <v>1680</v>
      </c>
      <c r="BA13" s="25">
        <f>HLOOKUP(BA$7,$I$66:$DJ$120,ROWS($A$10:$A13)+2,FALSE)</f>
        <v>12688</v>
      </c>
      <c r="BB13" s="25">
        <f>HLOOKUP(BB$7,$I$66:$DJ$120,ROWS($A$10:$A13)+2,FALSE)</f>
        <v>10577</v>
      </c>
      <c r="BC13" s="25">
        <f>HLOOKUP(BC$7,$I$66:$DJ$120,ROWS($A$10:$A13)+2,FALSE)</f>
        <v>0</v>
      </c>
      <c r="BD13" s="25">
        <f>HLOOKUP(BD$7,$I$66:$DJ$120,ROWS($A$10:$A13)+2,FALSE)</f>
        <v>2233</v>
      </c>
      <c r="BE13" s="25">
        <f>HLOOKUP(BE$7,$I$66:$DJ$120,ROWS($A$10:$A13)+2,FALSE)</f>
        <v>13940</v>
      </c>
      <c r="BF13" s="25">
        <f>HLOOKUP(BF$7,$I$66:$DJ$120,ROWS($A$10:$A13)+2,FALSE)</f>
        <v>70</v>
      </c>
      <c r="BG13" s="25">
        <f>HLOOKUP(BG$7,$I$66:$DJ$120,ROWS($A$10:$A13)+2,FALSE)</f>
        <v>6473</v>
      </c>
      <c r="BH13" s="25">
        <f>HLOOKUP(BH$7,$I$66:$DJ$120,ROWS($A$10:$A13)+2,FALSE)</f>
        <v>2510</v>
      </c>
      <c r="BI13" s="25">
        <f>HLOOKUP(BI$7,$I$66:$DJ$120,ROWS($A$10:$A13)+2,FALSE)</f>
        <v>871</v>
      </c>
      <c r="BJ13" s="34">
        <f>HLOOKUP(BJ$7+0.5,$I$66:$DJ$120,ROWS($A$10:$A13)+2,FALSE)</f>
        <v>14358</v>
      </c>
      <c r="BK13" s="34">
        <f>HLOOKUP(BK$7+0.5,$I$66:$DJ$120,ROWS($A$10:$A13)+2,FALSE)</f>
        <v>587</v>
      </c>
      <c r="BL13" s="34">
        <f>HLOOKUP(BL$7+0.5,$I$66:$DJ$120,ROWS($A$10:$A13)+2,FALSE)</f>
        <v>2214</v>
      </c>
      <c r="BM13" s="34" t="str">
        <f>HLOOKUP(BM$7+0.5,$I$66:$DJ$120,ROWS($A$10:$A13)+2,FALSE)</f>
        <v>N/A</v>
      </c>
      <c r="BN13" s="34">
        <f>HLOOKUP(BN$7+0.5,$I$66:$DJ$120,ROWS($A$10:$A13)+2,FALSE)</f>
        <v>740</v>
      </c>
      <c r="BO13" s="34">
        <f>HLOOKUP(BO$7+0.5,$I$66:$DJ$120,ROWS($A$10:$A13)+2,FALSE)</f>
        <v>8755</v>
      </c>
      <c r="BP13" s="34">
        <f>HLOOKUP(BP$7+0.5,$I$66:$DJ$120,ROWS($A$10:$A13)+2,FALSE)</f>
        <v>2958</v>
      </c>
      <c r="BQ13" s="34">
        <f>HLOOKUP(BQ$7+0.5,$I$66:$DJ$120,ROWS($A$10:$A13)+2,FALSE)</f>
        <v>1213</v>
      </c>
      <c r="BR13" s="34">
        <f>HLOOKUP(BR$7+0.5,$I$66:$DJ$120,ROWS($A$10:$A13)+2,FALSE)</f>
        <v>229</v>
      </c>
      <c r="BS13" s="34">
        <f>HLOOKUP(BS$7+0.5,$I$66:$DJ$120,ROWS($A$10:$A13)+2,FALSE)</f>
        <v>389</v>
      </c>
      <c r="BT13" s="34">
        <f>HLOOKUP(BT$7+0.5,$I$66:$DJ$120,ROWS($A$10:$A13)+2,FALSE)</f>
        <v>1842</v>
      </c>
      <c r="BU13" s="34">
        <f>HLOOKUP(BU$7+0.5,$I$66:$DJ$120,ROWS($A$10:$A13)+2,FALSE)</f>
        <v>1147</v>
      </c>
      <c r="BV13" s="34">
        <f>HLOOKUP(BV$7+0.5,$I$66:$DJ$120,ROWS($A$10:$A13)+2,FALSE)</f>
        <v>1109</v>
      </c>
      <c r="BW13" s="34">
        <f>HLOOKUP(BW$7+0.5,$I$66:$DJ$120,ROWS($A$10:$A13)+2,FALSE)</f>
        <v>1183</v>
      </c>
      <c r="BX13" s="34">
        <f>HLOOKUP(BX$7+0.5,$I$66:$DJ$120,ROWS($A$10:$A13)+2,FALSE)</f>
        <v>4129</v>
      </c>
      <c r="BY13" s="34">
        <f>HLOOKUP(BY$7+0.5,$I$66:$DJ$120,ROWS($A$10:$A13)+2,FALSE)</f>
        <v>1956</v>
      </c>
      <c r="BZ13" s="34">
        <f>HLOOKUP(BZ$7+0.5,$I$66:$DJ$120,ROWS($A$10:$A13)+2,FALSE)</f>
        <v>1745</v>
      </c>
      <c r="CA13" s="34">
        <f>HLOOKUP(CA$7+0.5,$I$66:$DJ$120,ROWS($A$10:$A13)+2,FALSE)</f>
        <v>883</v>
      </c>
      <c r="CB13" s="34">
        <f>HLOOKUP(CB$7+0.5,$I$66:$DJ$120,ROWS($A$10:$A13)+2,FALSE)</f>
        <v>1257</v>
      </c>
      <c r="CC13" s="34">
        <f>HLOOKUP(CC$7+0.5,$I$66:$DJ$120,ROWS($A$10:$A13)+2,FALSE)</f>
        <v>867</v>
      </c>
      <c r="CD13" s="34">
        <f>HLOOKUP(CD$7+0.5,$I$66:$DJ$120,ROWS($A$10:$A13)+2,FALSE)</f>
        <v>229</v>
      </c>
      <c r="CE13" s="34">
        <f>HLOOKUP(CE$7+0.5,$I$66:$DJ$120,ROWS($A$10:$A13)+2,FALSE)</f>
        <v>1096</v>
      </c>
      <c r="CF13" s="34">
        <f>HLOOKUP(CF$7+0.5,$I$66:$DJ$120,ROWS($A$10:$A13)+2,FALSE)</f>
        <v>430</v>
      </c>
      <c r="CG13" s="34">
        <f>HLOOKUP(CG$7+0.5,$I$66:$DJ$120,ROWS($A$10:$A13)+2,FALSE)</f>
        <v>5283</v>
      </c>
      <c r="CH13" s="34">
        <f>HLOOKUP(CH$7+0.5,$I$66:$DJ$120,ROWS($A$10:$A13)+2,FALSE)</f>
        <v>1064</v>
      </c>
      <c r="CI13" s="34">
        <f>HLOOKUP(CI$7+0.5,$I$66:$DJ$120,ROWS($A$10:$A13)+2,FALSE)</f>
        <v>1492</v>
      </c>
      <c r="CJ13" s="34">
        <f>HLOOKUP(CJ$7+0.5,$I$66:$DJ$120,ROWS($A$10:$A13)+2,FALSE)</f>
        <v>1689</v>
      </c>
      <c r="CK13" s="34">
        <f>HLOOKUP(CK$7+0.5,$I$66:$DJ$120,ROWS($A$10:$A13)+2,FALSE)</f>
        <v>1191</v>
      </c>
      <c r="CL13" s="34">
        <f>HLOOKUP(CL$7+0.5,$I$66:$DJ$120,ROWS($A$10:$A13)+2,FALSE)</f>
        <v>798</v>
      </c>
      <c r="CM13" s="34">
        <f>HLOOKUP(CM$7+0.5,$I$66:$DJ$120,ROWS($A$10:$A13)+2,FALSE)</f>
        <v>3417</v>
      </c>
      <c r="CN13" s="34">
        <f>HLOOKUP(CN$7+0.5,$I$66:$DJ$120,ROWS($A$10:$A13)+2,FALSE)</f>
        <v>229</v>
      </c>
      <c r="CO13" s="34">
        <f>HLOOKUP(CO$7+0.5,$I$66:$DJ$120,ROWS($A$10:$A13)+2,FALSE)</f>
        <v>1757</v>
      </c>
      <c r="CP13" s="34">
        <f>HLOOKUP(CP$7+0.5,$I$66:$DJ$120,ROWS($A$10:$A13)+2,FALSE)</f>
        <v>1448</v>
      </c>
      <c r="CQ13" s="34">
        <f>HLOOKUP(CQ$7+0.5,$I$66:$DJ$120,ROWS($A$10:$A13)+2,FALSE)</f>
        <v>1363</v>
      </c>
      <c r="CR13" s="34">
        <f>HLOOKUP(CR$7+0.5,$I$66:$DJ$120,ROWS($A$10:$A13)+2,FALSE)</f>
        <v>1269</v>
      </c>
      <c r="CS13" s="34">
        <f>HLOOKUP(CS$7+0.5,$I$66:$DJ$120,ROWS($A$10:$A13)+2,FALSE)</f>
        <v>891</v>
      </c>
      <c r="CT13" s="34">
        <f>HLOOKUP(CT$7+0.5,$I$66:$DJ$120,ROWS($A$10:$A13)+2,FALSE)</f>
        <v>2116</v>
      </c>
      <c r="CU13" s="34">
        <f>HLOOKUP(CU$7+0.5,$I$66:$DJ$120,ROWS($A$10:$A13)+2,FALSE)</f>
        <v>1761</v>
      </c>
      <c r="CV13" s="34">
        <f>HLOOKUP(CV$7+0.5,$I$66:$DJ$120,ROWS($A$10:$A13)+2,FALSE)</f>
        <v>1465</v>
      </c>
      <c r="CW13" s="34">
        <f>HLOOKUP(CW$7+0.5,$I$66:$DJ$120,ROWS($A$10:$A13)+2,FALSE)</f>
        <v>1476</v>
      </c>
      <c r="CX13" s="34">
        <f>HLOOKUP(CX$7+0.5,$I$66:$DJ$120,ROWS($A$10:$A13)+2,FALSE)</f>
        <v>131</v>
      </c>
      <c r="CY13" s="34">
        <f>HLOOKUP(CY$7+0.5,$I$66:$DJ$120,ROWS($A$10:$A13)+2,FALSE)</f>
        <v>1932</v>
      </c>
      <c r="CZ13" s="34">
        <f>HLOOKUP(CZ$7+0.5,$I$66:$DJ$120,ROWS($A$10:$A13)+2,FALSE)</f>
        <v>1589</v>
      </c>
      <c r="DA13" s="34">
        <f>HLOOKUP(DA$7+0.5,$I$66:$DJ$120,ROWS($A$10:$A13)+2,FALSE)</f>
        <v>647</v>
      </c>
      <c r="DB13" s="34">
        <f>HLOOKUP(DB$7+0.5,$I$66:$DJ$120,ROWS($A$10:$A13)+2,FALSE)</f>
        <v>2976</v>
      </c>
      <c r="DC13" s="34">
        <f>HLOOKUP(DC$7+0.5,$I$66:$DJ$120,ROWS($A$10:$A13)+2,FALSE)</f>
        <v>3336</v>
      </c>
      <c r="DD13" s="34">
        <f>HLOOKUP(DD$7+0.5,$I$66:$DJ$120,ROWS($A$10:$A13)+2,FALSE)</f>
        <v>229</v>
      </c>
      <c r="DE13" s="34">
        <f>HLOOKUP(DE$7+0.5,$I$66:$DJ$120,ROWS($A$10:$A13)+2,FALSE)</f>
        <v>1094</v>
      </c>
      <c r="DF13" s="34">
        <f>HLOOKUP(DF$7+0.5,$I$66:$DJ$120,ROWS($A$10:$A13)+2,FALSE)</f>
        <v>5479</v>
      </c>
      <c r="DG13" s="34">
        <f>HLOOKUP(DG$7+0.5,$I$66:$DJ$120,ROWS($A$10:$A13)+2,FALSE)</f>
        <v>118</v>
      </c>
      <c r="DH13" s="34">
        <f>HLOOKUP(DH$7+0.5,$I$66:$DJ$120,ROWS($A$10:$A13)+2,FALSE)</f>
        <v>2066</v>
      </c>
      <c r="DI13" s="34">
        <f>HLOOKUP(DI$7+0.5,$I$66:$DJ$120,ROWS($A$10:$A13)+2,FALSE)</f>
        <v>1288</v>
      </c>
      <c r="DJ13" s="34">
        <f>HLOOKUP(DJ$7+0.5,$I$66:$DJ$120,ROWS($A$10:$A13)+2,FALSE)</f>
        <v>639</v>
      </c>
    </row>
    <row r="14" spans="2:120" x14ac:dyDescent="0.25">
      <c r="B14" s="38" t="s">
        <v>10</v>
      </c>
      <c r="C14" s="16">
        <v>2906632</v>
      </c>
      <c r="D14" s="17">
        <v>2928</v>
      </c>
      <c r="E14" s="16">
        <v>2421746</v>
      </c>
      <c r="F14" s="17">
        <v>18606</v>
      </c>
      <c r="G14" s="16">
        <v>405831</v>
      </c>
      <c r="H14" s="17">
        <v>18050</v>
      </c>
      <c r="I14" s="36">
        <f>HLOOKUP(I$7,$I$66:$DJ$120,ROWS($A$10:$A14)+2,FALSE)</f>
        <v>69845</v>
      </c>
      <c r="J14" s="25">
        <f>HLOOKUP(J$7,$I$66:$DJ$120,ROWS($A$10:$A14)+2,FALSE)</f>
        <v>691</v>
      </c>
      <c r="K14" s="25">
        <f>HLOOKUP(K$7,$I$66:$DJ$120,ROWS($A$10:$A14)+2,FALSE)</f>
        <v>560</v>
      </c>
      <c r="L14" s="25">
        <f>HLOOKUP(L$7,$I$66:$DJ$120,ROWS($A$10:$A14)+2,FALSE)</f>
        <v>439</v>
      </c>
      <c r="M14" s="25" t="str">
        <f>HLOOKUP(M$7,$I$66:$DJ$120,ROWS($A$10:$A14)+2,FALSE)</f>
        <v>N/A</v>
      </c>
      <c r="N14" s="25">
        <f>HLOOKUP(N$7,$I$66:$DJ$120,ROWS($A$10:$A14)+2,FALSE)</f>
        <v>4077</v>
      </c>
      <c r="O14" s="25">
        <f>HLOOKUP(O$7,$I$66:$DJ$120,ROWS($A$10:$A14)+2,FALSE)</f>
        <v>746</v>
      </c>
      <c r="P14" s="25">
        <f>HLOOKUP(P$7,$I$66:$DJ$120,ROWS($A$10:$A14)+2,FALSE)</f>
        <v>519</v>
      </c>
      <c r="Q14" s="25">
        <f>HLOOKUP(Q$7,$I$66:$DJ$120,ROWS($A$10:$A14)+2,FALSE)</f>
        <v>79</v>
      </c>
      <c r="R14" s="25">
        <f>HLOOKUP(R$7,$I$66:$DJ$120,ROWS($A$10:$A14)+2,FALSE)</f>
        <v>0</v>
      </c>
      <c r="S14" s="25">
        <f>HLOOKUP(S$7,$I$66:$DJ$120,ROWS($A$10:$A14)+2,FALSE)</f>
        <v>3067</v>
      </c>
      <c r="T14" s="25">
        <f>HLOOKUP(T$7,$I$66:$DJ$120,ROWS($A$10:$A14)+2,FALSE)</f>
        <v>1446</v>
      </c>
      <c r="U14" s="25">
        <f>HLOOKUP(U$7,$I$66:$DJ$120,ROWS($A$10:$A14)+2,FALSE)</f>
        <v>13</v>
      </c>
      <c r="V14" s="25">
        <f>HLOOKUP(V$7,$I$66:$DJ$120,ROWS($A$10:$A14)+2,FALSE)</f>
        <v>179</v>
      </c>
      <c r="W14" s="25">
        <f>HLOOKUP(W$7,$I$66:$DJ$120,ROWS($A$10:$A14)+2,FALSE)</f>
        <v>3684</v>
      </c>
      <c r="X14" s="25">
        <f>HLOOKUP(X$7,$I$66:$DJ$120,ROWS($A$10:$A14)+2,FALSE)</f>
        <v>1362</v>
      </c>
      <c r="Y14" s="25">
        <f>HLOOKUP(Y$7,$I$66:$DJ$120,ROWS($A$10:$A14)+2,FALSE)</f>
        <v>851</v>
      </c>
      <c r="Z14" s="25">
        <f>HLOOKUP(Z$7,$I$66:$DJ$120,ROWS($A$10:$A14)+2,FALSE)</f>
        <v>2008</v>
      </c>
      <c r="AA14" s="25">
        <f>HLOOKUP(AA$7,$I$66:$DJ$120,ROWS($A$10:$A14)+2,FALSE)</f>
        <v>213</v>
      </c>
      <c r="AB14" s="25">
        <f>HLOOKUP(AB$7,$I$66:$DJ$120,ROWS($A$10:$A14)+2,FALSE)</f>
        <v>2120</v>
      </c>
      <c r="AC14" s="25">
        <f>HLOOKUP(AC$7,$I$66:$DJ$120,ROWS($A$10:$A14)+2,FALSE)</f>
        <v>30</v>
      </c>
      <c r="AD14" s="25">
        <f>HLOOKUP(AD$7,$I$66:$DJ$120,ROWS($A$10:$A14)+2,FALSE)</f>
        <v>133</v>
      </c>
      <c r="AE14" s="25">
        <f>HLOOKUP(AE$7,$I$66:$DJ$120,ROWS($A$10:$A14)+2,FALSE)</f>
        <v>781</v>
      </c>
      <c r="AF14" s="25">
        <f>HLOOKUP(AF$7,$I$66:$DJ$120,ROWS($A$10:$A14)+2,FALSE)</f>
        <v>1881</v>
      </c>
      <c r="AG14" s="25">
        <f>HLOOKUP(AG$7,$I$66:$DJ$120,ROWS($A$10:$A14)+2,FALSE)</f>
        <v>232</v>
      </c>
      <c r="AH14" s="25">
        <f>HLOOKUP(AH$7,$I$66:$DJ$120,ROWS($A$10:$A14)+2,FALSE)</f>
        <v>1731</v>
      </c>
      <c r="AI14" s="25">
        <f>HLOOKUP(AI$7,$I$66:$DJ$120,ROWS($A$10:$A14)+2,FALSE)</f>
        <v>7314</v>
      </c>
      <c r="AJ14" s="25">
        <f>HLOOKUP(AJ$7,$I$66:$DJ$120,ROWS($A$10:$A14)+2,FALSE)</f>
        <v>713</v>
      </c>
      <c r="AK14" s="25">
        <f>HLOOKUP(AK$7,$I$66:$DJ$120,ROWS($A$10:$A14)+2,FALSE)</f>
        <v>332</v>
      </c>
      <c r="AL14" s="25">
        <f>HLOOKUP(AL$7,$I$66:$DJ$120,ROWS($A$10:$A14)+2,FALSE)</f>
        <v>641</v>
      </c>
      <c r="AM14" s="25">
        <f>HLOOKUP(AM$7,$I$66:$DJ$120,ROWS($A$10:$A14)+2,FALSE)</f>
        <v>52</v>
      </c>
      <c r="AN14" s="25">
        <f>HLOOKUP(AN$7,$I$66:$DJ$120,ROWS($A$10:$A14)+2,FALSE)</f>
        <v>341</v>
      </c>
      <c r="AO14" s="25">
        <f>HLOOKUP(AO$7,$I$66:$DJ$120,ROWS($A$10:$A14)+2,FALSE)</f>
        <v>775</v>
      </c>
      <c r="AP14" s="25">
        <f>HLOOKUP(AP$7,$I$66:$DJ$120,ROWS($A$10:$A14)+2,FALSE)</f>
        <v>674</v>
      </c>
      <c r="AQ14" s="25">
        <f>HLOOKUP(AQ$7,$I$66:$DJ$120,ROWS($A$10:$A14)+2,FALSE)</f>
        <v>1664</v>
      </c>
      <c r="AR14" s="25">
        <f>HLOOKUP(AR$7,$I$66:$DJ$120,ROWS($A$10:$A14)+2,FALSE)</f>
        <v>214</v>
      </c>
      <c r="AS14" s="25">
        <f>HLOOKUP(AS$7,$I$66:$DJ$120,ROWS($A$10:$A14)+2,FALSE)</f>
        <v>174</v>
      </c>
      <c r="AT14" s="25">
        <f>HLOOKUP(AT$7,$I$66:$DJ$120,ROWS($A$10:$A14)+2,FALSE)</f>
        <v>3761</v>
      </c>
      <c r="AU14" s="25">
        <f>HLOOKUP(AU$7,$I$66:$DJ$120,ROWS($A$10:$A14)+2,FALSE)</f>
        <v>632</v>
      </c>
      <c r="AV14" s="25">
        <f>HLOOKUP(AV$7,$I$66:$DJ$120,ROWS($A$10:$A14)+2,FALSE)</f>
        <v>567</v>
      </c>
      <c r="AW14" s="25">
        <f>HLOOKUP(AW$7,$I$66:$DJ$120,ROWS($A$10:$A14)+2,FALSE)</f>
        <v>0</v>
      </c>
      <c r="AX14" s="25">
        <f>HLOOKUP(AX$7,$I$66:$DJ$120,ROWS($A$10:$A14)+2,FALSE)</f>
        <v>235</v>
      </c>
      <c r="AY14" s="25">
        <f>HLOOKUP(AY$7,$I$66:$DJ$120,ROWS($A$10:$A14)+2,FALSE)</f>
        <v>0</v>
      </c>
      <c r="AZ14" s="25">
        <f>HLOOKUP(AZ$7,$I$66:$DJ$120,ROWS($A$10:$A14)+2,FALSE)</f>
        <v>6462</v>
      </c>
      <c r="BA14" s="25">
        <f>HLOOKUP(BA$7,$I$66:$DJ$120,ROWS($A$10:$A14)+2,FALSE)</f>
        <v>14767</v>
      </c>
      <c r="BB14" s="25">
        <f>HLOOKUP(BB$7,$I$66:$DJ$120,ROWS($A$10:$A14)+2,FALSE)</f>
        <v>0</v>
      </c>
      <c r="BC14" s="25">
        <f>HLOOKUP(BC$7,$I$66:$DJ$120,ROWS($A$10:$A14)+2,FALSE)</f>
        <v>0</v>
      </c>
      <c r="BD14" s="25">
        <f>HLOOKUP(BD$7,$I$66:$DJ$120,ROWS($A$10:$A14)+2,FALSE)</f>
        <v>1245</v>
      </c>
      <c r="BE14" s="25">
        <f>HLOOKUP(BE$7,$I$66:$DJ$120,ROWS($A$10:$A14)+2,FALSE)</f>
        <v>1477</v>
      </c>
      <c r="BF14" s="25">
        <f>HLOOKUP(BF$7,$I$66:$DJ$120,ROWS($A$10:$A14)+2,FALSE)</f>
        <v>24</v>
      </c>
      <c r="BG14" s="25">
        <f>HLOOKUP(BG$7,$I$66:$DJ$120,ROWS($A$10:$A14)+2,FALSE)</f>
        <v>687</v>
      </c>
      <c r="BH14" s="25">
        <f>HLOOKUP(BH$7,$I$66:$DJ$120,ROWS($A$10:$A14)+2,FALSE)</f>
        <v>252</v>
      </c>
      <c r="BI14" s="25">
        <f>HLOOKUP(BI$7,$I$66:$DJ$120,ROWS($A$10:$A14)+2,FALSE)</f>
        <v>529</v>
      </c>
      <c r="BJ14" s="34">
        <f>HLOOKUP(BJ$7+0.5,$I$66:$DJ$120,ROWS($A$10:$A14)+2,FALSE)</f>
        <v>7292</v>
      </c>
      <c r="BK14" s="34">
        <f>HLOOKUP(BK$7+0.5,$I$66:$DJ$120,ROWS($A$10:$A14)+2,FALSE)</f>
        <v>573</v>
      </c>
      <c r="BL14" s="34">
        <f>HLOOKUP(BL$7+0.5,$I$66:$DJ$120,ROWS($A$10:$A14)+2,FALSE)</f>
        <v>669</v>
      </c>
      <c r="BM14" s="34">
        <f>HLOOKUP(BM$7+0.5,$I$66:$DJ$120,ROWS($A$10:$A14)+2,FALSE)</f>
        <v>381</v>
      </c>
      <c r="BN14" s="34" t="str">
        <f>HLOOKUP(BN$7+0.5,$I$66:$DJ$120,ROWS($A$10:$A14)+2,FALSE)</f>
        <v>N/A</v>
      </c>
      <c r="BO14" s="34">
        <f>HLOOKUP(BO$7+0.5,$I$66:$DJ$120,ROWS($A$10:$A14)+2,FALSE)</f>
        <v>2327</v>
      </c>
      <c r="BP14" s="34">
        <f>HLOOKUP(BP$7+0.5,$I$66:$DJ$120,ROWS($A$10:$A14)+2,FALSE)</f>
        <v>451</v>
      </c>
      <c r="BQ14" s="34">
        <f>HLOOKUP(BQ$7+0.5,$I$66:$DJ$120,ROWS($A$10:$A14)+2,FALSE)</f>
        <v>654</v>
      </c>
      <c r="BR14" s="34">
        <f>HLOOKUP(BR$7+0.5,$I$66:$DJ$120,ROWS($A$10:$A14)+2,FALSE)</f>
        <v>141</v>
      </c>
      <c r="BS14" s="34">
        <f>HLOOKUP(BS$7+0.5,$I$66:$DJ$120,ROWS($A$10:$A14)+2,FALSE)</f>
        <v>192</v>
      </c>
      <c r="BT14" s="34">
        <f>HLOOKUP(BT$7+0.5,$I$66:$DJ$120,ROWS($A$10:$A14)+2,FALSE)</f>
        <v>1273</v>
      </c>
      <c r="BU14" s="34">
        <f>HLOOKUP(BU$7+0.5,$I$66:$DJ$120,ROWS($A$10:$A14)+2,FALSE)</f>
        <v>759</v>
      </c>
      <c r="BV14" s="34">
        <f>HLOOKUP(BV$7+0.5,$I$66:$DJ$120,ROWS($A$10:$A14)+2,FALSE)</f>
        <v>27</v>
      </c>
      <c r="BW14" s="34">
        <f>HLOOKUP(BW$7+0.5,$I$66:$DJ$120,ROWS($A$10:$A14)+2,FALSE)</f>
        <v>271</v>
      </c>
      <c r="BX14" s="34">
        <f>HLOOKUP(BX$7+0.5,$I$66:$DJ$120,ROWS($A$10:$A14)+2,FALSE)</f>
        <v>2143</v>
      </c>
      <c r="BY14" s="34">
        <f>HLOOKUP(BY$7+0.5,$I$66:$DJ$120,ROWS($A$10:$A14)+2,FALSE)</f>
        <v>1007</v>
      </c>
      <c r="BZ14" s="34">
        <f>HLOOKUP(BZ$7+0.5,$I$66:$DJ$120,ROWS($A$10:$A14)+2,FALSE)</f>
        <v>773</v>
      </c>
      <c r="CA14" s="34">
        <f>HLOOKUP(CA$7+0.5,$I$66:$DJ$120,ROWS($A$10:$A14)+2,FALSE)</f>
        <v>1142</v>
      </c>
      <c r="CB14" s="34">
        <f>HLOOKUP(CB$7+0.5,$I$66:$DJ$120,ROWS($A$10:$A14)+2,FALSE)</f>
        <v>311</v>
      </c>
      <c r="CC14" s="34">
        <f>HLOOKUP(CC$7+0.5,$I$66:$DJ$120,ROWS($A$10:$A14)+2,FALSE)</f>
        <v>1015</v>
      </c>
      <c r="CD14" s="34">
        <f>HLOOKUP(CD$7+0.5,$I$66:$DJ$120,ROWS($A$10:$A14)+2,FALSE)</f>
        <v>53</v>
      </c>
      <c r="CE14" s="34">
        <f>HLOOKUP(CE$7+0.5,$I$66:$DJ$120,ROWS($A$10:$A14)+2,FALSE)</f>
        <v>176</v>
      </c>
      <c r="CF14" s="34">
        <f>HLOOKUP(CF$7+0.5,$I$66:$DJ$120,ROWS($A$10:$A14)+2,FALSE)</f>
        <v>901</v>
      </c>
      <c r="CG14" s="34">
        <f>HLOOKUP(CG$7+0.5,$I$66:$DJ$120,ROWS($A$10:$A14)+2,FALSE)</f>
        <v>1130</v>
      </c>
      <c r="CH14" s="34">
        <f>HLOOKUP(CH$7+0.5,$I$66:$DJ$120,ROWS($A$10:$A14)+2,FALSE)</f>
        <v>396</v>
      </c>
      <c r="CI14" s="34">
        <f>HLOOKUP(CI$7+0.5,$I$66:$DJ$120,ROWS($A$10:$A14)+2,FALSE)</f>
        <v>864</v>
      </c>
      <c r="CJ14" s="34">
        <f>HLOOKUP(CJ$7+0.5,$I$66:$DJ$120,ROWS($A$10:$A14)+2,FALSE)</f>
        <v>2602</v>
      </c>
      <c r="CK14" s="34">
        <f>HLOOKUP(CK$7+0.5,$I$66:$DJ$120,ROWS($A$10:$A14)+2,FALSE)</f>
        <v>858</v>
      </c>
      <c r="CL14" s="34">
        <f>HLOOKUP(CL$7+0.5,$I$66:$DJ$120,ROWS($A$10:$A14)+2,FALSE)</f>
        <v>417</v>
      </c>
      <c r="CM14" s="34">
        <f>HLOOKUP(CM$7+0.5,$I$66:$DJ$120,ROWS($A$10:$A14)+2,FALSE)</f>
        <v>525</v>
      </c>
      <c r="CN14" s="34">
        <f>HLOOKUP(CN$7+0.5,$I$66:$DJ$120,ROWS($A$10:$A14)+2,FALSE)</f>
        <v>69</v>
      </c>
      <c r="CO14" s="34">
        <f>HLOOKUP(CO$7+0.5,$I$66:$DJ$120,ROWS($A$10:$A14)+2,FALSE)</f>
        <v>220</v>
      </c>
      <c r="CP14" s="34">
        <f>HLOOKUP(CP$7+0.5,$I$66:$DJ$120,ROWS($A$10:$A14)+2,FALSE)</f>
        <v>680</v>
      </c>
      <c r="CQ14" s="34">
        <f>HLOOKUP(CQ$7+0.5,$I$66:$DJ$120,ROWS($A$10:$A14)+2,FALSE)</f>
        <v>362</v>
      </c>
      <c r="CR14" s="34">
        <f>HLOOKUP(CR$7+0.5,$I$66:$DJ$120,ROWS($A$10:$A14)+2,FALSE)</f>
        <v>1220</v>
      </c>
      <c r="CS14" s="34">
        <f>HLOOKUP(CS$7+0.5,$I$66:$DJ$120,ROWS($A$10:$A14)+2,FALSE)</f>
        <v>248</v>
      </c>
      <c r="CT14" s="34">
        <f>HLOOKUP(CT$7+0.5,$I$66:$DJ$120,ROWS($A$10:$A14)+2,FALSE)</f>
        <v>176</v>
      </c>
      <c r="CU14" s="34">
        <f>HLOOKUP(CU$7+0.5,$I$66:$DJ$120,ROWS($A$10:$A14)+2,FALSE)</f>
        <v>1456</v>
      </c>
      <c r="CV14" s="34">
        <f>HLOOKUP(CV$7+0.5,$I$66:$DJ$120,ROWS($A$10:$A14)+2,FALSE)</f>
        <v>587</v>
      </c>
      <c r="CW14" s="34">
        <f>HLOOKUP(CW$7+0.5,$I$66:$DJ$120,ROWS($A$10:$A14)+2,FALSE)</f>
        <v>628</v>
      </c>
      <c r="CX14" s="34">
        <f>HLOOKUP(CX$7+0.5,$I$66:$DJ$120,ROWS($A$10:$A14)+2,FALSE)</f>
        <v>192</v>
      </c>
      <c r="CY14" s="34">
        <f>HLOOKUP(CY$7+0.5,$I$66:$DJ$120,ROWS($A$10:$A14)+2,FALSE)</f>
        <v>269</v>
      </c>
      <c r="CZ14" s="34">
        <f>HLOOKUP(CZ$7+0.5,$I$66:$DJ$120,ROWS($A$10:$A14)+2,FALSE)</f>
        <v>192</v>
      </c>
      <c r="DA14" s="34">
        <f>HLOOKUP(DA$7+0.5,$I$66:$DJ$120,ROWS($A$10:$A14)+2,FALSE)</f>
        <v>2269</v>
      </c>
      <c r="DB14" s="34">
        <f>HLOOKUP(DB$7+0.5,$I$66:$DJ$120,ROWS($A$10:$A14)+2,FALSE)</f>
        <v>2746</v>
      </c>
      <c r="DC14" s="34">
        <f>HLOOKUP(DC$7+0.5,$I$66:$DJ$120,ROWS($A$10:$A14)+2,FALSE)</f>
        <v>192</v>
      </c>
      <c r="DD14" s="34">
        <f>HLOOKUP(DD$7+0.5,$I$66:$DJ$120,ROWS($A$10:$A14)+2,FALSE)</f>
        <v>192</v>
      </c>
      <c r="DE14" s="34">
        <f>HLOOKUP(DE$7+0.5,$I$66:$DJ$120,ROWS($A$10:$A14)+2,FALSE)</f>
        <v>769</v>
      </c>
      <c r="DF14" s="34">
        <f>HLOOKUP(DF$7+0.5,$I$66:$DJ$120,ROWS($A$10:$A14)+2,FALSE)</f>
        <v>636</v>
      </c>
      <c r="DG14" s="34">
        <f>HLOOKUP(DG$7+0.5,$I$66:$DJ$120,ROWS($A$10:$A14)+2,FALSE)</f>
        <v>45</v>
      </c>
      <c r="DH14" s="34">
        <f>HLOOKUP(DH$7+0.5,$I$66:$DJ$120,ROWS($A$10:$A14)+2,FALSE)</f>
        <v>632</v>
      </c>
      <c r="DI14" s="34">
        <f>HLOOKUP(DI$7+0.5,$I$66:$DJ$120,ROWS($A$10:$A14)+2,FALSE)</f>
        <v>399</v>
      </c>
      <c r="DJ14" s="34">
        <f>HLOOKUP(DJ$7+0.5,$I$66:$DJ$120,ROWS($A$10:$A14)+2,FALSE)</f>
        <v>507</v>
      </c>
    </row>
    <row r="15" spans="2:120" x14ac:dyDescent="0.25">
      <c r="B15" s="38" t="s">
        <v>11</v>
      </c>
      <c r="C15" s="16">
        <v>37222678</v>
      </c>
      <c r="D15" s="17">
        <v>9999</v>
      </c>
      <c r="E15" s="16">
        <v>31213310</v>
      </c>
      <c r="F15" s="17">
        <v>71183</v>
      </c>
      <c r="G15" s="16">
        <v>5271168</v>
      </c>
      <c r="H15" s="17">
        <v>68394</v>
      </c>
      <c r="I15" s="36">
        <f>HLOOKUP(I$7,$I$66:$DJ$120,ROWS($A$10:$A15)+2,FALSE)</f>
        <v>468428</v>
      </c>
      <c r="J15" s="25">
        <f>HLOOKUP(J$7,$I$66:$DJ$120,ROWS($A$10:$A15)+2,FALSE)</f>
        <v>2087</v>
      </c>
      <c r="K15" s="25">
        <f>HLOOKUP(K$7,$I$66:$DJ$120,ROWS($A$10:$A15)+2,FALSE)</f>
        <v>7358</v>
      </c>
      <c r="L15" s="25">
        <f>HLOOKUP(L$7,$I$66:$DJ$120,ROWS($A$10:$A15)+2,FALSE)</f>
        <v>35650</v>
      </c>
      <c r="M15" s="25">
        <f>HLOOKUP(M$7,$I$66:$DJ$120,ROWS($A$10:$A15)+2,FALSE)</f>
        <v>2648</v>
      </c>
      <c r="N15" s="25" t="str">
        <f>HLOOKUP(N$7,$I$66:$DJ$120,ROWS($A$10:$A15)+2,FALSE)</f>
        <v>N/A</v>
      </c>
      <c r="O15" s="25">
        <f>HLOOKUP(O$7,$I$66:$DJ$120,ROWS($A$10:$A15)+2,FALSE)</f>
        <v>21245</v>
      </c>
      <c r="P15" s="25">
        <f>HLOOKUP(P$7,$I$66:$DJ$120,ROWS($A$10:$A15)+2,FALSE)</f>
        <v>3073</v>
      </c>
      <c r="Q15" s="25">
        <f>HLOOKUP(Q$7,$I$66:$DJ$120,ROWS($A$10:$A15)+2,FALSE)</f>
        <v>1302</v>
      </c>
      <c r="R15" s="25">
        <f>HLOOKUP(R$7,$I$66:$DJ$120,ROWS($A$10:$A15)+2,FALSE)</f>
        <v>3240</v>
      </c>
      <c r="S15" s="25">
        <f>HLOOKUP(S$7,$I$66:$DJ$120,ROWS($A$10:$A15)+2,FALSE)</f>
        <v>22094</v>
      </c>
      <c r="T15" s="25">
        <f>HLOOKUP(T$7,$I$66:$DJ$120,ROWS($A$10:$A15)+2,FALSE)</f>
        <v>13303</v>
      </c>
      <c r="U15" s="25">
        <f>HLOOKUP(U$7,$I$66:$DJ$120,ROWS($A$10:$A15)+2,FALSE)</f>
        <v>9864</v>
      </c>
      <c r="V15" s="25">
        <f>HLOOKUP(V$7,$I$66:$DJ$120,ROWS($A$10:$A15)+2,FALSE)</f>
        <v>4796</v>
      </c>
      <c r="W15" s="25">
        <f>HLOOKUP(W$7,$I$66:$DJ$120,ROWS($A$10:$A15)+2,FALSE)</f>
        <v>20834</v>
      </c>
      <c r="X15" s="25">
        <f>HLOOKUP(X$7,$I$66:$DJ$120,ROWS($A$10:$A15)+2,FALSE)</f>
        <v>4673</v>
      </c>
      <c r="Y15" s="25">
        <f>HLOOKUP(Y$7,$I$66:$DJ$120,ROWS($A$10:$A15)+2,FALSE)</f>
        <v>3324</v>
      </c>
      <c r="Z15" s="25">
        <f>HLOOKUP(Z$7,$I$66:$DJ$120,ROWS($A$10:$A15)+2,FALSE)</f>
        <v>2810</v>
      </c>
      <c r="AA15" s="25">
        <f>HLOOKUP(AA$7,$I$66:$DJ$120,ROWS($A$10:$A15)+2,FALSE)</f>
        <v>1201</v>
      </c>
      <c r="AB15" s="25">
        <f>HLOOKUP(AB$7,$I$66:$DJ$120,ROWS($A$10:$A15)+2,FALSE)</f>
        <v>3600</v>
      </c>
      <c r="AC15" s="25">
        <f>HLOOKUP(AC$7,$I$66:$DJ$120,ROWS($A$10:$A15)+2,FALSE)</f>
        <v>1658</v>
      </c>
      <c r="AD15" s="25">
        <f>HLOOKUP(AD$7,$I$66:$DJ$120,ROWS($A$10:$A15)+2,FALSE)</f>
        <v>7793</v>
      </c>
      <c r="AE15" s="25">
        <f>HLOOKUP(AE$7,$I$66:$DJ$120,ROWS($A$10:$A15)+2,FALSE)</f>
        <v>10244</v>
      </c>
      <c r="AF15" s="25">
        <f>HLOOKUP(AF$7,$I$66:$DJ$120,ROWS($A$10:$A15)+2,FALSE)</f>
        <v>12069</v>
      </c>
      <c r="AG15" s="25">
        <f>HLOOKUP(AG$7,$I$66:$DJ$120,ROWS($A$10:$A15)+2,FALSE)</f>
        <v>5687</v>
      </c>
      <c r="AH15" s="25">
        <f>HLOOKUP(AH$7,$I$66:$DJ$120,ROWS($A$10:$A15)+2,FALSE)</f>
        <v>2092</v>
      </c>
      <c r="AI15" s="25">
        <f>HLOOKUP(AI$7,$I$66:$DJ$120,ROWS($A$10:$A15)+2,FALSE)</f>
        <v>7677</v>
      </c>
      <c r="AJ15" s="25">
        <f>HLOOKUP(AJ$7,$I$66:$DJ$120,ROWS($A$10:$A15)+2,FALSE)</f>
        <v>2599</v>
      </c>
      <c r="AK15" s="25">
        <f>HLOOKUP(AK$7,$I$66:$DJ$120,ROWS($A$10:$A15)+2,FALSE)</f>
        <v>1955</v>
      </c>
      <c r="AL15" s="25">
        <f>HLOOKUP(AL$7,$I$66:$DJ$120,ROWS($A$10:$A15)+2,FALSE)</f>
        <v>36159</v>
      </c>
      <c r="AM15" s="25">
        <f>HLOOKUP(AM$7,$I$66:$DJ$120,ROWS($A$10:$A15)+2,FALSE)</f>
        <v>1222</v>
      </c>
      <c r="AN15" s="25">
        <f>HLOOKUP(AN$7,$I$66:$DJ$120,ROWS($A$10:$A15)+2,FALSE)</f>
        <v>8053</v>
      </c>
      <c r="AO15" s="25">
        <f>HLOOKUP(AO$7,$I$66:$DJ$120,ROWS($A$10:$A15)+2,FALSE)</f>
        <v>5904</v>
      </c>
      <c r="AP15" s="25">
        <f>HLOOKUP(AP$7,$I$66:$DJ$120,ROWS($A$10:$A15)+2,FALSE)</f>
        <v>25629</v>
      </c>
      <c r="AQ15" s="25">
        <f>HLOOKUP(AQ$7,$I$66:$DJ$120,ROWS($A$10:$A15)+2,FALSE)</f>
        <v>8708</v>
      </c>
      <c r="AR15" s="25">
        <f>HLOOKUP(AR$7,$I$66:$DJ$120,ROWS($A$10:$A15)+2,FALSE)</f>
        <v>1392</v>
      </c>
      <c r="AS15" s="25">
        <f>HLOOKUP(AS$7,$I$66:$DJ$120,ROWS($A$10:$A15)+2,FALSE)</f>
        <v>10474</v>
      </c>
      <c r="AT15" s="25">
        <f>HLOOKUP(AT$7,$I$66:$DJ$120,ROWS($A$10:$A15)+2,FALSE)</f>
        <v>5113</v>
      </c>
      <c r="AU15" s="25">
        <f>HLOOKUP(AU$7,$I$66:$DJ$120,ROWS($A$10:$A15)+2,FALSE)</f>
        <v>18165</v>
      </c>
      <c r="AV15" s="25">
        <f>HLOOKUP(AV$7,$I$66:$DJ$120,ROWS($A$10:$A15)+2,FALSE)</f>
        <v>8550</v>
      </c>
      <c r="AW15" s="25">
        <f>HLOOKUP(AW$7,$I$66:$DJ$120,ROWS($A$10:$A15)+2,FALSE)</f>
        <v>1103</v>
      </c>
      <c r="AX15" s="25">
        <f>HLOOKUP(AX$7,$I$66:$DJ$120,ROWS($A$10:$A15)+2,FALSE)</f>
        <v>5758</v>
      </c>
      <c r="AY15" s="25">
        <f>HLOOKUP(AY$7,$I$66:$DJ$120,ROWS($A$10:$A15)+2,FALSE)</f>
        <v>1004</v>
      </c>
      <c r="AZ15" s="25">
        <f>HLOOKUP(AZ$7,$I$66:$DJ$120,ROWS($A$10:$A15)+2,FALSE)</f>
        <v>8761</v>
      </c>
      <c r="BA15" s="25">
        <f>HLOOKUP(BA$7,$I$66:$DJ$120,ROWS($A$10:$A15)+2,FALSE)</f>
        <v>37087</v>
      </c>
      <c r="BB15" s="25">
        <f>HLOOKUP(BB$7,$I$66:$DJ$120,ROWS($A$10:$A15)+2,FALSE)</f>
        <v>8944</v>
      </c>
      <c r="BC15" s="25">
        <f>HLOOKUP(BC$7,$I$66:$DJ$120,ROWS($A$10:$A15)+2,FALSE)</f>
        <v>745</v>
      </c>
      <c r="BD15" s="25">
        <f>HLOOKUP(BD$7,$I$66:$DJ$120,ROWS($A$10:$A15)+2,FALSE)</f>
        <v>15753</v>
      </c>
      <c r="BE15" s="25">
        <f>HLOOKUP(BE$7,$I$66:$DJ$120,ROWS($A$10:$A15)+2,FALSE)</f>
        <v>36481</v>
      </c>
      <c r="BF15" s="25">
        <f>HLOOKUP(BF$7,$I$66:$DJ$120,ROWS($A$10:$A15)+2,FALSE)</f>
        <v>832</v>
      </c>
      <c r="BG15" s="25">
        <f>HLOOKUP(BG$7,$I$66:$DJ$120,ROWS($A$10:$A15)+2,FALSE)</f>
        <v>5668</v>
      </c>
      <c r="BH15" s="25">
        <f>HLOOKUP(BH$7,$I$66:$DJ$120,ROWS($A$10:$A15)+2,FALSE)</f>
        <v>2047</v>
      </c>
      <c r="BI15" s="25">
        <f>HLOOKUP(BI$7,$I$66:$DJ$120,ROWS($A$10:$A15)+2,FALSE)</f>
        <v>1344</v>
      </c>
      <c r="BJ15" s="34">
        <f>HLOOKUP(BJ$7+0.5,$I$66:$DJ$120,ROWS($A$10:$A15)+2,FALSE)</f>
        <v>17921</v>
      </c>
      <c r="BK15" s="34">
        <f>HLOOKUP(BK$7+0.5,$I$66:$DJ$120,ROWS($A$10:$A15)+2,FALSE)</f>
        <v>927</v>
      </c>
      <c r="BL15" s="34">
        <f>HLOOKUP(BL$7+0.5,$I$66:$DJ$120,ROWS($A$10:$A15)+2,FALSE)</f>
        <v>2501</v>
      </c>
      <c r="BM15" s="34">
        <f>HLOOKUP(BM$7+0.5,$I$66:$DJ$120,ROWS($A$10:$A15)+2,FALSE)</f>
        <v>4362</v>
      </c>
      <c r="BN15" s="34">
        <f>HLOOKUP(BN$7+0.5,$I$66:$DJ$120,ROWS($A$10:$A15)+2,FALSE)</f>
        <v>1019</v>
      </c>
      <c r="BO15" s="34" t="str">
        <f>HLOOKUP(BO$7+0.5,$I$66:$DJ$120,ROWS($A$10:$A15)+2,FALSE)</f>
        <v>N/A</v>
      </c>
      <c r="BP15" s="34">
        <f>HLOOKUP(BP$7+0.5,$I$66:$DJ$120,ROWS($A$10:$A15)+2,FALSE)</f>
        <v>3867</v>
      </c>
      <c r="BQ15" s="34">
        <f>HLOOKUP(BQ$7+0.5,$I$66:$DJ$120,ROWS($A$10:$A15)+2,FALSE)</f>
        <v>1222</v>
      </c>
      <c r="BR15" s="34">
        <f>HLOOKUP(BR$7+0.5,$I$66:$DJ$120,ROWS($A$10:$A15)+2,FALSE)</f>
        <v>1343</v>
      </c>
      <c r="BS15" s="34">
        <f>HLOOKUP(BS$7+0.5,$I$66:$DJ$120,ROWS($A$10:$A15)+2,FALSE)</f>
        <v>1457</v>
      </c>
      <c r="BT15" s="34">
        <f>HLOOKUP(BT$7+0.5,$I$66:$DJ$120,ROWS($A$10:$A15)+2,FALSE)</f>
        <v>4333</v>
      </c>
      <c r="BU15" s="34">
        <f>HLOOKUP(BU$7+0.5,$I$66:$DJ$120,ROWS($A$10:$A15)+2,FALSE)</f>
        <v>3042</v>
      </c>
      <c r="BV15" s="34">
        <f>HLOOKUP(BV$7+0.5,$I$66:$DJ$120,ROWS($A$10:$A15)+2,FALSE)</f>
        <v>2683</v>
      </c>
      <c r="BW15" s="34">
        <f>HLOOKUP(BW$7+0.5,$I$66:$DJ$120,ROWS($A$10:$A15)+2,FALSE)</f>
        <v>1560</v>
      </c>
      <c r="BX15" s="34">
        <f>HLOOKUP(BX$7+0.5,$I$66:$DJ$120,ROWS($A$10:$A15)+2,FALSE)</f>
        <v>3496</v>
      </c>
      <c r="BY15" s="34">
        <f>HLOOKUP(BY$7+0.5,$I$66:$DJ$120,ROWS($A$10:$A15)+2,FALSE)</f>
        <v>1297</v>
      </c>
      <c r="BZ15" s="34">
        <f>HLOOKUP(BZ$7+0.5,$I$66:$DJ$120,ROWS($A$10:$A15)+2,FALSE)</f>
        <v>1701</v>
      </c>
      <c r="CA15" s="34">
        <f>HLOOKUP(CA$7+0.5,$I$66:$DJ$120,ROWS($A$10:$A15)+2,FALSE)</f>
        <v>1256</v>
      </c>
      <c r="CB15" s="34">
        <f>HLOOKUP(CB$7+0.5,$I$66:$DJ$120,ROWS($A$10:$A15)+2,FALSE)</f>
        <v>507</v>
      </c>
      <c r="CC15" s="34">
        <f>HLOOKUP(CC$7+0.5,$I$66:$DJ$120,ROWS($A$10:$A15)+2,FALSE)</f>
        <v>1751</v>
      </c>
      <c r="CD15" s="34">
        <f>HLOOKUP(CD$7+0.5,$I$66:$DJ$120,ROWS($A$10:$A15)+2,FALSE)</f>
        <v>1175</v>
      </c>
      <c r="CE15" s="34">
        <f>HLOOKUP(CE$7+0.5,$I$66:$DJ$120,ROWS($A$10:$A15)+2,FALSE)</f>
        <v>1924</v>
      </c>
      <c r="CF15" s="34">
        <f>HLOOKUP(CF$7+0.5,$I$66:$DJ$120,ROWS($A$10:$A15)+2,FALSE)</f>
        <v>2069</v>
      </c>
      <c r="CG15" s="34">
        <f>HLOOKUP(CG$7+0.5,$I$66:$DJ$120,ROWS($A$10:$A15)+2,FALSE)</f>
        <v>4117</v>
      </c>
      <c r="CH15" s="34">
        <f>HLOOKUP(CH$7+0.5,$I$66:$DJ$120,ROWS($A$10:$A15)+2,FALSE)</f>
        <v>1375</v>
      </c>
      <c r="CI15" s="34">
        <f>HLOOKUP(CI$7+0.5,$I$66:$DJ$120,ROWS($A$10:$A15)+2,FALSE)</f>
        <v>896</v>
      </c>
      <c r="CJ15" s="34">
        <f>HLOOKUP(CJ$7+0.5,$I$66:$DJ$120,ROWS($A$10:$A15)+2,FALSE)</f>
        <v>1995</v>
      </c>
      <c r="CK15" s="34">
        <f>HLOOKUP(CK$7+0.5,$I$66:$DJ$120,ROWS($A$10:$A15)+2,FALSE)</f>
        <v>1492</v>
      </c>
      <c r="CL15" s="34">
        <f>HLOOKUP(CL$7+0.5,$I$66:$DJ$120,ROWS($A$10:$A15)+2,FALSE)</f>
        <v>821</v>
      </c>
      <c r="CM15" s="34">
        <f>HLOOKUP(CM$7+0.5,$I$66:$DJ$120,ROWS($A$10:$A15)+2,FALSE)</f>
        <v>5100</v>
      </c>
      <c r="CN15" s="34">
        <f>HLOOKUP(CN$7+0.5,$I$66:$DJ$120,ROWS($A$10:$A15)+2,FALSE)</f>
        <v>869</v>
      </c>
      <c r="CO15" s="34">
        <f>HLOOKUP(CO$7+0.5,$I$66:$DJ$120,ROWS($A$10:$A15)+2,FALSE)</f>
        <v>2169</v>
      </c>
      <c r="CP15" s="34">
        <f>HLOOKUP(CP$7+0.5,$I$66:$DJ$120,ROWS($A$10:$A15)+2,FALSE)</f>
        <v>2207</v>
      </c>
      <c r="CQ15" s="34">
        <f>HLOOKUP(CQ$7+0.5,$I$66:$DJ$120,ROWS($A$10:$A15)+2,FALSE)</f>
        <v>3287</v>
      </c>
      <c r="CR15" s="34">
        <f>HLOOKUP(CR$7+0.5,$I$66:$DJ$120,ROWS($A$10:$A15)+2,FALSE)</f>
        <v>2611</v>
      </c>
      <c r="CS15" s="34">
        <f>HLOOKUP(CS$7+0.5,$I$66:$DJ$120,ROWS($A$10:$A15)+2,FALSE)</f>
        <v>898</v>
      </c>
      <c r="CT15" s="34">
        <f>HLOOKUP(CT$7+0.5,$I$66:$DJ$120,ROWS($A$10:$A15)+2,FALSE)</f>
        <v>3555</v>
      </c>
      <c r="CU15" s="34">
        <f>HLOOKUP(CU$7+0.5,$I$66:$DJ$120,ROWS($A$10:$A15)+2,FALSE)</f>
        <v>1763</v>
      </c>
      <c r="CV15" s="34">
        <f>HLOOKUP(CV$7+0.5,$I$66:$DJ$120,ROWS($A$10:$A15)+2,FALSE)</f>
        <v>2845</v>
      </c>
      <c r="CW15" s="34">
        <f>HLOOKUP(CW$7+0.5,$I$66:$DJ$120,ROWS($A$10:$A15)+2,FALSE)</f>
        <v>2017</v>
      </c>
      <c r="CX15" s="34">
        <f>HLOOKUP(CX$7+0.5,$I$66:$DJ$120,ROWS($A$10:$A15)+2,FALSE)</f>
        <v>545</v>
      </c>
      <c r="CY15" s="34">
        <f>HLOOKUP(CY$7+0.5,$I$66:$DJ$120,ROWS($A$10:$A15)+2,FALSE)</f>
        <v>2383</v>
      </c>
      <c r="CZ15" s="34">
        <f>HLOOKUP(CZ$7+0.5,$I$66:$DJ$120,ROWS($A$10:$A15)+2,FALSE)</f>
        <v>686</v>
      </c>
      <c r="DA15" s="34">
        <f>HLOOKUP(DA$7+0.5,$I$66:$DJ$120,ROWS($A$10:$A15)+2,FALSE)</f>
        <v>2325</v>
      </c>
      <c r="DB15" s="34">
        <f>HLOOKUP(DB$7+0.5,$I$66:$DJ$120,ROWS($A$10:$A15)+2,FALSE)</f>
        <v>5877</v>
      </c>
      <c r="DC15" s="34">
        <f>HLOOKUP(DC$7+0.5,$I$66:$DJ$120,ROWS($A$10:$A15)+2,FALSE)</f>
        <v>2725</v>
      </c>
      <c r="DD15" s="34">
        <f>HLOOKUP(DD$7+0.5,$I$66:$DJ$120,ROWS($A$10:$A15)+2,FALSE)</f>
        <v>504</v>
      </c>
      <c r="DE15" s="34">
        <f>HLOOKUP(DE$7+0.5,$I$66:$DJ$120,ROWS($A$10:$A15)+2,FALSE)</f>
        <v>2373</v>
      </c>
      <c r="DF15" s="34">
        <f>HLOOKUP(DF$7+0.5,$I$66:$DJ$120,ROWS($A$10:$A15)+2,FALSE)</f>
        <v>6266</v>
      </c>
      <c r="DG15" s="34">
        <f>HLOOKUP(DG$7+0.5,$I$66:$DJ$120,ROWS($A$10:$A15)+2,FALSE)</f>
        <v>463</v>
      </c>
      <c r="DH15" s="34">
        <f>HLOOKUP(DH$7+0.5,$I$66:$DJ$120,ROWS($A$10:$A15)+2,FALSE)</f>
        <v>1495</v>
      </c>
      <c r="DI15" s="34">
        <f>HLOOKUP(DI$7+0.5,$I$66:$DJ$120,ROWS($A$10:$A15)+2,FALSE)</f>
        <v>1810</v>
      </c>
      <c r="DJ15" s="34">
        <f>HLOOKUP(DJ$7+0.5,$I$66:$DJ$120,ROWS($A$10:$A15)+2,FALSE)</f>
        <v>635</v>
      </c>
    </row>
    <row r="16" spans="2:120" x14ac:dyDescent="0.25">
      <c r="B16" s="38" t="s">
        <v>12</v>
      </c>
      <c r="C16" s="16">
        <v>5048443</v>
      </c>
      <c r="D16" s="17">
        <v>4037</v>
      </c>
      <c r="E16" s="16">
        <v>4048042</v>
      </c>
      <c r="F16" s="17">
        <v>22888</v>
      </c>
      <c r="G16" s="16">
        <v>763233</v>
      </c>
      <c r="H16" s="17">
        <v>18937</v>
      </c>
      <c r="I16" s="36">
        <f>HLOOKUP(I$7,$I$66:$DJ$120,ROWS($A$10:$A16)+2,FALSE)</f>
        <v>202124</v>
      </c>
      <c r="J16" s="25">
        <f>HLOOKUP(J$7,$I$66:$DJ$120,ROWS($A$10:$A16)+2,FALSE)</f>
        <v>2340</v>
      </c>
      <c r="K16" s="25">
        <f>HLOOKUP(K$7,$I$66:$DJ$120,ROWS($A$10:$A16)+2,FALSE)</f>
        <v>3191</v>
      </c>
      <c r="L16" s="25">
        <f>HLOOKUP(L$7,$I$66:$DJ$120,ROWS($A$10:$A16)+2,FALSE)</f>
        <v>12338</v>
      </c>
      <c r="M16" s="25">
        <f>HLOOKUP(M$7,$I$66:$DJ$120,ROWS($A$10:$A16)+2,FALSE)</f>
        <v>1615</v>
      </c>
      <c r="N16" s="25">
        <f>HLOOKUP(N$7,$I$66:$DJ$120,ROWS($A$10:$A16)+2,FALSE)</f>
        <v>23234</v>
      </c>
      <c r="O16" s="25" t="str">
        <f>HLOOKUP(O$7,$I$66:$DJ$120,ROWS($A$10:$A16)+2,FALSE)</f>
        <v>N/A</v>
      </c>
      <c r="P16" s="25">
        <f>HLOOKUP(P$7,$I$66:$DJ$120,ROWS($A$10:$A16)+2,FALSE)</f>
        <v>1567</v>
      </c>
      <c r="Q16" s="25">
        <f>HLOOKUP(Q$7,$I$66:$DJ$120,ROWS($A$10:$A16)+2,FALSE)</f>
        <v>501</v>
      </c>
      <c r="R16" s="25">
        <f>HLOOKUP(R$7,$I$66:$DJ$120,ROWS($A$10:$A16)+2,FALSE)</f>
        <v>298</v>
      </c>
      <c r="S16" s="25">
        <f>HLOOKUP(S$7,$I$66:$DJ$120,ROWS($A$10:$A16)+2,FALSE)</f>
        <v>8075</v>
      </c>
      <c r="T16" s="25">
        <f>HLOOKUP(T$7,$I$66:$DJ$120,ROWS($A$10:$A16)+2,FALSE)</f>
        <v>3250</v>
      </c>
      <c r="U16" s="25">
        <f>HLOOKUP(U$7,$I$66:$DJ$120,ROWS($A$10:$A16)+2,FALSE)</f>
        <v>1852</v>
      </c>
      <c r="V16" s="25">
        <f>HLOOKUP(V$7,$I$66:$DJ$120,ROWS($A$10:$A16)+2,FALSE)</f>
        <v>1578</v>
      </c>
      <c r="W16" s="25">
        <f>HLOOKUP(W$7,$I$66:$DJ$120,ROWS($A$10:$A16)+2,FALSE)</f>
        <v>6027</v>
      </c>
      <c r="X16" s="25">
        <f>HLOOKUP(X$7,$I$66:$DJ$120,ROWS($A$10:$A16)+2,FALSE)</f>
        <v>2116</v>
      </c>
      <c r="Y16" s="25">
        <f>HLOOKUP(Y$7,$I$66:$DJ$120,ROWS($A$10:$A16)+2,FALSE)</f>
        <v>3510</v>
      </c>
      <c r="Z16" s="25">
        <f>HLOOKUP(Z$7,$I$66:$DJ$120,ROWS($A$10:$A16)+2,FALSE)</f>
        <v>3718</v>
      </c>
      <c r="AA16" s="25">
        <f>HLOOKUP(AA$7,$I$66:$DJ$120,ROWS($A$10:$A16)+2,FALSE)</f>
        <v>1361</v>
      </c>
      <c r="AB16" s="25">
        <f>HLOOKUP(AB$7,$I$66:$DJ$120,ROWS($A$10:$A16)+2,FALSE)</f>
        <v>908</v>
      </c>
      <c r="AC16" s="25">
        <f>HLOOKUP(AC$7,$I$66:$DJ$120,ROWS($A$10:$A16)+2,FALSE)</f>
        <v>1358</v>
      </c>
      <c r="AD16" s="25">
        <f>HLOOKUP(AD$7,$I$66:$DJ$120,ROWS($A$10:$A16)+2,FALSE)</f>
        <v>3303</v>
      </c>
      <c r="AE16" s="25">
        <f>HLOOKUP(AE$7,$I$66:$DJ$120,ROWS($A$10:$A16)+2,FALSE)</f>
        <v>2157</v>
      </c>
      <c r="AF16" s="25">
        <f>HLOOKUP(AF$7,$I$66:$DJ$120,ROWS($A$10:$A16)+2,FALSE)</f>
        <v>3225</v>
      </c>
      <c r="AG16" s="25">
        <f>HLOOKUP(AG$7,$I$66:$DJ$120,ROWS($A$10:$A16)+2,FALSE)</f>
        <v>3055</v>
      </c>
      <c r="AH16" s="25">
        <f>HLOOKUP(AH$7,$I$66:$DJ$120,ROWS($A$10:$A16)+2,FALSE)</f>
        <v>879</v>
      </c>
      <c r="AI16" s="25">
        <f>HLOOKUP(AI$7,$I$66:$DJ$120,ROWS($A$10:$A16)+2,FALSE)</f>
        <v>4552</v>
      </c>
      <c r="AJ16" s="25">
        <f>HLOOKUP(AJ$7,$I$66:$DJ$120,ROWS($A$10:$A16)+2,FALSE)</f>
        <v>4079</v>
      </c>
      <c r="AK16" s="25">
        <f>HLOOKUP(AK$7,$I$66:$DJ$120,ROWS($A$10:$A16)+2,FALSE)</f>
        <v>4582</v>
      </c>
      <c r="AL16" s="25">
        <f>HLOOKUP(AL$7,$I$66:$DJ$120,ROWS($A$10:$A16)+2,FALSE)</f>
        <v>4061</v>
      </c>
      <c r="AM16" s="25">
        <f>HLOOKUP(AM$7,$I$66:$DJ$120,ROWS($A$10:$A16)+2,FALSE)</f>
        <v>489</v>
      </c>
      <c r="AN16" s="25">
        <f>HLOOKUP(AN$7,$I$66:$DJ$120,ROWS($A$10:$A16)+2,FALSE)</f>
        <v>2863</v>
      </c>
      <c r="AO16" s="25">
        <f>HLOOKUP(AO$7,$I$66:$DJ$120,ROWS($A$10:$A16)+2,FALSE)</f>
        <v>8797</v>
      </c>
      <c r="AP16" s="25">
        <f>HLOOKUP(AP$7,$I$66:$DJ$120,ROWS($A$10:$A16)+2,FALSE)</f>
        <v>3998</v>
      </c>
      <c r="AQ16" s="25">
        <f>HLOOKUP(AQ$7,$I$66:$DJ$120,ROWS($A$10:$A16)+2,FALSE)</f>
        <v>4756</v>
      </c>
      <c r="AR16" s="25">
        <f>HLOOKUP(AR$7,$I$66:$DJ$120,ROWS($A$10:$A16)+2,FALSE)</f>
        <v>2249</v>
      </c>
      <c r="AS16" s="25">
        <f>HLOOKUP(AS$7,$I$66:$DJ$120,ROWS($A$10:$A16)+2,FALSE)</f>
        <v>5527</v>
      </c>
      <c r="AT16" s="25">
        <f>HLOOKUP(AT$7,$I$66:$DJ$120,ROWS($A$10:$A16)+2,FALSE)</f>
        <v>3824</v>
      </c>
      <c r="AU16" s="25">
        <f>HLOOKUP(AU$7,$I$66:$DJ$120,ROWS($A$10:$A16)+2,FALSE)</f>
        <v>5543</v>
      </c>
      <c r="AV16" s="25">
        <f>HLOOKUP(AV$7,$I$66:$DJ$120,ROWS($A$10:$A16)+2,FALSE)</f>
        <v>3348</v>
      </c>
      <c r="AW16" s="25">
        <f>HLOOKUP(AW$7,$I$66:$DJ$120,ROWS($A$10:$A16)+2,FALSE)</f>
        <v>435</v>
      </c>
      <c r="AX16" s="25">
        <f>HLOOKUP(AX$7,$I$66:$DJ$120,ROWS($A$10:$A16)+2,FALSE)</f>
        <v>718</v>
      </c>
      <c r="AY16" s="25">
        <f>HLOOKUP(AY$7,$I$66:$DJ$120,ROWS($A$10:$A16)+2,FALSE)</f>
        <v>1340</v>
      </c>
      <c r="AZ16" s="25">
        <f>HLOOKUP(AZ$7,$I$66:$DJ$120,ROWS($A$10:$A16)+2,FALSE)</f>
        <v>3193</v>
      </c>
      <c r="BA16" s="25">
        <f>HLOOKUP(BA$7,$I$66:$DJ$120,ROWS($A$10:$A16)+2,FALSE)</f>
        <v>22390</v>
      </c>
      <c r="BB16" s="25">
        <f>HLOOKUP(BB$7,$I$66:$DJ$120,ROWS($A$10:$A16)+2,FALSE)</f>
        <v>3856</v>
      </c>
      <c r="BC16" s="25">
        <f>HLOOKUP(BC$7,$I$66:$DJ$120,ROWS($A$10:$A16)+2,FALSE)</f>
        <v>914</v>
      </c>
      <c r="BD16" s="25">
        <f>HLOOKUP(BD$7,$I$66:$DJ$120,ROWS($A$10:$A16)+2,FALSE)</f>
        <v>6281</v>
      </c>
      <c r="BE16" s="25">
        <f>HLOOKUP(BE$7,$I$66:$DJ$120,ROWS($A$10:$A16)+2,FALSE)</f>
        <v>5524</v>
      </c>
      <c r="BF16" s="25">
        <f>HLOOKUP(BF$7,$I$66:$DJ$120,ROWS($A$10:$A16)+2,FALSE)</f>
        <v>412</v>
      </c>
      <c r="BG16" s="25">
        <f>HLOOKUP(BG$7,$I$66:$DJ$120,ROWS($A$10:$A16)+2,FALSE)</f>
        <v>3995</v>
      </c>
      <c r="BH16" s="25">
        <f>HLOOKUP(BH$7,$I$66:$DJ$120,ROWS($A$10:$A16)+2,FALSE)</f>
        <v>2942</v>
      </c>
      <c r="BI16" s="25">
        <f>HLOOKUP(BI$7,$I$66:$DJ$120,ROWS($A$10:$A16)+2,FALSE)</f>
        <v>476</v>
      </c>
      <c r="BJ16" s="34">
        <f>HLOOKUP(BJ$7+0.5,$I$66:$DJ$120,ROWS($A$10:$A16)+2,FALSE)</f>
        <v>11431</v>
      </c>
      <c r="BK16" s="34">
        <f>HLOOKUP(BK$7+0.5,$I$66:$DJ$120,ROWS($A$10:$A16)+2,FALSE)</f>
        <v>1681</v>
      </c>
      <c r="BL16" s="34">
        <f>HLOOKUP(BL$7+0.5,$I$66:$DJ$120,ROWS($A$10:$A16)+2,FALSE)</f>
        <v>1622</v>
      </c>
      <c r="BM16" s="34">
        <f>HLOOKUP(BM$7+0.5,$I$66:$DJ$120,ROWS($A$10:$A16)+2,FALSE)</f>
        <v>3704</v>
      </c>
      <c r="BN16" s="34">
        <f>HLOOKUP(BN$7+0.5,$I$66:$DJ$120,ROWS($A$10:$A16)+2,FALSE)</f>
        <v>1191</v>
      </c>
      <c r="BO16" s="34">
        <f>HLOOKUP(BO$7+0.5,$I$66:$DJ$120,ROWS($A$10:$A16)+2,FALSE)</f>
        <v>3742</v>
      </c>
      <c r="BP16" s="34" t="str">
        <f>HLOOKUP(BP$7+0.5,$I$66:$DJ$120,ROWS($A$10:$A16)+2,FALSE)</f>
        <v>N/A</v>
      </c>
      <c r="BQ16" s="34">
        <f>HLOOKUP(BQ$7+0.5,$I$66:$DJ$120,ROWS($A$10:$A16)+2,FALSE)</f>
        <v>838</v>
      </c>
      <c r="BR16" s="34">
        <f>HLOOKUP(BR$7+0.5,$I$66:$DJ$120,ROWS($A$10:$A16)+2,FALSE)</f>
        <v>556</v>
      </c>
      <c r="BS16" s="34">
        <f>HLOOKUP(BS$7+0.5,$I$66:$DJ$120,ROWS($A$10:$A16)+2,FALSE)</f>
        <v>301</v>
      </c>
      <c r="BT16" s="34">
        <f>HLOOKUP(BT$7+0.5,$I$66:$DJ$120,ROWS($A$10:$A16)+2,FALSE)</f>
        <v>2090</v>
      </c>
      <c r="BU16" s="34">
        <f>HLOOKUP(BU$7+0.5,$I$66:$DJ$120,ROWS($A$10:$A16)+2,FALSE)</f>
        <v>1254</v>
      </c>
      <c r="BV16" s="34">
        <f>HLOOKUP(BV$7+0.5,$I$66:$DJ$120,ROWS($A$10:$A16)+2,FALSE)</f>
        <v>832</v>
      </c>
      <c r="BW16" s="34">
        <f>HLOOKUP(BW$7+0.5,$I$66:$DJ$120,ROWS($A$10:$A16)+2,FALSE)</f>
        <v>766</v>
      </c>
      <c r="BX16" s="34">
        <f>HLOOKUP(BX$7+0.5,$I$66:$DJ$120,ROWS($A$10:$A16)+2,FALSE)</f>
        <v>1536</v>
      </c>
      <c r="BY16" s="34">
        <f>HLOOKUP(BY$7+0.5,$I$66:$DJ$120,ROWS($A$10:$A16)+2,FALSE)</f>
        <v>1289</v>
      </c>
      <c r="BZ16" s="34">
        <f>HLOOKUP(BZ$7+0.5,$I$66:$DJ$120,ROWS($A$10:$A16)+2,FALSE)</f>
        <v>1495</v>
      </c>
      <c r="CA16" s="34">
        <f>HLOOKUP(CA$7+0.5,$I$66:$DJ$120,ROWS($A$10:$A16)+2,FALSE)</f>
        <v>1495</v>
      </c>
      <c r="CB16" s="34">
        <f>HLOOKUP(CB$7+0.5,$I$66:$DJ$120,ROWS($A$10:$A16)+2,FALSE)</f>
        <v>1028</v>
      </c>
      <c r="CC16" s="34">
        <f>HLOOKUP(CC$7+0.5,$I$66:$DJ$120,ROWS($A$10:$A16)+2,FALSE)</f>
        <v>550</v>
      </c>
      <c r="CD16" s="34">
        <f>HLOOKUP(CD$7+0.5,$I$66:$DJ$120,ROWS($A$10:$A16)+2,FALSE)</f>
        <v>1235</v>
      </c>
      <c r="CE16" s="34">
        <f>HLOOKUP(CE$7+0.5,$I$66:$DJ$120,ROWS($A$10:$A16)+2,FALSE)</f>
        <v>1416</v>
      </c>
      <c r="CF16" s="34">
        <f>HLOOKUP(CF$7+0.5,$I$66:$DJ$120,ROWS($A$10:$A16)+2,FALSE)</f>
        <v>1085</v>
      </c>
      <c r="CG16" s="34">
        <f>HLOOKUP(CG$7+0.5,$I$66:$DJ$120,ROWS($A$10:$A16)+2,FALSE)</f>
        <v>1061</v>
      </c>
      <c r="CH16" s="34">
        <f>HLOOKUP(CH$7+0.5,$I$66:$DJ$120,ROWS($A$10:$A16)+2,FALSE)</f>
        <v>1092</v>
      </c>
      <c r="CI16" s="34">
        <f>HLOOKUP(CI$7+0.5,$I$66:$DJ$120,ROWS($A$10:$A16)+2,FALSE)</f>
        <v>621</v>
      </c>
      <c r="CJ16" s="34">
        <f>HLOOKUP(CJ$7+0.5,$I$66:$DJ$120,ROWS($A$10:$A16)+2,FALSE)</f>
        <v>1382</v>
      </c>
      <c r="CK16" s="34">
        <f>HLOOKUP(CK$7+0.5,$I$66:$DJ$120,ROWS($A$10:$A16)+2,FALSE)</f>
        <v>1579</v>
      </c>
      <c r="CL16" s="34">
        <f>HLOOKUP(CL$7+0.5,$I$66:$DJ$120,ROWS($A$10:$A16)+2,FALSE)</f>
        <v>1961</v>
      </c>
      <c r="CM16" s="34">
        <f>HLOOKUP(CM$7+0.5,$I$66:$DJ$120,ROWS($A$10:$A16)+2,FALSE)</f>
        <v>1432</v>
      </c>
      <c r="CN16" s="34">
        <f>HLOOKUP(CN$7+0.5,$I$66:$DJ$120,ROWS($A$10:$A16)+2,FALSE)</f>
        <v>396</v>
      </c>
      <c r="CO16" s="34">
        <f>HLOOKUP(CO$7+0.5,$I$66:$DJ$120,ROWS($A$10:$A16)+2,FALSE)</f>
        <v>1788</v>
      </c>
      <c r="CP16" s="34">
        <f>HLOOKUP(CP$7+0.5,$I$66:$DJ$120,ROWS($A$10:$A16)+2,FALSE)</f>
        <v>2308</v>
      </c>
      <c r="CQ16" s="34">
        <f>HLOOKUP(CQ$7+0.5,$I$66:$DJ$120,ROWS($A$10:$A16)+2,FALSE)</f>
        <v>1621</v>
      </c>
      <c r="CR16" s="34">
        <f>HLOOKUP(CR$7+0.5,$I$66:$DJ$120,ROWS($A$10:$A16)+2,FALSE)</f>
        <v>1686</v>
      </c>
      <c r="CS16" s="34">
        <f>HLOOKUP(CS$7+0.5,$I$66:$DJ$120,ROWS($A$10:$A16)+2,FALSE)</f>
        <v>1245</v>
      </c>
      <c r="CT16" s="34">
        <f>HLOOKUP(CT$7+0.5,$I$66:$DJ$120,ROWS($A$10:$A16)+2,FALSE)</f>
        <v>2388</v>
      </c>
      <c r="CU16" s="34">
        <f>HLOOKUP(CU$7+0.5,$I$66:$DJ$120,ROWS($A$10:$A16)+2,FALSE)</f>
        <v>2137</v>
      </c>
      <c r="CV16" s="34">
        <f>HLOOKUP(CV$7+0.5,$I$66:$DJ$120,ROWS($A$10:$A16)+2,FALSE)</f>
        <v>2105</v>
      </c>
      <c r="CW16" s="34">
        <f>HLOOKUP(CW$7+0.5,$I$66:$DJ$120,ROWS($A$10:$A16)+2,FALSE)</f>
        <v>1302</v>
      </c>
      <c r="CX16" s="34">
        <f>HLOOKUP(CX$7+0.5,$I$66:$DJ$120,ROWS($A$10:$A16)+2,FALSE)</f>
        <v>560</v>
      </c>
      <c r="CY16" s="34">
        <f>HLOOKUP(CY$7+0.5,$I$66:$DJ$120,ROWS($A$10:$A16)+2,FALSE)</f>
        <v>480</v>
      </c>
      <c r="CZ16" s="34">
        <f>HLOOKUP(CZ$7+0.5,$I$66:$DJ$120,ROWS($A$10:$A16)+2,FALSE)</f>
        <v>1037</v>
      </c>
      <c r="DA16" s="34">
        <f>HLOOKUP(DA$7+0.5,$I$66:$DJ$120,ROWS($A$10:$A16)+2,FALSE)</f>
        <v>1472</v>
      </c>
      <c r="DB16" s="34">
        <f>HLOOKUP(DB$7+0.5,$I$66:$DJ$120,ROWS($A$10:$A16)+2,FALSE)</f>
        <v>4287</v>
      </c>
      <c r="DC16" s="34">
        <f>HLOOKUP(DC$7+0.5,$I$66:$DJ$120,ROWS($A$10:$A16)+2,FALSE)</f>
        <v>1446</v>
      </c>
      <c r="DD16" s="34">
        <f>HLOOKUP(DD$7+0.5,$I$66:$DJ$120,ROWS($A$10:$A16)+2,FALSE)</f>
        <v>772</v>
      </c>
      <c r="DE16" s="34">
        <f>HLOOKUP(DE$7+0.5,$I$66:$DJ$120,ROWS($A$10:$A16)+2,FALSE)</f>
        <v>2671</v>
      </c>
      <c r="DF16" s="34">
        <f>HLOOKUP(DF$7+0.5,$I$66:$DJ$120,ROWS($A$10:$A16)+2,FALSE)</f>
        <v>2092</v>
      </c>
      <c r="DG16" s="34">
        <f>HLOOKUP(DG$7+0.5,$I$66:$DJ$120,ROWS($A$10:$A16)+2,FALSE)</f>
        <v>490</v>
      </c>
      <c r="DH16" s="34">
        <f>HLOOKUP(DH$7+0.5,$I$66:$DJ$120,ROWS($A$10:$A16)+2,FALSE)</f>
        <v>1774</v>
      </c>
      <c r="DI16" s="34">
        <f>HLOOKUP(DI$7+0.5,$I$66:$DJ$120,ROWS($A$10:$A16)+2,FALSE)</f>
        <v>923</v>
      </c>
      <c r="DJ16" s="34">
        <f>HLOOKUP(DJ$7+0.5,$I$66:$DJ$120,ROWS($A$10:$A16)+2,FALSE)</f>
        <v>556</v>
      </c>
    </row>
    <row r="17" spans="2:114" x14ac:dyDescent="0.25">
      <c r="B17" s="38" t="s">
        <v>13</v>
      </c>
      <c r="C17" s="16">
        <v>3548667</v>
      </c>
      <c r="D17" s="17">
        <v>2644</v>
      </c>
      <c r="E17" s="16">
        <v>3139496</v>
      </c>
      <c r="F17" s="17">
        <v>16755</v>
      </c>
      <c r="G17" s="16">
        <v>316883</v>
      </c>
      <c r="H17" s="17">
        <v>15392</v>
      </c>
      <c r="I17" s="36">
        <f>HLOOKUP(I$7,$I$66:$DJ$120,ROWS($A$10:$A17)+2,FALSE)</f>
        <v>71502</v>
      </c>
      <c r="J17" s="25">
        <f>HLOOKUP(J$7,$I$66:$DJ$120,ROWS($A$10:$A17)+2,FALSE)</f>
        <v>101</v>
      </c>
      <c r="K17" s="25">
        <f>HLOOKUP(K$7,$I$66:$DJ$120,ROWS($A$10:$A17)+2,FALSE)</f>
        <v>180</v>
      </c>
      <c r="L17" s="25">
        <f>HLOOKUP(L$7,$I$66:$DJ$120,ROWS($A$10:$A17)+2,FALSE)</f>
        <v>1387</v>
      </c>
      <c r="M17" s="25">
        <f>HLOOKUP(M$7,$I$66:$DJ$120,ROWS($A$10:$A17)+2,FALSE)</f>
        <v>84</v>
      </c>
      <c r="N17" s="25">
        <f>HLOOKUP(N$7,$I$66:$DJ$120,ROWS($A$10:$A17)+2,FALSE)</f>
        <v>3699</v>
      </c>
      <c r="O17" s="25">
        <f>HLOOKUP(O$7,$I$66:$DJ$120,ROWS($A$10:$A17)+2,FALSE)</f>
        <v>1502</v>
      </c>
      <c r="P17" s="25" t="str">
        <f>HLOOKUP(P$7,$I$66:$DJ$120,ROWS($A$10:$A17)+2,FALSE)</f>
        <v>N/A</v>
      </c>
      <c r="Q17" s="25">
        <f>HLOOKUP(Q$7,$I$66:$DJ$120,ROWS($A$10:$A17)+2,FALSE)</f>
        <v>62</v>
      </c>
      <c r="R17" s="25">
        <f>HLOOKUP(R$7,$I$66:$DJ$120,ROWS($A$10:$A17)+2,FALSE)</f>
        <v>607</v>
      </c>
      <c r="S17" s="25">
        <f>HLOOKUP(S$7,$I$66:$DJ$120,ROWS($A$10:$A17)+2,FALSE)</f>
        <v>4771</v>
      </c>
      <c r="T17" s="25">
        <f>HLOOKUP(T$7,$I$66:$DJ$120,ROWS($A$10:$A17)+2,FALSE)</f>
        <v>2000</v>
      </c>
      <c r="U17" s="25">
        <f>HLOOKUP(U$7,$I$66:$DJ$120,ROWS($A$10:$A17)+2,FALSE)</f>
        <v>587</v>
      </c>
      <c r="V17" s="25">
        <f>HLOOKUP(V$7,$I$66:$DJ$120,ROWS($A$10:$A17)+2,FALSE)</f>
        <v>133</v>
      </c>
      <c r="W17" s="25">
        <f>HLOOKUP(W$7,$I$66:$DJ$120,ROWS($A$10:$A17)+2,FALSE)</f>
        <v>1843</v>
      </c>
      <c r="X17" s="25">
        <f>HLOOKUP(X$7,$I$66:$DJ$120,ROWS($A$10:$A17)+2,FALSE)</f>
        <v>168</v>
      </c>
      <c r="Y17" s="25">
        <f>HLOOKUP(Y$7,$I$66:$DJ$120,ROWS($A$10:$A17)+2,FALSE)</f>
        <v>67</v>
      </c>
      <c r="Z17" s="25">
        <f>HLOOKUP(Z$7,$I$66:$DJ$120,ROWS($A$10:$A17)+2,FALSE)</f>
        <v>16</v>
      </c>
      <c r="AA17" s="25">
        <f>HLOOKUP(AA$7,$I$66:$DJ$120,ROWS($A$10:$A17)+2,FALSE)</f>
        <v>0</v>
      </c>
      <c r="AB17" s="25">
        <f>HLOOKUP(AB$7,$I$66:$DJ$120,ROWS($A$10:$A17)+2,FALSE)</f>
        <v>315</v>
      </c>
      <c r="AC17" s="25">
        <f>HLOOKUP(AC$7,$I$66:$DJ$120,ROWS($A$10:$A17)+2,FALSE)</f>
        <v>259</v>
      </c>
      <c r="AD17" s="25">
        <f>HLOOKUP(AD$7,$I$66:$DJ$120,ROWS($A$10:$A17)+2,FALSE)</f>
        <v>1267</v>
      </c>
      <c r="AE17" s="25">
        <f>HLOOKUP(AE$7,$I$66:$DJ$120,ROWS($A$10:$A17)+2,FALSE)</f>
        <v>8691</v>
      </c>
      <c r="AF17" s="25">
        <f>HLOOKUP(AF$7,$I$66:$DJ$120,ROWS($A$10:$A17)+2,FALSE)</f>
        <v>692</v>
      </c>
      <c r="AG17" s="25">
        <f>HLOOKUP(AG$7,$I$66:$DJ$120,ROWS($A$10:$A17)+2,FALSE)</f>
        <v>76</v>
      </c>
      <c r="AH17" s="25">
        <f>HLOOKUP(AH$7,$I$66:$DJ$120,ROWS($A$10:$A17)+2,FALSE)</f>
        <v>69</v>
      </c>
      <c r="AI17" s="25">
        <f>HLOOKUP(AI$7,$I$66:$DJ$120,ROWS($A$10:$A17)+2,FALSE)</f>
        <v>365</v>
      </c>
      <c r="AJ17" s="25">
        <f>HLOOKUP(AJ$7,$I$66:$DJ$120,ROWS($A$10:$A17)+2,FALSE)</f>
        <v>206</v>
      </c>
      <c r="AK17" s="25">
        <f>HLOOKUP(AK$7,$I$66:$DJ$120,ROWS($A$10:$A17)+2,FALSE)</f>
        <v>62</v>
      </c>
      <c r="AL17" s="25">
        <f>HLOOKUP(AL$7,$I$66:$DJ$120,ROWS($A$10:$A17)+2,FALSE)</f>
        <v>160</v>
      </c>
      <c r="AM17" s="25">
        <f>HLOOKUP(AM$7,$I$66:$DJ$120,ROWS($A$10:$A17)+2,FALSE)</f>
        <v>1221</v>
      </c>
      <c r="AN17" s="25">
        <f>HLOOKUP(AN$7,$I$66:$DJ$120,ROWS($A$10:$A17)+2,FALSE)</f>
        <v>3809</v>
      </c>
      <c r="AO17" s="25">
        <f>HLOOKUP(AO$7,$I$66:$DJ$120,ROWS($A$10:$A17)+2,FALSE)</f>
        <v>265</v>
      </c>
      <c r="AP17" s="25">
        <f>HLOOKUP(AP$7,$I$66:$DJ$120,ROWS($A$10:$A17)+2,FALSE)</f>
        <v>20015</v>
      </c>
      <c r="AQ17" s="25">
        <f>HLOOKUP(AQ$7,$I$66:$DJ$120,ROWS($A$10:$A17)+2,FALSE)</f>
        <v>1029</v>
      </c>
      <c r="AR17" s="25">
        <f>HLOOKUP(AR$7,$I$66:$DJ$120,ROWS($A$10:$A17)+2,FALSE)</f>
        <v>0</v>
      </c>
      <c r="AS17" s="25">
        <f>HLOOKUP(AS$7,$I$66:$DJ$120,ROWS($A$10:$A17)+2,FALSE)</f>
        <v>1383</v>
      </c>
      <c r="AT17" s="25">
        <f>HLOOKUP(AT$7,$I$66:$DJ$120,ROWS($A$10:$A17)+2,FALSE)</f>
        <v>217</v>
      </c>
      <c r="AU17" s="25">
        <f>HLOOKUP(AU$7,$I$66:$DJ$120,ROWS($A$10:$A17)+2,FALSE)</f>
        <v>117</v>
      </c>
      <c r="AV17" s="25">
        <f>HLOOKUP(AV$7,$I$66:$DJ$120,ROWS($A$10:$A17)+2,FALSE)</f>
        <v>3668</v>
      </c>
      <c r="AW17" s="25">
        <f>HLOOKUP(AW$7,$I$66:$DJ$120,ROWS($A$10:$A17)+2,FALSE)</f>
        <v>1488</v>
      </c>
      <c r="AX17" s="25">
        <f>HLOOKUP(AX$7,$I$66:$DJ$120,ROWS($A$10:$A17)+2,FALSE)</f>
        <v>997</v>
      </c>
      <c r="AY17" s="25">
        <f>HLOOKUP(AY$7,$I$66:$DJ$120,ROWS($A$10:$A17)+2,FALSE)</f>
        <v>0</v>
      </c>
      <c r="AZ17" s="25">
        <f>HLOOKUP(AZ$7,$I$66:$DJ$120,ROWS($A$10:$A17)+2,FALSE)</f>
        <v>123</v>
      </c>
      <c r="BA17" s="25">
        <f>HLOOKUP(BA$7,$I$66:$DJ$120,ROWS($A$10:$A17)+2,FALSE)</f>
        <v>1214</v>
      </c>
      <c r="BB17" s="25">
        <f>HLOOKUP(BB$7,$I$66:$DJ$120,ROWS($A$10:$A17)+2,FALSE)</f>
        <v>398</v>
      </c>
      <c r="BC17" s="25">
        <f>HLOOKUP(BC$7,$I$66:$DJ$120,ROWS($A$10:$A17)+2,FALSE)</f>
        <v>608</v>
      </c>
      <c r="BD17" s="25">
        <f>HLOOKUP(BD$7,$I$66:$DJ$120,ROWS($A$10:$A17)+2,FALSE)</f>
        <v>2555</v>
      </c>
      <c r="BE17" s="25">
        <f>HLOOKUP(BE$7,$I$66:$DJ$120,ROWS($A$10:$A17)+2,FALSE)</f>
        <v>2255</v>
      </c>
      <c r="BF17" s="25">
        <f>HLOOKUP(BF$7,$I$66:$DJ$120,ROWS($A$10:$A17)+2,FALSE)</f>
        <v>46</v>
      </c>
      <c r="BG17" s="25">
        <f>HLOOKUP(BG$7,$I$66:$DJ$120,ROWS($A$10:$A17)+2,FALSE)</f>
        <v>660</v>
      </c>
      <c r="BH17" s="25">
        <f>HLOOKUP(BH$7,$I$66:$DJ$120,ROWS($A$10:$A17)+2,FALSE)</f>
        <v>65</v>
      </c>
      <c r="BI17" s="25">
        <f>HLOOKUP(BI$7,$I$66:$DJ$120,ROWS($A$10:$A17)+2,FALSE)</f>
        <v>2105</v>
      </c>
      <c r="BJ17" s="34">
        <f>HLOOKUP(BJ$7+0.5,$I$66:$DJ$120,ROWS($A$10:$A17)+2,FALSE)</f>
        <v>6552</v>
      </c>
      <c r="BK17" s="34">
        <f>HLOOKUP(BK$7+0.5,$I$66:$DJ$120,ROWS($A$10:$A17)+2,FALSE)</f>
        <v>120</v>
      </c>
      <c r="BL17" s="34">
        <f>HLOOKUP(BL$7+0.5,$I$66:$DJ$120,ROWS($A$10:$A17)+2,FALSE)</f>
        <v>299</v>
      </c>
      <c r="BM17" s="34">
        <f>HLOOKUP(BM$7+0.5,$I$66:$DJ$120,ROWS($A$10:$A17)+2,FALSE)</f>
        <v>939</v>
      </c>
      <c r="BN17" s="34">
        <f>HLOOKUP(BN$7+0.5,$I$66:$DJ$120,ROWS($A$10:$A17)+2,FALSE)</f>
        <v>178</v>
      </c>
      <c r="BO17" s="34">
        <f>HLOOKUP(BO$7+0.5,$I$66:$DJ$120,ROWS($A$10:$A17)+2,FALSE)</f>
        <v>1455</v>
      </c>
      <c r="BP17" s="34">
        <f>HLOOKUP(BP$7+0.5,$I$66:$DJ$120,ROWS($A$10:$A17)+2,FALSE)</f>
        <v>618</v>
      </c>
      <c r="BQ17" s="34" t="str">
        <f>HLOOKUP(BQ$7+0.5,$I$66:$DJ$120,ROWS($A$10:$A17)+2,FALSE)</f>
        <v>N/A</v>
      </c>
      <c r="BR17" s="34">
        <f>HLOOKUP(BR$7+0.5,$I$66:$DJ$120,ROWS($A$10:$A17)+2,FALSE)</f>
        <v>132</v>
      </c>
      <c r="BS17" s="34">
        <f>HLOOKUP(BS$7+0.5,$I$66:$DJ$120,ROWS($A$10:$A17)+2,FALSE)</f>
        <v>373</v>
      </c>
      <c r="BT17" s="34">
        <f>HLOOKUP(BT$7+0.5,$I$66:$DJ$120,ROWS($A$10:$A17)+2,FALSE)</f>
        <v>1275</v>
      </c>
      <c r="BU17" s="34">
        <f>HLOOKUP(BU$7+0.5,$I$66:$DJ$120,ROWS($A$10:$A17)+2,FALSE)</f>
        <v>988</v>
      </c>
      <c r="BV17" s="34">
        <f>HLOOKUP(BV$7+0.5,$I$66:$DJ$120,ROWS($A$10:$A17)+2,FALSE)</f>
        <v>523</v>
      </c>
      <c r="BW17" s="34">
        <f>HLOOKUP(BW$7+0.5,$I$66:$DJ$120,ROWS($A$10:$A17)+2,FALSE)</f>
        <v>224</v>
      </c>
      <c r="BX17" s="34">
        <f>HLOOKUP(BX$7+0.5,$I$66:$DJ$120,ROWS($A$10:$A17)+2,FALSE)</f>
        <v>965</v>
      </c>
      <c r="BY17" s="34">
        <f>HLOOKUP(BY$7+0.5,$I$66:$DJ$120,ROWS($A$10:$A17)+2,FALSE)</f>
        <v>214</v>
      </c>
      <c r="BZ17" s="34">
        <f>HLOOKUP(BZ$7+0.5,$I$66:$DJ$120,ROWS($A$10:$A17)+2,FALSE)</f>
        <v>120</v>
      </c>
      <c r="CA17" s="34">
        <f>HLOOKUP(CA$7+0.5,$I$66:$DJ$120,ROWS($A$10:$A17)+2,FALSE)</f>
        <v>36</v>
      </c>
      <c r="CB17" s="34">
        <f>HLOOKUP(CB$7+0.5,$I$66:$DJ$120,ROWS($A$10:$A17)+2,FALSE)</f>
        <v>198</v>
      </c>
      <c r="CC17" s="34">
        <f>HLOOKUP(CC$7+0.5,$I$66:$DJ$120,ROWS($A$10:$A17)+2,FALSE)</f>
        <v>238</v>
      </c>
      <c r="CD17" s="34">
        <f>HLOOKUP(CD$7+0.5,$I$66:$DJ$120,ROWS($A$10:$A17)+2,FALSE)</f>
        <v>193</v>
      </c>
      <c r="CE17" s="34">
        <f>HLOOKUP(CE$7+0.5,$I$66:$DJ$120,ROWS($A$10:$A17)+2,FALSE)</f>
        <v>744</v>
      </c>
      <c r="CF17" s="34">
        <f>HLOOKUP(CF$7+0.5,$I$66:$DJ$120,ROWS($A$10:$A17)+2,FALSE)</f>
        <v>1998</v>
      </c>
      <c r="CG17" s="34">
        <f>HLOOKUP(CG$7+0.5,$I$66:$DJ$120,ROWS($A$10:$A17)+2,FALSE)</f>
        <v>736</v>
      </c>
      <c r="CH17" s="34">
        <f>HLOOKUP(CH$7+0.5,$I$66:$DJ$120,ROWS($A$10:$A17)+2,FALSE)</f>
        <v>120</v>
      </c>
      <c r="CI17" s="34">
        <f>HLOOKUP(CI$7+0.5,$I$66:$DJ$120,ROWS($A$10:$A17)+2,FALSE)</f>
        <v>116</v>
      </c>
      <c r="CJ17" s="34">
        <f>HLOOKUP(CJ$7+0.5,$I$66:$DJ$120,ROWS($A$10:$A17)+2,FALSE)</f>
        <v>297</v>
      </c>
      <c r="CK17" s="34">
        <f>HLOOKUP(CK$7+0.5,$I$66:$DJ$120,ROWS($A$10:$A17)+2,FALSE)</f>
        <v>277</v>
      </c>
      <c r="CL17" s="34">
        <f>HLOOKUP(CL$7+0.5,$I$66:$DJ$120,ROWS($A$10:$A17)+2,FALSE)</f>
        <v>103</v>
      </c>
      <c r="CM17" s="34">
        <f>HLOOKUP(CM$7+0.5,$I$66:$DJ$120,ROWS($A$10:$A17)+2,FALSE)</f>
        <v>189</v>
      </c>
      <c r="CN17" s="34">
        <f>HLOOKUP(CN$7+0.5,$I$66:$DJ$120,ROWS($A$10:$A17)+2,FALSE)</f>
        <v>803</v>
      </c>
      <c r="CO17" s="34">
        <f>HLOOKUP(CO$7+0.5,$I$66:$DJ$120,ROWS($A$10:$A17)+2,FALSE)</f>
        <v>1324</v>
      </c>
      <c r="CP17" s="34">
        <f>HLOOKUP(CP$7+0.5,$I$66:$DJ$120,ROWS($A$10:$A17)+2,FALSE)</f>
        <v>225</v>
      </c>
      <c r="CQ17" s="34">
        <f>HLOOKUP(CQ$7+0.5,$I$66:$DJ$120,ROWS($A$10:$A17)+2,FALSE)</f>
        <v>4005</v>
      </c>
      <c r="CR17" s="34">
        <f>HLOOKUP(CR$7+0.5,$I$66:$DJ$120,ROWS($A$10:$A17)+2,FALSE)</f>
        <v>593</v>
      </c>
      <c r="CS17" s="34">
        <f>HLOOKUP(CS$7+0.5,$I$66:$DJ$120,ROWS($A$10:$A17)+2,FALSE)</f>
        <v>198</v>
      </c>
      <c r="CT17" s="34">
        <f>HLOOKUP(CT$7+0.5,$I$66:$DJ$120,ROWS($A$10:$A17)+2,FALSE)</f>
        <v>791</v>
      </c>
      <c r="CU17" s="34">
        <f>HLOOKUP(CU$7+0.5,$I$66:$DJ$120,ROWS($A$10:$A17)+2,FALSE)</f>
        <v>211</v>
      </c>
      <c r="CV17" s="34">
        <f>HLOOKUP(CV$7+0.5,$I$66:$DJ$120,ROWS($A$10:$A17)+2,FALSE)</f>
        <v>161</v>
      </c>
      <c r="CW17" s="34">
        <f>HLOOKUP(CW$7+0.5,$I$66:$DJ$120,ROWS($A$10:$A17)+2,FALSE)</f>
        <v>1639</v>
      </c>
      <c r="CX17" s="34">
        <f>HLOOKUP(CX$7+0.5,$I$66:$DJ$120,ROWS($A$10:$A17)+2,FALSE)</f>
        <v>645</v>
      </c>
      <c r="CY17" s="34">
        <f>HLOOKUP(CY$7+0.5,$I$66:$DJ$120,ROWS($A$10:$A17)+2,FALSE)</f>
        <v>476</v>
      </c>
      <c r="CZ17" s="34">
        <f>HLOOKUP(CZ$7+0.5,$I$66:$DJ$120,ROWS($A$10:$A17)+2,FALSE)</f>
        <v>198</v>
      </c>
      <c r="DA17" s="34">
        <f>HLOOKUP(DA$7+0.5,$I$66:$DJ$120,ROWS($A$10:$A17)+2,FALSE)</f>
        <v>141</v>
      </c>
      <c r="DB17" s="34">
        <f>HLOOKUP(DB$7+0.5,$I$66:$DJ$120,ROWS($A$10:$A17)+2,FALSE)</f>
        <v>646</v>
      </c>
      <c r="DC17" s="34">
        <f>HLOOKUP(DC$7+0.5,$I$66:$DJ$120,ROWS($A$10:$A17)+2,FALSE)</f>
        <v>359</v>
      </c>
      <c r="DD17" s="34">
        <f>HLOOKUP(DD$7+0.5,$I$66:$DJ$120,ROWS($A$10:$A17)+2,FALSE)</f>
        <v>354</v>
      </c>
      <c r="DE17" s="34">
        <f>HLOOKUP(DE$7+0.5,$I$66:$DJ$120,ROWS($A$10:$A17)+2,FALSE)</f>
        <v>1053</v>
      </c>
      <c r="DF17" s="34">
        <f>HLOOKUP(DF$7+0.5,$I$66:$DJ$120,ROWS($A$10:$A17)+2,FALSE)</f>
        <v>1469</v>
      </c>
      <c r="DG17" s="34">
        <f>HLOOKUP(DG$7+0.5,$I$66:$DJ$120,ROWS($A$10:$A17)+2,FALSE)</f>
        <v>77</v>
      </c>
      <c r="DH17" s="34">
        <f>HLOOKUP(DH$7+0.5,$I$66:$DJ$120,ROWS($A$10:$A17)+2,FALSE)</f>
        <v>898</v>
      </c>
      <c r="DI17" s="34">
        <f>HLOOKUP(DI$7+0.5,$I$66:$DJ$120,ROWS($A$10:$A17)+2,FALSE)</f>
        <v>110</v>
      </c>
      <c r="DJ17" s="34">
        <f>HLOOKUP(DJ$7+0.5,$I$66:$DJ$120,ROWS($A$10:$A17)+2,FALSE)</f>
        <v>1756</v>
      </c>
    </row>
    <row r="18" spans="2:114" x14ac:dyDescent="0.25">
      <c r="B18" s="38" t="s">
        <v>14</v>
      </c>
      <c r="C18" s="16">
        <v>897187</v>
      </c>
      <c r="D18" s="17">
        <v>1369</v>
      </c>
      <c r="E18" s="16">
        <v>775414</v>
      </c>
      <c r="F18" s="17">
        <v>8584</v>
      </c>
      <c r="G18" s="16">
        <v>83156</v>
      </c>
      <c r="H18" s="17">
        <v>6851</v>
      </c>
      <c r="I18" s="36">
        <f>HLOOKUP(I$7,$I$66:$DJ$120,ROWS($A$10:$A18)+2,FALSE)</f>
        <v>33912</v>
      </c>
      <c r="J18" s="25">
        <f>HLOOKUP(J$7,$I$66:$DJ$120,ROWS($A$10:$A18)+2,FALSE)</f>
        <v>81</v>
      </c>
      <c r="K18" s="25">
        <f>HLOOKUP(K$7,$I$66:$DJ$120,ROWS($A$10:$A18)+2,FALSE)</f>
        <v>329</v>
      </c>
      <c r="L18" s="25">
        <f>HLOOKUP(L$7,$I$66:$DJ$120,ROWS($A$10:$A18)+2,FALSE)</f>
        <v>541</v>
      </c>
      <c r="M18" s="25">
        <f>HLOOKUP(M$7,$I$66:$DJ$120,ROWS($A$10:$A18)+2,FALSE)</f>
        <v>0</v>
      </c>
      <c r="N18" s="25">
        <f>HLOOKUP(N$7,$I$66:$DJ$120,ROWS($A$10:$A18)+2,FALSE)</f>
        <v>699</v>
      </c>
      <c r="O18" s="25">
        <f>HLOOKUP(O$7,$I$66:$DJ$120,ROWS($A$10:$A18)+2,FALSE)</f>
        <v>169</v>
      </c>
      <c r="P18" s="25">
        <f>HLOOKUP(P$7,$I$66:$DJ$120,ROWS($A$10:$A18)+2,FALSE)</f>
        <v>66</v>
      </c>
      <c r="Q18" s="25" t="str">
        <f>HLOOKUP(Q$7,$I$66:$DJ$120,ROWS($A$10:$A18)+2,FALSE)</f>
        <v>N/A</v>
      </c>
      <c r="R18" s="25">
        <f>HLOOKUP(R$7,$I$66:$DJ$120,ROWS($A$10:$A18)+2,FALSE)</f>
        <v>154</v>
      </c>
      <c r="S18" s="25">
        <f>HLOOKUP(S$7,$I$66:$DJ$120,ROWS($A$10:$A18)+2,FALSE)</f>
        <v>810</v>
      </c>
      <c r="T18" s="25">
        <f>HLOOKUP(T$7,$I$66:$DJ$120,ROWS($A$10:$A18)+2,FALSE)</f>
        <v>639</v>
      </c>
      <c r="U18" s="25">
        <f>HLOOKUP(U$7,$I$66:$DJ$120,ROWS($A$10:$A18)+2,FALSE)</f>
        <v>201</v>
      </c>
      <c r="V18" s="25">
        <f>HLOOKUP(V$7,$I$66:$DJ$120,ROWS($A$10:$A18)+2,FALSE)</f>
        <v>441</v>
      </c>
      <c r="W18" s="25">
        <f>HLOOKUP(W$7,$I$66:$DJ$120,ROWS($A$10:$A18)+2,FALSE)</f>
        <v>34</v>
      </c>
      <c r="X18" s="25">
        <f>HLOOKUP(X$7,$I$66:$DJ$120,ROWS($A$10:$A18)+2,FALSE)</f>
        <v>210</v>
      </c>
      <c r="Y18" s="25">
        <f>HLOOKUP(Y$7,$I$66:$DJ$120,ROWS($A$10:$A18)+2,FALSE)</f>
        <v>0</v>
      </c>
      <c r="Z18" s="25">
        <f>HLOOKUP(Z$7,$I$66:$DJ$120,ROWS($A$10:$A18)+2,FALSE)</f>
        <v>7</v>
      </c>
      <c r="AA18" s="25">
        <f>HLOOKUP(AA$7,$I$66:$DJ$120,ROWS($A$10:$A18)+2,FALSE)</f>
        <v>305</v>
      </c>
      <c r="AB18" s="25">
        <f>HLOOKUP(AB$7,$I$66:$DJ$120,ROWS($A$10:$A18)+2,FALSE)</f>
        <v>0</v>
      </c>
      <c r="AC18" s="25">
        <f>HLOOKUP(AC$7,$I$66:$DJ$120,ROWS($A$10:$A18)+2,FALSE)</f>
        <v>0</v>
      </c>
      <c r="AD18" s="25">
        <f>HLOOKUP(AD$7,$I$66:$DJ$120,ROWS($A$10:$A18)+2,FALSE)</f>
        <v>4238</v>
      </c>
      <c r="AE18" s="25">
        <f>HLOOKUP(AE$7,$I$66:$DJ$120,ROWS($A$10:$A18)+2,FALSE)</f>
        <v>806</v>
      </c>
      <c r="AF18" s="25">
        <f>HLOOKUP(AF$7,$I$66:$DJ$120,ROWS($A$10:$A18)+2,FALSE)</f>
        <v>43</v>
      </c>
      <c r="AG18" s="25">
        <f>HLOOKUP(AG$7,$I$66:$DJ$120,ROWS($A$10:$A18)+2,FALSE)</f>
        <v>201</v>
      </c>
      <c r="AH18" s="25">
        <f>HLOOKUP(AH$7,$I$66:$DJ$120,ROWS($A$10:$A18)+2,FALSE)</f>
        <v>0</v>
      </c>
      <c r="AI18" s="25">
        <f>HLOOKUP(AI$7,$I$66:$DJ$120,ROWS($A$10:$A18)+2,FALSE)</f>
        <v>713</v>
      </c>
      <c r="AJ18" s="25">
        <f>HLOOKUP(AJ$7,$I$66:$DJ$120,ROWS($A$10:$A18)+2,FALSE)</f>
        <v>0</v>
      </c>
      <c r="AK18" s="25">
        <f>HLOOKUP(AK$7,$I$66:$DJ$120,ROWS($A$10:$A18)+2,FALSE)</f>
        <v>12</v>
      </c>
      <c r="AL18" s="25">
        <f>HLOOKUP(AL$7,$I$66:$DJ$120,ROWS($A$10:$A18)+2,FALSE)</f>
        <v>0</v>
      </c>
      <c r="AM18" s="25">
        <f>HLOOKUP(AM$7,$I$66:$DJ$120,ROWS($A$10:$A18)+2,FALSE)</f>
        <v>0</v>
      </c>
      <c r="AN18" s="25">
        <f>HLOOKUP(AN$7,$I$66:$DJ$120,ROWS($A$10:$A18)+2,FALSE)</f>
        <v>6297</v>
      </c>
      <c r="AO18" s="25">
        <f>HLOOKUP(AO$7,$I$66:$DJ$120,ROWS($A$10:$A18)+2,FALSE)</f>
        <v>0</v>
      </c>
      <c r="AP18" s="25">
        <f>HLOOKUP(AP$7,$I$66:$DJ$120,ROWS($A$10:$A18)+2,FALSE)</f>
        <v>3141</v>
      </c>
      <c r="AQ18" s="25">
        <f>HLOOKUP(AQ$7,$I$66:$DJ$120,ROWS($A$10:$A18)+2,FALSE)</f>
        <v>388</v>
      </c>
      <c r="AR18" s="25">
        <f>HLOOKUP(AR$7,$I$66:$DJ$120,ROWS($A$10:$A18)+2,FALSE)</f>
        <v>0</v>
      </c>
      <c r="AS18" s="25">
        <f>HLOOKUP(AS$7,$I$66:$DJ$120,ROWS($A$10:$A18)+2,FALSE)</f>
        <v>664</v>
      </c>
      <c r="AT18" s="25">
        <f>HLOOKUP(AT$7,$I$66:$DJ$120,ROWS($A$10:$A18)+2,FALSE)</f>
        <v>27</v>
      </c>
      <c r="AU18" s="25">
        <f>HLOOKUP(AU$7,$I$66:$DJ$120,ROWS($A$10:$A18)+2,FALSE)</f>
        <v>0</v>
      </c>
      <c r="AV18" s="25">
        <f>HLOOKUP(AV$7,$I$66:$DJ$120,ROWS($A$10:$A18)+2,FALSE)</f>
        <v>8571</v>
      </c>
      <c r="AW18" s="25">
        <f>HLOOKUP(AW$7,$I$66:$DJ$120,ROWS($A$10:$A18)+2,FALSE)</f>
        <v>131</v>
      </c>
      <c r="AX18" s="25">
        <f>HLOOKUP(AX$7,$I$66:$DJ$120,ROWS($A$10:$A18)+2,FALSE)</f>
        <v>153</v>
      </c>
      <c r="AY18" s="25">
        <f>HLOOKUP(AY$7,$I$66:$DJ$120,ROWS($A$10:$A18)+2,FALSE)</f>
        <v>0</v>
      </c>
      <c r="AZ18" s="25">
        <f>HLOOKUP(AZ$7,$I$66:$DJ$120,ROWS($A$10:$A18)+2,FALSE)</f>
        <v>221</v>
      </c>
      <c r="BA18" s="25">
        <f>HLOOKUP(BA$7,$I$66:$DJ$120,ROWS($A$10:$A18)+2,FALSE)</f>
        <v>883</v>
      </c>
      <c r="BB18" s="25">
        <f>HLOOKUP(BB$7,$I$66:$DJ$120,ROWS($A$10:$A18)+2,FALSE)</f>
        <v>475</v>
      </c>
      <c r="BC18" s="25">
        <f>HLOOKUP(BC$7,$I$66:$DJ$120,ROWS($A$10:$A18)+2,FALSE)</f>
        <v>0</v>
      </c>
      <c r="BD18" s="25">
        <f>HLOOKUP(BD$7,$I$66:$DJ$120,ROWS($A$10:$A18)+2,FALSE)</f>
        <v>1064</v>
      </c>
      <c r="BE18" s="25">
        <f>HLOOKUP(BE$7,$I$66:$DJ$120,ROWS($A$10:$A18)+2,FALSE)</f>
        <v>482</v>
      </c>
      <c r="BF18" s="25">
        <f>HLOOKUP(BF$7,$I$66:$DJ$120,ROWS($A$10:$A18)+2,FALSE)</f>
        <v>198</v>
      </c>
      <c r="BG18" s="25">
        <f>HLOOKUP(BG$7,$I$66:$DJ$120,ROWS($A$10:$A18)+2,FALSE)</f>
        <v>55</v>
      </c>
      <c r="BH18" s="25">
        <f>HLOOKUP(BH$7,$I$66:$DJ$120,ROWS($A$10:$A18)+2,FALSE)</f>
        <v>463</v>
      </c>
      <c r="BI18" s="25">
        <f>HLOOKUP(BI$7,$I$66:$DJ$120,ROWS($A$10:$A18)+2,FALSE)</f>
        <v>1008</v>
      </c>
      <c r="BJ18" s="34">
        <f>HLOOKUP(BJ$7+0.5,$I$66:$DJ$120,ROWS($A$10:$A18)+2,FALSE)</f>
        <v>3955</v>
      </c>
      <c r="BK18" s="34">
        <f>HLOOKUP(BK$7+0.5,$I$66:$DJ$120,ROWS($A$10:$A18)+2,FALSE)</f>
        <v>135</v>
      </c>
      <c r="BL18" s="34">
        <f>HLOOKUP(BL$7+0.5,$I$66:$DJ$120,ROWS($A$10:$A18)+2,FALSE)</f>
        <v>544</v>
      </c>
      <c r="BM18" s="34">
        <f>HLOOKUP(BM$7+0.5,$I$66:$DJ$120,ROWS($A$10:$A18)+2,FALSE)</f>
        <v>728</v>
      </c>
      <c r="BN18" s="34">
        <f>HLOOKUP(BN$7+0.5,$I$66:$DJ$120,ROWS($A$10:$A18)+2,FALSE)</f>
        <v>192</v>
      </c>
      <c r="BO18" s="34">
        <f>HLOOKUP(BO$7+0.5,$I$66:$DJ$120,ROWS($A$10:$A18)+2,FALSE)</f>
        <v>594</v>
      </c>
      <c r="BP18" s="34">
        <f>HLOOKUP(BP$7+0.5,$I$66:$DJ$120,ROWS($A$10:$A18)+2,FALSE)</f>
        <v>218</v>
      </c>
      <c r="BQ18" s="34">
        <f>HLOOKUP(BQ$7+0.5,$I$66:$DJ$120,ROWS($A$10:$A18)+2,FALSE)</f>
        <v>94</v>
      </c>
      <c r="BR18" s="34" t="str">
        <f>HLOOKUP(BR$7+0.5,$I$66:$DJ$120,ROWS($A$10:$A18)+2,FALSE)</f>
        <v>N/A</v>
      </c>
      <c r="BS18" s="34">
        <f>HLOOKUP(BS$7+0.5,$I$66:$DJ$120,ROWS($A$10:$A18)+2,FALSE)</f>
        <v>144</v>
      </c>
      <c r="BT18" s="34">
        <f>HLOOKUP(BT$7+0.5,$I$66:$DJ$120,ROWS($A$10:$A18)+2,FALSE)</f>
        <v>449</v>
      </c>
      <c r="BU18" s="34">
        <f>HLOOKUP(BU$7+0.5,$I$66:$DJ$120,ROWS($A$10:$A18)+2,FALSE)</f>
        <v>422</v>
      </c>
      <c r="BV18" s="34">
        <f>HLOOKUP(BV$7+0.5,$I$66:$DJ$120,ROWS($A$10:$A18)+2,FALSE)</f>
        <v>171</v>
      </c>
      <c r="BW18" s="34">
        <f>HLOOKUP(BW$7+0.5,$I$66:$DJ$120,ROWS($A$10:$A18)+2,FALSE)</f>
        <v>347</v>
      </c>
      <c r="BX18" s="34">
        <f>HLOOKUP(BX$7+0.5,$I$66:$DJ$120,ROWS($A$10:$A18)+2,FALSE)</f>
        <v>35</v>
      </c>
      <c r="BY18" s="34">
        <f>HLOOKUP(BY$7+0.5,$I$66:$DJ$120,ROWS($A$10:$A18)+2,FALSE)</f>
        <v>235</v>
      </c>
      <c r="BZ18" s="34">
        <f>HLOOKUP(BZ$7+0.5,$I$66:$DJ$120,ROWS($A$10:$A18)+2,FALSE)</f>
        <v>192</v>
      </c>
      <c r="CA18" s="34">
        <f>HLOOKUP(CA$7+0.5,$I$66:$DJ$120,ROWS($A$10:$A18)+2,FALSE)</f>
        <v>17</v>
      </c>
      <c r="CB18" s="34">
        <f>HLOOKUP(CB$7+0.5,$I$66:$DJ$120,ROWS($A$10:$A18)+2,FALSE)</f>
        <v>391</v>
      </c>
      <c r="CC18" s="34">
        <f>HLOOKUP(CC$7+0.5,$I$66:$DJ$120,ROWS($A$10:$A18)+2,FALSE)</f>
        <v>192</v>
      </c>
      <c r="CD18" s="34">
        <f>HLOOKUP(CD$7+0.5,$I$66:$DJ$120,ROWS($A$10:$A18)+2,FALSE)</f>
        <v>192</v>
      </c>
      <c r="CE18" s="34">
        <f>HLOOKUP(CE$7+0.5,$I$66:$DJ$120,ROWS($A$10:$A18)+2,FALSE)</f>
        <v>1274</v>
      </c>
      <c r="CF18" s="34">
        <f>HLOOKUP(CF$7+0.5,$I$66:$DJ$120,ROWS($A$10:$A18)+2,FALSE)</f>
        <v>558</v>
      </c>
      <c r="CG18" s="34">
        <f>HLOOKUP(CG$7+0.5,$I$66:$DJ$120,ROWS($A$10:$A18)+2,FALSE)</f>
        <v>71</v>
      </c>
      <c r="CH18" s="34">
        <f>HLOOKUP(CH$7+0.5,$I$66:$DJ$120,ROWS($A$10:$A18)+2,FALSE)</f>
        <v>299</v>
      </c>
      <c r="CI18" s="34">
        <f>HLOOKUP(CI$7+0.5,$I$66:$DJ$120,ROWS($A$10:$A18)+2,FALSE)</f>
        <v>192</v>
      </c>
      <c r="CJ18" s="34">
        <f>HLOOKUP(CJ$7+0.5,$I$66:$DJ$120,ROWS($A$10:$A18)+2,FALSE)</f>
        <v>684</v>
      </c>
      <c r="CK18" s="34">
        <f>HLOOKUP(CK$7+0.5,$I$66:$DJ$120,ROWS($A$10:$A18)+2,FALSE)</f>
        <v>192</v>
      </c>
      <c r="CL18" s="34">
        <f>HLOOKUP(CL$7+0.5,$I$66:$DJ$120,ROWS($A$10:$A18)+2,FALSE)</f>
        <v>28</v>
      </c>
      <c r="CM18" s="34">
        <f>HLOOKUP(CM$7+0.5,$I$66:$DJ$120,ROWS($A$10:$A18)+2,FALSE)</f>
        <v>192</v>
      </c>
      <c r="CN18" s="34">
        <f>HLOOKUP(CN$7+0.5,$I$66:$DJ$120,ROWS($A$10:$A18)+2,FALSE)</f>
        <v>192</v>
      </c>
      <c r="CO18" s="34">
        <f>HLOOKUP(CO$7+0.5,$I$66:$DJ$120,ROWS($A$10:$A18)+2,FALSE)</f>
        <v>1765</v>
      </c>
      <c r="CP18" s="34">
        <f>HLOOKUP(CP$7+0.5,$I$66:$DJ$120,ROWS($A$10:$A18)+2,FALSE)</f>
        <v>192</v>
      </c>
      <c r="CQ18" s="34">
        <f>HLOOKUP(CQ$7+0.5,$I$66:$DJ$120,ROWS($A$10:$A18)+2,FALSE)</f>
        <v>1083</v>
      </c>
      <c r="CR18" s="34">
        <f>HLOOKUP(CR$7+0.5,$I$66:$DJ$120,ROWS($A$10:$A18)+2,FALSE)</f>
        <v>256</v>
      </c>
      <c r="CS18" s="34">
        <f>HLOOKUP(CS$7+0.5,$I$66:$DJ$120,ROWS($A$10:$A18)+2,FALSE)</f>
        <v>192</v>
      </c>
      <c r="CT18" s="34">
        <f>HLOOKUP(CT$7+0.5,$I$66:$DJ$120,ROWS($A$10:$A18)+2,FALSE)</f>
        <v>608</v>
      </c>
      <c r="CU18" s="34">
        <f>HLOOKUP(CU$7+0.5,$I$66:$DJ$120,ROWS($A$10:$A18)+2,FALSE)</f>
        <v>45</v>
      </c>
      <c r="CV18" s="34">
        <f>HLOOKUP(CV$7+0.5,$I$66:$DJ$120,ROWS($A$10:$A18)+2,FALSE)</f>
        <v>192</v>
      </c>
      <c r="CW18" s="34">
        <f>HLOOKUP(CW$7+0.5,$I$66:$DJ$120,ROWS($A$10:$A18)+2,FALSE)</f>
        <v>1728</v>
      </c>
      <c r="CX18" s="34">
        <f>HLOOKUP(CX$7+0.5,$I$66:$DJ$120,ROWS($A$10:$A18)+2,FALSE)</f>
        <v>217</v>
      </c>
      <c r="CY18" s="34">
        <f>HLOOKUP(CY$7+0.5,$I$66:$DJ$120,ROWS($A$10:$A18)+2,FALSE)</f>
        <v>179</v>
      </c>
      <c r="CZ18" s="34">
        <f>HLOOKUP(CZ$7+0.5,$I$66:$DJ$120,ROWS($A$10:$A18)+2,FALSE)</f>
        <v>192</v>
      </c>
      <c r="DA18" s="34">
        <f>HLOOKUP(DA$7+0.5,$I$66:$DJ$120,ROWS($A$10:$A18)+2,FALSE)</f>
        <v>259</v>
      </c>
      <c r="DB18" s="34">
        <f>HLOOKUP(DB$7+0.5,$I$66:$DJ$120,ROWS($A$10:$A18)+2,FALSE)</f>
        <v>755</v>
      </c>
      <c r="DC18" s="34">
        <f>HLOOKUP(DC$7+0.5,$I$66:$DJ$120,ROWS($A$10:$A18)+2,FALSE)</f>
        <v>738</v>
      </c>
      <c r="DD18" s="34">
        <f>HLOOKUP(DD$7+0.5,$I$66:$DJ$120,ROWS($A$10:$A18)+2,FALSE)</f>
        <v>192</v>
      </c>
      <c r="DE18" s="34">
        <f>HLOOKUP(DE$7+0.5,$I$66:$DJ$120,ROWS($A$10:$A18)+2,FALSE)</f>
        <v>512</v>
      </c>
      <c r="DF18" s="34">
        <f>HLOOKUP(DF$7+0.5,$I$66:$DJ$120,ROWS($A$10:$A18)+2,FALSE)</f>
        <v>530</v>
      </c>
      <c r="DG18" s="34">
        <f>HLOOKUP(DG$7+0.5,$I$66:$DJ$120,ROWS($A$10:$A18)+2,FALSE)</f>
        <v>174</v>
      </c>
      <c r="DH18" s="34">
        <f>HLOOKUP(DH$7+0.5,$I$66:$DJ$120,ROWS($A$10:$A18)+2,FALSE)</f>
        <v>96</v>
      </c>
      <c r="DI18" s="34">
        <f>HLOOKUP(DI$7+0.5,$I$66:$DJ$120,ROWS($A$10:$A18)+2,FALSE)</f>
        <v>527</v>
      </c>
      <c r="DJ18" s="34">
        <f>HLOOKUP(DJ$7+0.5,$I$66:$DJ$120,ROWS($A$10:$A18)+2,FALSE)</f>
        <v>971</v>
      </c>
    </row>
    <row r="19" spans="2:114" x14ac:dyDescent="0.25">
      <c r="B19" s="38" t="s">
        <v>15</v>
      </c>
      <c r="C19" s="16">
        <v>611608</v>
      </c>
      <c r="D19" s="17">
        <v>1403</v>
      </c>
      <c r="E19" s="16">
        <v>489659</v>
      </c>
      <c r="F19" s="17">
        <v>6701</v>
      </c>
      <c r="G19" s="16">
        <v>66519</v>
      </c>
      <c r="H19" s="17">
        <v>6073</v>
      </c>
      <c r="I19" s="36">
        <f>HLOOKUP(I$7,$I$66:$DJ$120,ROWS($A$10:$A19)+2,FALSE)</f>
        <v>48066</v>
      </c>
      <c r="J19" s="25">
        <f>HLOOKUP(J$7,$I$66:$DJ$120,ROWS($A$10:$A19)+2,FALSE)</f>
        <v>13</v>
      </c>
      <c r="K19" s="25">
        <f>HLOOKUP(K$7,$I$66:$DJ$120,ROWS($A$10:$A19)+2,FALSE)</f>
        <v>135</v>
      </c>
      <c r="L19" s="25">
        <f>HLOOKUP(L$7,$I$66:$DJ$120,ROWS($A$10:$A19)+2,FALSE)</f>
        <v>43</v>
      </c>
      <c r="M19" s="25">
        <f>HLOOKUP(M$7,$I$66:$DJ$120,ROWS($A$10:$A19)+2,FALSE)</f>
        <v>81</v>
      </c>
      <c r="N19" s="25">
        <f>HLOOKUP(N$7,$I$66:$DJ$120,ROWS($A$10:$A19)+2,FALSE)</f>
        <v>3797</v>
      </c>
      <c r="O19" s="25">
        <f>HLOOKUP(O$7,$I$66:$DJ$120,ROWS($A$10:$A19)+2,FALSE)</f>
        <v>452</v>
      </c>
      <c r="P19" s="25">
        <f>HLOOKUP(P$7,$I$66:$DJ$120,ROWS($A$10:$A19)+2,FALSE)</f>
        <v>981</v>
      </c>
      <c r="Q19" s="25">
        <f>HLOOKUP(Q$7,$I$66:$DJ$120,ROWS($A$10:$A19)+2,FALSE)</f>
        <v>128</v>
      </c>
      <c r="R19" s="25" t="str">
        <f>HLOOKUP(R$7,$I$66:$DJ$120,ROWS($A$10:$A19)+2,FALSE)</f>
        <v>N/A</v>
      </c>
      <c r="S19" s="25">
        <f>HLOOKUP(S$7,$I$66:$DJ$120,ROWS($A$10:$A19)+2,FALSE)</f>
        <v>1254</v>
      </c>
      <c r="T19" s="25">
        <f>HLOOKUP(T$7,$I$66:$DJ$120,ROWS($A$10:$A19)+2,FALSE)</f>
        <v>937</v>
      </c>
      <c r="U19" s="25">
        <f>HLOOKUP(U$7,$I$66:$DJ$120,ROWS($A$10:$A19)+2,FALSE)</f>
        <v>372</v>
      </c>
      <c r="V19" s="25">
        <f>HLOOKUP(V$7,$I$66:$DJ$120,ROWS($A$10:$A19)+2,FALSE)</f>
        <v>68</v>
      </c>
      <c r="W19" s="25">
        <f>HLOOKUP(W$7,$I$66:$DJ$120,ROWS($A$10:$A19)+2,FALSE)</f>
        <v>1397</v>
      </c>
      <c r="X19" s="25">
        <f>HLOOKUP(X$7,$I$66:$DJ$120,ROWS($A$10:$A19)+2,FALSE)</f>
        <v>128</v>
      </c>
      <c r="Y19" s="25">
        <f>HLOOKUP(Y$7,$I$66:$DJ$120,ROWS($A$10:$A19)+2,FALSE)</f>
        <v>241</v>
      </c>
      <c r="Z19" s="25">
        <f>HLOOKUP(Z$7,$I$66:$DJ$120,ROWS($A$10:$A19)+2,FALSE)</f>
        <v>6</v>
      </c>
      <c r="AA19" s="25">
        <f>HLOOKUP(AA$7,$I$66:$DJ$120,ROWS($A$10:$A19)+2,FALSE)</f>
        <v>297</v>
      </c>
      <c r="AB19" s="25">
        <f>HLOOKUP(AB$7,$I$66:$DJ$120,ROWS($A$10:$A19)+2,FALSE)</f>
        <v>0</v>
      </c>
      <c r="AC19" s="25">
        <f>HLOOKUP(AC$7,$I$66:$DJ$120,ROWS($A$10:$A19)+2,FALSE)</f>
        <v>0</v>
      </c>
      <c r="AD19" s="25">
        <f>HLOOKUP(AD$7,$I$66:$DJ$120,ROWS($A$10:$A19)+2,FALSE)</f>
        <v>14129</v>
      </c>
      <c r="AE19" s="25">
        <f>HLOOKUP(AE$7,$I$66:$DJ$120,ROWS($A$10:$A19)+2,FALSE)</f>
        <v>2048</v>
      </c>
      <c r="AF19" s="25">
        <f>HLOOKUP(AF$7,$I$66:$DJ$120,ROWS($A$10:$A19)+2,FALSE)</f>
        <v>1108</v>
      </c>
      <c r="AG19" s="25">
        <f>HLOOKUP(AG$7,$I$66:$DJ$120,ROWS($A$10:$A19)+2,FALSE)</f>
        <v>409</v>
      </c>
      <c r="AH19" s="25">
        <f>HLOOKUP(AH$7,$I$66:$DJ$120,ROWS($A$10:$A19)+2,FALSE)</f>
        <v>83</v>
      </c>
      <c r="AI19" s="25">
        <f>HLOOKUP(AI$7,$I$66:$DJ$120,ROWS($A$10:$A19)+2,FALSE)</f>
        <v>112</v>
      </c>
      <c r="AJ19" s="25">
        <f>HLOOKUP(AJ$7,$I$66:$DJ$120,ROWS($A$10:$A19)+2,FALSE)</f>
        <v>38</v>
      </c>
      <c r="AK19" s="25">
        <f>HLOOKUP(AK$7,$I$66:$DJ$120,ROWS($A$10:$A19)+2,FALSE)</f>
        <v>79</v>
      </c>
      <c r="AL19" s="25">
        <f>HLOOKUP(AL$7,$I$66:$DJ$120,ROWS($A$10:$A19)+2,FALSE)</f>
        <v>238</v>
      </c>
      <c r="AM19" s="25">
        <f>HLOOKUP(AM$7,$I$66:$DJ$120,ROWS($A$10:$A19)+2,FALSE)</f>
        <v>145</v>
      </c>
      <c r="AN19" s="25">
        <f>HLOOKUP(AN$7,$I$66:$DJ$120,ROWS($A$10:$A19)+2,FALSE)</f>
        <v>1035</v>
      </c>
      <c r="AO19" s="25">
        <f>HLOOKUP(AO$7,$I$66:$DJ$120,ROWS($A$10:$A19)+2,FALSE)</f>
        <v>0</v>
      </c>
      <c r="AP19" s="25">
        <f>HLOOKUP(AP$7,$I$66:$DJ$120,ROWS($A$10:$A19)+2,FALSE)</f>
        <v>2313</v>
      </c>
      <c r="AQ19" s="25">
        <f>HLOOKUP(AQ$7,$I$66:$DJ$120,ROWS($A$10:$A19)+2,FALSE)</f>
        <v>1716</v>
      </c>
      <c r="AR19" s="25">
        <f>HLOOKUP(AR$7,$I$66:$DJ$120,ROWS($A$10:$A19)+2,FALSE)</f>
        <v>285</v>
      </c>
      <c r="AS19" s="25">
        <f>HLOOKUP(AS$7,$I$66:$DJ$120,ROWS($A$10:$A19)+2,FALSE)</f>
        <v>306</v>
      </c>
      <c r="AT19" s="25">
        <f>HLOOKUP(AT$7,$I$66:$DJ$120,ROWS($A$10:$A19)+2,FALSE)</f>
        <v>0</v>
      </c>
      <c r="AU19" s="25">
        <f>HLOOKUP(AU$7,$I$66:$DJ$120,ROWS($A$10:$A19)+2,FALSE)</f>
        <v>51</v>
      </c>
      <c r="AV19" s="25">
        <f>HLOOKUP(AV$7,$I$66:$DJ$120,ROWS($A$10:$A19)+2,FALSE)</f>
        <v>1589</v>
      </c>
      <c r="AW19" s="25">
        <f>HLOOKUP(AW$7,$I$66:$DJ$120,ROWS($A$10:$A19)+2,FALSE)</f>
        <v>50</v>
      </c>
      <c r="AX19" s="25">
        <f>HLOOKUP(AX$7,$I$66:$DJ$120,ROWS($A$10:$A19)+2,FALSE)</f>
        <v>357</v>
      </c>
      <c r="AY19" s="25">
        <f>HLOOKUP(AY$7,$I$66:$DJ$120,ROWS($A$10:$A19)+2,FALSE)</f>
        <v>104</v>
      </c>
      <c r="AZ19" s="25">
        <f>HLOOKUP(AZ$7,$I$66:$DJ$120,ROWS($A$10:$A19)+2,FALSE)</f>
        <v>421</v>
      </c>
      <c r="BA19" s="25">
        <f>HLOOKUP(BA$7,$I$66:$DJ$120,ROWS($A$10:$A19)+2,FALSE)</f>
        <v>1083</v>
      </c>
      <c r="BB19" s="25">
        <f>HLOOKUP(BB$7,$I$66:$DJ$120,ROWS($A$10:$A19)+2,FALSE)</f>
        <v>75</v>
      </c>
      <c r="BC19" s="25">
        <f>HLOOKUP(BC$7,$I$66:$DJ$120,ROWS($A$10:$A19)+2,FALSE)</f>
        <v>445</v>
      </c>
      <c r="BD19" s="25">
        <f>HLOOKUP(BD$7,$I$66:$DJ$120,ROWS($A$10:$A19)+2,FALSE)</f>
        <v>7975</v>
      </c>
      <c r="BE19" s="25">
        <f>HLOOKUP(BE$7,$I$66:$DJ$120,ROWS($A$10:$A19)+2,FALSE)</f>
        <v>476</v>
      </c>
      <c r="BF19" s="25">
        <f>HLOOKUP(BF$7,$I$66:$DJ$120,ROWS($A$10:$A19)+2,FALSE)</f>
        <v>120</v>
      </c>
      <c r="BG19" s="25">
        <f>HLOOKUP(BG$7,$I$66:$DJ$120,ROWS($A$10:$A19)+2,FALSE)</f>
        <v>946</v>
      </c>
      <c r="BH19" s="25">
        <f>HLOOKUP(BH$7,$I$66:$DJ$120,ROWS($A$10:$A19)+2,FALSE)</f>
        <v>0</v>
      </c>
      <c r="BI19" s="25">
        <f>HLOOKUP(BI$7,$I$66:$DJ$120,ROWS($A$10:$A19)+2,FALSE)</f>
        <v>0</v>
      </c>
      <c r="BJ19" s="34">
        <f>HLOOKUP(BJ$7+0.5,$I$66:$DJ$120,ROWS($A$10:$A19)+2,FALSE)</f>
        <v>4295</v>
      </c>
      <c r="BK19" s="34">
        <f>HLOOKUP(BK$7+0.5,$I$66:$DJ$120,ROWS($A$10:$A19)+2,FALSE)</f>
        <v>29</v>
      </c>
      <c r="BL19" s="34">
        <f>HLOOKUP(BL$7+0.5,$I$66:$DJ$120,ROWS($A$10:$A19)+2,FALSE)</f>
        <v>217</v>
      </c>
      <c r="BM19" s="34">
        <f>HLOOKUP(BM$7+0.5,$I$66:$DJ$120,ROWS($A$10:$A19)+2,FALSE)</f>
        <v>71</v>
      </c>
      <c r="BN19" s="34">
        <f>HLOOKUP(BN$7+0.5,$I$66:$DJ$120,ROWS($A$10:$A19)+2,FALSE)</f>
        <v>93</v>
      </c>
      <c r="BO19" s="34">
        <f>HLOOKUP(BO$7+0.5,$I$66:$DJ$120,ROWS($A$10:$A19)+2,FALSE)</f>
        <v>1233</v>
      </c>
      <c r="BP19" s="34">
        <f>HLOOKUP(BP$7+0.5,$I$66:$DJ$120,ROWS($A$10:$A19)+2,FALSE)</f>
        <v>321</v>
      </c>
      <c r="BQ19" s="34">
        <f>HLOOKUP(BQ$7+0.5,$I$66:$DJ$120,ROWS($A$10:$A19)+2,FALSE)</f>
        <v>472</v>
      </c>
      <c r="BR19" s="34">
        <f>HLOOKUP(BR$7+0.5,$I$66:$DJ$120,ROWS($A$10:$A19)+2,FALSE)</f>
        <v>125</v>
      </c>
      <c r="BS19" s="34" t="str">
        <f>HLOOKUP(BS$7+0.5,$I$66:$DJ$120,ROWS($A$10:$A19)+2,FALSE)</f>
        <v>N/A</v>
      </c>
      <c r="BT19" s="34">
        <f>HLOOKUP(BT$7+0.5,$I$66:$DJ$120,ROWS($A$10:$A19)+2,FALSE)</f>
        <v>651</v>
      </c>
      <c r="BU19" s="34">
        <f>HLOOKUP(BU$7+0.5,$I$66:$DJ$120,ROWS($A$10:$A19)+2,FALSE)</f>
        <v>572</v>
      </c>
      <c r="BV19" s="34">
        <f>HLOOKUP(BV$7+0.5,$I$66:$DJ$120,ROWS($A$10:$A19)+2,FALSE)</f>
        <v>396</v>
      </c>
      <c r="BW19" s="34">
        <f>HLOOKUP(BW$7+0.5,$I$66:$DJ$120,ROWS($A$10:$A19)+2,FALSE)</f>
        <v>113</v>
      </c>
      <c r="BX19" s="34">
        <f>HLOOKUP(BX$7+0.5,$I$66:$DJ$120,ROWS($A$10:$A19)+2,FALSE)</f>
        <v>814</v>
      </c>
      <c r="BY19" s="34">
        <f>HLOOKUP(BY$7+0.5,$I$66:$DJ$120,ROWS($A$10:$A19)+2,FALSE)</f>
        <v>147</v>
      </c>
      <c r="BZ19" s="34">
        <f>HLOOKUP(BZ$7+0.5,$I$66:$DJ$120,ROWS($A$10:$A19)+2,FALSE)</f>
        <v>284</v>
      </c>
      <c r="CA19" s="34">
        <f>HLOOKUP(CA$7+0.5,$I$66:$DJ$120,ROWS($A$10:$A19)+2,FALSE)</f>
        <v>19</v>
      </c>
      <c r="CB19" s="34">
        <f>HLOOKUP(CB$7+0.5,$I$66:$DJ$120,ROWS($A$10:$A19)+2,FALSE)</f>
        <v>260</v>
      </c>
      <c r="CC19" s="34">
        <f>HLOOKUP(CC$7+0.5,$I$66:$DJ$120,ROWS($A$10:$A19)+2,FALSE)</f>
        <v>200</v>
      </c>
      <c r="CD19" s="34">
        <f>HLOOKUP(CD$7+0.5,$I$66:$DJ$120,ROWS($A$10:$A19)+2,FALSE)</f>
        <v>200</v>
      </c>
      <c r="CE19" s="34">
        <f>HLOOKUP(CE$7+0.5,$I$66:$DJ$120,ROWS($A$10:$A19)+2,FALSE)</f>
        <v>2971</v>
      </c>
      <c r="CF19" s="34">
        <f>HLOOKUP(CF$7+0.5,$I$66:$DJ$120,ROWS($A$10:$A19)+2,FALSE)</f>
        <v>789</v>
      </c>
      <c r="CG19" s="34">
        <f>HLOOKUP(CG$7+0.5,$I$66:$DJ$120,ROWS($A$10:$A19)+2,FALSE)</f>
        <v>554</v>
      </c>
      <c r="CH19" s="34">
        <f>HLOOKUP(CH$7+0.5,$I$66:$DJ$120,ROWS($A$10:$A19)+2,FALSE)</f>
        <v>457</v>
      </c>
      <c r="CI19" s="34">
        <f>HLOOKUP(CI$7+0.5,$I$66:$DJ$120,ROWS($A$10:$A19)+2,FALSE)</f>
        <v>99</v>
      </c>
      <c r="CJ19" s="34">
        <f>HLOOKUP(CJ$7+0.5,$I$66:$DJ$120,ROWS($A$10:$A19)+2,FALSE)</f>
        <v>184</v>
      </c>
      <c r="CK19" s="34">
        <f>HLOOKUP(CK$7+0.5,$I$66:$DJ$120,ROWS($A$10:$A19)+2,FALSE)</f>
        <v>64</v>
      </c>
      <c r="CL19" s="34">
        <f>HLOOKUP(CL$7+0.5,$I$66:$DJ$120,ROWS($A$10:$A19)+2,FALSE)</f>
        <v>110</v>
      </c>
      <c r="CM19" s="34">
        <f>HLOOKUP(CM$7+0.5,$I$66:$DJ$120,ROWS($A$10:$A19)+2,FALSE)</f>
        <v>282</v>
      </c>
      <c r="CN19" s="34">
        <f>HLOOKUP(CN$7+0.5,$I$66:$DJ$120,ROWS($A$10:$A19)+2,FALSE)</f>
        <v>139</v>
      </c>
      <c r="CO19" s="34">
        <f>HLOOKUP(CO$7+0.5,$I$66:$DJ$120,ROWS($A$10:$A19)+2,FALSE)</f>
        <v>605</v>
      </c>
      <c r="CP19" s="34">
        <f>HLOOKUP(CP$7+0.5,$I$66:$DJ$120,ROWS($A$10:$A19)+2,FALSE)</f>
        <v>200</v>
      </c>
      <c r="CQ19" s="34">
        <f>HLOOKUP(CQ$7+0.5,$I$66:$DJ$120,ROWS($A$10:$A19)+2,FALSE)</f>
        <v>697</v>
      </c>
      <c r="CR19" s="34">
        <f>HLOOKUP(CR$7+0.5,$I$66:$DJ$120,ROWS($A$10:$A19)+2,FALSE)</f>
        <v>760</v>
      </c>
      <c r="CS19" s="34">
        <f>HLOOKUP(CS$7+0.5,$I$66:$DJ$120,ROWS($A$10:$A19)+2,FALSE)</f>
        <v>360</v>
      </c>
      <c r="CT19" s="34">
        <f>HLOOKUP(CT$7+0.5,$I$66:$DJ$120,ROWS($A$10:$A19)+2,FALSE)</f>
        <v>224</v>
      </c>
      <c r="CU19" s="34">
        <f>HLOOKUP(CU$7+0.5,$I$66:$DJ$120,ROWS($A$10:$A19)+2,FALSE)</f>
        <v>200</v>
      </c>
      <c r="CV19" s="34">
        <f>HLOOKUP(CV$7+0.5,$I$66:$DJ$120,ROWS($A$10:$A19)+2,FALSE)</f>
        <v>64</v>
      </c>
      <c r="CW19" s="34">
        <f>HLOOKUP(CW$7+0.5,$I$66:$DJ$120,ROWS($A$10:$A19)+2,FALSE)</f>
        <v>757</v>
      </c>
      <c r="CX19" s="34">
        <f>HLOOKUP(CX$7+0.5,$I$66:$DJ$120,ROWS($A$10:$A19)+2,FALSE)</f>
        <v>63</v>
      </c>
      <c r="CY19" s="34">
        <f>HLOOKUP(CY$7+0.5,$I$66:$DJ$120,ROWS($A$10:$A19)+2,FALSE)</f>
        <v>329</v>
      </c>
      <c r="CZ19" s="34">
        <f>HLOOKUP(CZ$7+0.5,$I$66:$DJ$120,ROWS($A$10:$A19)+2,FALSE)</f>
        <v>129</v>
      </c>
      <c r="DA19" s="34">
        <f>HLOOKUP(DA$7+0.5,$I$66:$DJ$120,ROWS($A$10:$A19)+2,FALSE)</f>
        <v>358</v>
      </c>
      <c r="DB19" s="34">
        <f>HLOOKUP(DB$7+0.5,$I$66:$DJ$120,ROWS($A$10:$A19)+2,FALSE)</f>
        <v>491</v>
      </c>
      <c r="DC19" s="34">
        <f>HLOOKUP(DC$7+0.5,$I$66:$DJ$120,ROWS($A$10:$A19)+2,FALSE)</f>
        <v>118</v>
      </c>
      <c r="DD19" s="34">
        <f>HLOOKUP(DD$7+0.5,$I$66:$DJ$120,ROWS($A$10:$A19)+2,FALSE)</f>
        <v>489</v>
      </c>
      <c r="DE19" s="34">
        <f>HLOOKUP(DE$7+0.5,$I$66:$DJ$120,ROWS($A$10:$A19)+2,FALSE)</f>
        <v>1285</v>
      </c>
      <c r="DF19" s="34">
        <f>HLOOKUP(DF$7+0.5,$I$66:$DJ$120,ROWS($A$10:$A19)+2,FALSE)</f>
        <v>300</v>
      </c>
      <c r="DG19" s="34">
        <f>HLOOKUP(DG$7+0.5,$I$66:$DJ$120,ROWS($A$10:$A19)+2,FALSE)</f>
        <v>138</v>
      </c>
      <c r="DH19" s="34">
        <f>HLOOKUP(DH$7+0.5,$I$66:$DJ$120,ROWS($A$10:$A19)+2,FALSE)</f>
        <v>668</v>
      </c>
      <c r="DI19" s="34">
        <f>HLOOKUP(DI$7+0.5,$I$66:$DJ$120,ROWS($A$10:$A19)+2,FALSE)</f>
        <v>200</v>
      </c>
      <c r="DJ19" s="34">
        <f>HLOOKUP(DJ$7+0.5,$I$66:$DJ$120,ROWS($A$10:$A19)+2,FALSE)</f>
        <v>200</v>
      </c>
    </row>
    <row r="20" spans="2:114" x14ac:dyDescent="0.25">
      <c r="B20" s="38" t="s">
        <v>16</v>
      </c>
      <c r="C20" s="16">
        <v>18863948</v>
      </c>
      <c r="D20" s="17">
        <v>8536</v>
      </c>
      <c r="E20" s="16">
        <v>15742168</v>
      </c>
      <c r="F20" s="17">
        <v>59355</v>
      </c>
      <c r="G20" s="16">
        <v>2454255</v>
      </c>
      <c r="H20" s="17">
        <v>53419</v>
      </c>
      <c r="I20" s="36">
        <f>HLOOKUP(I$7,$I$66:$DJ$120,ROWS($A$10:$A20)+2,FALSE)</f>
        <v>498597</v>
      </c>
      <c r="J20" s="25">
        <f>HLOOKUP(J$7,$I$66:$DJ$120,ROWS($A$10:$A20)+2,FALSE)</f>
        <v>12635</v>
      </c>
      <c r="K20" s="25">
        <f>HLOOKUP(K$7,$I$66:$DJ$120,ROWS($A$10:$A20)+2,FALSE)</f>
        <v>7405</v>
      </c>
      <c r="L20" s="25">
        <f>HLOOKUP(L$7,$I$66:$DJ$120,ROWS($A$10:$A20)+2,FALSE)</f>
        <v>8451</v>
      </c>
      <c r="M20" s="25">
        <f>HLOOKUP(M$7,$I$66:$DJ$120,ROWS($A$10:$A20)+2,FALSE)</f>
        <v>3025</v>
      </c>
      <c r="N20" s="25">
        <f>HLOOKUP(N$7,$I$66:$DJ$120,ROWS($A$10:$A20)+2,FALSE)</f>
        <v>22420</v>
      </c>
      <c r="O20" s="25">
        <f>HLOOKUP(O$7,$I$66:$DJ$120,ROWS($A$10:$A20)+2,FALSE)</f>
        <v>9383</v>
      </c>
      <c r="P20" s="25">
        <f>HLOOKUP(P$7,$I$66:$DJ$120,ROWS($A$10:$A20)+2,FALSE)</f>
        <v>11704</v>
      </c>
      <c r="Q20" s="25">
        <f>HLOOKUP(Q$7,$I$66:$DJ$120,ROWS($A$10:$A20)+2,FALSE)</f>
        <v>1264</v>
      </c>
      <c r="R20" s="25">
        <f>HLOOKUP(R$7,$I$66:$DJ$120,ROWS($A$10:$A20)+2,FALSE)</f>
        <v>891</v>
      </c>
      <c r="S20" s="25" t="str">
        <f>HLOOKUP(S$7,$I$66:$DJ$120,ROWS($A$10:$A20)+2,FALSE)</f>
        <v>N/A</v>
      </c>
      <c r="T20" s="25">
        <f>HLOOKUP(T$7,$I$66:$DJ$120,ROWS($A$10:$A20)+2,FALSE)</f>
        <v>38658</v>
      </c>
      <c r="U20" s="25">
        <f>HLOOKUP(U$7,$I$66:$DJ$120,ROWS($A$10:$A20)+2,FALSE)</f>
        <v>3639</v>
      </c>
      <c r="V20" s="25">
        <f>HLOOKUP(V$7,$I$66:$DJ$120,ROWS($A$10:$A20)+2,FALSE)</f>
        <v>312</v>
      </c>
      <c r="W20" s="25">
        <f>HLOOKUP(W$7,$I$66:$DJ$120,ROWS($A$10:$A20)+2,FALSE)</f>
        <v>19152</v>
      </c>
      <c r="X20" s="25">
        <f>HLOOKUP(X$7,$I$66:$DJ$120,ROWS($A$10:$A20)+2,FALSE)</f>
        <v>11472</v>
      </c>
      <c r="Y20" s="25">
        <f>HLOOKUP(Y$7,$I$66:$DJ$120,ROWS($A$10:$A20)+2,FALSE)</f>
        <v>1846</v>
      </c>
      <c r="Z20" s="25">
        <f>HLOOKUP(Z$7,$I$66:$DJ$120,ROWS($A$10:$A20)+2,FALSE)</f>
        <v>2661</v>
      </c>
      <c r="AA20" s="25">
        <f>HLOOKUP(AA$7,$I$66:$DJ$120,ROWS($A$10:$A20)+2,FALSE)</f>
        <v>5441</v>
      </c>
      <c r="AB20" s="25">
        <f>HLOOKUP(AB$7,$I$66:$DJ$120,ROWS($A$10:$A20)+2,FALSE)</f>
        <v>6094</v>
      </c>
      <c r="AC20" s="25">
        <f>HLOOKUP(AC$7,$I$66:$DJ$120,ROWS($A$10:$A20)+2,FALSE)</f>
        <v>4689</v>
      </c>
      <c r="AD20" s="25">
        <f>HLOOKUP(AD$7,$I$66:$DJ$120,ROWS($A$10:$A20)+2,FALSE)</f>
        <v>15410</v>
      </c>
      <c r="AE20" s="25">
        <f>HLOOKUP(AE$7,$I$66:$DJ$120,ROWS($A$10:$A20)+2,FALSE)</f>
        <v>13701</v>
      </c>
      <c r="AF20" s="25">
        <f>HLOOKUP(AF$7,$I$66:$DJ$120,ROWS($A$10:$A20)+2,FALSE)</f>
        <v>19640</v>
      </c>
      <c r="AG20" s="25">
        <f>HLOOKUP(AG$7,$I$66:$DJ$120,ROWS($A$10:$A20)+2,FALSE)</f>
        <v>4663</v>
      </c>
      <c r="AH20" s="25">
        <f>HLOOKUP(AH$7,$I$66:$DJ$120,ROWS($A$10:$A20)+2,FALSE)</f>
        <v>5175</v>
      </c>
      <c r="AI20" s="25">
        <f>HLOOKUP(AI$7,$I$66:$DJ$120,ROWS($A$10:$A20)+2,FALSE)</f>
        <v>7114</v>
      </c>
      <c r="AJ20" s="25">
        <f>HLOOKUP(AJ$7,$I$66:$DJ$120,ROWS($A$10:$A20)+2,FALSE)</f>
        <v>559</v>
      </c>
      <c r="AK20" s="25">
        <f>HLOOKUP(AK$7,$I$66:$DJ$120,ROWS($A$10:$A20)+2,FALSE)</f>
        <v>3857</v>
      </c>
      <c r="AL20" s="25">
        <f>HLOOKUP(AL$7,$I$66:$DJ$120,ROWS($A$10:$A20)+2,FALSE)</f>
        <v>3527</v>
      </c>
      <c r="AM20" s="25">
        <f>HLOOKUP(AM$7,$I$66:$DJ$120,ROWS($A$10:$A20)+2,FALSE)</f>
        <v>4324</v>
      </c>
      <c r="AN20" s="25">
        <f>HLOOKUP(AN$7,$I$66:$DJ$120,ROWS($A$10:$A20)+2,FALSE)</f>
        <v>25206</v>
      </c>
      <c r="AO20" s="25">
        <f>HLOOKUP(AO$7,$I$66:$DJ$120,ROWS($A$10:$A20)+2,FALSE)</f>
        <v>1376</v>
      </c>
      <c r="AP20" s="25">
        <f>HLOOKUP(AP$7,$I$66:$DJ$120,ROWS($A$10:$A20)+2,FALSE)</f>
        <v>59288</v>
      </c>
      <c r="AQ20" s="25">
        <f>HLOOKUP(AQ$7,$I$66:$DJ$120,ROWS($A$10:$A20)+2,FALSE)</f>
        <v>23983</v>
      </c>
      <c r="AR20" s="25">
        <f>HLOOKUP(AR$7,$I$66:$DJ$120,ROWS($A$10:$A20)+2,FALSE)</f>
        <v>514</v>
      </c>
      <c r="AS20" s="25">
        <f>HLOOKUP(AS$7,$I$66:$DJ$120,ROWS($A$10:$A20)+2,FALSE)</f>
        <v>18191</v>
      </c>
      <c r="AT20" s="25">
        <f>HLOOKUP(AT$7,$I$66:$DJ$120,ROWS($A$10:$A20)+2,FALSE)</f>
        <v>2600</v>
      </c>
      <c r="AU20" s="25">
        <f>HLOOKUP(AU$7,$I$66:$DJ$120,ROWS($A$10:$A20)+2,FALSE)</f>
        <v>3315</v>
      </c>
      <c r="AV20" s="25">
        <f>HLOOKUP(AV$7,$I$66:$DJ$120,ROWS($A$10:$A20)+2,FALSE)</f>
        <v>20821</v>
      </c>
      <c r="AW20" s="25">
        <f>HLOOKUP(AW$7,$I$66:$DJ$120,ROWS($A$10:$A20)+2,FALSE)</f>
        <v>5002</v>
      </c>
      <c r="AX20" s="25">
        <f>HLOOKUP(AX$7,$I$66:$DJ$120,ROWS($A$10:$A20)+2,FALSE)</f>
        <v>11953</v>
      </c>
      <c r="AY20" s="25">
        <f>HLOOKUP(AY$7,$I$66:$DJ$120,ROWS($A$10:$A20)+2,FALSE)</f>
        <v>716</v>
      </c>
      <c r="AZ20" s="25">
        <f>HLOOKUP(AZ$7,$I$66:$DJ$120,ROWS($A$10:$A20)+2,FALSE)</f>
        <v>10451</v>
      </c>
      <c r="BA20" s="25">
        <f>HLOOKUP(BA$7,$I$66:$DJ$120,ROWS($A$10:$A20)+2,FALSE)</f>
        <v>25532</v>
      </c>
      <c r="BB20" s="25">
        <f>HLOOKUP(BB$7,$I$66:$DJ$120,ROWS($A$10:$A20)+2,FALSE)</f>
        <v>2343</v>
      </c>
      <c r="BC20" s="25">
        <f>HLOOKUP(BC$7,$I$66:$DJ$120,ROWS($A$10:$A20)+2,FALSE)</f>
        <v>2019</v>
      </c>
      <c r="BD20" s="25">
        <f>HLOOKUP(BD$7,$I$66:$DJ$120,ROWS($A$10:$A20)+2,FALSE)</f>
        <v>16614</v>
      </c>
      <c r="BE20" s="25">
        <f>HLOOKUP(BE$7,$I$66:$DJ$120,ROWS($A$10:$A20)+2,FALSE)</f>
        <v>6339</v>
      </c>
      <c r="BF20" s="25">
        <f>HLOOKUP(BF$7,$I$66:$DJ$120,ROWS($A$10:$A20)+2,FALSE)</f>
        <v>4964</v>
      </c>
      <c r="BG20" s="25">
        <f>HLOOKUP(BG$7,$I$66:$DJ$120,ROWS($A$10:$A20)+2,FALSE)</f>
        <v>7412</v>
      </c>
      <c r="BH20" s="25">
        <f>HLOOKUP(BH$7,$I$66:$DJ$120,ROWS($A$10:$A20)+2,FALSE)</f>
        <v>846</v>
      </c>
      <c r="BI20" s="25">
        <f>HLOOKUP(BI$7,$I$66:$DJ$120,ROWS($A$10:$A20)+2,FALSE)</f>
        <v>21611</v>
      </c>
      <c r="BJ20" s="34">
        <f>HLOOKUP(BJ$7+0.5,$I$66:$DJ$120,ROWS($A$10:$A20)+2,FALSE)</f>
        <v>22483</v>
      </c>
      <c r="BK20" s="34">
        <f>HLOOKUP(BK$7+0.5,$I$66:$DJ$120,ROWS($A$10:$A20)+2,FALSE)</f>
        <v>3566</v>
      </c>
      <c r="BL20" s="34">
        <f>HLOOKUP(BL$7+0.5,$I$66:$DJ$120,ROWS($A$10:$A20)+2,FALSE)</f>
        <v>3412</v>
      </c>
      <c r="BM20" s="34">
        <f>HLOOKUP(BM$7+0.5,$I$66:$DJ$120,ROWS($A$10:$A20)+2,FALSE)</f>
        <v>3258</v>
      </c>
      <c r="BN20" s="34">
        <f>HLOOKUP(BN$7+0.5,$I$66:$DJ$120,ROWS($A$10:$A20)+2,FALSE)</f>
        <v>1241</v>
      </c>
      <c r="BO20" s="34">
        <f>HLOOKUP(BO$7+0.5,$I$66:$DJ$120,ROWS($A$10:$A20)+2,FALSE)</f>
        <v>4065</v>
      </c>
      <c r="BP20" s="34">
        <f>HLOOKUP(BP$7+0.5,$I$66:$DJ$120,ROWS($A$10:$A20)+2,FALSE)</f>
        <v>2988</v>
      </c>
      <c r="BQ20" s="34">
        <f>HLOOKUP(BQ$7+0.5,$I$66:$DJ$120,ROWS($A$10:$A20)+2,FALSE)</f>
        <v>3121</v>
      </c>
      <c r="BR20" s="34">
        <f>HLOOKUP(BR$7+0.5,$I$66:$DJ$120,ROWS($A$10:$A20)+2,FALSE)</f>
        <v>949</v>
      </c>
      <c r="BS20" s="34">
        <f>HLOOKUP(BS$7+0.5,$I$66:$DJ$120,ROWS($A$10:$A20)+2,FALSE)</f>
        <v>495</v>
      </c>
      <c r="BT20" s="34" t="str">
        <f>HLOOKUP(BT$7+0.5,$I$66:$DJ$120,ROWS($A$10:$A20)+2,FALSE)</f>
        <v>N/A</v>
      </c>
      <c r="BU20" s="34">
        <f>HLOOKUP(BU$7+0.5,$I$66:$DJ$120,ROWS($A$10:$A20)+2,FALSE)</f>
        <v>6270</v>
      </c>
      <c r="BV20" s="34">
        <f>HLOOKUP(BV$7+0.5,$I$66:$DJ$120,ROWS($A$10:$A20)+2,FALSE)</f>
        <v>2081</v>
      </c>
      <c r="BW20" s="34">
        <f>HLOOKUP(BW$7+0.5,$I$66:$DJ$120,ROWS($A$10:$A20)+2,FALSE)</f>
        <v>268</v>
      </c>
      <c r="BX20" s="34">
        <f>HLOOKUP(BX$7+0.5,$I$66:$DJ$120,ROWS($A$10:$A20)+2,FALSE)</f>
        <v>3962</v>
      </c>
      <c r="BY20" s="34">
        <f>HLOOKUP(BY$7+0.5,$I$66:$DJ$120,ROWS($A$10:$A20)+2,FALSE)</f>
        <v>3254</v>
      </c>
      <c r="BZ20" s="34">
        <f>HLOOKUP(BZ$7+0.5,$I$66:$DJ$120,ROWS($A$10:$A20)+2,FALSE)</f>
        <v>1137</v>
      </c>
      <c r="CA20" s="34">
        <f>HLOOKUP(CA$7+0.5,$I$66:$DJ$120,ROWS($A$10:$A20)+2,FALSE)</f>
        <v>1410</v>
      </c>
      <c r="CB20" s="34">
        <f>HLOOKUP(CB$7+0.5,$I$66:$DJ$120,ROWS($A$10:$A20)+2,FALSE)</f>
        <v>1674</v>
      </c>
      <c r="CC20" s="34">
        <f>HLOOKUP(CC$7+0.5,$I$66:$DJ$120,ROWS($A$10:$A20)+2,FALSE)</f>
        <v>2316</v>
      </c>
      <c r="CD20" s="34">
        <f>HLOOKUP(CD$7+0.5,$I$66:$DJ$120,ROWS($A$10:$A20)+2,FALSE)</f>
        <v>2049</v>
      </c>
      <c r="CE20" s="34">
        <f>HLOOKUP(CE$7+0.5,$I$66:$DJ$120,ROWS($A$10:$A20)+2,FALSE)</f>
        <v>3515</v>
      </c>
      <c r="CF20" s="34">
        <f>HLOOKUP(CF$7+0.5,$I$66:$DJ$120,ROWS($A$10:$A20)+2,FALSE)</f>
        <v>3380</v>
      </c>
      <c r="CG20" s="34">
        <f>HLOOKUP(CG$7+0.5,$I$66:$DJ$120,ROWS($A$10:$A20)+2,FALSE)</f>
        <v>3920</v>
      </c>
      <c r="CH20" s="34">
        <f>HLOOKUP(CH$7+0.5,$I$66:$DJ$120,ROWS($A$10:$A20)+2,FALSE)</f>
        <v>1888</v>
      </c>
      <c r="CI20" s="34">
        <f>HLOOKUP(CI$7+0.5,$I$66:$DJ$120,ROWS($A$10:$A20)+2,FALSE)</f>
        <v>1968</v>
      </c>
      <c r="CJ20" s="34">
        <f>HLOOKUP(CJ$7+0.5,$I$66:$DJ$120,ROWS($A$10:$A20)+2,FALSE)</f>
        <v>2753</v>
      </c>
      <c r="CK20" s="34">
        <f>HLOOKUP(CK$7+0.5,$I$66:$DJ$120,ROWS($A$10:$A20)+2,FALSE)</f>
        <v>424</v>
      </c>
      <c r="CL20" s="34">
        <f>HLOOKUP(CL$7+0.5,$I$66:$DJ$120,ROWS($A$10:$A20)+2,FALSE)</f>
        <v>2208</v>
      </c>
      <c r="CM20" s="34">
        <f>HLOOKUP(CM$7+0.5,$I$66:$DJ$120,ROWS($A$10:$A20)+2,FALSE)</f>
        <v>1810</v>
      </c>
      <c r="CN20" s="34">
        <f>HLOOKUP(CN$7+0.5,$I$66:$DJ$120,ROWS($A$10:$A20)+2,FALSE)</f>
        <v>1798</v>
      </c>
      <c r="CO20" s="34">
        <f>HLOOKUP(CO$7+0.5,$I$66:$DJ$120,ROWS($A$10:$A20)+2,FALSE)</f>
        <v>6219</v>
      </c>
      <c r="CP20" s="34">
        <f>HLOOKUP(CP$7+0.5,$I$66:$DJ$120,ROWS($A$10:$A20)+2,FALSE)</f>
        <v>781</v>
      </c>
      <c r="CQ20" s="34">
        <f>HLOOKUP(CQ$7+0.5,$I$66:$DJ$120,ROWS($A$10:$A20)+2,FALSE)</f>
        <v>7171</v>
      </c>
      <c r="CR20" s="34">
        <f>HLOOKUP(CR$7+0.5,$I$66:$DJ$120,ROWS($A$10:$A20)+2,FALSE)</f>
        <v>5251</v>
      </c>
      <c r="CS20" s="34">
        <f>HLOOKUP(CS$7+0.5,$I$66:$DJ$120,ROWS($A$10:$A20)+2,FALSE)</f>
        <v>600</v>
      </c>
      <c r="CT20" s="34">
        <f>HLOOKUP(CT$7+0.5,$I$66:$DJ$120,ROWS($A$10:$A20)+2,FALSE)</f>
        <v>3264</v>
      </c>
      <c r="CU20" s="34">
        <f>HLOOKUP(CU$7+0.5,$I$66:$DJ$120,ROWS($A$10:$A20)+2,FALSE)</f>
        <v>1168</v>
      </c>
      <c r="CV20" s="34">
        <f>HLOOKUP(CV$7+0.5,$I$66:$DJ$120,ROWS($A$10:$A20)+2,FALSE)</f>
        <v>2046</v>
      </c>
      <c r="CW20" s="34">
        <f>HLOOKUP(CW$7+0.5,$I$66:$DJ$120,ROWS($A$10:$A20)+2,FALSE)</f>
        <v>4267</v>
      </c>
      <c r="CX20" s="34">
        <f>HLOOKUP(CX$7+0.5,$I$66:$DJ$120,ROWS($A$10:$A20)+2,FALSE)</f>
        <v>2668</v>
      </c>
      <c r="CY20" s="34">
        <f>HLOOKUP(CY$7+0.5,$I$66:$DJ$120,ROWS($A$10:$A20)+2,FALSE)</f>
        <v>2956</v>
      </c>
      <c r="CZ20" s="34">
        <f>HLOOKUP(CZ$7+0.5,$I$66:$DJ$120,ROWS($A$10:$A20)+2,FALSE)</f>
        <v>1027</v>
      </c>
      <c r="DA20" s="34">
        <f>HLOOKUP(DA$7+0.5,$I$66:$DJ$120,ROWS($A$10:$A20)+2,FALSE)</f>
        <v>4102</v>
      </c>
      <c r="DB20" s="34">
        <f>HLOOKUP(DB$7+0.5,$I$66:$DJ$120,ROWS($A$10:$A20)+2,FALSE)</f>
        <v>4638</v>
      </c>
      <c r="DC20" s="34">
        <f>HLOOKUP(DC$7+0.5,$I$66:$DJ$120,ROWS($A$10:$A20)+2,FALSE)</f>
        <v>1891</v>
      </c>
      <c r="DD20" s="34">
        <f>HLOOKUP(DD$7+0.5,$I$66:$DJ$120,ROWS($A$10:$A20)+2,FALSE)</f>
        <v>1616</v>
      </c>
      <c r="DE20" s="34">
        <f>HLOOKUP(DE$7+0.5,$I$66:$DJ$120,ROWS($A$10:$A20)+2,FALSE)</f>
        <v>3087</v>
      </c>
      <c r="DF20" s="34">
        <f>HLOOKUP(DF$7+0.5,$I$66:$DJ$120,ROWS($A$10:$A20)+2,FALSE)</f>
        <v>2687</v>
      </c>
      <c r="DG20" s="34">
        <f>HLOOKUP(DG$7+0.5,$I$66:$DJ$120,ROWS($A$10:$A20)+2,FALSE)</f>
        <v>2202</v>
      </c>
      <c r="DH20" s="34">
        <f>HLOOKUP(DH$7+0.5,$I$66:$DJ$120,ROWS($A$10:$A20)+2,FALSE)</f>
        <v>2467</v>
      </c>
      <c r="DI20" s="34">
        <f>HLOOKUP(DI$7+0.5,$I$66:$DJ$120,ROWS($A$10:$A20)+2,FALSE)</f>
        <v>725</v>
      </c>
      <c r="DJ20" s="34">
        <f>HLOOKUP(DJ$7+0.5,$I$66:$DJ$120,ROWS($A$10:$A20)+2,FALSE)</f>
        <v>5621</v>
      </c>
    </row>
    <row r="21" spans="2:114" x14ac:dyDescent="0.25">
      <c r="B21" s="38" t="s">
        <v>17</v>
      </c>
      <c r="C21" s="16">
        <v>9699859</v>
      </c>
      <c r="D21" s="17">
        <v>5580</v>
      </c>
      <c r="E21" s="16">
        <v>8095407</v>
      </c>
      <c r="F21" s="17">
        <v>40769</v>
      </c>
      <c r="G21" s="16">
        <v>1289450</v>
      </c>
      <c r="H21" s="17">
        <v>37444</v>
      </c>
      <c r="I21" s="36">
        <f>HLOOKUP(I$7,$I$66:$DJ$120,ROWS($A$10:$A21)+2,FALSE)</f>
        <v>271077</v>
      </c>
      <c r="J21" s="25">
        <f>HLOOKUP(J$7,$I$66:$DJ$120,ROWS($A$10:$A21)+2,FALSE)</f>
        <v>18799</v>
      </c>
      <c r="K21" s="25">
        <f>HLOOKUP(K$7,$I$66:$DJ$120,ROWS($A$10:$A21)+2,FALSE)</f>
        <v>1079</v>
      </c>
      <c r="L21" s="25">
        <f>HLOOKUP(L$7,$I$66:$DJ$120,ROWS($A$10:$A21)+2,FALSE)</f>
        <v>4292</v>
      </c>
      <c r="M21" s="25">
        <f>HLOOKUP(M$7,$I$66:$DJ$120,ROWS($A$10:$A21)+2,FALSE)</f>
        <v>2112</v>
      </c>
      <c r="N21" s="25">
        <f>HLOOKUP(N$7,$I$66:$DJ$120,ROWS($A$10:$A21)+2,FALSE)</f>
        <v>14949</v>
      </c>
      <c r="O21" s="25">
        <f>HLOOKUP(O$7,$I$66:$DJ$120,ROWS($A$10:$A21)+2,FALSE)</f>
        <v>2325</v>
      </c>
      <c r="P21" s="25">
        <f>HLOOKUP(P$7,$I$66:$DJ$120,ROWS($A$10:$A21)+2,FALSE)</f>
        <v>709</v>
      </c>
      <c r="Q21" s="25">
        <f>HLOOKUP(Q$7,$I$66:$DJ$120,ROWS($A$10:$A21)+2,FALSE)</f>
        <v>619</v>
      </c>
      <c r="R21" s="25">
        <f>HLOOKUP(R$7,$I$66:$DJ$120,ROWS($A$10:$A21)+2,FALSE)</f>
        <v>364</v>
      </c>
      <c r="S21" s="25">
        <f>HLOOKUP(S$7,$I$66:$DJ$120,ROWS($A$10:$A21)+2,FALSE)</f>
        <v>42666</v>
      </c>
      <c r="T21" s="25" t="str">
        <f>HLOOKUP(T$7,$I$66:$DJ$120,ROWS($A$10:$A21)+2,FALSE)</f>
        <v>N/A</v>
      </c>
      <c r="U21" s="25">
        <f>HLOOKUP(U$7,$I$66:$DJ$120,ROWS($A$10:$A21)+2,FALSE)</f>
        <v>1006</v>
      </c>
      <c r="V21" s="25">
        <f>HLOOKUP(V$7,$I$66:$DJ$120,ROWS($A$10:$A21)+2,FALSE)</f>
        <v>126</v>
      </c>
      <c r="W21" s="25">
        <f>HLOOKUP(W$7,$I$66:$DJ$120,ROWS($A$10:$A21)+2,FALSE)</f>
        <v>6080</v>
      </c>
      <c r="X21" s="25">
        <f>HLOOKUP(X$7,$I$66:$DJ$120,ROWS($A$10:$A21)+2,FALSE)</f>
        <v>2442</v>
      </c>
      <c r="Y21" s="25">
        <f>HLOOKUP(Y$7,$I$66:$DJ$120,ROWS($A$10:$A21)+2,FALSE)</f>
        <v>950</v>
      </c>
      <c r="Z21" s="25">
        <f>HLOOKUP(Z$7,$I$66:$DJ$120,ROWS($A$10:$A21)+2,FALSE)</f>
        <v>4513</v>
      </c>
      <c r="AA21" s="25">
        <f>HLOOKUP(AA$7,$I$66:$DJ$120,ROWS($A$10:$A21)+2,FALSE)</f>
        <v>3686</v>
      </c>
      <c r="AB21" s="25">
        <f>HLOOKUP(AB$7,$I$66:$DJ$120,ROWS($A$10:$A21)+2,FALSE)</f>
        <v>6541</v>
      </c>
      <c r="AC21" s="25">
        <f>HLOOKUP(AC$7,$I$66:$DJ$120,ROWS($A$10:$A21)+2,FALSE)</f>
        <v>408</v>
      </c>
      <c r="AD21" s="25">
        <f>HLOOKUP(AD$7,$I$66:$DJ$120,ROWS($A$10:$A21)+2,FALSE)</f>
        <v>3708</v>
      </c>
      <c r="AE21" s="25">
        <f>HLOOKUP(AE$7,$I$66:$DJ$120,ROWS($A$10:$A21)+2,FALSE)</f>
        <v>4436</v>
      </c>
      <c r="AF21" s="25">
        <f>HLOOKUP(AF$7,$I$66:$DJ$120,ROWS($A$10:$A21)+2,FALSE)</f>
        <v>6992</v>
      </c>
      <c r="AG21" s="25">
        <f>HLOOKUP(AG$7,$I$66:$DJ$120,ROWS($A$10:$A21)+2,FALSE)</f>
        <v>1808</v>
      </c>
      <c r="AH21" s="25">
        <f>HLOOKUP(AH$7,$I$66:$DJ$120,ROWS($A$10:$A21)+2,FALSE)</f>
        <v>5380</v>
      </c>
      <c r="AI21" s="25">
        <f>HLOOKUP(AI$7,$I$66:$DJ$120,ROWS($A$10:$A21)+2,FALSE)</f>
        <v>2514</v>
      </c>
      <c r="AJ21" s="25">
        <f>HLOOKUP(AJ$7,$I$66:$DJ$120,ROWS($A$10:$A21)+2,FALSE)</f>
        <v>246</v>
      </c>
      <c r="AK21" s="25">
        <f>HLOOKUP(AK$7,$I$66:$DJ$120,ROWS($A$10:$A21)+2,FALSE)</f>
        <v>4144</v>
      </c>
      <c r="AL21" s="25">
        <f>HLOOKUP(AL$7,$I$66:$DJ$120,ROWS($A$10:$A21)+2,FALSE)</f>
        <v>774</v>
      </c>
      <c r="AM21" s="25">
        <f>HLOOKUP(AM$7,$I$66:$DJ$120,ROWS($A$10:$A21)+2,FALSE)</f>
        <v>132</v>
      </c>
      <c r="AN21" s="25">
        <f>HLOOKUP(AN$7,$I$66:$DJ$120,ROWS($A$10:$A21)+2,FALSE)</f>
        <v>8371</v>
      </c>
      <c r="AO21" s="25">
        <f>HLOOKUP(AO$7,$I$66:$DJ$120,ROWS($A$10:$A21)+2,FALSE)</f>
        <v>791</v>
      </c>
      <c r="AP21" s="25">
        <f>HLOOKUP(AP$7,$I$66:$DJ$120,ROWS($A$10:$A21)+2,FALSE)</f>
        <v>14454</v>
      </c>
      <c r="AQ21" s="25">
        <f>HLOOKUP(AQ$7,$I$66:$DJ$120,ROWS($A$10:$A21)+2,FALSE)</f>
        <v>19138</v>
      </c>
      <c r="AR21" s="25">
        <f>HLOOKUP(AR$7,$I$66:$DJ$120,ROWS($A$10:$A21)+2,FALSE)</f>
        <v>201</v>
      </c>
      <c r="AS21" s="25">
        <f>HLOOKUP(AS$7,$I$66:$DJ$120,ROWS($A$10:$A21)+2,FALSE)</f>
        <v>6863</v>
      </c>
      <c r="AT21" s="25">
        <f>HLOOKUP(AT$7,$I$66:$DJ$120,ROWS($A$10:$A21)+2,FALSE)</f>
        <v>1632</v>
      </c>
      <c r="AU21" s="25">
        <f>HLOOKUP(AU$7,$I$66:$DJ$120,ROWS($A$10:$A21)+2,FALSE)</f>
        <v>727</v>
      </c>
      <c r="AV21" s="25">
        <f>HLOOKUP(AV$7,$I$66:$DJ$120,ROWS($A$10:$A21)+2,FALSE)</f>
        <v>5791</v>
      </c>
      <c r="AW21" s="25">
        <f>HLOOKUP(AW$7,$I$66:$DJ$120,ROWS($A$10:$A21)+2,FALSE)</f>
        <v>337</v>
      </c>
      <c r="AX21" s="25">
        <f>HLOOKUP(AX$7,$I$66:$DJ$120,ROWS($A$10:$A21)+2,FALSE)</f>
        <v>16914</v>
      </c>
      <c r="AY21" s="25">
        <f>HLOOKUP(AY$7,$I$66:$DJ$120,ROWS($A$10:$A21)+2,FALSE)</f>
        <v>536</v>
      </c>
      <c r="AZ21" s="25">
        <f>HLOOKUP(AZ$7,$I$66:$DJ$120,ROWS($A$10:$A21)+2,FALSE)</f>
        <v>16898</v>
      </c>
      <c r="BA21" s="25">
        <f>HLOOKUP(BA$7,$I$66:$DJ$120,ROWS($A$10:$A21)+2,FALSE)</f>
        <v>15760</v>
      </c>
      <c r="BB21" s="25">
        <f>HLOOKUP(BB$7,$I$66:$DJ$120,ROWS($A$10:$A21)+2,FALSE)</f>
        <v>793</v>
      </c>
      <c r="BC21" s="25">
        <f>HLOOKUP(BC$7,$I$66:$DJ$120,ROWS($A$10:$A21)+2,FALSE)</f>
        <v>361</v>
      </c>
      <c r="BD21" s="25">
        <f>HLOOKUP(BD$7,$I$66:$DJ$120,ROWS($A$10:$A21)+2,FALSE)</f>
        <v>9438</v>
      </c>
      <c r="BE21" s="25">
        <f>HLOOKUP(BE$7,$I$66:$DJ$120,ROWS($A$10:$A21)+2,FALSE)</f>
        <v>3701</v>
      </c>
      <c r="BF21" s="25">
        <f>HLOOKUP(BF$7,$I$66:$DJ$120,ROWS($A$10:$A21)+2,FALSE)</f>
        <v>1340</v>
      </c>
      <c r="BG21" s="25">
        <f>HLOOKUP(BG$7,$I$66:$DJ$120,ROWS($A$10:$A21)+2,FALSE)</f>
        <v>2727</v>
      </c>
      <c r="BH21" s="25">
        <f>HLOOKUP(BH$7,$I$66:$DJ$120,ROWS($A$10:$A21)+2,FALSE)</f>
        <v>504</v>
      </c>
      <c r="BI21" s="25">
        <f>HLOOKUP(BI$7,$I$66:$DJ$120,ROWS($A$10:$A21)+2,FALSE)</f>
        <v>1635</v>
      </c>
      <c r="BJ21" s="34">
        <f>HLOOKUP(BJ$7+0.5,$I$66:$DJ$120,ROWS($A$10:$A21)+2,FALSE)</f>
        <v>15123</v>
      </c>
      <c r="BK21" s="34">
        <f>HLOOKUP(BK$7+0.5,$I$66:$DJ$120,ROWS($A$10:$A21)+2,FALSE)</f>
        <v>5015</v>
      </c>
      <c r="BL21" s="34">
        <f>HLOOKUP(BL$7+0.5,$I$66:$DJ$120,ROWS($A$10:$A21)+2,FALSE)</f>
        <v>765</v>
      </c>
      <c r="BM21" s="34">
        <f>HLOOKUP(BM$7+0.5,$I$66:$DJ$120,ROWS($A$10:$A21)+2,FALSE)</f>
        <v>1849</v>
      </c>
      <c r="BN21" s="34">
        <f>HLOOKUP(BN$7+0.5,$I$66:$DJ$120,ROWS($A$10:$A21)+2,FALSE)</f>
        <v>1366</v>
      </c>
      <c r="BO21" s="34">
        <f>HLOOKUP(BO$7+0.5,$I$66:$DJ$120,ROWS($A$10:$A21)+2,FALSE)</f>
        <v>3387</v>
      </c>
      <c r="BP21" s="34">
        <f>HLOOKUP(BP$7+0.5,$I$66:$DJ$120,ROWS($A$10:$A21)+2,FALSE)</f>
        <v>1399</v>
      </c>
      <c r="BQ21" s="34">
        <f>HLOOKUP(BQ$7+0.5,$I$66:$DJ$120,ROWS($A$10:$A21)+2,FALSE)</f>
        <v>455</v>
      </c>
      <c r="BR21" s="34">
        <f>HLOOKUP(BR$7+0.5,$I$66:$DJ$120,ROWS($A$10:$A21)+2,FALSE)</f>
        <v>606</v>
      </c>
      <c r="BS21" s="34">
        <f>HLOOKUP(BS$7+0.5,$I$66:$DJ$120,ROWS($A$10:$A21)+2,FALSE)</f>
        <v>283</v>
      </c>
      <c r="BT21" s="34">
        <f>HLOOKUP(BT$7+0.5,$I$66:$DJ$120,ROWS($A$10:$A21)+2,FALSE)</f>
        <v>5232</v>
      </c>
      <c r="BU21" s="34" t="str">
        <f>HLOOKUP(BU$7+0.5,$I$66:$DJ$120,ROWS($A$10:$A21)+2,FALSE)</f>
        <v>N/A</v>
      </c>
      <c r="BV21" s="34">
        <f>HLOOKUP(BV$7+0.5,$I$66:$DJ$120,ROWS($A$10:$A21)+2,FALSE)</f>
        <v>883</v>
      </c>
      <c r="BW21" s="34">
        <f>HLOOKUP(BW$7+0.5,$I$66:$DJ$120,ROWS($A$10:$A21)+2,FALSE)</f>
        <v>139</v>
      </c>
      <c r="BX21" s="34">
        <f>HLOOKUP(BX$7+0.5,$I$66:$DJ$120,ROWS($A$10:$A21)+2,FALSE)</f>
        <v>1774</v>
      </c>
      <c r="BY21" s="34">
        <f>HLOOKUP(BY$7+0.5,$I$66:$DJ$120,ROWS($A$10:$A21)+2,FALSE)</f>
        <v>1297</v>
      </c>
      <c r="BZ21" s="34">
        <f>HLOOKUP(BZ$7+0.5,$I$66:$DJ$120,ROWS($A$10:$A21)+2,FALSE)</f>
        <v>528</v>
      </c>
      <c r="CA21" s="34">
        <f>HLOOKUP(CA$7+0.5,$I$66:$DJ$120,ROWS($A$10:$A21)+2,FALSE)</f>
        <v>2909</v>
      </c>
      <c r="CB21" s="34">
        <f>HLOOKUP(CB$7+0.5,$I$66:$DJ$120,ROWS($A$10:$A21)+2,FALSE)</f>
        <v>1708</v>
      </c>
      <c r="CC21" s="34">
        <f>HLOOKUP(CC$7+0.5,$I$66:$DJ$120,ROWS($A$10:$A21)+2,FALSE)</f>
        <v>3121</v>
      </c>
      <c r="CD21" s="34">
        <f>HLOOKUP(CD$7+0.5,$I$66:$DJ$120,ROWS($A$10:$A21)+2,FALSE)</f>
        <v>269</v>
      </c>
      <c r="CE21" s="34">
        <f>HLOOKUP(CE$7+0.5,$I$66:$DJ$120,ROWS($A$10:$A21)+2,FALSE)</f>
        <v>1807</v>
      </c>
      <c r="CF21" s="34">
        <f>HLOOKUP(CF$7+0.5,$I$66:$DJ$120,ROWS($A$10:$A21)+2,FALSE)</f>
        <v>1979</v>
      </c>
      <c r="CG21" s="34">
        <f>HLOOKUP(CG$7+0.5,$I$66:$DJ$120,ROWS($A$10:$A21)+2,FALSE)</f>
        <v>2441</v>
      </c>
      <c r="CH21" s="34">
        <f>HLOOKUP(CH$7+0.5,$I$66:$DJ$120,ROWS($A$10:$A21)+2,FALSE)</f>
        <v>1416</v>
      </c>
      <c r="CI21" s="34">
        <f>HLOOKUP(CI$7+0.5,$I$66:$DJ$120,ROWS($A$10:$A21)+2,FALSE)</f>
        <v>3077</v>
      </c>
      <c r="CJ21" s="34">
        <f>HLOOKUP(CJ$7+0.5,$I$66:$DJ$120,ROWS($A$10:$A21)+2,FALSE)</f>
        <v>989</v>
      </c>
      <c r="CK21" s="34">
        <f>HLOOKUP(CK$7+0.5,$I$66:$DJ$120,ROWS($A$10:$A21)+2,FALSE)</f>
        <v>211</v>
      </c>
      <c r="CL21" s="34">
        <f>HLOOKUP(CL$7+0.5,$I$66:$DJ$120,ROWS($A$10:$A21)+2,FALSE)</f>
        <v>3300</v>
      </c>
      <c r="CM21" s="34">
        <f>HLOOKUP(CM$7+0.5,$I$66:$DJ$120,ROWS($A$10:$A21)+2,FALSE)</f>
        <v>559</v>
      </c>
      <c r="CN21" s="34">
        <f>HLOOKUP(CN$7+0.5,$I$66:$DJ$120,ROWS($A$10:$A21)+2,FALSE)</f>
        <v>150</v>
      </c>
      <c r="CO21" s="34">
        <f>HLOOKUP(CO$7+0.5,$I$66:$DJ$120,ROWS($A$10:$A21)+2,FALSE)</f>
        <v>3016</v>
      </c>
      <c r="CP21" s="34">
        <f>HLOOKUP(CP$7+0.5,$I$66:$DJ$120,ROWS($A$10:$A21)+2,FALSE)</f>
        <v>421</v>
      </c>
      <c r="CQ21" s="34">
        <f>HLOOKUP(CQ$7+0.5,$I$66:$DJ$120,ROWS($A$10:$A21)+2,FALSE)</f>
        <v>4681</v>
      </c>
      <c r="CR21" s="34">
        <f>HLOOKUP(CR$7+0.5,$I$66:$DJ$120,ROWS($A$10:$A21)+2,FALSE)</f>
        <v>3931</v>
      </c>
      <c r="CS21" s="34">
        <f>HLOOKUP(CS$7+0.5,$I$66:$DJ$120,ROWS($A$10:$A21)+2,FALSE)</f>
        <v>221</v>
      </c>
      <c r="CT21" s="34">
        <f>HLOOKUP(CT$7+0.5,$I$66:$DJ$120,ROWS($A$10:$A21)+2,FALSE)</f>
        <v>1986</v>
      </c>
      <c r="CU21" s="34">
        <f>HLOOKUP(CU$7+0.5,$I$66:$DJ$120,ROWS($A$10:$A21)+2,FALSE)</f>
        <v>1107</v>
      </c>
      <c r="CV21" s="34">
        <f>HLOOKUP(CV$7+0.5,$I$66:$DJ$120,ROWS($A$10:$A21)+2,FALSE)</f>
        <v>472</v>
      </c>
      <c r="CW21" s="34">
        <f>HLOOKUP(CW$7+0.5,$I$66:$DJ$120,ROWS($A$10:$A21)+2,FALSE)</f>
        <v>1896</v>
      </c>
      <c r="CX21" s="34">
        <f>HLOOKUP(CX$7+0.5,$I$66:$DJ$120,ROWS($A$10:$A21)+2,FALSE)</f>
        <v>504</v>
      </c>
      <c r="CY21" s="34">
        <f>HLOOKUP(CY$7+0.5,$I$66:$DJ$120,ROWS($A$10:$A21)+2,FALSE)</f>
        <v>5257</v>
      </c>
      <c r="CZ21" s="34">
        <f>HLOOKUP(CZ$7+0.5,$I$66:$DJ$120,ROWS($A$10:$A21)+2,FALSE)</f>
        <v>730</v>
      </c>
      <c r="DA21" s="34">
        <f>HLOOKUP(DA$7+0.5,$I$66:$DJ$120,ROWS($A$10:$A21)+2,FALSE)</f>
        <v>3610</v>
      </c>
      <c r="DB21" s="34">
        <f>HLOOKUP(DB$7+0.5,$I$66:$DJ$120,ROWS($A$10:$A21)+2,FALSE)</f>
        <v>3421</v>
      </c>
      <c r="DC21" s="34">
        <f>HLOOKUP(DC$7+0.5,$I$66:$DJ$120,ROWS($A$10:$A21)+2,FALSE)</f>
        <v>1061</v>
      </c>
      <c r="DD21" s="34">
        <f>HLOOKUP(DD$7+0.5,$I$66:$DJ$120,ROWS($A$10:$A21)+2,FALSE)</f>
        <v>334</v>
      </c>
      <c r="DE21" s="34">
        <f>HLOOKUP(DE$7+0.5,$I$66:$DJ$120,ROWS($A$10:$A21)+2,FALSE)</f>
        <v>3336</v>
      </c>
      <c r="DF21" s="34">
        <f>HLOOKUP(DF$7+0.5,$I$66:$DJ$120,ROWS($A$10:$A21)+2,FALSE)</f>
        <v>1532</v>
      </c>
      <c r="DG21" s="34">
        <f>HLOOKUP(DG$7+0.5,$I$66:$DJ$120,ROWS($A$10:$A21)+2,FALSE)</f>
        <v>778</v>
      </c>
      <c r="DH21" s="34">
        <f>HLOOKUP(DH$7+0.5,$I$66:$DJ$120,ROWS($A$10:$A21)+2,FALSE)</f>
        <v>1401</v>
      </c>
      <c r="DI21" s="34">
        <f>HLOOKUP(DI$7+0.5,$I$66:$DJ$120,ROWS($A$10:$A21)+2,FALSE)</f>
        <v>775</v>
      </c>
      <c r="DJ21" s="34">
        <f>HLOOKUP(DJ$7+0.5,$I$66:$DJ$120,ROWS($A$10:$A21)+2,FALSE)</f>
        <v>841</v>
      </c>
    </row>
    <row r="22" spans="2:114" x14ac:dyDescent="0.25">
      <c r="B22" s="38" t="s">
        <v>18</v>
      </c>
      <c r="C22" s="16">
        <v>1357806</v>
      </c>
      <c r="D22" s="17">
        <v>1803</v>
      </c>
      <c r="E22" s="16">
        <v>1160948</v>
      </c>
      <c r="F22" s="17">
        <v>10743</v>
      </c>
      <c r="G22" s="16">
        <v>122727</v>
      </c>
      <c r="H22" s="17">
        <v>8676</v>
      </c>
      <c r="I22" s="36">
        <f>HLOOKUP(I$7,$I$66:$DJ$120,ROWS($A$10:$A22)+2,FALSE)</f>
        <v>57542</v>
      </c>
      <c r="J22" s="25">
        <f>HLOOKUP(J$7,$I$66:$DJ$120,ROWS($A$10:$A22)+2,FALSE)</f>
        <v>1268</v>
      </c>
      <c r="K22" s="25">
        <f>HLOOKUP(K$7,$I$66:$DJ$120,ROWS($A$10:$A22)+2,FALSE)</f>
        <v>844</v>
      </c>
      <c r="L22" s="25">
        <f>HLOOKUP(L$7,$I$66:$DJ$120,ROWS($A$10:$A22)+2,FALSE)</f>
        <v>2900</v>
      </c>
      <c r="M22" s="25">
        <f>HLOOKUP(M$7,$I$66:$DJ$120,ROWS($A$10:$A22)+2,FALSE)</f>
        <v>242</v>
      </c>
      <c r="N22" s="25">
        <f>HLOOKUP(N$7,$I$66:$DJ$120,ROWS($A$10:$A22)+2,FALSE)</f>
        <v>10173</v>
      </c>
      <c r="O22" s="25">
        <f>HLOOKUP(O$7,$I$66:$DJ$120,ROWS($A$10:$A22)+2,FALSE)</f>
        <v>950</v>
      </c>
      <c r="P22" s="25">
        <f>HLOOKUP(P$7,$I$66:$DJ$120,ROWS($A$10:$A22)+2,FALSE)</f>
        <v>731</v>
      </c>
      <c r="Q22" s="25">
        <f>HLOOKUP(Q$7,$I$66:$DJ$120,ROWS($A$10:$A22)+2,FALSE)</f>
        <v>784</v>
      </c>
      <c r="R22" s="25">
        <f>HLOOKUP(R$7,$I$66:$DJ$120,ROWS($A$10:$A22)+2,FALSE)</f>
        <v>222</v>
      </c>
      <c r="S22" s="25">
        <f>HLOOKUP(S$7,$I$66:$DJ$120,ROWS($A$10:$A22)+2,FALSE)</f>
        <v>3160</v>
      </c>
      <c r="T22" s="25">
        <f>HLOOKUP(T$7,$I$66:$DJ$120,ROWS($A$10:$A22)+2,FALSE)</f>
        <v>2519</v>
      </c>
      <c r="U22" s="25" t="str">
        <f>HLOOKUP(U$7,$I$66:$DJ$120,ROWS($A$10:$A22)+2,FALSE)</f>
        <v>N/A</v>
      </c>
      <c r="V22" s="25">
        <f>HLOOKUP(V$7,$I$66:$DJ$120,ROWS($A$10:$A22)+2,FALSE)</f>
        <v>112</v>
      </c>
      <c r="W22" s="25">
        <f>HLOOKUP(W$7,$I$66:$DJ$120,ROWS($A$10:$A22)+2,FALSE)</f>
        <v>1884</v>
      </c>
      <c r="X22" s="25">
        <f>HLOOKUP(X$7,$I$66:$DJ$120,ROWS($A$10:$A22)+2,FALSE)</f>
        <v>402</v>
      </c>
      <c r="Y22" s="25">
        <f>HLOOKUP(Y$7,$I$66:$DJ$120,ROWS($A$10:$A22)+2,FALSE)</f>
        <v>478</v>
      </c>
      <c r="Z22" s="25">
        <f>HLOOKUP(Z$7,$I$66:$DJ$120,ROWS($A$10:$A22)+2,FALSE)</f>
        <v>125</v>
      </c>
      <c r="AA22" s="25">
        <f>HLOOKUP(AA$7,$I$66:$DJ$120,ROWS($A$10:$A22)+2,FALSE)</f>
        <v>18</v>
      </c>
      <c r="AB22" s="25">
        <f>HLOOKUP(AB$7,$I$66:$DJ$120,ROWS($A$10:$A22)+2,FALSE)</f>
        <v>179</v>
      </c>
      <c r="AC22" s="25">
        <f>HLOOKUP(AC$7,$I$66:$DJ$120,ROWS($A$10:$A22)+2,FALSE)</f>
        <v>106</v>
      </c>
      <c r="AD22" s="25">
        <f>HLOOKUP(AD$7,$I$66:$DJ$120,ROWS($A$10:$A22)+2,FALSE)</f>
        <v>341</v>
      </c>
      <c r="AE22" s="25">
        <f>HLOOKUP(AE$7,$I$66:$DJ$120,ROWS($A$10:$A22)+2,FALSE)</f>
        <v>92</v>
      </c>
      <c r="AF22" s="25">
        <f>HLOOKUP(AF$7,$I$66:$DJ$120,ROWS($A$10:$A22)+2,FALSE)</f>
        <v>1303</v>
      </c>
      <c r="AG22" s="25">
        <f>HLOOKUP(AG$7,$I$66:$DJ$120,ROWS($A$10:$A22)+2,FALSE)</f>
        <v>933</v>
      </c>
      <c r="AH22" s="25">
        <f>HLOOKUP(AH$7,$I$66:$DJ$120,ROWS($A$10:$A22)+2,FALSE)</f>
        <v>371</v>
      </c>
      <c r="AI22" s="25">
        <f>HLOOKUP(AI$7,$I$66:$DJ$120,ROWS($A$10:$A22)+2,FALSE)</f>
        <v>308</v>
      </c>
      <c r="AJ22" s="25">
        <f>HLOOKUP(AJ$7,$I$66:$DJ$120,ROWS($A$10:$A22)+2,FALSE)</f>
        <v>85</v>
      </c>
      <c r="AK22" s="25">
        <f>HLOOKUP(AK$7,$I$66:$DJ$120,ROWS($A$10:$A22)+2,FALSE)</f>
        <v>91</v>
      </c>
      <c r="AL22" s="25">
        <f>HLOOKUP(AL$7,$I$66:$DJ$120,ROWS($A$10:$A22)+2,FALSE)</f>
        <v>1548</v>
      </c>
      <c r="AM22" s="25">
        <f>HLOOKUP(AM$7,$I$66:$DJ$120,ROWS($A$10:$A22)+2,FALSE)</f>
        <v>107</v>
      </c>
      <c r="AN22" s="25">
        <f>HLOOKUP(AN$7,$I$66:$DJ$120,ROWS($A$10:$A22)+2,FALSE)</f>
        <v>564</v>
      </c>
      <c r="AO22" s="25">
        <f>HLOOKUP(AO$7,$I$66:$DJ$120,ROWS($A$10:$A22)+2,FALSE)</f>
        <v>354</v>
      </c>
      <c r="AP22" s="25">
        <f>HLOOKUP(AP$7,$I$66:$DJ$120,ROWS($A$10:$A22)+2,FALSE)</f>
        <v>4246</v>
      </c>
      <c r="AQ22" s="25">
        <f>HLOOKUP(AQ$7,$I$66:$DJ$120,ROWS($A$10:$A22)+2,FALSE)</f>
        <v>2307</v>
      </c>
      <c r="AR22" s="25">
        <f>HLOOKUP(AR$7,$I$66:$DJ$120,ROWS($A$10:$A22)+2,FALSE)</f>
        <v>32</v>
      </c>
      <c r="AS22" s="25">
        <f>HLOOKUP(AS$7,$I$66:$DJ$120,ROWS($A$10:$A22)+2,FALSE)</f>
        <v>970</v>
      </c>
      <c r="AT22" s="25">
        <f>HLOOKUP(AT$7,$I$66:$DJ$120,ROWS($A$10:$A22)+2,FALSE)</f>
        <v>685</v>
      </c>
      <c r="AU22" s="25">
        <f>HLOOKUP(AU$7,$I$66:$DJ$120,ROWS($A$10:$A22)+2,FALSE)</f>
        <v>2030</v>
      </c>
      <c r="AV22" s="25">
        <f>HLOOKUP(AV$7,$I$66:$DJ$120,ROWS($A$10:$A22)+2,FALSE)</f>
        <v>870</v>
      </c>
      <c r="AW22" s="25">
        <f>HLOOKUP(AW$7,$I$66:$DJ$120,ROWS($A$10:$A22)+2,FALSE)</f>
        <v>58</v>
      </c>
      <c r="AX22" s="25">
        <f>HLOOKUP(AX$7,$I$66:$DJ$120,ROWS($A$10:$A22)+2,FALSE)</f>
        <v>1681</v>
      </c>
      <c r="AY22" s="25">
        <f>HLOOKUP(AY$7,$I$66:$DJ$120,ROWS($A$10:$A22)+2,FALSE)</f>
        <v>0</v>
      </c>
      <c r="AZ22" s="25">
        <f>HLOOKUP(AZ$7,$I$66:$DJ$120,ROWS($A$10:$A22)+2,FALSE)</f>
        <v>636</v>
      </c>
      <c r="BA22" s="25">
        <f>HLOOKUP(BA$7,$I$66:$DJ$120,ROWS($A$10:$A22)+2,FALSE)</f>
        <v>3007</v>
      </c>
      <c r="BB22" s="25">
        <f>HLOOKUP(BB$7,$I$66:$DJ$120,ROWS($A$10:$A22)+2,FALSE)</f>
        <v>1040</v>
      </c>
      <c r="BC22" s="25">
        <f>HLOOKUP(BC$7,$I$66:$DJ$120,ROWS($A$10:$A22)+2,FALSE)</f>
        <v>0</v>
      </c>
      <c r="BD22" s="25">
        <f>HLOOKUP(BD$7,$I$66:$DJ$120,ROWS($A$10:$A22)+2,FALSE)</f>
        <v>2523</v>
      </c>
      <c r="BE22" s="25">
        <f>HLOOKUP(BE$7,$I$66:$DJ$120,ROWS($A$10:$A22)+2,FALSE)</f>
        <v>3790</v>
      </c>
      <c r="BF22" s="25">
        <f>HLOOKUP(BF$7,$I$66:$DJ$120,ROWS($A$10:$A22)+2,FALSE)</f>
        <v>312</v>
      </c>
      <c r="BG22" s="25">
        <f>HLOOKUP(BG$7,$I$66:$DJ$120,ROWS($A$10:$A22)+2,FALSE)</f>
        <v>147</v>
      </c>
      <c r="BH22" s="25">
        <f>HLOOKUP(BH$7,$I$66:$DJ$120,ROWS($A$10:$A22)+2,FALSE)</f>
        <v>14</v>
      </c>
      <c r="BI22" s="25">
        <f>HLOOKUP(BI$7,$I$66:$DJ$120,ROWS($A$10:$A22)+2,FALSE)</f>
        <v>238</v>
      </c>
      <c r="BJ22" s="34">
        <f>HLOOKUP(BJ$7+0.5,$I$66:$DJ$120,ROWS($A$10:$A22)+2,FALSE)</f>
        <v>5083</v>
      </c>
      <c r="BK22" s="34">
        <f>HLOOKUP(BK$7+0.5,$I$66:$DJ$120,ROWS($A$10:$A22)+2,FALSE)</f>
        <v>846</v>
      </c>
      <c r="BL22" s="34">
        <f>HLOOKUP(BL$7+0.5,$I$66:$DJ$120,ROWS($A$10:$A22)+2,FALSE)</f>
        <v>670</v>
      </c>
      <c r="BM22" s="34">
        <f>HLOOKUP(BM$7+0.5,$I$66:$DJ$120,ROWS($A$10:$A22)+2,FALSE)</f>
        <v>1208</v>
      </c>
      <c r="BN22" s="34">
        <f>HLOOKUP(BN$7+0.5,$I$66:$DJ$120,ROWS($A$10:$A22)+2,FALSE)</f>
        <v>260</v>
      </c>
      <c r="BO22" s="34">
        <f>HLOOKUP(BO$7+0.5,$I$66:$DJ$120,ROWS($A$10:$A22)+2,FALSE)</f>
        <v>2201</v>
      </c>
      <c r="BP22" s="34">
        <f>HLOOKUP(BP$7+0.5,$I$66:$DJ$120,ROWS($A$10:$A22)+2,FALSE)</f>
        <v>493</v>
      </c>
      <c r="BQ22" s="34">
        <f>HLOOKUP(BQ$7+0.5,$I$66:$DJ$120,ROWS($A$10:$A22)+2,FALSE)</f>
        <v>739</v>
      </c>
      <c r="BR22" s="34">
        <f>HLOOKUP(BR$7+0.5,$I$66:$DJ$120,ROWS($A$10:$A22)+2,FALSE)</f>
        <v>877</v>
      </c>
      <c r="BS22" s="34">
        <f>HLOOKUP(BS$7+0.5,$I$66:$DJ$120,ROWS($A$10:$A22)+2,FALSE)</f>
        <v>275</v>
      </c>
      <c r="BT22" s="34">
        <f>HLOOKUP(BT$7+0.5,$I$66:$DJ$120,ROWS($A$10:$A22)+2,FALSE)</f>
        <v>1311</v>
      </c>
      <c r="BU22" s="34">
        <f>HLOOKUP(BU$7+0.5,$I$66:$DJ$120,ROWS($A$10:$A22)+2,FALSE)</f>
        <v>956</v>
      </c>
      <c r="BV22" s="34" t="str">
        <f>HLOOKUP(BV$7+0.5,$I$66:$DJ$120,ROWS($A$10:$A22)+2,FALSE)</f>
        <v>N/A</v>
      </c>
      <c r="BW22" s="34">
        <f>HLOOKUP(BW$7+0.5,$I$66:$DJ$120,ROWS($A$10:$A22)+2,FALSE)</f>
        <v>199</v>
      </c>
      <c r="BX22" s="34">
        <f>HLOOKUP(BX$7+0.5,$I$66:$DJ$120,ROWS($A$10:$A22)+2,FALSE)</f>
        <v>728</v>
      </c>
      <c r="BY22" s="34">
        <f>HLOOKUP(BY$7+0.5,$I$66:$DJ$120,ROWS($A$10:$A22)+2,FALSE)</f>
        <v>280</v>
      </c>
      <c r="BZ22" s="34">
        <f>HLOOKUP(BZ$7+0.5,$I$66:$DJ$120,ROWS($A$10:$A22)+2,FALSE)</f>
        <v>504</v>
      </c>
      <c r="CA22" s="34">
        <f>HLOOKUP(CA$7+0.5,$I$66:$DJ$120,ROWS($A$10:$A22)+2,FALSE)</f>
        <v>154</v>
      </c>
      <c r="CB22" s="34">
        <f>HLOOKUP(CB$7+0.5,$I$66:$DJ$120,ROWS($A$10:$A22)+2,FALSE)</f>
        <v>36</v>
      </c>
      <c r="CC22" s="34">
        <f>HLOOKUP(CC$7+0.5,$I$66:$DJ$120,ROWS($A$10:$A22)+2,FALSE)</f>
        <v>270</v>
      </c>
      <c r="CD22" s="34">
        <f>HLOOKUP(CD$7+0.5,$I$66:$DJ$120,ROWS($A$10:$A22)+2,FALSE)</f>
        <v>161</v>
      </c>
      <c r="CE22" s="34">
        <f>HLOOKUP(CE$7+0.5,$I$66:$DJ$120,ROWS($A$10:$A22)+2,FALSE)</f>
        <v>212</v>
      </c>
      <c r="CF22" s="34">
        <f>HLOOKUP(CF$7+0.5,$I$66:$DJ$120,ROWS($A$10:$A22)+2,FALSE)</f>
        <v>123</v>
      </c>
      <c r="CG22" s="34">
        <f>HLOOKUP(CG$7+0.5,$I$66:$DJ$120,ROWS($A$10:$A22)+2,FALSE)</f>
        <v>1067</v>
      </c>
      <c r="CH22" s="34">
        <f>HLOOKUP(CH$7+0.5,$I$66:$DJ$120,ROWS($A$10:$A22)+2,FALSE)</f>
        <v>750</v>
      </c>
      <c r="CI22" s="34">
        <f>HLOOKUP(CI$7+0.5,$I$66:$DJ$120,ROWS($A$10:$A22)+2,FALSE)</f>
        <v>391</v>
      </c>
      <c r="CJ22" s="34">
        <f>HLOOKUP(CJ$7+0.5,$I$66:$DJ$120,ROWS($A$10:$A22)+2,FALSE)</f>
        <v>219</v>
      </c>
      <c r="CK22" s="34">
        <f>HLOOKUP(CK$7+0.5,$I$66:$DJ$120,ROWS($A$10:$A22)+2,FALSE)</f>
        <v>140</v>
      </c>
      <c r="CL22" s="34">
        <f>HLOOKUP(CL$7+0.5,$I$66:$DJ$120,ROWS($A$10:$A22)+2,FALSE)</f>
        <v>95</v>
      </c>
      <c r="CM22" s="34">
        <f>HLOOKUP(CM$7+0.5,$I$66:$DJ$120,ROWS($A$10:$A22)+2,FALSE)</f>
        <v>795</v>
      </c>
      <c r="CN22" s="34">
        <f>HLOOKUP(CN$7+0.5,$I$66:$DJ$120,ROWS($A$10:$A22)+2,FALSE)</f>
        <v>141</v>
      </c>
      <c r="CO22" s="34">
        <f>HLOOKUP(CO$7+0.5,$I$66:$DJ$120,ROWS($A$10:$A22)+2,FALSE)</f>
        <v>697</v>
      </c>
      <c r="CP22" s="34">
        <f>HLOOKUP(CP$7+0.5,$I$66:$DJ$120,ROWS($A$10:$A22)+2,FALSE)</f>
        <v>366</v>
      </c>
      <c r="CQ22" s="34">
        <f>HLOOKUP(CQ$7+0.5,$I$66:$DJ$120,ROWS($A$10:$A22)+2,FALSE)</f>
        <v>2556</v>
      </c>
      <c r="CR22" s="34">
        <f>HLOOKUP(CR$7+0.5,$I$66:$DJ$120,ROWS($A$10:$A22)+2,FALSE)</f>
        <v>1256</v>
      </c>
      <c r="CS22" s="34">
        <f>HLOOKUP(CS$7+0.5,$I$66:$DJ$120,ROWS($A$10:$A22)+2,FALSE)</f>
        <v>54</v>
      </c>
      <c r="CT22" s="34">
        <f>HLOOKUP(CT$7+0.5,$I$66:$DJ$120,ROWS($A$10:$A22)+2,FALSE)</f>
        <v>677</v>
      </c>
      <c r="CU22" s="34">
        <f>HLOOKUP(CU$7+0.5,$I$66:$DJ$120,ROWS($A$10:$A22)+2,FALSE)</f>
        <v>502</v>
      </c>
      <c r="CV22" s="34">
        <f>HLOOKUP(CV$7+0.5,$I$66:$DJ$120,ROWS($A$10:$A22)+2,FALSE)</f>
        <v>1378</v>
      </c>
      <c r="CW22" s="34">
        <f>HLOOKUP(CW$7+0.5,$I$66:$DJ$120,ROWS($A$10:$A22)+2,FALSE)</f>
        <v>468</v>
      </c>
      <c r="CX22" s="34">
        <f>HLOOKUP(CX$7+0.5,$I$66:$DJ$120,ROWS($A$10:$A22)+2,FALSE)</f>
        <v>70</v>
      </c>
      <c r="CY22" s="34">
        <f>HLOOKUP(CY$7+0.5,$I$66:$DJ$120,ROWS($A$10:$A22)+2,FALSE)</f>
        <v>919</v>
      </c>
      <c r="CZ22" s="34">
        <f>HLOOKUP(CZ$7+0.5,$I$66:$DJ$120,ROWS($A$10:$A22)+2,FALSE)</f>
        <v>187</v>
      </c>
      <c r="DA22" s="34">
        <f>HLOOKUP(DA$7+0.5,$I$66:$DJ$120,ROWS($A$10:$A22)+2,FALSE)</f>
        <v>1018</v>
      </c>
      <c r="DB22" s="34">
        <f>HLOOKUP(DB$7+0.5,$I$66:$DJ$120,ROWS($A$10:$A22)+2,FALSE)</f>
        <v>1122</v>
      </c>
      <c r="DC22" s="34">
        <f>HLOOKUP(DC$7+0.5,$I$66:$DJ$120,ROWS($A$10:$A22)+2,FALSE)</f>
        <v>872</v>
      </c>
      <c r="DD22" s="34">
        <f>HLOOKUP(DD$7+0.5,$I$66:$DJ$120,ROWS($A$10:$A22)+2,FALSE)</f>
        <v>187</v>
      </c>
      <c r="DE22" s="34">
        <f>HLOOKUP(DE$7+0.5,$I$66:$DJ$120,ROWS($A$10:$A22)+2,FALSE)</f>
        <v>1318</v>
      </c>
      <c r="DF22" s="34">
        <f>HLOOKUP(DF$7+0.5,$I$66:$DJ$120,ROWS($A$10:$A22)+2,FALSE)</f>
        <v>1075</v>
      </c>
      <c r="DG22" s="34">
        <f>HLOOKUP(DG$7+0.5,$I$66:$DJ$120,ROWS($A$10:$A22)+2,FALSE)</f>
        <v>306</v>
      </c>
      <c r="DH22" s="34">
        <f>HLOOKUP(DH$7+0.5,$I$66:$DJ$120,ROWS($A$10:$A22)+2,FALSE)</f>
        <v>159</v>
      </c>
      <c r="DI22" s="34">
        <f>HLOOKUP(DI$7+0.5,$I$66:$DJ$120,ROWS($A$10:$A22)+2,FALSE)</f>
        <v>23</v>
      </c>
      <c r="DJ22" s="34">
        <f>HLOOKUP(DJ$7+0.5,$I$66:$DJ$120,ROWS($A$10:$A22)+2,FALSE)</f>
        <v>398</v>
      </c>
    </row>
    <row r="23" spans="2:114" x14ac:dyDescent="0.25">
      <c r="B23" s="38" t="s">
        <v>19</v>
      </c>
      <c r="C23" s="16">
        <v>1559637</v>
      </c>
      <c r="D23" s="17">
        <v>2674</v>
      </c>
      <c r="E23" s="16">
        <v>1284530</v>
      </c>
      <c r="F23" s="17">
        <v>13188</v>
      </c>
      <c r="G23" s="16">
        <v>208434</v>
      </c>
      <c r="H23" s="17">
        <v>13285</v>
      </c>
      <c r="I23" s="36">
        <f>HLOOKUP(I$7,$I$66:$DJ$120,ROWS($A$10:$A23)+2,FALSE)</f>
        <v>60336</v>
      </c>
      <c r="J23" s="25">
        <f>HLOOKUP(J$7,$I$66:$DJ$120,ROWS($A$10:$A23)+2,FALSE)</f>
        <v>263</v>
      </c>
      <c r="K23" s="25">
        <f>HLOOKUP(K$7,$I$66:$DJ$120,ROWS($A$10:$A23)+2,FALSE)</f>
        <v>4510</v>
      </c>
      <c r="L23" s="25">
        <f>HLOOKUP(L$7,$I$66:$DJ$120,ROWS($A$10:$A23)+2,FALSE)</f>
        <v>3543</v>
      </c>
      <c r="M23" s="25">
        <f>HLOOKUP(M$7,$I$66:$DJ$120,ROWS($A$10:$A23)+2,FALSE)</f>
        <v>224</v>
      </c>
      <c r="N23" s="25">
        <f>HLOOKUP(N$7,$I$66:$DJ$120,ROWS($A$10:$A23)+2,FALSE)</f>
        <v>9021</v>
      </c>
      <c r="O23" s="25">
        <f>HLOOKUP(O$7,$I$66:$DJ$120,ROWS($A$10:$A23)+2,FALSE)</f>
        <v>1813</v>
      </c>
      <c r="P23" s="25">
        <f>HLOOKUP(P$7,$I$66:$DJ$120,ROWS($A$10:$A23)+2,FALSE)</f>
        <v>0</v>
      </c>
      <c r="Q23" s="25">
        <f>HLOOKUP(Q$7,$I$66:$DJ$120,ROWS($A$10:$A23)+2,FALSE)</f>
        <v>0</v>
      </c>
      <c r="R23" s="25">
        <f>HLOOKUP(R$7,$I$66:$DJ$120,ROWS($A$10:$A23)+2,FALSE)</f>
        <v>0</v>
      </c>
      <c r="S23" s="25">
        <f>HLOOKUP(S$7,$I$66:$DJ$120,ROWS($A$10:$A23)+2,FALSE)</f>
        <v>1733</v>
      </c>
      <c r="T23" s="25">
        <f>HLOOKUP(T$7,$I$66:$DJ$120,ROWS($A$10:$A23)+2,FALSE)</f>
        <v>275</v>
      </c>
      <c r="U23" s="25">
        <f>HLOOKUP(U$7,$I$66:$DJ$120,ROWS($A$10:$A23)+2,FALSE)</f>
        <v>254</v>
      </c>
      <c r="V23" s="25" t="str">
        <f>HLOOKUP(V$7,$I$66:$DJ$120,ROWS($A$10:$A23)+2,FALSE)</f>
        <v>N/A</v>
      </c>
      <c r="W23" s="25">
        <f>HLOOKUP(W$7,$I$66:$DJ$120,ROWS($A$10:$A23)+2,FALSE)</f>
        <v>390</v>
      </c>
      <c r="X23" s="25">
        <f>HLOOKUP(X$7,$I$66:$DJ$120,ROWS($A$10:$A23)+2,FALSE)</f>
        <v>296</v>
      </c>
      <c r="Y23" s="25">
        <f>HLOOKUP(Y$7,$I$66:$DJ$120,ROWS($A$10:$A23)+2,FALSE)</f>
        <v>318</v>
      </c>
      <c r="Z23" s="25">
        <f>HLOOKUP(Z$7,$I$66:$DJ$120,ROWS($A$10:$A23)+2,FALSE)</f>
        <v>479</v>
      </c>
      <c r="AA23" s="25">
        <f>HLOOKUP(AA$7,$I$66:$DJ$120,ROWS($A$10:$A23)+2,FALSE)</f>
        <v>120</v>
      </c>
      <c r="AB23" s="25">
        <f>HLOOKUP(AB$7,$I$66:$DJ$120,ROWS($A$10:$A23)+2,FALSE)</f>
        <v>51</v>
      </c>
      <c r="AC23" s="25">
        <f>HLOOKUP(AC$7,$I$66:$DJ$120,ROWS($A$10:$A23)+2,FALSE)</f>
        <v>0</v>
      </c>
      <c r="AD23" s="25">
        <f>HLOOKUP(AD$7,$I$66:$DJ$120,ROWS($A$10:$A23)+2,FALSE)</f>
        <v>0</v>
      </c>
      <c r="AE23" s="25">
        <f>HLOOKUP(AE$7,$I$66:$DJ$120,ROWS($A$10:$A23)+2,FALSE)</f>
        <v>396</v>
      </c>
      <c r="AF23" s="25">
        <f>HLOOKUP(AF$7,$I$66:$DJ$120,ROWS($A$10:$A23)+2,FALSE)</f>
        <v>615</v>
      </c>
      <c r="AG23" s="25">
        <f>HLOOKUP(AG$7,$I$66:$DJ$120,ROWS($A$10:$A23)+2,FALSE)</f>
        <v>566</v>
      </c>
      <c r="AH23" s="25">
        <f>HLOOKUP(AH$7,$I$66:$DJ$120,ROWS($A$10:$A23)+2,FALSE)</f>
        <v>62</v>
      </c>
      <c r="AI23" s="25">
        <f>HLOOKUP(AI$7,$I$66:$DJ$120,ROWS($A$10:$A23)+2,FALSE)</f>
        <v>384</v>
      </c>
      <c r="AJ23" s="25">
        <f>HLOOKUP(AJ$7,$I$66:$DJ$120,ROWS($A$10:$A23)+2,FALSE)</f>
        <v>1602</v>
      </c>
      <c r="AK23" s="25">
        <f>HLOOKUP(AK$7,$I$66:$DJ$120,ROWS($A$10:$A23)+2,FALSE)</f>
        <v>439</v>
      </c>
      <c r="AL23" s="25">
        <f>HLOOKUP(AL$7,$I$66:$DJ$120,ROWS($A$10:$A23)+2,FALSE)</f>
        <v>3581</v>
      </c>
      <c r="AM23" s="25">
        <f>HLOOKUP(AM$7,$I$66:$DJ$120,ROWS($A$10:$A23)+2,FALSE)</f>
        <v>129</v>
      </c>
      <c r="AN23" s="25">
        <f>HLOOKUP(AN$7,$I$66:$DJ$120,ROWS($A$10:$A23)+2,FALSE)</f>
        <v>84</v>
      </c>
      <c r="AO23" s="25">
        <f>HLOOKUP(AO$7,$I$66:$DJ$120,ROWS($A$10:$A23)+2,FALSE)</f>
        <v>141</v>
      </c>
      <c r="AP23" s="25">
        <f>HLOOKUP(AP$7,$I$66:$DJ$120,ROWS($A$10:$A23)+2,FALSE)</f>
        <v>419</v>
      </c>
      <c r="AQ23" s="25">
        <f>HLOOKUP(AQ$7,$I$66:$DJ$120,ROWS($A$10:$A23)+2,FALSE)</f>
        <v>263</v>
      </c>
      <c r="AR23" s="25">
        <f>HLOOKUP(AR$7,$I$66:$DJ$120,ROWS($A$10:$A23)+2,FALSE)</f>
        <v>1201</v>
      </c>
      <c r="AS23" s="25">
        <f>HLOOKUP(AS$7,$I$66:$DJ$120,ROWS($A$10:$A23)+2,FALSE)</f>
        <v>260</v>
      </c>
      <c r="AT23" s="25">
        <f>HLOOKUP(AT$7,$I$66:$DJ$120,ROWS($A$10:$A23)+2,FALSE)</f>
        <v>288</v>
      </c>
      <c r="AU23" s="25">
        <f>HLOOKUP(AU$7,$I$66:$DJ$120,ROWS($A$10:$A23)+2,FALSE)</f>
        <v>7170</v>
      </c>
      <c r="AV23" s="25">
        <f>HLOOKUP(AV$7,$I$66:$DJ$120,ROWS($A$10:$A23)+2,FALSE)</f>
        <v>343</v>
      </c>
      <c r="AW23" s="25">
        <f>HLOOKUP(AW$7,$I$66:$DJ$120,ROWS($A$10:$A23)+2,FALSE)</f>
        <v>0</v>
      </c>
      <c r="AX23" s="25">
        <f>HLOOKUP(AX$7,$I$66:$DJ$120,ROWS($A$10:$A23)+2,FALSE)</f>
        <v>55</v>
      </c>
      <c r="AY23" s="25">
        <f>HLOOKUP(AY$7,$I$66:$DJ$120,ROWS($A$10:$A23)+2,FALSE)</f>
        <v>842</v>
      </c>
      <c r="AZ23" s="25">
        <f>HLOOKUP(AZ$7,$I$66:$DJ$120,ROWS($A$10:$A23)+2,FALSE)</f>
        <v>296</v>
      </c>
      <c r="BA23" s="25">
        <f>HLOOKUP(BA$7,$I$66:$DJ$120,ROWS($A$10:$A23)+2,FALSE)</f>
        <v>1303</v>
      </c>
      <c r="BB23" s="25">
        <f>HLOOKUP(BB$7,$I$66:$DJ$120,ROWS($A$10:$A23)+2,FALSE)</f>
        <v>6059</v>
      </c>
      <c r="BC23" s="25">
        <f>HLOOKUP(BC$7,$I$66:$DJ$120,ROWS($A$10:$A23)+2,FALSE)</f>
        <v>0</v>
      </c>
      <c r="BD23" s="25">
        <f>HLOOKUP(BD$7,$I$66:$DJ$120,ROWS($A$10:$A23)+2,FALSE)</f>
        <v>905</v>
      </c>
      <c r="BE23" s="25">
        <f>HLOOKUP(BE$7,$I$66:$DJ$120,ROWS($A$10:$A23)+2,FALSE)</f>
        <v>8991</v>
      </c>
      <c r="BF23" s="25">
        <f>HLOOKUP(BF$7,$I$66:$DJ$120,ROWS($A$10:$A23)+2,FALSE)</f>
        <v>0</v>
      </c>
      <c r="BG23" s="25">
        <f>HLOOKUP(BG$7,$I$66:$DJ$120,ROWS($A$10:$A23)+2,FALSE)</f>
        <v>165</v>
      </c>
      <c r="BH23" s="25">
        <f>HLOOKUP(BH$7,$I$66:$DJ$120,ROWS($A$10:$A23)+2,FALSE)</f>
        <v>487</v>
      </c>
      <c r="BI23" s="25">
        <f>HLOOKUP(BI$7,$I$66:$DJ$120,ROWS($A$10:$A23)+2,FALSE)</f>
        <v>249</v>
      </c>
      <c r="BJ23" s="34">
        <f>HLOOKUP(BJ$7+0.5,$I$66:$DJ$120,ROWS($A$10:$A23)+2,FALSE)</f>
        <v>6293</v>
      </c>
      <c r="BK23" s="34">
        <f>HLOOKUP(BK$7+0.5,$I$66:$DJ$120,ROWS($A$10:$A23)+2,FALSE)</f>
        <v>259</v>
      </c>
      <c r="BL23" s="34">
        <f>HLOOKUP(BL$7+0.5,$I$66:$DJ$120,ROWS($A$10:$A23)+2,FALSE)</f>
        <v>2938</v>
      </c>
      <c r="BM23" s="34">
        <f>HLOOKUP(BM$7+0.5,$I$66:$DJ$120,ROWS($A$10:$A23)+2,FALSE)</f>
        <v>1771</v>
      </c>
      <c r="BN23" s="34">
        <f>HLOOKUP(BN$7+0.5,$I$66:$DJ$120,ROWS($A$10:$A23)+2,FALSE)</f>
        <v>188</v>
      </c>
      <c r="BO23" s="34">
        <f>HLOOKUP(BO$7+0.5,$I$66:$DJ$120,ROWS($A$10:$A23)+2,FALSE)</f>
        <v>2484</v>
      </c>
      <c r="BP23" s="34">
        <f>HLOOKUP(BP$7+0.5,$I$66:$DJ$120,ROWS($A$10:$A23)+2,FALSE)</f>
        <v>1022</v>
      </c>
      <c r="BQ23" s="34">
        <f>HLOOKUP(BQ$7+0.5,$I$66:$DJ$120,ROWS($A$10:$A23)+2,FALSE)</f>
        <v>195</v>
      </c>
      <c r="BR23" s="34">
        <f>HLOOKUP(BR$7+0.5,$I$66:$DJ$120,ROWS($A$10:$A23)+2,FALSE)</f>
        <v>195</v>
      </c>
      <c r="BS23" s="34">
        <f>HLOOKUP(BS$7+0.5,$I$66:$DJ$120,ROWS($A$10:$A23)+2,FALSE)</f>
        <v>195</v>
      </c>
      <c r="BT23" s="34">
        <f>HLOOKUP(BT$7+0.5,$I$66:$DJ$120,ROWS($A$10:$A23)+2,FALSE)</f>
        <v>1210</v>
      </c>
      <c r="BU23" s="34">
        <f>HLOOKUP(BU$7+0.5,$I$66:$DJ$120,ROWS($A$10:$A23)+2,FALSE)</f>
        <v>234</v>
      </c>
      <c r="BV23" s="34">
        <f>HLOOKUP(BV$7+0.5,$I$66:$DJ$120,ROWS($A$10:$A23)+2,FALSE)</f>
        <v>314</v>
      </c>
      <c r="BW23" s="34" t="str">
        <f>HLOOKUP(BW$7+0.5,$I$66:$DJ$120,ROWS($A$10:$A23)+2,FALSE)</f>
        <v>N/A</v>
      </c>
      <c r="BX23" s="34">
        <f>HLOOKUP(BX$7+0.5,$I$66:$DJ$120,ROWS($A$10:$A23)+2,FALSE)</f>
        <v>342</v>
      </c>
      <c r="BY23" s="34">
        <f>HLOOKUP(BY$7+0.5,$I$66:$DJ$120,ROWS($A$10:$A23)+2,FALSE)</f>
        <v>352</v>
      </c>
      <c r="BZ23" s="34">
        <f>HLOOKUP(BZ$7+0.5,$I$66:$DJ$120,ROWS($A$10:$A23)+2,FALSE)</f>
        <v>424</v>
      </c>
      <c r="CA23" s="34">
        <f>HLOOKUP(CA$7+0.5,$I$66:$DJ$120,ROWS($A$10:$A23)+2,FALSE)</f>
        <v>503</v>
      </c>
      <c r="CB23" s="34">
        <f>HLOOKUP(CB$7+0.5,$I$66:$DJ$120,ROWS($A$10:$A23)+2,FALSE)</f>
        <v>170</v>
      </c>
      <c r="CC23" s="34">
        <f>HLOOKUP(CC$7+0.5,$I$66:$DJ$120,ROWS($A$10:$A23)+2,FALSE)</f>
        <v>110</v>
      </c>
      <c r="CD23" s="34">
        <f>HLOOKUP(CD$7+0.5,$I$66:$DJ$120,ROWS($A$10:$A23)+2,FALSE)</f>
        <v>195</v>
      </c>
      <c r="CE23" s="34">
        <f>HLOOKUP(CE$7+0.5,$I$66:$DJ$120,ROWS($A$10:$A23)+2,FALSE)</f>
        <v>195</v>
      </c>
      <c r="CF23" s="34">
        <f>HLOOKUP(CF$7+0.5,$I$66:$DJ$120,ROWS($A$10:$A23)+2,FALSE)</f>
        <v>625</v>
      </c>
      <c r="CG23" s="34">
        <f>HLOOKUP(CG$7+0.5,$I$66:$DJ$120,ROWS($A$10:$A23)+2,FALSE)</f>
        <v>524</v>
      </c>
      <c r="CH23" s="34">
        <f>HLOOKUP(CH$7+0.5,$I$66:$DJ$120,ROWS($A$10:$A23)+2,FALSE)</f>
        <v>352</v>
      </c>
      <c r="CI23" s="34">
        <f>HLOOKUP(CI$7+0.5,$I$66:$DJ$120,ROWS($A$10:$A23)+2,FALSE)</f>
        <v>106</v>
      </c>
      <c r="CJ23" s="34">
        <f>HLOOKUP(CJ$7+0.5,$I$66:$DJ$120,ROWS($A$10:$A23)+2,FALSE)</f>
        <v>304</v>
      </c>
      <c r="CK23" s="34">
        <f>HLOOKUP(CK$7+0.5,$I$66:$DJ$120,ROWS($A$10:$A23)+2,FALSE)</f>
        <v>828</v>
      </c>
      <c r="CL23" s="34">
        <f>HLOOKUP(CL$7+0.5,$I$66:$DJ$120,ROWS($A$10:$A23)+2,FALSE)</f>
        <v>591</v>
      </c>
      <c r="CM23" s="34">
        <f>HLOOKUP(CM$7+0.5,$I$66:$DJ$120,ROWS($A$10:$A23)+2,FALSE)</f>
        <v>1400</v>
      </c>
      <c r="CN23" s="34">
        <f>HLOOKUP(CN$7+0.5,$I$66:$DJ$120,ROWS($A$10:$A23)+2,FALSE)</f>
        <v>123</v>
      </c>
      <c r="CO23" s="34">
        <f>HLOOKUP(CO$7+0.5,$I$66:$DJ$120,ROWS($A$10:$A23)+2,FALSE)</f>
        <v>78</v>
      </c>
      <c r="CP23" s="34">
        <f>HLOOKUP(CP$7+0.5,$I$66:$DJ$120,ROWS($A$10:$A23)+2,FALSE)</f>
        <v>229</v>
      </c>
      <c r="CQ23" s="34">
        <f>HLOOKUP(CQ$7+0.5,$I$66:$DJ$120,ROWS($A$10:$A23)+2,FALSE)</f>
        <v>399</v>
      </c>
      <c r="CR23" s="34">
        <f>HLOOKUP(CR$7+0.5,$I$66:$DJ$120,ROWS($A$10:$A23)+2,FALSE)</f>
        <v>435</v>
      </c>
      <c r="CS23" s="34">
        <f>HLOOKUP(CS$7+0.5,$I$66:$DJ$120,ROWS($A$10:$A23)+2,FALSE)</f>
        <v>1099</v>
      </c>
      <c r="CT23" s="34">
        <f>HLOOKUP(CT$7+0.5,$I$66:$DJ$120,ROWS($A$10:$A23)+2,FALSE)</f>
        <v>212</v>
      </c>
      <c r="CU23" s="34">
        <f>HLOOKUP(CU$7+0.5,$I$66:$DJ$120,ROWS($A$10:$A23)+2,FALSE)</f>
        <v>243</v>
      </c>
      <c r="CV23" s="34">
        <f>HLOOKUP(CV$7+0.5,$I$66:$DJ$120,ROWS($A$10:$A23)+2,FALSE)</f>
        <v>1894</v>
      </c>
      <c r="CW23" s="34">
        <f>HLOOKUP(CW$7+0.5,$I$66:$DJ$120,ROWS($A$10:$A23)+2,FALSE)</f>
        <v>265</v>
      </c>
      <c r="CX23" s="34">
        <f>HLOOKUP(CX$7+0.5,$I$66:$DJ$120,ROWS($A$10:$A23)+2,FALSE)</f>
        <v>195</v>
      </c>
      <c r="CY23" s="34">
        <f>HLOOKUP(CY$7+0.5,$I$66:$DJ$120,ROWS($A$10:$A23)+2,FALSE)</f>
        <v>90</v>
      </c>
      <c r="CZ23" s="34">
        <f>HLOOKUP(CZ$7+0.5,$I$66:$DJ$120,ROWS($A$10:$A23)+2,FALSE)</f>
        <v>1132</v>
      </c>
      <c r="DA23" s="34">
        <f>HLOOKUP(DA$7+0.5,$I$66:$DJ$120,ROWS($A$10:$A23)+2,FALSE)</f>
        <v>356</v>
      </c>
      <c r="DB23" s="34">
        <f>HLOOKUP(DB$7+0.5,$I$66:$DJ$120,ROWS($A$10:$A23)+2,FALSE)</f>
        <v>952</v>
      </c>
      <c r="DC23" s="34">
        <f>HLOOKUP(DC$7+0.5,$I$66:$DJ$120,ROWS($A$10:$A23)+2,FALSE)</f>
        <v>2187</v>
      </c>
      <c r="DD23" s="34">
        <f>HLOOKUP(DD$7+0.5,$I$66:$DJ$120,ROWS($A$10:$A23)+2,FALSE)</f>
        <v>195</v>
      </c>
      <c r="DE23" s="34">
        <f>HLOOKUP(DE$7+0.5,$I$66:$DJ$120,ROWS($A$10:$A23)+2,FALSE)</f>
        <v>707</v>
      </c>
      <c r="DF23" s="34">
        <f>HLOOKUP(DF$7+0.5,$I$66:$DJ$120,ROWS($A$10:$A23)+2,FALSE)</f>
        <v>2313</v>
      </c>
      <c r="DG23" s="34">
        <f>HLOOKUP(DG$7+0.5,$I$66:$DJ$120,ROWS($A$10:$A23)+2,FALSE)</f>
        <v>195</v>
      </c>
      <c r="DH23" s="34">
        <f>HLOOKUP(DH$7+0.5,$I$66:$DJ$120,ROWS($A$10:$A23)+2,FALSE)</f>
        <v>174</v>
      </c>
      <c r="DI23" s="34">
        <f>HLOOKUP(DI$7+0.5,$I$66:$DJ$120,ROWS($A$10:$A23)+2,FALSE)</f>
        <v>340</v>
      </c>
      <c r="DJ23" s="34">
        <f>HLOOKUP(DJ$7+0.5,$I$66:$DJ$120,ROWS($A$10:$A23)+2,FALSE)</f>
        <v>412</v>
      </c>
    </row>
    <row r="24" spans="2:114" x14ac:dyDescent="0.25">
      <c r="B24" s="38" t="s">
        <v>20</v>
      </c>
      <c r="C24" s="16">
        <v>12718402</v>
      </c>
      <c r="D24" s="17">
        <v>5792</v>
      </c>
      <c r="E24" s="16">
        <v>11076528</v>
      </c>
      <c r="F24" s="17">
        <v>31383</v>
      </c>
      <c r="G24" s="16">
        <v>1353853</v>
      </c>
      <c r="H24" s="17">
        <v>28856</v>
      </c>
      <c r="I24" s="36">
        <f>HLOOKUP(I$7,$I$66:$DJ$120,ROWS($A$10:$A24)+2,FALSE)</f>
        <v>216204</v>
      </c>
      <c r="J24" s="25">
        <f>HLOOKUP(J$7,$I$66:$DJ$120,ROWS($A$10:$A24)+2,FALSE)</f>
        <v>2823</v>
      </c>
      <c r="K24" s="25">
        <f>HLOOKUP(K$7,$I$66:$DJ$120,ROWS($A$10:$A24)+2,FALSE)</f>
        <v>4119</v>
      </c>
      <c r="L24" s="25">
        <f>HLOOKUP(L$7,$I$66:$DJ$120,ROWS($A$10:$A24)+2,FALSE)</f>
        <v>7657</v>
      </c>
      <c r="M24" s="25">
        <f>HLOOKUP(M$7,$I$66:$DJ$120,ROWS($A$10:$A24)+2,FALSE)</f>
        <v>3185</v>
      </c>
      <c r="N24" s="25">
        <f>HLOOKUP(N$7,$I$66:$DJ$120,ROWS($A$10:$A24)+2,FALSE)</f>
        <v>13930</v>
      </c>
      <c r="O24" s="25">
        <f>HLOOKUP(O$7,$I$66:$DJ$120,ROWS($A$10:$A24)+2,FALSE)</f>
        <v>3271</v>
      </c>
      <c r="P24" s="25">
        <f>HLOOKUP(P$7,$I$66:$DJ$120,ROWS($A$10:$A24)+2,FALSE)</f>
        <v>1819</v>
      </c>
      <c r="Q24" s="25">
        <f>HLOOKUP(Q$7,$I$66:$DJ$120,ROWS($A$10:$A24)+2,FALSE)</f>
        <v>277</v>
      </c>
      <c r="R24" s="25">
        <f>HLOOKUP(R$7,$I$66:$DJ$120,ROWS($A$10:$A24)+2,FALSE)</f>
        <v>1440</v>
      </c>
      <c r="S24" s="25">
        <f>HLOOKUP(S$7,$I$66:$DJ$120,ROWS($A$10:$A24)+2,FALSE)</f>
        <v>17548</v>
      </c>
      <c r="T24" s="25">
        <f>HLOOKUP(T$7,$I$66:$DJ$120,ROWS($A$10:$A24)+2,FALSE)</f>
        <v>6042</v>
      </c>
      <c r="U24" s="25">
        <f>HLOOKUP(U$7,$I$66:$DJ$120,ROWS($A$10:$A24)+2,FALSE)</f>
        <v>1269</v>
      </c>
      <c r="V24" s="25">
        <f>HLOOKUP(V$7,$I$66:$DJ$120,ROWS($A$10:$A24)+2,FALSE)</f>
        <v>393</v>
      </c>
      <c r="W24" s="25" t="str">
        <f>HLOOKUP(W$7,$I$66:$DJ$120,ROWS($A$10:$A24)+2,FALSE)</f>
        <v>N/A</v>
      </c>
      <c r="X24" s="25">
        <f>HLOOKUP(X$7,$I$66:$DJ$120,ROWS($A$10:$A24)+2,FALSE)</f>
        <v>23491</v>
      </c>
      <c r="Y24" s="25">
        <f>HLOOKUP(Y$7,$I$66:$DJ$120,ROWS($A$10:$A24)+2,FALSE)</f>
        <v>8420</v>
      </c>
      <c r="Z24" s="25">
        <f>HLOOKUP(Z$7,$I$66:$DJ$120,ROWS($A$10:$A24)+2,FALSE)</f>
        <v>2533</v>
      </c>
      <c r="AA24" s="25">
        <f>HLOOKUP(AA$7,$I$66:$DJ$120,ROWS($A$10:$A24)+2,FALSE)</f>
        <v>5569</v>
      </c>
      <c r="AB24" s="25">
        <f>HLOOKUP(AB$7,$I$66:$DJ$120,ROWS($A$10:$A24)+2,FALSE)</f>
        <v>1315</v>
      </c>
      <c r="AC24" s="25">
        <f>HLOOKUP(AC$7,$I$66:$DJ$120,ROWS($A$10:$A24)+2,FALSE)</f>
        <v>693</v>
      </c>
      <c r="AD24" s="25">
        <f>HLOOKUP(AD$7,$I$66:$DJ$120,ROWS($A$10:$A24)+2,FALSE)</f>
        <v>2565</v>
      </c>
      <c r="AE24" s="25">
        <f>HLOOKUP(AE$7,$I$66:$DJ$120,ROWS($A$10:$A24)+2,FALSE)</f>
        <v>3507</v>
      </c>
      <c r="AF24" s="25">
        <f>HLOOKUP(AF$7,$I$66:$DJ$120,ROWS($A$10:$A24)+2,FALSE)</f>
        <v>10274</v>
      </c>
      <c r="AG24" s="25">
        <f>HLOOKUP(AG$7,$I$66:$DJ$120,ROWS($A$10:$A24)+2,FALSE)</f>
        <v>4496</v>
      </c>
      <c r="AH24" s="25">
        <f>HLOOKUP(AH$7,$I$66:$DJ$120,ROWS($A$10:$A24)+2,FALSE)</f>
        <v>1521</v>
      </c>
      <c r="AI24" s="25">
        <f>HLOOKUP(AI$7,$I$66:$DJ$120,ROWS($A$10:$A24)+2,FALSE)</f>
        <v>13889</v>
      </c>
      <c r="AJ24" s="25">
        <f>HLOOKUP(AJ$7,$I$66:$DJ$120,ROWS($A$10:$A24)+2,FALSE)</f>
        <v>304</v>
      </c>
      <c r="AK24" s="25">
        <f>HLOOKUP(AK$7,$I$66:$DJ$120,ROWS($A$10:$A24)+2,FALSE)</f>
        <v>827</v>
      </c>
      <c r="AL24" s="25">
        <f>HLOOKUP(AL$7,$I$66:$DJ$120,ROWS($A$10:$A24)+2,FALSE)</f>
        <v>2454</v>
      </c>
      <c r="AM24" s="25">
        <f>HLOOKUP(AM$7,$I$66:$DJ$120,ROWS($A$10:$A24)+2,FALSE)</f>
        <v>590</v>
      </c>
      <c r="AN24" s="25">
        <f>HLOOKUP(AN$7,$I$66:$DJ$120,ROWS($A$10:$A24)+2,FALSE)</f>
        <v>3009</v>
      </c>
      <c r="AO24" s="25">
        <f>HLOOKUP(AO$7,$I$66:$DJ$120,ROWS($A$10:$A24)+2,FALSE)</f>
        <v>1573</v>
      </c>
      <c r="AP24" s="25">
        <f>HLOOKUP(AP$7,$I$66:$DJ$120,ROWS($A$10:$A24)+2,FALSE)</f>
        <v>6412</v>
      </c>
      <c r="AQ24" s="25">
        <f>HLOOKUP(AQ$7,$I$66:$DJ$120,ROWS($A$10:$A24)+2,FALSE)</f>
        <v>4057</v>
      </c>
      <c r="AR24" s="25">
        <f>HLOOKUP(AR$7,$I$66:$DJ$120,ROWS($A$10:$A24)+2,FALSE)</f>
        <v>105</v>
      </c>
      <c r="AS24" s="25">
        <f>HLOOKUP(AS$7,$I$66:$DJ$120,ROWS($A$10:$A24)+2,FALSE)</f>
        <v>8384</v>
      </c>
      <c r="AT24" s="25">
        <f>HLOOKUP(AT$7,$I$66:$DJ$120,ROWS($A$10:$A24)+2,FALSE)</f>
        <v>1002</v>
      </c>
      <c r="AU24" s="25">
        <f>HLOOKUP(AU$7,$I$66:$DJ$120,ROWS($A$10:$A24)+2,FALSE)</f>
        <v>792</v>
      </c>
      <c r="AV24" s="25">
        <f>HLOOKUP(AV$7,$I$66:$DJ$120,ROWS($A$10:$A24)+2,FALSE)</f>
        <v>3012</v>
      </c>
      <c r="AW24" s="25">
        <f>HLOOKUP(AW$7,$I$66:$DJ$120,ROWS($A$10:$A24)+2,FALSE)</f>
        <v>278</v>
      </c>
      <c r="AX24" s="25">
        <f>HLOOKUP(AX$7,$I$66:$DJ$120,ROWS($A$10:$A24)+2,FALSE)</f>
        <v>1582</v>
      </c>
      <c r="AY24" s="25">
        <f>HLOOKUP(AY$7,$I$66:$DJ$120,ROWS($A$10:$A24)+2,FALSE)</f>
        <v>1318</v>
      </c>
      <c r="AZ24" s="25">
        <f>HLOOKUP(AZ$7,$I$66:$DJ$120,ROWS($A$10:$A24)+2,FALSE)</f>
        <v>3223</v>
      </c>
      <c r="BA24" s="25">
        <f>HLOOKUP(BA$7,$I$66:$DJ$120,ROWS($A$10:$A24)+2,FALSE)</f>
        <v>11011</v>
      </c>
      <c r="BB24" s="25">
        <f>HLOOKUP(BB$7,$I$66:$DJ$120,ROWS($A$10:$A24)+2,FALSE)</f>
        <v>951</v>
      </c>
      <c r="BC24" s="25">
        <f>HLOOKUP(BC$7,$I$66:$DJ$120,ROWS($A$10:$A24)+2,FALSE)</f>
        <v>49</v>
      </c>
      <c r="BD24" s="25">
        <f>HLOOKUP(BD$7,$I$66:$DJ$120,ROWS($A$10:$A24)+2,FALSE)</f>
        <v>5233</v>
      </c>
      <c r="BE24" s="25">
        <f>HLOOKUP(BE$7,$I$66:$DJ$120,ROWS($A$10:$A24)+2,FALSE)</f>
        <v>3075</v>
      </c>
      <c r="BF24" s="25">
        <f>HLOOKUP(BF$7,$I$66:$DJ$120,ROWS($A$10:$A24)+2,FALSE)</f>
        <v>352</v>
      </c>
      <c r="BG24" s="25">
        <f>HLOOKUP(BG$7,$I$66:$DJ$120,ROWS($A$10:$A24)+2,FALSE)</f>
        <v>14507</v>
      </c>
      <c r="BH24" s="25">
        <f>HLOOKUP(BH$7,$I$66:$DJ$120,ROWS($A$10:$A24)+2,FALSE)</f>
        <v>58</v>
      </c>
      <c r="BI24" s="25">
        <f>HLOOKUP(BI$7,$I$66:$DJ$120,ROWS($A$10:$A24)+2,FALSE)</f>
        <v>2387</v>
      </c>
      <c r="BJ24" s="34">
        <f>HLOOKUP(BJ$7+0.5,$I$66:$DJ$120,ROWS($A$10:$A24)+2,FALSE)</f>
        <v>11862</v>
      </c>
      <c r="BK24" s="34">
        <f>HLOOKUP(BK$7+0.5,$I$66:$DJ$120,ROWS($A$10:$A24)+2,FALSE)</f>
        <v>1526</v>
      </c>
      <c r="BL24" s="34">
        <f>HLOOKUP(BL$7+0.5,$I$66:$DJ$120,ROWS($A$10:$A24)+2,FALSE)</f>
        <v>3153</v>
      </c>
      <c r="BM24" s="34">
        <f>HLOOKUP(BM$7+0.5,$I$66:$DJ$120,ROWS($A$10:$A24)+2,FALSE)</f>
        <v>1987</v>
      </c>
      <c r="BN24" s="34">
        <f>HLOOKUP(BN$7+0.5,$I$66:$DJ$120,ROWS($A$10:$A24)+2,FALSE)</f>
        <v>1513</v>
      </c>
      <c r="BO24" s="34">
        <f>HLOOKUP(BO$7+0.5,$I$66:$DJ$120,ROWS($A$10:$A24)+2,FALSE)</f>
        <v>2863</v>
      </c>
      <c r="BP24" s="34">
        <f>HLOOKUP(BP$7+0.5,$I$66:$DJ$120,ROWS($A$10:$A24)+2,FALSE)</f>
        <v>1390</v>
      </c>
      <c r="BQ24" s="34">
        <f>HLOOKUP(BQ$7+0.5,$I$66:$DJ$120,ROWS($A$10:$A24)+2,FALSE)</f>
        <v>959</v>
      </c>
      <c r="BR24" s="34">
        <f>HLOOKUP(BR$7+0.5,$I$66:$DJ$120,ROWS($A$10:$A24)+2,FALSE)</f>
        <v>303</v>
      </c>
      <c r="BS24" s="34">
        <f>HLOOKUP(BS$7+0.5,$I$66:$DJ$120,ROWS($A$10:$A24)+2,FALSE)</f>
        <v>708</v>
      </c>
      <c r="BT24" s="34">
        <f>HLOOKUP(BT$7+0.5,$I$66:$DJ$120,ROWS($A$10:$A24)+2,FALSE)</f>
        <v>3370</v>
      </c>
      <c r="BU24" s="34">
        <f>HLOOKUP(BU$7+0.5,$I$66:$DJ$120,ROWS($A$10:$A24)+2,FALSE)</f>
        <v>2192</v>
      </c>
      <c r="BV24" s="34">
        <f>HLOOKUP(BV$7+0.5,$I$66:$DJ$120,ROWS($A$10:$A24)+2,FALSE)</f>
        <v>735</v>
      </c>
      <c r="BW24" s="34">
        <f>HLOOKUP(BW$7+0.5,$I$66:$DJ$120,ROWS($A$10:$A24)+2,FALSE)</f>
        <v>356</v>
      </c>
      <c r="BX24" s="34" t="str">
        <f>HLOOKUP(BX$7+0.5,$I$66:$DJ$120,ROWS($A$10:$A24)+2,FALSE)</f>
        <v>N/A</v>
      </c>
      <c r="BY24" s="34">
        <f>HLOOKUP(BY$7+0.5,$I$66:$DJ$120,ROWS($A$10:$A24)+2,FALSE)</f>
        <v>5269</v>
      </c>
      <c r="BZ24" s="34">
        <f>HLOOKUP(BZ$7+0.5,$I$66:$DJ$120,ROWS($A$10:$A24)+2,FALSE)</f>
        <v>1581</v>
      </c>
      <c r="CA24" s="34">
        <f>HLOOKUP(CA$7+0.5,$I$66:$DJ$120,ROWS($A$10:$A24)+2,FALSE)</f>
        <v>1130</v>
      </c>
      <c r="CB24" s="34">
        <f>HLOOKUP(CB$7+0.5,$I$66:$DJ$120,ROWS($A$10:$A24)+2,FALSE)</f>
        <v>1718</v>
      </c>
      <c r="CC24" s="34">
        <f>HLOOKUP(CC$7+0.5,$I$66:$DJ$120,ROWS($A$10:$A24)+2,FALSE)</f>
        <v>761</v>
      </c>
      <c r="CD24" s="34">
        <f>HLOOKUP(CD$7+0.5,$I$66:$DJ$120,ROWS($A$10:$A24)+2,FALSE)</f>
        <v>510</v>
      </c>
      <c r="CE24" s="34">
        <f>HLOOKUP(CE$7+0.5,$I$66:$DJ$120,ROWS($A$10:$A24)+2,FALSE)</f>
        <v>916</v>
      </c>
      <c r="CF24" s="34">
        <f>HLOOKUP(CF$7+0.5,$I$66:$DJ$120,ROWS($A$10:$A24)+2,FALSE)</f>
        <v>1540</v>
      </c>
      <c r="CG24" s="34">
        <f>HLOOKUP(CG$7+0.5,$I$66:$DJ$120,ROWS($A$10:$A24)+2,FALSE)</f>
        <v>2032</v>
      </c>
      <c r="CH24" s="34">
        <f>HLOOKUP(CH$7+0.5,$I$66:$DJ$120,ROWS($A$10:$A24)+2,FALSE)</f>
        <v>1177</v>
      </c>
      <c r="CI24" s="34">
        <f>HLOOKUP(CI$7+0.5,$I$66:$DJ$120,ROWS($A$10:$A24)+2,FALSE)</f>
        <v>581</v>
      </c>
      <c r="CJ24" s="34">
        <f>HLOOKUP(CJ$7+0.5,$I$66:$DJ$120,ROWS($A$10:$A24)+2,FALSE)</f>
        <v>2736</v>
      </c>
      <c r="CK24" s="34">
        <f>HLOOKUP(CK$7+0.5,$I$66:$DJ$120,ROWS($A$10:$A24)+2,FALSE)</f>
        <v>275</v>
      </c>
      <c r="CL24" s="34">
        <f>HLOOKUP(CL$7+0.5,$I$66:$DJ$120,ROWS($A$10:$A24)+2,FALSE)</f>
        <v>520</v>
      </c>
      <c r="CM24" s="34">
        <f>HLOOKUP(CM$7+0.5,$I$66:$DJ$120,ROWS($A$10:$A24)+2,FALSE)</f>
        <v>1187</v>
      </c>
      <c r="CN24" s="34">
        <f>HLOOKUP(CN$7+0.5,$I$66:$DJ$120,ROWS($A$10:$A24)+2,FALSE)</f>
        <v>334</v>
      </c>
      <c r="CO24" s="34">
        <f>HLOOKUP(CO$7+0.5,$I$66:$DJ$120,ROWS($A$10:$A24)+2,FALSE)</f>
        <v>1033</v>
      </c>
      <c r="CP24" s="34">
        <f>HLOOKUP(CP$7+0.5,$I$66:$DJ$120,ROWS($A$10:$A24)+2,FALSE)</f>
        <v>1619</v>
      </c>
      <c r="CQ24" s="34">
        <f>HLOOKUP(CQ$7+0.5,$I$66:$DJ$120,ROWS($A$10:$A24)+2,FALSE)</f>
        <v>1874</v>
      </c>
      <c r="CR24" s="34">
        <f>HLOOKUP(CR$7+0.5,$I$66:$DJ$120,ROWS($A$10:$A24)+2,FALSE)</f>
        <v>1663</v>
      </c>
      <c r="CS24" s="34">
        <f>HLOOKUP(CS$7+0.5,$I$66:$DJ$120,ROWS($A$10:$A24)+2,FALSE)</f>
        <v>115</v>
      </c>
      <c r="CT24" s="34">
        <f>HLOOKUP(CT$7+0.5,$I$66:$DJ$120,ROWS($A$10:$A24)+2,FALSE)</f>
        <v>1627</v>
      </c>
      <c r="CU24" s="34">
        <f>HLOOKUP(CU$7+0.5,$I$66:$DJ$120,ROWS($A$10:$A24)+2,FALSE)</f>
        <v>552</v>
      </c>
      <c r="CV24" s="34">
        <f>HLOOKUP(CV$7+0.5,$I$66:$DJ$120,ROWS($A$10:$A24)+2,FALSE)</f>
        <v>426</v>
      </c>
      <c r="CW24" s="34">
        <f>HLOOKUP(CW$7+0.5,$I$66:$DJ$120,ROWS($A$10:$A24)+2,FALSE)</f>
        <v>1197</v>
      </c>
      <c r="CX24" s="34">
        <f>HLOOKUP(CX$7+0.5,$I$66:$DJ$120,ROWS($A$10:$A24)+2,FALSE)</f>
        <v>266</v>
      </c>
      <c r="CY24" s="34">
        <f>HLOOKUP(CY$7+0.5,$I$66:$DJ$120,ROWS($A$10:$A24)+2,FALSE)</f>
        <v>783</v>
      </c>
      <c r="CZ24" s="34">
        <f>HLOOKUP(CZ$7+0.5,$I$66:$DJ$120,ROWS($A$10:$A24)+2,FALSE)</f>
        <v>1474</v>
      </c>
      <c r="DA24" s="34">
        <f>HLOOKUP(DA$7+0.5,$I$66:$DJ$120,ROWS($A$10:$A24)+2,FALSE)</f>
        <v>1222</v>
      </c>
      <c r="DB24" s="34">
        <f>HLOOKUP(DB$7+0.5,$I$66:$DJ$120,ROWS($A$10:$A24)+2,FALSE)</f>
        <v>2803</v>
      </c>
      <c r="DC24" s="34">
        <f>HLOOKUP(DC$7+0.5,$I$66:$DJ$120,ROWS($A$10:$A24)+2,FALSE)</f>
        <v>595</v>
      </c>
      <c r="DD24" s="34">
        <f>HLOOKUP(DD$7+0.5,$I$66:$DJ$120,ROWS($A$10:$A24)+2,FALSE)</f>
        <v>81</v>
      </c>
      <c r="DE24" s="34">
        <f>HLOOKUP(DE$7+0.5,$I$66:$DJ$120,ROWS($A$10:$A24)+2,FALSE)</f>
        <v>2524</v>
      </c>
      <c r="DF24" s="34">
        <f>HLOOKUP(DF$7+0.5,$I$66:$DJ$120,ROWS($A$10:$A24)+2,FALSE)</f>
        <v>1254</v>
      </c>
      <c r="DG24" s="34">
        <f>HLOOKUP(DG$7+0.5,$I$66:$DJ$120,ROWS($A$10:$A24)+2,FALSE)</f>
        <v>288</v>
      </c>
      <c r="DH24" s="34">
        <f>HLOOKUP(DH$7+0.5,$I$66:$DJ$120,ROWS($A$10:$A24)+2,FALSE)</f>
        <v>2936</v>
      </c>
      <c r="DI24" s="34">
        <f>HLOOKUP(DI$7+0.5,$I$66:$DJ$120,ROWS($A$10:$A24)+2,FALSE)</f>
        <v>76</v>
      </c>
      <c r="DJ24" s="34">
        <f>HLOOKUP(DJ$7+0.5,$I$66:$DJ$120,ROWS($A$10:$A24)+2,FALSE)</f>
        <v>715</v>
      </c>
    </row>
    <row r="25" spans="2:114" x14ac:dyDescent="0.25">
      <c r="B25" s="38" t="s">
        <v>21</v>
      </c>
      <c r="C25" s="16">
        <v>6437155</v>
      </c>
      <c r="D25" s="17">
        <v>3841</v>
      </c>
      <c r="E25" s="16">
        <v>5478683</v>
      </c>
      <c r="F25" s="17">
        <v>24180</v>
      </c>
      <c r="G25" s="16">
        <v>809158</v>
      </c>
      <c r="H25" s="17">
        <v>21392</v>
      </c>
      <c r="I25" s="36">
        <f>HLOOKUP(I$7,$I$66:$DJ$120,ROWS($A$10:$A25)+2,FALSE)</f>
        <v>127874</v>
      </c>
      <c r="J25" s="25">
        <f>HLOOKUP(J$7,$I$66:$DJ$120,ROWS($A$10:$A25)+2,FALSE)</f>
        <v>1562</v>
      </c>
      <c r="K25" s="25">
        <f>HLOOKUP(K$7,$I$66:$DJ$120,ROWS($A$10:$A25)+2,FALSE)</f>
        <v>371</v>
      </c>
      <c r="L25" s="25">
        <f>HLOOKUP(L$7,$I$66:$DJ$120,ROWS($A$10:$A25)+2,FALSE)</f>
        <v>3975</v>
      </c>
      <c r="M25" s="25">
        <f>HLOOKUP(M$7,$I$66:$DJ$120,ROWS($A$10:$A25)+2,FALSE)</f>
        <v>2016</v>
      </c>
      <c r="N25" s="25">
        <f>HLOOKUP(N$7,$I$66:$DJ$120,ROWS($A$10:$A25)+2,FALSE)</f>
        <v>7649</v>
      </c>
      <c r="O25" s="25">
        <f>HLOOKUP(O$7,$I$66:$DJ$120,ROWS($A$10:$A25)+2,FALSE)</f>
        <v>1930</v>
      </c>
      <c r="P25" s="25">
        <f>HLOOKUP(P$7,$I$66:$DJ$120,ROWS($A$10:$A25)+2,FALSE)</f>
        <v>1227</v>
      </c>
      <c r="Q25" s="25">
        <f>HLOOKUP(Q$7,$I$66:$DJ$120,ROWS($A$10:$A25)+2,FALSE)</f>
        <v>79</v>
      </c>
      <c r="R25" s="25">
        <f>HLOOKUP(R$7,$I$66:$DJ$120,ROWS($A$10:$A25)+2,FALSE)</f>
        <v>0</v>
      </c>
      <c r="S25" s="25">
        <f>HLOOKUP(S$7,$I$66:$DJ$120,ROWS($A$10:$A25)+2,FALSE)</f>
        <v>8595</v>
      </c>
      <c r="T25" s="25">
        <f>HLOOKUP(T$7,$I$66:$DJ$120,ROWS($A$10:$A25)+2,FALSE)</f>
        <v>2543</v>
      </c>
      <c r="U25" s="25">
        <f>HLOOKUP(U$7,$I$66:$DJ$120,ROWS($A$10:$A25)+2,FALSE)</f>
        <v>1057</v>
      </c>
      <c r="V25" s="25">
        <f>HLOOKUP(V$7,$I$66:$DJ$120,ROWS($A$10:$A25)+2,FALSE)</f>
        <v>1368</v>
      </c>
      <c r="W25" s="25">
        <f>HLOOKUP(W$7,$I$66:$DJ$120,ROWS($A$10:$A25)+2,FALSE)</f>
        <v>23071</v>
      </c>
      <c r="X25" s="25" t="str">
        <f>HLOOKUP(X$7,$I$66:$DJ$120,ROWS($A$10:$A25)+2,FALSE)</f>
        <v>N/A</v>
      </c>
      <c r="Y25" s="25">
        <f>HLOOKUP(Y$7,$I$66:$DJ$120,ROWS($A$10:$A25)+2,FALSE)</f>
        <v>916</v>
      </c>
      <c r="Z25" s="25">
        <f>HLOOKUP(Z$7,$I$66:$DJ$120,ROWS($A$10:$A25)+2,FALSE)</f>
        <v>1321</v>
      </c>
      <c r="AA25" s="25">
        <f>HLOOKUP(AA$7,$I$66:$DJ$120,ROWS($A$10:$A25)+2,FALSE)</f>
        <v>10177</v>
      </c>
      <c r="AB25" s="25">
        <f>HLOOKUP(AB$7,$I$66:$DJ$120,ROWS($A$10:$A25)+2,FALSE)</f>
        <v>2241</v>
      </c>
      <c r="AC25" s="25">
        <f>HLOOKUP(AC$7,$I$66:$DJ$120,ROWS($A$10:$A25)+2,FALSE)</f>
        <v>275</v>
      </c>
      <c r="AD25" s="25">
        <f>HLOOKUP(AD$7,$I$66:$DJ$120,ROWS($A$10:$A25)+2,FALSE)</f>
        <v>480</v>
      </c>
      <c r="AE25" s="25">
        <f>HLOOKUP(AE$7,$I$66:$DJ$120,ROWS($A$10:$A25)+2,FALSE)</f>
        <v>952</v>
      </c>
      <c r="AF25" s="25">
        <f>HLOOKUP(AF$7,$I$66:$DJ$120,ROWS($A$10:$A25)+2,FALSE)</f>
        <v>7896</v>
      </c>
      <c r="AG25" s="25">
        <f>HLOOKUP(AG$7,$I$66:$DJ$120,ROWS($A$10:$A25)+2,FALSE)</f>
        <v>1168</v>
      </c>
      <c r="AH25" s="25">
        <f>HLOOKUP(AH$7,$I$66:$DJ$120,ROWS($A$10:$A25)+2,FALSE)</f>
        <v>469</v>
      </c>
      <c r="AI25" s="25">
        <f>HLOOKUP(AI$7,$I$66:$DJ$120,ROWS($A$10:$A25)+2,FALSE)</f>
        <v>1824</v>
      </c>
      <c r="AJ25" s="25">
        <f>HLOOKUP(AJ$7,$I$66:$DJ$120,ROWS($A$10:$A25)+2,FALSE)</f>
        <v>34</v>
      </c>
      <c r="AK25" s="25">
        <f>HLOOKUP(AK$7,$I$66:$DJ$120,ROWS($A$10:$A25)+2,FALSE)</f>
        <v>622</v>
      </c>
      <c r="AL25" s="25">
        <f>HLOOKUP(AL$7,$I$66:$DJ$120,ROWS($A$10:$A25)+2,FALSE)</f>
        <v>511</v>
      </c>
      <c r="AM25" s="25">
        <f>HLOOKUP(AM$7,$I$66:$DJ$120,ROWS($A$10:$A25)+2,FALSE)</f>
        <v>90</v>
      </c>
      <c r="AN25" s="25">
        <f>HLOOKUP(AN$7,$I$66:$DJ$120,ROWS($A$10:$A25)+2,FALSE)</f>
        <v>651</v>
      </c>
      <c r="AO25" s="25">
        <f>HLOOKUP(AO$7,$I$66:$DJ$120,ROWS($A$10:$A25)+2,FALSE)</f>
        <v>504</v>
      </c>
      <c r="AP25" s="25">
        <f>HLOOKUP(AP$7,$I$66:$DJ$120,ROWS($A$10:$A25)+2,FALSE)</f>
        <v>2518</v>
      </c>
      <c r="AQ25" s="25">
        <f>HLOOKUP(AQ$7,$I$66:$DJ$120,ROWS($A$10:$A25)+2,FALSE)</f>
        <v>3038</v>
      </c>
      <c r="AR25" s="25">
        <f>HLOOKUP(AR$7,$I$66:$DJ$120,ROWS($A$10:$A25)+2,FALSE)</f>
        <v>70</v>
      </c>
      <c r="AS25" s="25">
        <f>HLOOKUP(AS$7,$I$66:$DJ$120,ROWS($A$10:$A25)+2,FALSE)</f>
        <v>11109</v>
      </c>
      <c r="AT25" s="25">
        <f>HLOOKUP(AT$7,$I$66:$DJ$120,ROWS($A$10:$A25)+2,FALSE)</f>
        <v>844</v>
      </c>
      <c r="AU25" s="25">
        <f>HLOOKUP(AU$7,$I$66:$DJ$120,ROWS($A$10:$A25)+2,FALSE)</f>
        <v>505</v>
      </c>
      <c r="AV25" s="25">
        <f>HLOOKUP(AV$7,$I$66:$DJ$120,ROWS($A$10:$A25)+2,FALSE)</f>
        <v>3998</v>
      </c>
      <c r="AW25" s="25">
        <f>HLOOKUP(AW$7,$I$66:$DJ$120,ROWS($A$10:$A25)+2,FALSE)</f>
        <v>49</v>
      </c>
      <c r="AX25" s="25">
        <f>HLOOKUP(AX$7,$I$66:$DJ$120,ROWS($A$10:$A25)+2,FALSE)</f>
        <v>3306</v>
      </c>
      <c r="AY25" s="25">
        <f>HLOOKUP(AY$7,$I$66:$DJ$120,ROWS($A$10:$A25)+2,FALSE)</f>
        <v>235</v>
      </c>
      <c r="AZ25" s="25">
        <f>HLOOKUP(AZ$7,$I$66:$DJ$120,ROWS($A$10:$A25)+2,FALSE)</f>
        <v>3879</v>
      </c>
      <c r="BA25" s="25">
        <f>HLOOKUP(BA$7,$I$66:$DJ$120,ROWS($A$10:$A25)+2,FALSE)</f>
        <v>6326</v>
      </c>
      <c r="BB25" s="25">
        <f>HLOOKUP(BB$7,$I$66:$DJ$120,ROWS($A$10:$A25)+2,FALSE)</f>
        <v>123</v>
      </c>
      <c r="BC25" s="25">
        <f>HLOOKUP(BC$7,$I$66:$DJ$120,ROWS($A$10:$A25)+2,FALSE)</f>
        <v>530</v>
      </c>
      <c r="BD25" s="25">
        <f>HLOOKUP(BD$7,$I$66:$DJ$120,ROWS($A$10:$A25)+2,FALSE)</f>
        <v>1486</v>
      </c>
      <c r="BE25" s="25">
        <f>HLOOKUP(BE$7,$I$66:$DJ$120,ROWS($A$10:$A25)+2,FALSE)</f>
        <v>1028</v>
      </c>
      <c r="BF25" s="25">
        <f>HLOOKUP(BF$7,$I$66:$DJ$120,ROWS($A$10:$A25)+2,FALSE)</f>
        <v>216</v>
      </c>
      <c r="BG25" s="25">
        <f>HLOOKUP(BG$7,$I$66:$DJ$120,ROWS($A$10:$A25)+2,FALSE)</f>
        <v>2923</v>
      </c>
      <c r="BH25" s="25">
        <f>HLOOKUP(BH$7,$I$66:$DJ$120,ROWS($A$10:$A25)+2,FALSE)</f>
        <v>117</v>
      </c>
      <c r="BI25" s="25">
        <f>HLOOKUP(BI$7,$I$66:$DJ$120,ROWS($A$10:$A25)+2,FALSE)</f>
        <v>132</v>
      </c>
      <c r="BJ25" s="34">
        <f>HLOOKUP(BJ$7+0.5,$I$66:$DJ$120,ROWS($A$10:$A25)+2,FALSE)</f>
        <v>8918</v>
      </c>
      <c r="BK25" s="34">
        <f>HLOOKUP(BK$7+0.5,$I$66:$DJ$120,ROWS($A$10:$A25)+2,FALSE)</f>
        <v>1293</v>
      </c>
      <c r="BL25" s="34">
        <f>HLOOKUP(BL$7+0.5,$I$66:$DJ$120,ROWS($A$10:$A25)+2,FALSE)</f>
        <v>324</v>
      </c>
      <c r="BM25" s="34">
        <f>HLOOKUP(BM$7+0.5,$I$66:$DJ$120,ROWS($A$10:$A25)+2,FALSE)</f>
        <v>1427</v>
      </c>
      <c r="BN25" s="34">
        <f>HLOOKUP(BN$7+0.5,$I$66:$DJ$120,ROWS($A$10:$A25)+2,FALSE)</f>
        <v>1321</v>
      </c>
      <c r="BO25" s="34">
        <f>HLOOKUP(BO$7+0.5,$I$66:$DJ$120,ROWS($A$10:$A25)+2,FALSE)</f>
        <v>2229</v>
      </c>
      <c r="BP25" s="34">
        <f>HLOOKUP(BP$7+0.5,$I$66:$DJ$120,ROWS($A$10:$A25)+2,FALSE)</f>
        <v>759</v>
      </c>
      <c r="BQ25" s="34">
        <f>HLOOKUP(BQ$7+0.5,$I$66:$DJ$120,ROWS($A$10:$A25)+2,FALSE)</f>
        <v>698</v>
      </c>
      <c r="BR25" s="34">
        <f>HLOOKUP(BR$7+0.5,$I$66:$DJ$120,ROWS($A$10:$A25)+2,FALSE)</f>
        <v>134</v>
      </c>
      <c r="BS25" s="34">
        <f>HLOOKUP(BS$7+0.5,$I$66:$DJ$120,ROWS($A$10:$A25)+2,FALSE)</f>
        <v>190</v>
      </c>
      <c r="BT25" s="34">
        <f>HLOOKUP(BT$7+0.5,$I$66:$DJ$120,ROWS($A$10:$A25)+2,FALSE)</f>
        <v>3053</v>
      </c>
      <c r="BU25" s="34">
        <f>HLOOKUP(BU$7+0.5,$I$66:$DJ$120,ROWS($A$10:$A25)+2,FALSE)</f>
        <v>1176</v>
      </c>
      <c r="BV25" s="34">
        <f>HLOOKUP(BV$7+0.5,$I$66:$DJ$120,ROWS($A$10:$A25)+2,FALSE)</f>
        <v>717</v>
      </c>
      <c r="BW25" s="34">
        <f>HLOOKUP(BW$7+0.5,$I$66:$DJ$120,ROWS($A$10:$A25)+2,FALSE)</f>
        <v>1278</v>
      </c>
      <c r="BX25" s="34">
        <f>HLOOKUP(BX$7+0.5,$I$66:$DJ$120,ROWS($A$10:$A25)+2,FALSE)</f>
        <v>4221</v>
      </c>
      <c r="BY25" s="34" t="str">
        <f>HLOOKUP(BY$7+0.5,$I$66:$DJ$120,ROWS($A$10:$A25)+2,FALSE)</f>
        <v>N/A</v>
      </c>
      <c r="BZ25" s="34">
        <f>HLOOKUP(BZ$7+0.5,$I$66:$DJ$120,ROWS($A$10:$A25)+2,FALSE)</f>
        <v>468</v>
      </c>
      <c r="CA25" s="34">
        <f>HLOOKUP(CA$7+0.5,$I$66:$DJ$120,ROWS($A$10:$A25)+2,FALSE)</f>
        <v>946</v>
      </c>
      <c r="CB25" s="34">
        <f>HLOOKUP(CB$7+0.5,$I$66:$DJ$120,ROWS($A$10:$A25)+2,FALSE)</f>
        <v>2220</v>
      </c>
      <c r="CC25" s="34">
        <f>HLOOKUP(CC$7+0.5,$I$66:$DJ$120,ROWS($A$10:$A25)+2,FALSE)</f>
        <v>1537</v>
      </c>
      <c r="CD25" s="34">
        <f>HLOOKUP(CD$7+0.5,$I$66:$DJ$120,ROWS($A$10:$A25)+2,FALSE)</f>
        <v>388</v>
      </c>
      <c r="CE25" s="34">
        <f>HLOOKUP(CE$7+0.5,$I$66:$DJ$120,ROWS($A$10:$A25)+2,FALSE)</f>
        <v>256</v>
      </c>
      <c r="CF25" s="34">
        <f>HLOOKUP(CF$7+0.5,$I$66:$DJ$120,ROWS($A$10:$A25)+2,FALSE)</f>
        <v>703</v>
      </c>
      <c r="CG25" s="34">
        <f>HLOOKUP(CG$7+0.5,$I$66:$DJ$120,ROWS($A$10:$A25)+2,FALSE)</f>
        <v>1777</v>
      </c>
      <c r="CH25" s="34">
        <f>HLOOKUP(CH$7+0.5,$I$66:$DJ$120,ROWS($A$10:$A25)+2,FALSE)</f>
        <v>568</v>
      </c>
      <c r="CI25" s="34">
        <f>HLOOKUP(CI$7+0.5,$I$66:$DJ$120,ROWS($A$10:$A25)+2,FALSE)</f>
        <v>366</v>
      </c>
      <c r="CJ25" s="34">
        <f>HLOOKUP(CJ$7+0.5,$I$66:$DJ$120,ROWS($A$10:$A25)+2,FALSE)</f>
        <v>1033</v>
      </c>
      <c r="CK25" s="34">
        <f>HLOOKUP(CK$7+0.5,$I$66:$DJ$120,ROWS($A$10:$A25)+2,FALSE)</f>
        <v>62</v>
      </c>
      <c r="CL25" s="34">
        <f>HLOOKUP(CL$7+0.5,$I$66:$DJ$120,ROWS($A$10:$A25)+2,FALSE)</f>
        <v>491</v>
      </c>
      <c r="CM25" s="34">
        <f>HLOOKUP(CM$7+0.5,$I$66:$DJ$120,ROWS($A$10:$A25)+2,FALSE)</f>
        <v>338</v>
      </c>
      <c r="CN25" s="34">
        <f>HLOOKUP(CN$7+0.5,$I$66:$DJ$120,ROWS($A$10:$A25)+2,FALSE)</f>
        <v>152</v>
      </c>
      <c r="CO25" s="34">
        <f>HLOOKUP(CO$7+0.5,$I$66:$DJ$120,ROWS($A$10:$A25)+2,FALSE)</f>
        <v>348</v>
      </c>
      <c r="CP25" s="34">
        <f>HLOOKUP(CP$7+0.5,$I$66:$DJ$120,ROWS($A$10:$A25)+2,FALSE)</f>
        <v>410</v>
      </c>
      <c r="CQ25" s="34">
        <f>HLOOKUP(CQ$7+0.5,$I$66:$DJ$120,ROWS($A$10:$A25)+2,FALSE)</f>
        <v>816</v>
      </c>
      <c r="CR25" s="34">
        <f>HLOOKUP(CR$7+0.5,$I$66:$DJ$120,ROWS($A$10:$A25)+2,FALSE)</f>
        <v>1840</v>
      </c>
      <c r="CS25" s="34">
        <f>HLOOKUP(CS$7+0.5,$I$66:$DJ$120,ROWS($A$10:$A25)+2,FALSE)</f>
        <v>94</v>
      </c>
      <c r="CT25" s="34">
        <f>HLOOKUP(CT$7+0.5,$I$66:$DJ$120,ROWS($A$10:$A25)+2,FALSE)</f>
        <v>2141</v>
      </c>
      <c r="CU25" s="34">
        <f>HLOOKUP(CU$7+0.5,$I$66:$DJ$120,ROWS($A$10:$A25)+2,FALSE)</f>
        <v>522</v>
      </c>
      <c r="CV25" s="34">
        <f>HLOOKUP(CV$7+0.5,$I$66:$DJ$120,ROWS($A$10:$A25)+2,FALSE)</f>
        <v>617</v>
      </c>
      <c r="CW25" s="34">
        <f>HLOOKUP(CW$7+0.5,$I$66:$DJ$120,ROWS($A$10:$A25)+2,FALSE)</f>
        <v>1871</v>
      </c>
      <c r="CX25" s="34">
        <f>HLOOKUP(CX$7+0.5,$I$66:$DJ$120,ROWS($A$10:$A25)+2,FALSE)</f>
        <v>84</v>
      </c>
      <c r="CY25" s="34">
        <f>HLOOKUP(CY$7+0.5,$I$66:$DJ$120,ROWS($A$10:$A25)+2,FALSE)</f>
        <v>1917</v>
      </c>
      <c r="CZ25" s="34">
        <f>HLOOKUP(CZ$7+0.5,$I$66:$DJ$120,ROWS($A$10:$A25)+2,FALSE)</f>
        <v>231</v>
      </c>
      <c r="DA25" s="34">
        <f>HLOOKUP(DA$7+0.5,$I$66:$DJ$120,ROWS($A$10:$A25)+2,FALSE)</f>
        <v>1292</v>
      </c>
      <c r="DB25" s="34">
        <f>HLOOKUP(DB$7+0.5,$I$66:$DJ$120,ROWS($A$10:$A25)+2,FALSE)</f>
        <v>2074</v>
      </c>
      <c r="DC25" s="34">
        <f>HLOOKUP(DC$7+0.5,$I$66:$DJ$120,ROWS($A$10:$A25)+2,FALSE)</f>
        <v>127</v>
      </c>
      <c r="DD25" s="34">
        <f>HLOOKUP(DD$7+0.5,$I$66:$DJ$120,ROWS($A$10:$A25)+2,FALSE)</f>
        <v>349</v>
      </c>
      <c r="DE25" s="34">
        <f>HLOOKUP(DE$7+0.5,$I$66:$DJ$120,ROWS($A$10:$A25)+2,FALSE)</f>
        <v>853</v>
      </c>
      <c r="DF25" s="34">
        <f>HLOOKUP(DF$7+0.5,$I$66:$DJ$120,ROWS($A$10:$A25)+2,FALSE)</f>
        <v>744</v>
      </c>
      <c r="DG25" s="34">
        <f>HLOOKUP(DG$7+0.5,$I$66:$DJ$120,ROWS($A$10:$A25)+2,FALSE)</f>
        <v>194</v>
      </c>
      <c r="DH25" s="34">
        <f>HLOOKUP(DH$7+0.5,$I$66:$DJ$120,ROWS($A$10:$A25)+2,FALSE)</f>
        <v>1307</v>
      </c>
      <c r="DI25" s="34">
        <f>HLOOKUP(DI$7+0.5,$I$66:$DJ$120,ROWS($A$10:$A25)+2,FALSE)</f>
        <v>170</v>
      </c>
      <c r="DJ25" s="34">
        <f>HLOOKUP(DJ$7+0.5,$I$66:$DJ$120,ROWS($A$10:$A25)+2,FALSE)</f>
        <v>220</v>
      </c>
    </row>
    <row r="26" spans="2:114" x14ac:dyDescent="0.25">
      <c r="B26" s="38" t="s">
        <v>22</v>
      </c>
      <c r="C26" s="16">
        <v>3027718</v>
      </c>
      <c r="D26" s="17">
        <v>2514</v>
      </c>
      <c r="E26" s="16">
        <v>2573313</v>
      </c>
      <c r="F26" s="17">
        <v>16682</v>
      </c>
      <c r="G26" s="16">
        <v>370554</v>
      </c>
      <c r="H26" s="17">
        <v>15638</v>
      </c>
      <c r="I26" s="36">
        <f>HLOOKUP(I$7,$I$66:$DJ$120,ROWS($A$10:$A26)+2,FALSE)</f>
        <v>70405</v>
      </c>
      <c r="J26" s="25">
        <f>HLOOKUP(J$7,$I$66:$DJ$120,ROWS($A$10:$A26)+2,FALSE)</f>
        <v>207</v>
      </c>
      <c r="K26" s="25">
        <f>HLOOKUP(K$7,$I$66:$DJ$120,ROWS($A$10:$A26)+2,FALSE)</f>
        <v>967</v>
      </c>
      <c r="L26" s="25">
        <f>HLOOKUP(L$7,$I$66:$DJ$120,ROWS($A$10:$A26)+2,FALSE)</f>
        <v>1411</v>
      </c>
      <c r="M26" s="25">
        <f>HLOOKUP(M$7,$I$66:$DJ$120,ROWS($A$10:$A26)+2,FALSE)</f>
        <v>433</v>
      </c>
      <c r="N26" s="25">
        <f>HLOOKUP(N$7,$I$66:$DJ$120,ROWS($A$10:$A26)+2,FALSE)</f>
        <v>3297</v>
      </c>
      <c r="O26" s="25">
        <f>HLOOKUP(O$7,$I$66:$DJ$120,ROWS($A$10:$A26)+2,FALSE)</f>
        <v>2891</v>
      </c>
      <c r="P26" s="25">
        <f>HLOOKUP(P$7,$I$66:$DJ$120,ROWS($A$10:$A26)+2,FALSE)</f>
        <v>424</v>
      </c>
      <c r="Q26" s="25">
        <f>HLOOKUP(Q$7,$I$66:$DJ$120,ROWS($A$10:$A26)+2,FALSE)</f>
        <v>0</v>
      </c>
      <c r="R26" s="25">
        <f>HLOOKUP(R$7,$I$66:$DJ$120,ROWS($A$10:$A26)+2,FALSE)</f>
        <v>0</v>
      </c>
      <c r="S26" s="25">
        <f>HLOOKUP(S$7,$I$66:$DJ$120,ROWS($A$10:$A26)+2,FALSE)</f>
        <v>707</v>
      </c>
      <c r="T26" s="25">
        <f>HLOOKUP(T$7,$I$66:$DJ$120,ROWS($A$10:$A26)+2,FALSE)</f>
        <v>1938</v>
      </c>
      <c r="U26" s="25">
        <f>HLOOKUP(U$7,$I$66:$DJ$120,ROWS($A$10:$A26)+2,FALSE)</f>
        <v>299</v>
      </c>
      <c r="V26" s="25">
        <f>HLOOKUP(V$7,$I$66:$DJ$120,ROWS($A$10:$A26)+2,FALSE)</f>
        <v>161</v>
      </c>
      <c r="W26" s="25">
        <f>HLOOKUP(W$7,$I$66:$DJ$120,ROWS($A$10:$A26)+2,FALSE)</f>
        <v>13725</v>
      </c>
      <c r="X26" s="25">
        <f>HLOOKUP(X$7,$I$66:$DJ$120,ROWS($A$10:$A26)+2,FALSE)</f>
        <v>349</v>
      </c>
      <c r="Y26" s="25" t="str">
        <f>HLOOKUP(Y$7,$I$66:$DJ$120,ROWS($A$10:$A26)+2,FALSE)</f>
        <v>N/A</v>
      </c>
      <c r="Z26" s="25">
        <f>HLOOKUP(Z$7,$I$66:$DJ$120,ROWS($A$10:$A26)+2,FALSE)</f>
        <v>1776</v>
      </c>
      <c r="AA26" s="25">
        <f>HLOOKUP(AA$7,$I$66:$DJ$120,ROWS($A$10:$A26)+2,FALSE)</f>
        <v>387</v>
      </c>
      <c r="AB26" s="25">
        <f>HLOOKUP(AB$7,$I$66:$DJ$120,ROWS($A$10:$A26)+2,FALSE)</f>
        <v>228</v>
      </c>
      <c r="AC26" s="25">
        <f>HLOOKUP(AC$7,$I$66:$DJ$120,ROWS($A$10:$A26)+2,FALSE)</f>
        <v>26</v>
      </c>
      <c r="AD26" s="25">
        <f>HLOOKUP(AD$7,$I$66:$DJ$120,ROWS($A$10:$A26)+2,FALSE)</f>
        <v>487</v>
      </c>
      <c r="AE26" s="25">
        <f>HLOOKUP(AE$7,$I$66:$DJ$120,ROWS($A$10:$A26)+2,FALSE)</f>
        <v>466</v>
      </c>
      <c r="AF26" s="25">
        <f>HLOOKUP(AF$7,$I$66:$DJ$120,ROWS($A$10:$A26)+2,FALSE)</f>
        <v>1687</v>
      </c>
      <c r="AG26" s="25">
        <f>HLOOKUP(AG$7,$I$66:$DJ$120,ROWS($A$10:$A26)+2,FALSE)</f>
        <v>5634</v>
      </c>
      <c r="AH26" s="25">
        <f>HLOOKUP(AH$7,$I$66:$DJ$120,ROWS($A$10:$A26)+2,FALSE)</f>
        <v>408</v>
      </c>
      <c r="AI26" s="25">
        <f>HLOOKUP(AI$7,$I$66:$DJ$120,ROWS($A$10:$A26)+2,FALSE)</f>
        <v>3649</v>
      </c>
      <c r="AJ26" s="25">
        <f>HLOOKUP(AJ$7,$I$66:$DJ$120,ROWS($A$10:$A26)+2,FALSE)</f>
        <v>370</v>
      </c>
      <c r="AK26" s="25">
        <f>HLOOKUP(AK$7,$I$66:$DJ$120,ROWS($A$10:$A26)+2,FALSE)</f>
        <v>6490</v>
      </c>
      <c r="AL26" s="25">
        <f>HLOOKUP(AL$7,$I$66:$DJ$120,ROWS($A$10:$A26)+2,FALSE)</f>
        <v>2009</v>
      </c>
      <c r="AM26" s="25">
        <f>HLOOKUP(AM$7,$I$66:$DJ$120,ROWS($A$10:$A26)+2,FALSE)</f>
        <v>0</v>
      </c>
      <c r="AN26" s="25">
        <f>HLOOKUP(AN$7,$I$66:$DJ$120,ROWS($A$10:$A26)+2,FALSE)</f>
        <v>185</v>
      </c>
      <c r="AO26" s="25">
        <f>HLOOKUP(AO$7,$I$66:$DJ$120,ROWS($A$10:$A26)+2,FALSE)</f>
        <v>421</v>
      </c>
      <c r="AP26" s="25">
        <f>HLOOKUP(AP$7,$I$66:$DJ$120,ROWS($A$10:$A26)+2,FALSE)</f>
        <v>2361</v>
      </c>
      <c r="AQ26" s="25">
        <f>HLOOKUP(AQ$7,$I$66:$DJ$120,ROWS($A$10:$A26)+2,FALSE)</f>
        <v>1760</v>
      </c>
      <c r="AR26" s="25">
        <f>HLOOKUP(AR$7,$I$66:$DJ$120,ROWS($A$10:$A26)+2,FALSE)</f>
        <v>604</v>
      </c>
      <c r="AS26" s="25">
        <f>HLOOKUP(AS$7,$I$66:$DJ$120,ROWS($A$10:$A26)+2,FALSE)</f>
        <v>993</v>
      </c>
      <c r="AT26" s="25">
        <f>HLOOKUP(AT$7,$I$66:$DJ$120,ROWS($A$10:$A26)+2,FALSE)</f>
        <v>532</v>
      </c>
      <c r="AU26" s="25">
        <f>HLOOKUP(AU$7,$I$66:$DJ$120,ROWS($A$10:$A26)+2,FALSE)</f>
        <v>811</v>
      </c>
      <c r="AV26" s="25">
        <f>HLOOKUP(AV$7,$I$66:$DJ$120,ROWS($A$10:$A26)+2,FALSE)</f>
        <v>388</v>
      </c>
      <c r="AW26" s="25">
        <f>HLOOKUP(AW$7,$I$66:$DJ$120,ROWS($A$10:$A26)+2,FALSE)</f>
        <v>65</v>
      </c>
      <c r="AX26" s="25">
        <f>HLOOKUP(AX$7,$I$66:$DJ$120,ROWS($A$10:$A26)+2,FALSE)</f>
        <v>172</v>
      </c>
      <c r="AY26" s="25">
        <f>HLOOKUP(AY$7,$I$66:$DJ$120,ROWS($A$10:$A26)+2,FALSE)</f>
        <v>2842</v>
      </c>
      <c r="AZ26" s="25">
        <f>HLOOKUP(AZ$7,$I$66:$DJ$120,ROWS($A$10:$A26)+2,FALSE)</f>
        <v>623</v>
      </c>
      <c r="BA26" s="25">
        <f>HLOOKUP(BA$7,$I$66:$DJ$120,ROWS($A$10:$A26)+2,FALSE)</f>
        <v>2334</v>
      </c>
      <c r="BB26" s="25">
        <f>HLOOKUP(BB$7,$I$66:$DJ$120,ROWS($A$10:$A26)+2,FALSE)</f>
        <v>1482</v>
      </c>
      <c r="BC26" s="25">
        <f>HLOOKUP(BC$7,$I$66:$DJ$120,ROWS($A$10:$A26)+2,FALSE)</f>
        <v>38</v>
      </c>
      <c r="BD26" s="25">
        <f>HLOOKUP(BD$7,$I$66:$DJ$120,ROWS($A$10:$A26)+2,FALSE)</f>
        <v>720</v>
      </c>
      <c r="BE26" s="25">
        <f>HLOOKUP(BE$7,$I$66:$DJ$120,ROWS($A$10:$A26)+2,FALSE)</f>
        <v>856</v>
      </c>
      <c r="BF26" s="25">
        <f>HLOOKUP(BF$7,$I$66:$DJ$120,ROWS($A$10:$A26)+2,FALSE)</f>
        <v>115</v>
      </c>
      <c r="BG26" s="25">
        <f>HLOOKUP(BG$7,$I$66:$DJ$120,ROWS($A$10:$A26)+2,FALSE)</f>
        <v>2537</v>
      </c>
      <c r="BH26" s="25">
        <f>HLOOKUP(BH$7,$I$66:$DJ$120,ROWS($A$10:$A26)+2,FALSE)</f>
        <v>140</v>
      </c>
      <c r="BI26" s="25">
        <f>HLOOKUP(BI$7,$I$66:$DJ$120,ROWS($A$10:$A26)+2,FALSE)</f>
        <v>57</v>
      </c>
      <c r="BJ26" s="34">
        <f>HLOOKUP(BJ$7+0.5,$I$66:$DJ$120,ROWS($A$10:$A26)+2,FALSE)</f>
        <v>5539</v>
      </c>
      <c r="BK26" s="34">
        <f>HLOOKUP(BK$7+0.5,$I$66:$DJ$120,ROWS($A$10:$A26)+2,FALSE)</f>
        <v>259</v>
      </c>
      <c r="BL26" s="34">
        <f>HLOOKUP(BL$7+0.5,$I$66:$DJ$120,ROWS($A$10:$A26)+2,FALSE)</f>
        <v>651</v>
      </c>
      <c r="BM26" s="34">
        <f>HLOOKUP(BM$7+0.5,$I$66:$DJ$120,ROWS($A$10:$A26)+2,FALSE)</f>
        <v>726</v>
      </c>
      <c r="BN26" s="34">
        <f>HLOOKUP(BN$7+0.5,$I$66:$DJ$120,ROWS($A$10:$A26)+2,FALSE)</f>
        <v>317</v>
      </c>
      <c r="BO26" s="34">
        <f>HLOOKUP(BO$7+0.5,$I$66:$DJ$120,ROWS($A$10:$A26)+2,FALSE)</f>
        <v>1022</v>
      </c>
      <c r="BP26" s="34">
        <f>HLOOKUP(BP$7+0.5,$I$66:$DJ$120,ROWS($A$10:$A26)+2,FALSE)</f>
        <v>1129</v>
      </c>
      <c r="BQ26" s="34">
        <f>HLOOKUP(BQ$7+0.5,$I$66:$DJ$120,ROWS($A$10:$A26)+2,FALSE)</f>
        <v>628</v>
      </c>
      <c r="BR26" s="34">
        <f>HLOOKUP(BR$7+0.5,$I$66:$DJ$120,ROWS($A$10:$A26)+2,FALSE)</f>
        <v>155</v>
      </c>
      <c r="BS26" s="34">
        <f>HLOOKUP(BS$7+0.5,$I$66:$DJ$120,ROWS($A$10:$A26)+2,FALSE)</f>
        <v>155</v>
      </c>
      <c r="BT26" s="34">
        <f>HLOOKUP(BT$7+0.5,$I$66:$DJ$120,ROWS($A$10:$A26)+2,FALSE)</f>
        <v>455</v>
      </c>
      <c r="BU26" s="34">
        <f>HLOOKUP(BU$7+0.5,$I$66:$DJ$120,ROWS($A$10:$A26)+2,FALSE)</f>
        <v>1485</v>
      </c>
      <c r="BV26" s="34">
        <f>HLOOKUP(BV$7+0.5,$I$66:$DJ$120,ROWS($A$10:$A26)+2,FALSE)</f>
        <v>454</v>
      </c>
      <c r="BW26" s="34">
        <f>HLOOKUP(BW$7+0.5,$I$66:$DJ$120,ROWS($A$10:$A26)+2,FALSE)</f>
        <v>175</v>
      </c>
      <c r="BX26" s="34">
        <f>HLOOKUP(BX$7+0.5,$I$66:$DJ$120,ROWS($A$10:$A26)+2,FALSE)</f>
        <v>2238</v>
      </c>
      <c r="BY26" s="34">
        <f>HLOOKUP(BY$7+0.5,$I$66:$DJ$120,ROWS($A$10:$A26)+2,FALSE)</f>
        <v>204</v>
      </c>
      <c r="BZ26" s="34" t="str">
        <f>HLOOKUP(BZ$7+0.5,$I$66:$DJ$120,ROWS($A$10:$A26)+2,FALSE)</f>
        <v>N/A</v>
      </c>
      <c r="CA26" s="34">
        <f>HLOOKUP(CA$7+0.5,$I$66:$DJ$120,ROWS($A$10:$A26)+2,FALSE)</f>
        <v>819</v>
      </c>
      <c r="CB26" s="34">
        <f>HLOOKUP(CB$7+0.5,$I$66:$DJ$120,ROWS($A$10:$A26)+2,FALSE)</f>
        <v>303</v>
      </c>
      <c r="CC26" s="34">
        <f>HLOOKUP(CC$7+0.5,$I$66:$DJ$120,ROWS($A$10:$A26)+2,FALSE)</f>
        <v>223</v>
      </c>
      <c r="CD26" s="34">
        <f>HLOOKUP(CD$7+0.5,$I$66:$DJ$120,ROWS($A$10:$A26)+2,FALSE)</f>
        <v>43</v>
      </c>
      <c r="CE26" s="34">
        <f>HLOOKUP(CE$7+0.5,$I$66:$DJ$120,ROWS($A$10:$A26)+2,FALSE)</f>
        <v>319</v>
      </c>
      <c r="CF26" s="34">
        <f>HLOOKUP(CF$7+0.5,$I$66:$DJ$120,ROWS($A$10:$A26)+2,FALSE)</f>
        <v>632</v>
      </c>
      <c r="CG26" s="34">
        <f>HLOOKUP(CG$7+0.5,$I$66:$DJ$120,ROWS($A$10:$A26)+2,FALSE)</f>
        <v>954</v>
      </c>
      <c r="CH26" s="34">
        <f>HLOOKUP(CH$7+0.5,$I$66:$DJ$120,ROWS($A$10:$A26)+2,FALSE)</f>
        <v>1117</v>
      </c>
      <c r="CI26" s="34">
        <f>HLOOKUP(CI$7+0.5,$I$66:$DJ$120,ROWS($A$10:$A26)+2,FALSE)</f>
        <v>306</v>
      </c>
      <c r="CJ26" s="34">
        <f>HLOOKUP(CJ$7+0.5,$I$66:$DJ$120,ROWS($A$10:$A26)+2,FALSE)</f>
        <v>1188</v>
      </c>
      <c r="CK26" s="34">
        <f>HLOOKUP(CK$7+0.5,$I$66:$DJ$120,ROWS($A$10:$A26)+2,FALSE)</f>
        <v>338</v>
      </c>
      <c r="CL26" s="34">
        <f>HLOOKUP(CL$7+0.5,$I$66:$DJ$120,ROWS($A$10:$A26)+2,FALSE)</f>
        <v>1780</v>
      </c>
      <c r="CM26" s="34">
        <f>HLOOKUP(CM$7+0.5,$I$66:$DJ$120,ROWS($A$10:$A26)+2,FALSE)</f>
        <v>1634</v>
      </c>
      <c r="CN26" s="34">
        <f>HLOOKUP(CN$7+0.5,$I$66:$DJ$120,ROWS($A$10:$A26)+2,FALSE)</f>
        <v>155</v>
      </c>
      <c r="CO26" s="34">
        <f>HLOOKUP(CO$7+0.5,$I$66:$DJ$120,ROWS($A$10:$A26)+2,FALSE)</f>
        <v>209</v>
      </c>
      <c r="CP26" s="34">
        <f>HLOOKUP(CP$7+0.5,$I$66:$DJ$120,ROWS($A$10:$A26)+2,FALSE)</f>
        <v>347</v>
      </c>
      <c r="CQ26" s="34">
        <f>HLOOKUP(CQ$7+0.5,$I$66:$DJ$120,ROWS($A$10:$A26)+2,FALSE)</f>
        <v>1104</v>
      </c>
      <c r="CR26" s="34">
        <f>HLOOKUP(CR$7+0.5,$I$66:$DJ$120,ROWS($A$10:$A26)+2,FALSE)</f>
        <v>1268</v>
      </c>
      <c r="CS26" s="34">
        <f>HLOOKUP(CS$7+0.5,$I$66:$DJ$120,ROWS($A$10:$A26)+2,FALSE)</f>
        <v>377</v>
      </c>
      <c r="CT26" s="34">
        <f>HLOOKUP(CT$7+0.5,$I$66:$DJ$120,ROWS($A$10:$A26)+2,FALSE)</f>
        <v>482</v>
      </c>
      <c r="CU26" s="34">
        <f>HLOOKUP(CU$7+0.5,$I$66:$DJ$120,ROWS($A$10:$A26)+2,FALSE)</f>
        <v>417</v>
      </c>
      <c r="CV26" s="34">
        <f>HLOOKUP(CV$7+0.5,$I$66:$DJ$120,ROWS($A$10:$A26)+2,FALSE)</f>
        <v>476</v>
      </c>
      <c r="CW26" s="34">
        <f>HLOOKUP(CW$7+0.5,$I$66:$DJ$120,ROWS($A$10:$A26)+2,FALSE)</f>
        <v>292</v>
      </c>
      <c r="CX26" s="34">
        <f>HLOOKUP(CX$7+0.5,$I$66:$DJ$120,ROWS($A$10:$A26)+2,FALSE)</f>
        <v>108</v>
      </c>
      <c r="CY26" s="34">
        <f>HLOOKUP(CY$7+0.5,$I$66:$DJ$120,ROWS($A$10:$A26)+2,FALSE)</f>
        <v>200</v>
      </c>
      <c r="CZ26" s="34">
        <f>HLOOKUP(CZ$7+0.5,$I$66:$DJ$120,ROWS($A$10:$A26)+2,FALSE)</f>
        <v>965</v>
      </c>
      <c r="DA26" s="34">
        <f>HLOOKUP(DA$7+0.5,$I$66:$DJ$120,ROWS($A$10:$A26)+2,FALSE)</f>
        <v>529</v>
      </c>
      <c r="DB26" s="34">
        <f>HLOOKUP(DB$7+0.5,$I$66:$DJ$120,ROWS($A$10:$A26)+2,FALSE)</f>
        <v>1235</v>
      </c>
      <c r="DC26" s="34">
        <f>HLOOKUP(DC$7+0.5,$I$66:$DJ$120,ROWS($A$10:$A26)+2,FALSE)</f>
        <v>940</v>
      </c>
      <c r="DD26" s="34">
        <f>HLOOKUP(DD$7+0.5,$I$66:$DJ$120,ROWS($A$10:$A26)+2,FALSE)</f>
        <v>71</v>
      </c>
      <c r="DE26" s="34">
        <f>HLOOKUP(DE$7+0.5,$I$66:$DJ$120,ROWS($A$10:$A26)+2,FALSE)</f>
        <v>854</v>
      </c>
      <c r="DF26" s="34">
        <f>HLOOKUP(DF$7+0.5,$I$66:$DJ$120,ROWS($A$10:$A26)+2,FALSE)</f>
        <v>577</v>
      </c>
      <c r="DG26" s="34">
        <f>HLOOKUP(DG$7+0.5,$I$66:$DJ$120,ROWS($A$10:$A26)+2,FALSE)</f>
        <v>181</v>
      </c>
      <c r="DH26" s="34">
        <f>HLOOKUP(DH$7+0.5,$I$66:$DJ$120,ROWS($A$10:$A26)+2,FALSE)</f>
        <v>850</v>
      </c>
      <c r="DI26" s="34">
        <f>HLOOKUP(DI$7+0.5,$I$66:$DJ$120,ROWS($A$10:$A26)+2,FALSE)</f>
        <v>117</v>
      </c>
      <c r="DJ26" s="34">
        <f>HLOOKUP(DJ$7+0.5,$I$66:$DJ$120,ROWS($A$10:$A26)+2,FALSE)</f>
        <v>115</v>
      </c>
    </row>
    <row r="27" spans="2:114" x14ac:dyDescent="0.25">
      <c r="B27" s="38" t="s">
        <v>23</v>
      </c>
      <c r="C27" s="16">
        <v>2833584</v>
      </c>
      <c r="D27" s="17">
        <v>2851</v>
      </c>
      <c r="E27" s="16">
        <v>2372033</v>
      </c>
      <c r="F27" s="17">
        <v>15236</v>
      </c>
      <c r="G27" s="16">
        <v>362782</v>
      </c>
      <c r="H27" s="17">
        <v>14847</v>
      </c>
      <c r="I27" s="36">
        <f>HLOOKUP(I$7,$I$66:$DJ$120,ROWS($A$10:$A27)+2,FALSE)</f>
        <v>83640</v>
      </c>
      <c r="J27" s="25">
        <f>HLOOKUP(J$7,$I$66:$DJ$120,ROWS($A$10:$A27)+2,FALSE)</f>
        <v>434</v>
      </c>
      <c r="K27" s="25">
        <f>HLOOKUP(K$7,$I$66:$DJ$120,ROWS($A$10:$A27)+2,FALSE)</f>
        <v>108</v>
      </c>
      <c r="L27" s="25">
        <f>HLOOKUP(L$7,$I$66:$DJ$120,ROWS($A$10:$A27)+2,FALSE)</f>
        <v>2028</v>
      </c>
      <c r="M27" s="25">
        <f>HLOOKUP(M$7,$I$66:$DJ$120,ROWS($A$10:$A27)+2,FALSE)</f>
        <v>998</v>
      </c>
      <c r="N27" s="25">
        <f>HLOOKUP(N$7,$I$66:$DJ$120,ROWS($A$10:$A27)+2,FALSE)</f>
        <v>4743</v>
      </c>
      <c r="O27" s="25">
        <f>HLOOKUP(O$7,$I$66:$DJ$120,ROWS($A$10:$A27)+2,FALSE)</f>
        <v>5030</v>
      </c>
      <c r="P27" s="25">
        <f>HLOOKUP(P$7,$I$66:$DJ$120,ROWS($A$10:$A27)+2,FALSE)</f>
        <v>412</v>
      </c>
      <c r="Q27" s="25">
        <f>HLOOKUP(Q$7,$I$66:$DJ$120,ROWS($A$10:$A27)+2,FALSE)</f>
        <v>74</v>
      </c>
      <c r="R27" s="25">
        <f>HLOOKUP(R$7,$I$66:$DJ$120,ROWS($A$10:$A27)+2,FALSE)</f>
        <v>128</v>
      </c>
      <c r="S27" s="25">
        <f>HLOOKUP(S$7,$I$66:$DJ$120,ROWS($A$10:$A27)+2,FALSE)</f>
        <v>1581</v>
      </c>
      <c r="T27" s="25">
        <f>HLOOKUP(T$7,$I$66:$DJ$120,ROWS($A$10:$A27)+2,FALSE)</f>
        <v>1146</v>
      </c>
      <c r="U27" s="25">
        <f>HLOOKUP(U$7,$I$66:$DJ$120,ROWS($A$10:$A27)+2,FALSE)</f>
        <v>287</v>
      </c>
      <c r="V27" s="25">
        <f>HLOOKUP(V$7,$I$66:$DJ$120,ROWS($A$10:$A27)+2,FALSE)</f>
        <v>264</v>
      </c>
      <c r="W27" s="25">
        <f>HLOOKUP(W$7,$I$66:$DJ$120,ROWS($A$10:$A27)+2,FALSE)</f>
        <v>2760</v>
      </c>
      <c r="X27" s="25">
        <f>HLOOKUP(X$7,$I$66:$DJ$120,ROWS($A$10:$A27)+2,FALSE)</f>
        <v>863</v>
      </c>
      <c r="Y27" s="25">
        <f>HLOOKUP(Y$7,$I$66:$DJ$120,ROWS($A$10:$A27)+2,FALSE)</f>
        <v>1715</v>
      </c>
      <c r="Z27" s="25" t="str">
        <f>HLOOKUP(Z$7,$I$66:$DJ$120,ROWS($A$10:$A27)+2,FALSE)</f>
        <v>N/A</v>
      </c>
      <c r="AA27" s="25">
        <f>HLOOKUP(AA$7,$I$66:$DJ$120,ROWS($A$10:$A27)+2,FALSE)</f>
        <v>1167</v>
      </c>
      <c r="AB27" s="25">
        <f>HLOOKUP(AB$7,$I$66:$DJ$120,ROWS($A$10:$A27)+2,FALSE)</f>
        <v>519</v>
      </c>
      <c r="AC27" s="25">
        <f>HLOOKUP(AC$7,$I$66:$DJ$120,ROWS($A$10:$A27)+2,FALSE)</f>
        <v>481</v>
      </c>
      <c r="AD27" s="25">
        <f>HLOOKUP(AD$7,$I$66:$DJ$120,ROWS($A$10:$A27)+2,FALSE)</f>
        <v>3180</v>
      </c>
      <c r="AE27" s="25">
        <f>HLOOKUP(AE$7,$I$66:$DJ$120,ROWS($A$10:$A27)+2,FALSE)</f>
        <v>28</v>
      </c>
      <c r="AF27" s="25">
        <f>HLOOKUP(AF$7,$I$66:$DJ$120,ROWS($A$10:$A27)+2,FALSE)</f>
        <v>1947</v>
      </c>
      <c r="AG27" s="25">
        <f>HLOOKUP(AG$7,$I$66:$DJ$120,ROWS($A$10:$A27)+2,FALSE)</f>
        <v>679</v>
      </c>
      <c r="AH27" s="25">
        <f>HLOOKUP(AH$7,$I$66:$DJ$120,ROWS($A$10:$A27)+2,FALSE)</f>
        <v>1517</v>
      </c>
      <c r="AI27" s="25">
        <f>HLOOKUP(AI$7,$I$66:$DJ$120,ROWS($A$10:$A27)+2,FALSE)</f>
        <v>22033</v>
      </c>
      <c r="AJ27" s="25">
        <f>HLOOKUP(AJ$7,$I$66:$DJ$120,ROWS($A$10:$A27)+2,FALSE)</f>
        <v>270</v>
      </c>
      <c r="AK27" s="25">
        <f>HLOOKUP(AK$7,$I$66:$DJ$120,ROWS($A$10:$A27)+2,FALSE)</f>
        <v>1648</v>
      </c>
      <c r="AL27" s="25">
        <f>HLOOKUP(AL$7,$I$66:$DJ$120,ROWS($A$10:$A27)+2,FALSE)</f>
        <v>657</v>
      </c>
      <c r="AM27" s="25">
        <f>HLOOKUP(AM$7,$I$66:$DJ$120,ROWS($A$10:$A27)+2,FALSE)</f>
        <v>27</v>
      </c>
      <c r="AN27" s="25">
        <f>HLOOKUP(AN$7,$I$66:$DJ$120,ROWS($A$10:$A27)+2,FALSE)</f>
        <v>1189</v>
      </c>
      <c r="AO27" s="25">
        <f>HLOOKUP(AO$7,$I$66:$DJ$120,ROWS($A$10:$A27)+2,FALSE)</f>
        <v>769</v>
      </c>
      <c r="AP27" s="25">
        <f>HLOOKUP(AP$7,$I$66:$DJ$120,ROWS($A$10:$A27)+2,FALSE)</f>
        <v>780</v>
      </c>
      <c r="AQ27" s="25">
        <f>HLOOKUP(AQ$7,$I$66:$DJ$120,ROWS($A$10:$A27)+2,FALSE)</f>
        <v>1223</v>
      </c>
      <c r="AR27" s="25">
        <f>HLOOKUP(AR$7,$I$66:$DJ$120,ROWS($A$10:$A27)+2,FALSE)</f>
        <v>379</v>
      </c>
      <c r="AS27" s="25">
        <f>HLOOKUP(AS$7,$I$66:$DJ$120,ROWS($A$10:$A27)+2,FALSE)</f>
        <v>1616</v>
      </c>
      <c r="AT27" s="25">
        <f>HLOOKUP(AT$7,$I$66:$DJ$120,ROWS($A$10:$A27)+2,FALSE)</f>
        <v>5022</v>
      </c>
      <c r="AU27" s="25">
        <f>HLOOKUP(AU$7,$I$66:$DJ$120,ROWS($A$10:$A27)+2,FALSE)</f>
        <v>285</v>
      </c>
      <c r="AV27" s="25">
        <f>HLOOKUP(AV$7,$I$66:$DJ$120,ROWS($A$10:$A27)+2,FALSE)</f>
        <v>1494</v>
      </c>
      <c r="AW27" s="25">
        <f>HLOOKUP(AW$7,$I$66:$DJ$120,ROWS($A$10:$A27)+2,FALSE)</f>
        <v>180</v>
      </c>
      <c r="AX27" s="25">
        <f>HLOOKUP(AX$7,$I$66:$DJ$120,ROWS($A$10:$A27)+2,FALSE)</f>
        <v>1102</v>
      </c>
      <c r="AY27" s="25">
        <f>HLOOKUP(AY$7,$I$66:$DJ$120,ROWS($A$10:$A27)+2,FALSE)</f>
        <v>104</v>
      </c>
      <c r="AZ27" s="25">
        <f>HLOOKUP(AZ$7,$I$66:$DJ$120,ROWS($A$10:$A27)+2,FALSE)</f>
        <v>1066</v>
      </c>
      <c r="BA27" s="25">
        <f>HLOOKUP(BA$7,$I$66:$DJ$120,ROWS($A$10:$A27)+2,FALSE)</f>
        <v>6575</v>
      </c>
      <c r="BB27" s="25">
        <f>HLOOKUP(BB$7,$I$66:$DJ$120,ROWS($A$10:$A27)+2,FALSE)</f>
        <v>196</v>
      </c>
      <c r="BC27" s="25">
        <f>HLOOKUP(BC$7,$I$66:$DJ$120,ROWS($A$10:$A27)+2,FALSE)</f>
        <v>0</v>
      </c>
      <c r="BD27" s="25">
        <f>HLOOKUP(BD$7,$I$66:$DJ$120,ROWS($A$10:$A27)+2,FALSE)</f>
        <v>1986</v>
      </c>
      <c r="BE27" s="25">
        <f>HLOOKUP(BE$7,$I$66:$DJ$120,ROWS($A$10:$A27)+2,FALSE)</f>
        <v>772</v>
      </c>
      <c r="BF27" s="25">
        <f>HLOOKUP(BF$7,$I$66:$DJ$120,ROWS($A$10:$A27)+2,FALSE)</f>
        <v>0</v>
      </c>
      <c r="BG27" s="25">
        <f>HLOOKUP(BG$7,$I$66:$DJ$120,ROWS($A$10:$A27)+2,FALSE)</f>
        <v>893</v>
      </c>
      <c r="BH27" s="25">
        <f>HLOOKUP(BH$7,$I$66:$DJ$120,ROWS($A$10:$A27)+2,FALSE)</f>
        <v>1285</v>
      </c>
      <c r="BI27" s="25">
        <f>HLOOKUP(BI$7,$I$66:$DJ$120,ROWS($A$10:$A27)+2,FALSE)</f>
        <v>775</v>
      </c>
      <c r="BJ27" s="34">
        <f>HLOOKUP(BJ$7+0.5,$I$66:$DJ$120,ROWS($A$10:$A27)+2,FALSE)</f>
        <v>7144</v>
      </c>
      <c r="BK27" s="34">
        <f>HLOOKUP(BK$7+0.5,$I$66:$DJ$120,ROWS($A$10:$A27)+2,FALSE)</f>
        <v>310</v>
      </c>
      <c r="BL27" s="34">
        <f>HLOOKUP(BL$7+0.5,$I$66:$DJ$120,ROWS($A$10:$A27)+2,FALSE)</f>
        <v>84</v>
      </c>
      <c r="BM27" s="34">
        <f>HLOOKUP(BM$7+0.5,$I$66:$DJ$120,ROWS($A$10:$A27)+2,FALSE)</f>
        <v>858</v>
      </c>
      <c r="BN27" s="34">
        <f>HLOOKUP(BN$7+0.5,$I$66:$DJ$120,ROWS($A$10:$A27)+2,FALSE)</f>
        <v>697</v>
      </c>
      <c r="BO27" s="34">
        <f>HLOOKUP(BO$7+0.5,$I$66:$DJ$120,ROWS($A$10:$A27)+2,FALSE)</f>
        <v>2121</v>
      </c>
      <c r="BP27" s="34">
        <f>HLOOKUP(BP$7+0.5,$I$66:$DJ$120,ROWS($A$10:$A27)+2,FALSE)</f>
        <v>1611</v>
      </c>
      <c r="BQ27" s="34">
        <f>HLOOKUP(BQ$7+0.5,$I$66:$DJ$120,ROWS($A$10:$A27)+2,FALSE)</f>
        <v>519</v>
      </c>
      <c r="BR27" s="34">
        <f>HLOOKUP(BR$7+0.5,$I$66:$DJ$120,ROWS($A$10:$A27)+2,FALSE)</f>
        <v>85</v>
      </c>
      <c r="BS27" s="34">
        <f>HLOOKUP(BS$7+0.5,$I$66:$DJ$120,ROWS($A$10:$A27)+2,FALSE)</f>
        <v>141</v>
      </c>
      <c r="BT27" s="34">
        <f>HLOOKUP(BT$7+0.5,$I$66:$DJ$120,ROWS($A$10:$A27)+2,FALSE)</f>
        <v>790</v>
      </c>
      <c r="BU27" s="34">
        <f>HLOOKUP(BU$7+0.5,$I$66:$DJ$120,ROWS($A$10:$A27)+2,FALSE)</f>
        <v>666</v>
      </c>
      <c r="BV27" s="34">
        <f>HLOOKUP(BV$7+0.5,$I$66:$DJ$120,ROWS($A$10:$A27)+2,FALSE)</f>
        <v>282</v>
      </c>
      <c r="BW27" s="34">
        <f>HLOOKUP(BW$7+0.5,$I$66:$DJ$120,ROWS($A$10:$A27)+2,FALSE)</f>
        <v>358</v>
      </c>
      <c r="BX27" s="34">
        <f>HLOOKUP(BX$7+0.5,$I$66:$DJ$120,ROWS($A$10:$A27)+2,FALSE)</f>
        <v>1019</v>
      </c>
      <c r="BY27" s="34">
        <f>HLOOKUP(BY$7+0.5,$I$66:$DJ$120,ROWS($A$10:$A27)+2,FALSE)</f>
        <v>458</v>
      </c>
      <c r="BZ27" s="34">
        <f>HLOOKUP(BZ$7+0.5,$I$66:$DJ$120,ROWS($A$10:$A27)+2,FALSE)</f>
        <v>888</v>
      </c>
      <c r="CA27" s="34" t="str">
        <f>HLOOKUP(CA$7+0.5,$I$66:$DJ$120,ROWS($A$10:$A27)+2,FALSE)</f>
        <v>N/A</v>
      </c>
      <c r="CB27" s="34">
        <f>HLOOKUP(CB$7+0.5,$I$66:$DJ$120,ROWS($A$10:$A27)+2,FALSE)</f>
        <v>770</v>
      </c>
      <c r="CC27" s="34">
        <f>HLOOKUP(CC$7+0.5,$I$66:$DJ$120,ROWS($A$10:$A27)+2,FALSE)</f>
        <v>338</v>
      </c>
      <c r="CD27" s="34">
        <f>HLOOKUP(CD$7+0.5,$I$66:$DJ$120,ROWS($A$10:$A27)+2,FALSE)</f>
        <v>527</v>
      </c>
      <c r="CE27" s="34">
        <f>HLOOKUP(CE$7+0.5,$I$66:$DJ$120,ROWS($A$10:$A27)+2,FALSE)</f>
        <v>2454</v>
      </c>
      <c r="CF27" s="34">
        <f>HLOOKUP(CF$7+0.5,$I$66:$DJ$120,ROWS($A$10:$A27)+2,FALSE)</f>
        <v>49</v>
      </c>
      <c r="CG27" s="34">
        <f>HLOOKUP(CG$7+0.5,$I$66:$DJ$120,ROWS($A$10:$A27)+2,FALSE)</f>
        <v>1003</v>
      </c>
      <c r="CH27" s="34">
        <f>HLOOKUP(CH$7+0.5,$I$66:$DJ$120,ROWS($A$10:$A27)+2,FALSE)</f>
        <v>418</v>
      </c>
      <c r="CI27" s="34">
        <f>HLOOKUP(CI$7+0.5,$I$66:$DJ$120,ROWS($A$10:$A27)+2,FALSE)</f>
        <v>1370</v>
      </c>
      <c r="CJ27" s="34">
        <f>HLOOKUP(CJ$7+0.5,$I$66:$DJ$120,ROWS($A$10:$A27)+2,FALSE)</f>
        <v>4568</v>
      </c>
      <c r="CK27" s="34">
        <f>HLOOKUP(CK$7+0.5,$I$66:$DJ$120,ROWS($A$10:$A27)+2,FALSE)</f>
        <v>255</v>
      </c>
      <c r="CL27" s="34">
        <f>HLOOKUP(CL$7+0.5,$I$66:$DJ$120,ROWS($A$10:$A27)+2,FALSE)</f>
        <v>701</v>
      </c>
      <c r="CM27" s="34">
        <f>HLOOKUP(CM$7+0.5,$I$66:$DJ$120,ROWS($A$10:$A27)+2,FALSE)</f>
        <v>359</v>
      </c>
      <c r="CN27" s="34">
        <f>HLOOKUP(CN$7+0.5,$I$66:$DJ$120,ROWS($A$10:$A27)+2,FALSE)</f>
        <v>37</v>
      </c>
      <c r="CO27" s="34">
        <f>HLOOKUP(CO$7+0.5,$I$66:$DJ$120,ROWS($A$10:$A27)+2,FALSE)</f>
        <v>724</v>
      </c>
      <c r="CP27" s="34">
        <f>HLOOKUP(CP$7+0.5,$I$66:$DJ$120,ROWS($A$10:$A27)+2,FALSE)</f>
        <v>810</v>
      </c>
      <c r="CQ27" s="34">
        <f>HLOOKUP(CQ$7+0.5,$I$66:$DJ$120,ROWS($A$10:$A27)+2,FALSE)</f>
        <v>411</v>
      </c>
      <c r="CR27" s="34">
        <f>HLOOKUP(CR$7+0.5,$I$66:$DJ$120,ROWS($A$10:$A27)+2,FALSE)</f>
        <v>840</v>
      </c>
      <c r="CS27" s="34">
        <f>HLOOKUP(CS$7+0.5,$I$66:$DJ$120,ROWS($A$10:$A27)+2,FALSE)</f>
        <v>558</v>
      </c>
      <c r="CT27" s="34">
        <f>HLOOKUP(CT$7+0.5,$I$66:$DJ$120,ROWS($A$10:$A27)+2,FALSE)</f>
        <v>901</v>
      </c>
      <c r="CU27" s="34">
        <f>HLOOKUP(CU$7+0.5,$I$66:$DJ$120,ROWS($A$10:$A27)+2,FALSE)</f>
        <v>1204</v>
      </c>
      <c r="CV27" s="34">
        <f>HLOOKUP(CV$7+0.5,$I$66:$DJ$120,ROWS($A$10:$A27)+2,FALSE)</f>
        <v>284</v>
      </c>
      <c r="CW27" s="34">
        <f>HLOOKUP(CW$7+0.5,$I$66:$DJ$120,ROWS($A$10:$A27)+2,FALSE)</f>
        <v>1815</v>
      </c>
      <c r="CX27" s="34">
        <f>HLOOKUP(CX$7+0.5,$I$66:$DJ$120,ROWS($A$10:$A27)+2,FALSE)</f>
        <v>261</v>
      </c>
      <c r="CY27" s="34">
        <f>HLOOKUP(CY$7+0.5,$I$66:$DJ$120,ROWS($A$10:$A27)+2,FALSE)</f>
        <v>670</v>
      </c>
      <c r="CZ27" s="34">
        <f>HLOOKUP(CZ$7+0.5,$I$66:$DJ$120,ROWS($A$10:$A27)+2,FALSE)</f>
        <v>147</v>
      </c>
      <c r="DA27" s="34">
        <f>HLOOKUP(DA$7+0.5,$I$66:$DJ$120,ROWS($A$10:$A27)+2,FALSE)</f>
        <v>496</v>
      </c>
      <c r="DB27" s="34">
        <f>HLOOKUP(DB$7+0.5,$I$66:$DJ$120,ROWS($A$10:$A27)+2,FALSE)</f>
        <v>1436</v>
      </c>
      <c r="DC27" s="34">
        <f>HLOOKUP(DC$7+0.5,$I$66:$DJ$120,ROWS($A$10:$A27)+2,FALSE)</f>
        <v>265</v>
      </c>
      <c r="DD27" s="34">
        <f>HLOOKUP(DD$7+0.5,$I$66:$DJ$120,ROWS($A$10:$A27)+2,FALSE)</f>
        <v>168</v>
      </c>
      <c r="DE27" s="34">
        <f>HLOOKUP(DE$7+0.5,$I$66:$DJ$120,ROWS($A$10:$A27)+2,FALSE)</f>
        <v>1018</v>
      </c>
      <c r="DF27" s="34">
        <f>HLOOKUP(DF$7+0.5,$I$66:$DJ$120,ROWS($A$10:$A27)+2,FALSE)</f>
        <v>459</v>
      </c>
      <c r="DG27" s="34">
        <f>HLOOKUP(DG$7+0.5,$I$66:$DJ$120,ROWS($A$10:$A27)+2,FALSE)</f>
        <v>168</v>
      </c>
      <c r="DH27" s="34">
        <f>HLOOKUP(DH$7+0.5,$I$66:$DJ$120,ROWS($A$10:$A27)+2,FALSE)</f>
        <v>575</v>
      </c>
      <c r="DI27" s="34">
        <f>HLOOKUP(DI$7+0.5,$I$66:$DJ$120,ROWS($A$10:$A27)+2,FALSE)</f>
        <v>791</v>
      </c>
      <c r="DJ27" s="34">
        <f>HLOOKUP(DJ$7+0.5,$I$66:$DJ$120,ROWS($A$10:$A27)+2,FALSE)</f>
        <v>1013</v>
      </c>
    </row>
    <row r="28" spans="2:114" x14ac:dyDescent="0.25">
      <c r="B28" s="38" t="s">
        <v>24</v>
      </c>
      <c r="C28" s="16">
        <v>4316297</v>
      </c>
      <c r="D28" s="17">
        <v>3382</v>
      </c>
      <c r="E28" s="16">
        <v>3686232</v>
      </c>
      <c r="F28" s="17">
        <v>19523</v>
      </c>
      <c r="G28" s="16">
        <v>505741</v>
      </c>
      <c r="H28" s="17">
        <v>18525</v>
      </c>
      <c r="I28" s="36">
        <f>HLOOKUP(I$7,$I$66:$DJ$120,ROWS($A$10:$A28)+2,FALSE)</f>
        <v>110031</v>
      </c>
      <c r="J28" s="25">
        <f>HLOOKUP(J$7,$I$66:$DJ$120,ROWS($A$10:$A28)+2,FALSE)</f>
        <v>925</v>
      </c>
      <c r="K28" s="25">
        <f>HLOOKUP(K$7,$I$66:$DJ$120,ROWS($A$10:$A28)+2,FALSE)</f>
        <v>0</v>
      </c>
      <c r="L28" s="25">
        <f>HLOOKUP(L$7,$I$66:$DJ$120,ROWS($A$10:$A28)+2,FALSE)</f>
        <v>1818</v>
      </c>
      <c r="M28" s="25">
        <f>HLOOKUP(M$7,$I$66:$DJ$120,ROWS($A$10:$A28)+2,FALSE)</f>
        <v>1058</v>
      </c>
      <c r="N28" s="25">
        <f>HLOOKUP(N$7,$I$66:$DJ$120,ROWS($A$10:$A28)+2,FALSE)</f>
        <v>2130</v>
      </c>
      <c r="O28" s="25">
        <f>HLOOKUP(O$7,$I$66:$DJ$120,ROWS($A$10:$A28)+2,FALSE)</f>
        <v>221</v>
      </c>
      <c r="P28" s="25">
        <f>HLOOKUP(P$7,$I$66:$DJ$120,ROWS($A$10:$A28)+2,FALSE)</f>
        <v>176</v>
      </c>
      <c r="Q28" s="25">
        <f>HLOOKUP(Q$7,$I$66:$DJ$120,ROWS($A$10:$A28)+2,FALSE)</f>
        <v>0</v>
      </c>
      <c r="R28" s="25">
        <f>HLOOKUP(R$7,$I$66:$DJ$120,ROWS($A$10:$A28)+2,FALSE)</f>
        <v>201</v>
      </c>
      <c r="S28" s="25">
        <f>HLOOKUP(S$7,$I$66:$DJ$120,ROWS($A$10:$A28)+2,FALSE)</f>
        <v>7400</v>
      </c>
      <c r="T28" s="25">
        <f>HLOOKUP(T$7,$I$66:$DJ$120,ROWS($A$10:$A28)+2,FALSE)</f>
        <v>2725</v>
      </c>
      <c r="U28" s="25">
        <f>HLOOKUP(U$7,$I$66:$DJ$120,ROWS($A$10:$A28)+2,FALSE)</f>
        <v>63</v>
      </c>
      <c r="V28" s="25">
        <f>HLOOKUP(V$7,$I$66:$DJ$120,ROWS($A$10:$A28)+2,FALSE)</f>
        <v>36</v>
      </c>
      <c r="W28" s="25">
        <f>HLOOKUP(W$7,$I$66:$DJ$120,ROWS($A$10:$A28)+2,FALSE)</f>
        <v>4273</v>
      </c>
      <c r="X28" s="25">
        <f>HLOOKUP(X$7,$I$66:$DJ$120,ROWS($A$10:$A28)+2,FALSE)</f>
        <v>11071</v>
      </c>
      <c r="Y28" s="25">
        <f>HLOOKUP(Y$7,$I$66:$DJ$120,ROWS($A$10:$A28)+2,FALSE)</f>
        <v>536</v>
      </c>
      <c r="Z28" s="25">
        <f>HLOOKUP(Z$7,$I$66:$DJ$120,ROWS($A$10:$A28)+2,FALSE)</f>
        <v>253</v>
      </c>
      <c r="AA28" s="25" t="str">
        <f>HLOOKUP(AA$7,$I$66:$DJ$120,ROWS($A$10:$A28)+2,FALSE)</f>
        <v>N/A</v>
      </c>
      <c r="AB28" s="25">
        <f>HLOOKUP(AB$7,$I$66:$DJ$120,ROWS($A$10:$A28)+2,FALSE)</f>
        <v>1399</v>
      </c>
      <c r="AC28" s="25">
        <f>HLOOKUP(AC$7,$I$66:$DJ$120,ROWS($A$10:$A28)+2,FALSE)</f>
        <v>71</v>
      </c>
      <c r="AD28" s="25">
        <f>HLOOKUP(AD$7,$I$66:$DJ$120,ROWS($A$10:$A28)+2,FALSE)</f>
        <v>2076</v>
      </c>
      <c r="AE28" s="25">
        <f>HLOOKUP(AE$7,$I$66:$DJ$120,ROWS($A$10:$A28)+2,FALSE)</f>
        <v>1019</v>
      </c>
      <c r="AF28" s="25">
        <f>HLOOKUP(AF$7,$I$66:$DJ$120,ROWS($A$10:$A28)+2,FALSE)</f>
        <v>3178</v>
      </c>
      <c r="AG28" s="25">
        <f>HLOOKUP(AG$7,$I$66:$DJ$120,ROWS($A$10:$A28)+2,FALSE)</f>
        <v>475</v>
      </c>
      <c r="AH28" s="25">
        <f>HLOOKUP(AH$7,$I$66:$DJ$120,ROWS($A$10:$A28)+2,FALSE)</f>
        <v>1248</v>
      </c>
      <c r="AI28" s="25">
        <f>HLOOKUP(AI$7,$I$66:$DJ$120,ROWS($A$10:$A28)+2,FALSE)</f>
        <v>2793</v>
      </c>
      <c r="AJ28" s="25">
        <f>HLOOKUP(AJ$7,$I$66:$DJ$120,ROWS($A$10:$A28)+2,FALSE)</f>
        <v>216</v>
      </c>
      <c r="AK28" s="25">
        <f>HLOOKUP(AK$7,$I$66:$DJ$120,ROWS($A$10:$A28)+2,FALSE)</f>
        <v>471</v>
      </c>
      <c r="AL28" s="25">
        <f>HLOOKUP(AL$7,$I$66:$DJ$120,ROWS($A$10:$A28)+2,FALSE)</f>
        <v>1358</v>
      </c>
      <c r="AM28" s="25">
        <f>HLOOKUP(AM$7,$I$66:$DJ$120,ROWS($A$10:$A28)+2,FALSE)</f>
        <v>52</v>
      </c>
      <c r="AN28" s="25">
        <f>HLOOKUP(AN$7,$I$66:$DJ$120,ROWS($A$10:$A28)+2,FALSE)</f>
        <v>1289</v>
      </c>
      <c r="AO28" s="25">
        <f>HLOOKUP(AO$7,$I$66:$DJ$120,ROWS($A$10:$A28)+2,FALSE)</f>
        <v>553</v>
      </c>
      <c r="AP28" s="25">
        <f>HLOOKUP(AP$7,$I$66:$DJ$120,ROWS($A$10:$A28)+2,FALSE)</f>
        <v>2174</v>
      </c>
      <c r="AQ28" s="25">
        <f>HLOOKUP(AQ$7,$I$66:$DJ$120,ROWS($A$10:$A28)+2,FALSE)</f>
        <v>3916</v>
      </c>
      <c r="AR28" s="25">
        <f>HLOOKUP(AR$7,$I$66:$DJ$120,ROWS($A$10:$A28)+2,FALSE)</f>
        <v>117</v>
      </c>
      <c r="AS28" s="25">
        <f>HLOOKUP(AS$7,$I$66:$DJ$120,ROWS($A$10:$A28)+2,FALSE)</f>
        <v>19617</v>
      </c>
      <c r="AT28" s="25">
        <f>HLOOKUP(AT$7,$I$66:$DJ$120,ROWS($A$10:$A28)+2,FALSE)</f>
        <v>1256</v>
      </c>
      <c r="AU28" s="25">
        <f>HLOOKUP(AU$7,$I$66:$DJ$120,ROWS($A$10:$A28)+2,FALSE)</f>
        <v>459</v>
      </c>
      <c r="AV28" s="25">
        <f>HLOOKUP(AV$7,$I$66:$DJ$120,ROWS($A$10:$A28)+2,FALSE)</f>
        <v>1490</v>
      </c>
      <c r="AW28" s="25">
        <f>HLOOKUP(AW$7,$I$66:$DJ$120,ROWS($A$10:$A28)+2,FALSE)</f>
        <v>640</v>
      </c>
      <c r="AX28" s="25">
        <f>HLOOKUP(AX$7,$I$66:$DJ$120,ROWS($A$10:$A28)+2,FALSE)</f>
        <v>1387</v>
      </c>
      <c r="AY28" s="25">
        <f>HLOOKUP(AY$7,$I$66:$DJ$120,ROWS($A$10:$A28)+2,FALSE)</f>
        <v>0</v>
      </c>
      <c r="AZ28" s="25">
        <f>HLOOKUP(AZ$7,$I$66:$DJ$120,ROWS($A$10:$A28)+2,FALSE)</f>
        <v>16852</v>
      </c>
      <c r="BA28" s="25">
        <f>HLOOKUP(BA$7,$I$66:$DJ$120,ROWS($A$10:$A28)+2,FALSE)</f>
        <v>4661</v>
      </c>
      <c r="BB28" s="25">
        <f>HLOOKUP(BB$7,$I$66:$DJ$120,ROWS($A$10:$A28)+2,FALSE)</f>
        <v>140</v>
      </c>
      <c r="BC28" s="25">
        <f>HLOOKUP(BC$7,$I$66:$DJ$120,ROWS($A$10:$A28)+2,FALSE)</f>
        <v>151</v>
      </c>
      <c r="BD28" s="25">
        <f>HLOOKUP(BD$7,$I$66:$DJ$120,ROWS($A$10:$A28)+2,FALSE)</f>
        <v>5154</v>
      </c>
      <c r="BE28" s="25">
        <f>HLOOKUP(BE$7,$I$66:$DJ$120,ROWS($A$10:$A28)+2,FALSE)</f>
        <v>1121</v>
      </c>
      <c r="BF28" s="25">
        <f>HLOOKUP(BF$7,$I$66:$DJ$120,ROWS($A$10:$A28)+2,FALSE)</f>
        <v>1174</v>
      </c>
      <c r="BG28" s="25">
        <f>HLOOKUP(BG$7,$I$66:$DJ$120,ROWS($A$10:$A28)+2,FALSE)</f>
        <v>581</v>
      </c>
      <c r="BH28" s="25">
        <f>HLOOKUP(BH$7,$I$66:$DJ$120,ROWS($A$10:$A28)+2,FALSE)</f>
        <v>57</v>
      </c>
      <c r="BI28" s="25">
        <f>HLOOKUP(BI$7,$I$66:$DJ$120,ROWS($A$10:$A28)+2,FALSE)</f>
        <v>192</v>
      </c>
      <c r="BJ28" s="34">
        <f>HLOOKUP(BJ$7+0.5,$I$66:$DJ$120,ROWS($A$10:$A28)+2,FALSE)</f>
        <v>9177</v>
      </c>
      <c r="BK28" s="34">
        <f>HLOOKUP(BK$7+0.5,$I$66:$DJ$120,ROWS($A$10:$A28)+2,FALSE)</f>
        <v>441</v>
      </c>
      <c r="BL28" s="34">
        <f>HLOOKUP(BL$7+0.5,$I$66:$DJ$120,ROWS($A$10:$A28)+2,FALSE)</f>
        <v>189</v>
      </c>
      <c r="BM28" s="34">
        <f>HLOOKUP(BM$7+0.5,$I$66:$DJ$120,ROWS($A$10:$A28)+2,FALSE)</f>
        <v>916</v>
      </c>
      <c r="BN28" s="34">
        <f>HLOOKUP(BN$7+0.5,$I$66:$DJ$120,ROWS($A$10:$A28)+2,FALSE)</f>
        <v>778</v>
      </c>
      <c r="BO28" s="34">
        <f>HLOOKUP(BO$7+0.5,$I$66:$DJ$120,ROWS($A$10:$A28)+2,FALSE)</f>
        <v>1154</v>
      </c>
      <c r="BP28" s="34">
        <f>HLOOKUP(BP$7+0.5,$I$66:$DJ$120,ROWS($A$10:$A28)+2,FALSE)</f>
        <v>197</v>
      </c>
      <c r="BQ28" s="34">
        <f>HLOOKUP(BQ$7+0.5,$I$66:$DJ$120,ROWS($A$10:$A28)+2,FALSE)</f>
        <v>251</v>
      </c>
      <c r="BR28" s="34">
        <f>HLOOKUP(BR$7+0.5,$I$66:$DJ$120,ROWS($A$10:$A28)+2,FALSE)</f>
        <v>189</v>
      </c>
      <c r="BS28" s="34">
        <f>HLOOKUP(BS$7+0.5,$I$66:$DJ$120,ROWS($A$10:$A28)+2,FALSE)</f>
        <v>248</v>
      </c>
      <c r="BT28" s="34">
        <f>HLOOKUP(BT$7+0.5,$I$66:$DJ$120,ROWS($A$10:$A28)+2,FALSE)</f>
        <v>1965</v>
      </c>
      <c r="BU28" s="34">
        <f>HLOOKUP(BU$7+0.5,$I$66:$DJ$120,ROWS($A$10:$A28)+2,FALSE)</f>
        <v>892</v>
      </c>
      <c r="BV28" s="34">
        <f>HLOOKUP(BV$7+0.5,$I$66:$DJ$120,ROWS($A$10:$A28)+2,FALSE)</f>
        <v>80</v>
      </c>
      <c r="BW28" s="34">
        <f>HLOOKUP(BW$7+0.5,$I$66:$DJ$120,ROWS($A$10:$A28)+2,FALSE)</f>
        <v>69</v>
      </c>
      <c r="BX28" s="34">
        <f>HLOOKUP(BX$7+0.5,$I$66:$DJ$120,ROWS($A$10:$A28)+2,FALSE)</f>
        <v>1415</v>
      </c>
      <c r="BY28" s="34">
        <f>HLOOKUP(BY$7+0.5,$I$66:$DJ$120,ROWS($A$10:$A28)+2,FALSE)</f>
        <v>2846</v>
      </c>
      <c r="BZ28" s="34">
        <f>HLOOKUP(BZ$7+0.5,$I$66:$DJ$120,ROWS($A$10:$A28)+2,FALSE)</f>
        <v>410</v>
      </c>
      <c r="CA28" s="34">
        <f>HLOOKUP(CA$7+0.5,$I$66:$DJ$120,ROWS($A$10:$A28)+2,FALSE)</f>
        <v>212</v>
      </c>
      <c r="CB28" s="34" t="str">
        <f>HLOOKUP(CB$7+0.5,$I$66:$DJ$120,ROWS($A$10:$A28)+2,FALSE)</f>
        <v>N/A</v>
      </c>
      <c r="CC28" s="34">
        <f>HLOOKUP(CC$7+0.5,$I$66:$DJ$120,ROWS($A$10:$A28)+2,FALSE)</f>
        <v>906</v>
      </c>
      <c r="CD28" s="34">
        <f>HLOOKUP(CD$7+0.5,$I$66:$DJ$120,ROWS($A$10:$A28)+2,FALSE)</f>
        <v>137</v>
      </c>
      <c r="CE28" s="34">
        <f>HLOOKUP(CE$7+0.5,$I$66:$DJ$120,ROWS($A$10:$A28)+2,FALSE)</f>
        <v>1444</v>
      </c>
      <c r="CF28" s="34">
        <f>HLOOKUP(CF$7+0.5,$I$66:$DJ$120,ROWS($A$10:$A28)+2,FALSE)</f>
        <v>885</v>
      </c>
      <c r="CG28" s="34">
        <f>HLOOKUP(CG$7+0.5,$I$66:$DJ$120,ROWS($A$10:$A28)+2,FALSE)</f>
        <v>1248</v>
      </c>
      <c r="CH28" s="34">
        <f>HLOOKUP(CH$7+0.5,$I$66:$DJ$120,ROWS($A$10:$A28)+2,FALSE)</f>
        <v>415</v>
      </c>
      <c r="CI28" s="34">
        <f>HLOOKUP(CI$7+0.5,$I$66:$DJ$120,ROWS($A$10:$A28)+2,FALSE)</f>
        <v>868</v>
      </c>
      <c r="CJ28" s="34">
        <f>HLOOKUP(CJ$7+0.5,$I$66:$DJ$120,ROWS($A$10:$A28)+2,FALSE)</f>
        <v>1158</v>
      </c>
      <c r="CK28" s="34">
        <f>HLOOKUP(CK$7+0.5,$I$66:$DJ$120,ROWS($A$10:$A28)+2,FALSE)</f>
        <v>238</v>
      </c>
      <c r="CL28" s="34">
        <f>HLOOKUP(CL$7+0.5,$I$66:$DJ$120,ROWS($A$10:$A28)+2,FALSE)</f>
        <v>517</v>
      </c>
      <c r="CM28" s="34">
        <f>HLOOKUP(CM$7+0.5,$I$66:$DJ$120,ROWS($A$10:$A28)+2,FALSE)</f>
        <v>976</v>
      </c>
      <c r="CN28" s="34">
        <f>HLOOKUP(CN$7+0.5,$I$66:$DJ$120,ROWS($A$10:$A28)+2,FALSE)</f>
        <v>84</v>
      </c>
      <c r="CO28" s="34">
        <f>HLOOKUP(CO$7+0.5,$I$66:$DJ$120,ROWS($A$10:$A28)+2,FALSE)</f>
        <v>1472</v>
      </c>
      <c r="CP28" s="34">
        <f>HLOOKUP(CP$7+0.5,$I$66:$DJ$120,ROWS($A$10:$A28)+2,FALSE)</f>
        <v>370</v>
      </c>
      <c r="CQ28" s="34">
        <f>HLOOKUP(CQ$7+0.5,$I$66:$DJ$120,ROWS($A$10:$A28)+2,FALSE)</f>
        <v>1660</v>
      </c>
      <c r="CR28" s="34">
        <f>HLOOKUP(CR$7+0.5,$I$66:$DJ$120,ROWS($A$10:$A28)+2,FALSE)</f>
        <v>1965</v>
      </c>
      <c r="CS28" s="34">
        <f>HLOOKUP(CS$7+0.5,$I$66:$DJ$120,ROWS($A$10:$A28)+2,FALSE)</f>
        <v>195</v>
      </c>
      <c r="CT28" s="34">
        <f>HLOOKUP(CT$7+0.5,$I$66:$DJ$120,ROWS($A$10:$A28)+2,FALSE)</f>
        <v>3115</v>
      </c>
      <c r="CU28" s="34">
        <f>HLOOKUP(CU$7+0.5,$I$66:$DJ$120,ROWS($A$10:$A28)+2,FALSE)</f>
        <v>853</v>
      </c>
      <c r="CV28" s="34">
        <f>HLOOKUP(CV$7+0.5,$I$66:$DJ$120,ROWS($A$10:$A28)+2,FALSE)</f>
        <v>328</v>
      </c>
      <c r="CW28" s="34">
        <f>HLOOKUP(CW$7+0.5,$I$66:$DJ$120,ROWS($A$10:$A28)+2,FALSE)</f>
        <v>598</v>
      </c>
      <c r="CX28" s="34">
        <f>HLOOKUP(CX$7+0.5,$I$66:$DJ$120,ROWS($A$10:$A28)+2,FALSE)</f>
        <v>876</v>
      </c>
      <c r="CY28" s="34">
        <f>HLOOKUP(CY$7+0.5,$I$66:$DJ$120,ROWS($A$10:$A28)+2,FALSE)</f>
        <v>814</v>
      </c>
      <c r="CZ28" s="34">
        <f>HLOOKUP(CZ$7+0.5,$I$66:$DJ$120,ROWS($A$10:$A28)+2,FALSE)</f>
        <v>189</v>
      </c>
      <c r="DA28" s="34">
        <f>HLOOKUP(DA$7+0.5,$I$66:$DJ$120,ROWS($A$10:$A28)+2,FALSE)</f>
        <v>3762</v>
      </c>
      <c r="DB28" s="34">
        <f>HLOOKUP(DB$7+0.5,$I$66:$DJ$120,ROWS($A$10:$A28)+2,FALSE)</f>
        <v>1468</v>
      </c>
      <c r="DC28" s="34">
        <f>HLOOKUP(DC$7+0.5,$I$66:$DJ$120,ROWS($A$10:$A28)+2,FALSE)</f>
        <v>202</v>
      </c>
      <c r="DD28" s="34">
        <f>HLOOKUP(DD$7+0.5,$I$66:$DJ$120,ROWS($A$10:$A28)+2,FALSE)</f>
        <v>152</v>
      </c>
      <c r="DE28" s="34">
        <f>HLOOKUP(DE$7+0.5,$I$66:$DJ$120,ROWS($A$10:$A28)+2,FALSE)</f>
        <v>1719</v>
      </c>
      <c r="DF28" s="34">
        <f>HLOOKUP(DF$7+0.5,$I$66:$DJ$120,ROWS($A$10:$A28)+2,FALSE)</f>
        <v>614</v>
      </c>
      <c r="DG28" s="34">
        <f>HLOOKUP(DG$7+0.5,$I$66:$DJ$120,ROWS($A$10:$A28)+2,FALSE)</f>
        <v>566</v>
      </c>
      <c r="DH28" s="34">
        <f>HLOOKUP(DH$7+0.5,$I$66:$DJ$120,ROWS($A$10:$A28)+2,FALSE)</f>
        <v>414</v>
      </c>
      <c r="DI28" s="34">
        <f>HLOOKUP(DI$7+0.5,$I$66:$DJ$120,ROWS($A$10:$A28)+2,FALSE)</f>
        <v>93</v>
      </c>
      <c r="DJ28" s="34">
        <f>HLOOKUP(DJ$7+0.5,$I$66:$DJ$120,ROWS($A$10:$A28)+2,FALSE)</f>
        <v>262</v>
      </c>
    </row>
    <row r="29" spans="2:114" x14ac:dyDescent="0.25">
      <c r="B29" s="38" t="s">
        <v>25</v>
      </c>
      <c r="C29" s="16">
        <v>4518629</v>
      </c>
      <c r="D29" s="17">
        <v>3250</v>
      </c>
      <c r="E29" s="16">
        <v>3865118</v>
      </c>
      <c r="F29" s="17">
        <v>18789</v>
      </c>
      <c r="G29" s="16">
        <v>538691</v>
      </c>
      <c r="H29" s="17">
        <v>17818</v>
      </c>
      <c r="I29" s="36">
        <f>HLOOKUP(I$7,$I$66:$DJ$120,ROWS($A$10:$A29)+2,FALSE)</f>
        <v>99138</v>
      </c>
      <c r="J29" s="25">
        <f>HLOOKUP(J$7,$I$66:$DJ$120,ROWS($A$10:$A29)+2,FALSE)</f>
        <v>3065</v>
      </c>
      <c r="K29" s="25">
        <f>HLOOKUP(K$7,$I$66:$DJ$120,ROWS($A$10:$A29)+2,FALSE)</f>
        <v>288</v>
      </c>
      <c r="L29" s="25">
        <f>HLOOKUP(L$7,$I$66:$DJ$120,ROWS($A$10:$A29)+2,FALSE)</f>
        <v>2010</v>
      </c>
      <c r="M29" s="25">
        <f>HLOOKUP(M$7,$I$66:$DJ$120,ROWS($A$10:$A29)+2,FALSE)</f>
        <v>2774</v>
      </c>
      <c r="N29" s="25">
        <f>HLOOKUP(N$7,$I$66:$DJ$120,ROWS($A$10:$A29)+2,FALSE)</f>
        <v>3957</v>
      </c>
      <c r="O29" s="25">
        <f>HLOOKUP(O$7,$I$66:$DJ$120,ROWS($A$10:$A29)+2,FALSE)</f>
        <v>1202</v>
      </c>
      <c r="P29" s="25">
        <f>HLOOKUP(P$7,$I$66:$DJ$120,ROWS($A$10:$A29)+2,FALSE)</f>
        <v>358</v>
      </c>
      <c r="Q29" s="25">
        <f>HLOOKUP(Q$7,$I$66:$DJ$120,ROWS($A$10:$A29)+2,FALSE)</f>
        <v>0</v>
      </c>
      <c r="R29" s="25">
        <f>HLOOKUP(R$7,$I$66:$DJ$120,ROWS($A$10:$A29)+2,FALSE)</f>
        <v>195</v>
      </c>
      <c r="S29" s="25">
        <f>HLOOKUP(S$7,$I$66:$DJ$120,ROWS($A$10:$A29)+2,FALSE)</f>
        <v>5193</v>
      </c>
      <c r="T29" s="25">
        <f>HLOOKUP(T$7,$I$66:$DJ$120,ROWS($A$10:$A29)+2,FALSE)</f>
        <v>4425</v>
      </c>
      <c r="U29" s="25">
        <f>HLOOKUP(U$7,$I$66:$DJ$120,ROWS($A$10:$A29)+2,FALSE)</f>
        <v>688</v>
      </c>
      <c r="V29" s="25">
        <f>HLOOKUP(V$7,$I$66:$DJ$120,ROWS($A$10:$A29)+2,FALSE)</f>
        <v>230</v>
      </c>
      <c r="W29" s="25">
        <f>HLOOKUP(W$7,$I$66:$DJ$120,ROWS($A$10:$A29)+2,FALSE)</f>
        <v>1189</v>
      </c>
      <c r="X29" s="25">
        <f>HLOOKUP(X$7,$I$66:$DJ$120,ROWS($A$10:$A29)+2,FALSE)</f>
        <v>1549</v>
      </c>
      <c r="Y29" s="25">
        <f>HLOOKUP(Y$7,$I$66:$DJ$120,ROWS($A$10:$A29)+2,FALSE)</f>
        <v>468</v>
      </c>
      <c r="Z29" s="25">
        <f>HLOOKUP(Z$7,$I$66:$DJ$120,ROWS($A$10:$A29)+2,FALSE)</f>
        <v>312</v>
      </c>
      <c r="AA29" s="25">
        <f>HLOOKUP(AA$7,$I$66:$DJ$120,ROWS($A$10:$A29)+2,FALSE)</f>
        <v>1520</v>
      </c>
      <c r="AB29" s="25" t="str">
        <f>HLOOKUP(AB$7,$I$66:$DJ$120,ROWS($A$10:$A29)+2,FALSE)</f>
        <v>N/A</v>
      </c>
      <c r="AC29" s="25">
        <f>HLOOKUP(AC$7,$I$66:$DJ$120,ROWS($A$10:$A29)+2,FALSE)</f>
        <v>120</v>
      </c>
      <c r="AD29" s="25">
        <f>HLOOKUP(AD$7,$I$66:$DJ$120,ROWS($A$10:$A29)+2,FALSE)</f>
        <v>1221</v>
      </c>
      <c r="AE29" s="25">
        <f>HLOOKUP(AE$7,$I$66:$DJ$120,ROWS($A$10:$A29)+2,FALSE)</f>
        <v>439</v>
      </c>
      <c r="AF29" s="25">
        <f>HLOOKUP(AF$7,$I$66:$DJ$120,ROWS($A$10:$A29)+2,FALSE)</f>
        <v>1163</v>
      </c>
      <c r="AG29" s="25">
        <f>HLOOKUP(AG$7,$I$66:$DJ$120,ROWS($A$10:$A29)+2,FALSE)</f>
        <v>698</v>
      </c>
      <c r="AH29" s="25">
        <f>HLOOKUP(AH$7,$I$66:$DJ$120,ROWS($A$10:$A29)+2,FALSE)</f>
        <v>10255</v>
      </c>
      <c r="AI29" s="25">
        <f>HLOOKUP(AI$7,$I$66:$DJ$120,ROWS($A$10:$A29)+2,FALSE)</f>
        <v>1375</v>
      </c>
      <c r="AJ29" s="25">
        <f>HLOOKUP(AJ$7,$I$66:$DJ$120,ROWS($A$10:$A29)+2,FALSE)</f>
        <v>278</v>
      </c>
      <c r="AK29" s="25">
        <f>HLOOKUP(AK$7,$I$66:$DJ$120,ROWS($A$10:$A29)+2,FALSE)</f>
        <v>176</v>
      </c>
      <c r="AL29" s="25">
        <f>HLOOKUP(AL$7,$I$66:$DJ$120,ROWS($A$10:$A29)+2,FALSE)</f>
        <v>994</v>
      </c>
      <c r="AM29" s="25">
        <f>HLOOKUP(AM$7,$I$66:$DJ$120,ROWS($A$10:$A29)+2,FALSE)</f>
        <v>15</v>
      </c>
      <c r="AN29" s="25">
        <f>HLOOKUP(AN$7,$I$66:$DJ$120,ROWS($A$10:$A29)+2,FALSE)</f>
        <v>453</v>
      </c>
      <c r="AO29" s="25">
        <f>HLOOKUP(AO$7,$I$66:$DJ$120,ROWS($A$10:$A29)+2,FALSE)</f>
        <v>1028</v>
      </c>
      <c r="AP29" s="25">
        <f>HLOOKUP(AP$7,$I$66:$DJ$120,ROWS($A$10:$A29)+2,FALSE)</f>
        <v>1360</v>
      </c>
      <c r="AQ29" s="25">
        <f>HLOOKUP(AQ$7,$I$66:$DJ$120,ROWS($A$10:$A29)+2,FALSE)</f>
        <v>2134</v>
      </c>
      <c r="AR29" s="25">
        <f>HLOOKUP(AR$7,$I$66:$DJ$120,ROWS($A$10:$A29)+2,FALSE)</f>
        <v>277</v>
      </c>
      <c r="AS29" s="25">
        <f>HLOOKUP(AS$7,$I$66:$DJ$120,ROWS($A$10:$A29)+2,FALSE)</f>
        <v>2641</v>
      </c>
      <c r="AT29" s="25">
        <f>HLOOKUP(AT$7,$I$66:$DJ$120,ROWS($A$10:$A29)+2,FALSE)</f>
        <v>4235</v>
      </c>
      <c r="AU29" s="25">
        <f>HLOOKUP(AU$7,$I$66:$DJ$120,ROWS($A$10:$A29)+2,FALSE)</f>
        <v>1531</v>
      </c>
      <c r="AV29" s="25">
        <f>HLOOKUP(AV$7,$I$66:$DJ$120,ROWS($A$10:$A29)+2,FALSE)</f>
        <v>455</v>
      </c>
      <c r="AW29" s="25">
        <f>HLOOKUP(AW$7,$I$66:$DJ$120,ROWS($A$10:$A29)+2,FALSE)</f>
        <v>268</v>
      </c>
      <c r="AX29" s="25">
        <f>HLOOKUP(AX$7,$I$66:$DJ$120,ROWS($A$10:$A29)+2,FALSE)</f>
        <v>1573</v>
      </c>
      <c r="AY29" s="25">
        <f>HLOOKUP(AY$7,$I$66:$DJ$120,ROWS($A$10:$A29)+2,FALSE)</f>
        <v>37</v>
      </c>
      <c r="AZ29" s="25">
        <f>HLOOKUP(AZ$7,$I$66:$DJ$120,ROWS($A$10:$A29)+2,FALSE)</f>
        <v>2495</v>
      </c>
      <c r="BA29" s="25">
        <f>HLOOKUP(BA$7,$I$66:$DJ$120,ROWS($A$10:$A29)+2,FALSE)</f>
        <v>30292</v>
      </c>
      <c r="BB29" s="25">
        <f>HLOOKUP(BB$7,$I$66:$DJ$120,ROWS($A$10:$A29)+2,FALSE)</f>
        <v>179</v>
      </c>
      <c r="BC29" s="25">
        <f>HLOOKUP(BC$7,$I$66:$DJ$120,ROWS($A$10:$A29)+2,FALSE)</f>
        <v>87</v>
      </c>
      <c r="BD29" s="25">
        <f>HLOOKUP(BD$7,$I$66:$DJ$120,ROWS($A$10:$A29)+2,FALSE)</f>
        <v>2055</v>
      </c>
      <c r="BE29" s="25">
        <f>HLOOKUP(BE$7,$I$66:$DJ$120,ROWS($A$10:$A29)+2,FALSE)</f>
        <v>1075</v>
      </c>
      <c r="BF29" s="25">
        <f>HLOOKUP(BF$7,$I$66:$DJ$120,ROWS($A$10:$A29)+2,FALSE)</f>
        <v>110</v>
      </c>
      <c r="BG29" s="25">
        <f>HLOOKUP(BG$7,$I$66:$DJ$120,ROWS($A$10:$A29)+2,FALSE)</f>
        <v>339</v>
      </c>
      <c r="BH29" s="25">
        <f>HLOOKUP(BH$7,$I$66:$DJ$120,ROWS($A$10:$A29)+2,FALSE)</f>
        <v>357</v>
      </c>
      <c r="BI29" s="25">
        <f>HLOOKUP(BI$7,$I$66:$DJ$120,ROWS($A$10:$A29)+2,FALSE)</f>
        <v>393</v>
      </c>
      <c r="BJ29" s="34">
        <f>HLOOKUP(BJ$7+0.5,$I$66:$DJ$120,ROWS($A$10:$A29)+2,FALSE)</f>
        <v>7082</v>
      </c>
      <c r="BK29" s="34">
        <f>HLOOKUP(BK$7+0.5,$I$66:$DJ$120,ROWS($A$10:$A29)+2,FALSE)</f>
        <v>1401</v>
      </c>
      <c r="BL29" s="34">
        <f>HLOOKUP(BL$7+0.5,$I$66:$DJ$120,ROWS($A$10:$A29)+2,FALSE)</f>
        <v>266</v>
      </c>
      <c r="BM29" s="34">
        <f>HLOOKUP(BM$7+0.5,$I$66:$DJ$120,ROWS($A$10:$A29)+2,FALSE)</f>
        <v>1529</v>
      </c>
      <c r="BN29" s="34">
        <f>HLOOKUP(BN$7+0.5,$I$66:$DJ$120,ROWS($A$10:$A29)+2,FALSE)</f>
        <v>1144</v>
      </c>
      <c r="BO29" s="34">
        <f>HLOOKUP(BO$7+0.5,$I$66:$DJ$120,ROWS($A$10:$A29)+2,FALSE)</f>
        <v>898</v>
      </c>
      <c r="BP29" s="34">
        <f>HLOOKUP(BP$7+0.5,$I$66:$DJ$120,ROWS($A$10:$A29)+2,FALSE)</f>
        <v>983</v>
      </c>
      <c r="BQ29" s="34">
        <f>HLOOKUP(BQ$7+0.5,$I$66:$DJ$120,ROWS($A$10:$A29)+2,FALSE)</f>
        <v>264</v>
      </c>
      <c r="BR29" s="34">
        <f>HLOOKUP(BR$7+0.5,$I$66:$DJ$120,ROWS($A$10:$A29)+2,FALSE)</f>
        <v>198</v>
      </c>
      <c r="BS29" s="34">
        <f>HLOOKUP(BS$7+0.5,$I$66:$DJ$120,ROWS($A$10:$A29)+2,FALSE)</f>
        <v>168</v>
      </c>
      <c r="BT29" s="34">
        <f>HLOOKUP(BT$7+0.5,$I$66:$DJ$120,ROWS($A$10:$A29)+2,FALSE)</f>
        <v>2120</v>
      </c>
      <c r="BU29" s="34">
        <f>HLOOKUP(BU$7+0.5,$I$66:$DJ$120,ROWS($A$10:$A29)+2,FALSE)</f>
        <v>1541</v>
      </c>
      <c r="BV29" s="34">
        <f>HLOOKUP(BV$7+0.5,$I$66:$DJ$120,ROWS($A$10:$A29)+2,FALSE)</f>
        <v>808</v>
      </c>
      <c r="BW29" s="34">
        <f>HLOOKUP(BW$7+0.5,$I$66:$DJ$120,ROWS($A$10:$A29)+2,FALSE)</f>
        <v>269</v>
      </c>
      <c r="BX29" s="34">
        <f>HLOOKUP(BX$7+0.5,$I$66:$DJ$120,ROWS($A$10:$A29)+2,FALSE)</f>
        <v>417</v>
      </c>
      <c r="BY29" s="34">
        <f>HLOOKUP(BY$7+0.5,$I$66:$DJ$120,ROWS($A$10:$A29)+2,FALSE)</f>
        <v>827</v>
      </c>
      <c r="BZ29" s="34">
        <f>HLOOKUP(BZ$7+0.5,$I$66:$DJ$120,ROWS($A$10:$A29)+2,FALSE)</f>
        <v>441</v>
      </c>
      <c r="CA29" s="34">
        <f>HLOOKUP(CA$7+0.5,$I$66:$DJ$120,ROWS($A$10:$A29)+2,FALSE)</f>
        <v>466</v>
      </c>
      <c r="CB29" s="34">
        <f>HLOOKUP(CB$7+0.5,$I$66:$DJ$120,ROWS($A$10:$A29)+2,FALSE)</f>
        <v>1286</v>
      </c>
      <c r="CC29" s="34" t="str">
        <f>HLOOKUP(CC$7+0.5,$I$66:$DJ$120,ROWS($A$10:$A29)+2,FALSE)</f>
        <v>N/A</v>
      </c>
      <c r="CD29" s="34">
        <f>HLOOKUP(CD$7+0.5,$I$66:$DJ$120,ROWS($A$10:$A29)+2,FALSE)</f>
        <v>163</v>
      </c>
      <c r="CE29" s="34">
        <f>HLOOKUP(CE$7+0.5,$I$66:$DJ$120,ROWS($A$10:$A29)+2,FALSE)</f>
        <v>1058</v>
      </c>
      <c r="CF29" s="34">
        <f>HLOOKUP(CF$7+0.5,$I$66:$DJ$120,ROWS($A$10:$A29)+2,FALSE)</f>
        <v>255</v>
      </c>
      <c r="CG29" s="34">
        <f>HLOOKUP(CG$7+0.5,$I$66:$DJ$120,ROWS($A$10:$A29)+2,FALSE)</f>
        <v>875</v>
      </c>
      <c r="CH29" s="34">
        <f>HLOOKUP(CH$7+0.5,$I$66:$DJ$120,ROWS($A$10:$A29)+2,FALSE)</f>
        <v>445</v>
      </c>
      <c r="CI29" s="34">
        <f>HLOOKUP(CI$7+0.5,$I$66:$DJ$120,ROWS($A$10:$A29)+2,FALSE)</f>
        <v>2829</v>
      </c>
      <c r="CJ29" s="34">
        <f>HLOOKUP(CJ$7+0.5,$I$66:$DJ$120,ROWS($A$10:$A29)+2,FALSE)</f>
        <v>565</v>
      </c>
      <c r="CK29" s="34">
        <f>HLOOKUP(CK$7+0.5,$I$66:$DJ$120,ROWS($A$10:$A29)+2,FALSE)</f>
        <v>364</v>
      </c>
      <c r="CL29" s="34">
        <f>HLOOKUP(CL$7+0.5,$I$66:$DJ$120,ROWS($A$10:$A29)+2,FALSE)</f>
        <v>198</v>
      </c>
      <c r="CM29" s="34">
        <f>HLOOKUP(CM$7+0.5,$I$66:$DJ$120,ROWS($A$10:$A29)+2,FALSE)</f>
        <v>623</v>
      </c>
      <c r="CN29" s="34">
        <f>HLOOKUP(CN$7+0.5,$I$66:$DJ$120,ROWS($A$10:$A29)+2,FALSE)</f>
        <v>26</v>
      </c>
      <c r="CO29" s="34">
        <f>HLOOKUP(CO$7+0.5,$I$66:$DJ$120,ROWS($A$10:$A29)+2,FALSE)</f>
        <v>269</v>
      </c>
      <c r="CP29" s="34">
        <f>HLOOKUP(CP$7+0.5,$I$66:$DJ$120,ROWS($A$10:$A29)+2,FALSE)</f>
        <v>867</v>
      </c>
      <c r="CQ29" s="34">
        <f>HLOOKUP(CQ$7+0.5,$I$66:$DJ$120,ROWS($A$10:$A29)+2,FALSE)</f>
        <v>849</v>
      </c>
      <c r="CR29" s="34">
        <f>HLOOKUP(CR$7+0.5,$I$66:$DJ$120,ROWS($A$10:$A29)+2,FALSE)</f>
        <v>1242</v>
      </c>
      <c r="CS29" s="34">
        <f>HLOOKUP(CS$7+0.5,$I$66:$DJ$120,ROWS($A$10:$A29)+2,FALSE)</f>
        <v>359</v>
      </c>
      <c r="CT29" s="34">
        <f>HLOOKUP(CT$7+0.5,$I$66:$DJ$120,ROWS($A$10:$A29)+2,FALSE)</f>
        <v>2281</v>
      </c>
      <c r="CU29" s="34">
        <f>HLOOKUP(CU$7+0.5,$I$66:$DJ$120,ROWS($A$10:$A29)+2,FALSE)</f>
        <v>3044</v>
      </c>
      <c r="CV29" s="34">
        <f>HLOOKUP(CV$7+0.5,$I$66:$DJ$120,ROWS($A$10:$A29)+2,FALSE)</f>
        <v>1577</v>
      </c>
      <c r="CW29" s="34">
        <f>HLOOKUP(CW$7+0.5,$I$66:$DJ$120,ROWS($A$10:$A29)+2,FALSE)</f>
        <v>473</v>
      </c>
      <c r="CX29" s="34">
        <f>HLOOKUP(CX$7+0.5,$I$66:$DJ$120,ROWS($A$10:$A29)+2,FALSE)</f>
        <v>395</v>
      </c>
      <c r="CY29" s="34">
        <f>HLOOKUP(CY$7+0.5,$I$66:$DJ$120,ROWS($A$10:$A29)+2,FALSE)</f>
        <v>1149</v>
      </c>
      <c r="CZ29" s="34">
        <f>HLOOKUP(CZ$7+0.5,$I$66:$DJ$120,ROWS($A$10:$A29)+2,FALSE)</f>
        <v>47</v>
      </c>
      <c r="DA29" s="34">
        <f>HLOOKUP(DA$7+0.5,$I$66:$DJ$120,ROWS($A$10:$A29)+2,FALSE)</f>
        <v>938</v>
      </c>
      <c r="DB29" s="34">
        <f>HLOOKUP(DB$7+0.5,$I$66:$DJ$120,ROWS($A$10:$A29)+2,FALSE)</f>
        <v>5028</v>
      </c>
      <c r="DC29" s="34">
        <f>HLOOKUP(DC$7+0.5,$I$66:$DJ$120,ROWS($A$10:$A29)+2,FALSE)</f>
        <v>275</v>
      </c>
      <c r="DD29" s="34">
        <f>HLOOKUP(DD$7+0.5,$I$66:$DJ$120,ROWS($A$10:$A29)+2,FALSE)</f>
        <v>149</v>
      </c>
      <c r="DE29" s="34">
        <f>HLOOKUP(DE$7+0.5,$I$66:$DJ$120,ROWS($A$10:$A29)+2,FALSE)</f>
        <v>1060</v>
      </c>
      <c r="DF29" s="34">
        <f>HLOOKUP(DF$7+0.5,$I$66:$DJ$120,ROWS($A$10:$A29)+2,FALSE)</f>
        <v>504</v>
      </c>
      <c r="DG29" s="34">
        <f>HLOOKUP(DG$7+0.5,$I$66:$DJ$120,ROWS($A$10:$A29)+2,FALSE)</f>
        <v>123</v>
      </c>
      <c r="DH29" s="34">
        <f>HLOOKUP(DH$7+0.5,$I$66:$DJ$120,ROWS($A$10:$A29)+2,FALSE)</f>
        <v>372</v>
      </c>
      <c r="DI29" s="34">
        <f>HLOOKUP(DI$7+0.5,$I$66:$DJ$120,ROWS($A$10:$A29)+2,FALSE)</f>
        <v>541</v>
      </c>
      <c r="DJ29" s="34">
        <f>HLOOKUP(DJ$7+0.5,$I$66:$DJ$120,ROWS($A$10:$A29)+2,FALSE)</f>
        <v>384</v>
      </c>
    </row>
    <row r="30" spans="2:114" x14ac:dyDescent="0.25">
      <c r="B30" s="38" t="s">
        <v>26</v>
      </c>
      <c r="C30" s="16">
        <v>1315833</v>
      </c>
      <c r="D30" s="17">
        <v>1456</v>
      </c>
      <c r="E30" s="16">
        <v>1120364</v>
      </c>
      <c r="F30" s="17">
        <v>10400</v>
      </c>
      <c r="G30" s="16">
        <v>157102</v>
      </c>
      <c r="H30" s="17">
        <v>9401</v>
      </c>
      <c r="I30" s="36">
        <f>HLOOKUP(I$7,$I$66:$DJ$120,ROWS($A$10:$A30)+2,FALSE)</f>
        <v>33818</v>
      </c>
      <c r="J30" s="25">
        <f>HLOOKUP(J$7,$I$66:$DJ$120,ROWS($A$10:$A30)+2,FALSE)</f>
        <v>634</v>
      </c>
      <c r="K30" s="25">
        <f>HLOOKUP(K$7,$I$66:$DJ$120,ROWS($A$10:$A30)+2,FALSE)</f>
        <v>37</v>
      </c>
      <c r="L30" s="25">
        <f>HLOOKUP(L$7,$I$66:$DJ$120,ROWS($A$10:$A30)+2,FALSE)</f>
        <v>325</v>
      </c>
      <c r="M30" s="25">
        <f>HLOOKUP(M$7,$I$66:$DJ$120,ROWS($A$10:$A30)+2,FALSE)</f>
        <v>38</v>
      </c>
      <c r="N30" s="25">
        <f>HLOOKUP(N$7,$I$66:$DJ$120,ROWS($A$10:$A30)+2,FALSE)</f>
        <v>829</v>
      </c>
      <c r="O30" s="25">
        <f>HLOOKUP(O$7,$I$66:$DJ$120,ROWS($A$10:$A30)+2,FALSE)</f>
        <v>290</v>
      </c>
      <c r="P30" s="25">
        <f>HLOOKUP(P$7,$I$66:$DJ$120,ROWS($A$10:$A30)+2,FALSE)</f>
        <v>2481</v>
      </c>
      <c r="Q30" s="25">
        <f>HLOOKUP(Q$7,$I$66:$DJ$120,ROWS($A$10:$A30)+2,FALSE)</f>
        <v>238</v>
      </c>
      <c r="R30" s="25">
        <f>HLOOKUP(R$7,$I$66:$DJ$120,ROWS($A$10:$A30)+2,FALSE)</f>
        <v>239</v>
      </c>
      <c r="S30" s="25">
        <f>HLOOKUP(S$7,$I$66:$DJ$120,ROWS($A$10:$A30)+2,FALSE)</f>
        <v>4304</v>
      </c>
      <c r="T30" s="25">
        <f>HLOOKUP(T$7,$I$66:$DJ$120,ROWS($A$10:$A30)+2,FALSE)</f>
        <v>507</v>
      </c>
      <c r="U30" s="25">
        <f>HLOOKUP(U$7,$I$66:$DJ$120,ROWS($A$10:$A30)+2,FALSE)</f>
        <v>177</v>
      </c>
      <c r="V30" s="25">
        <f>HLOOKUP(V$7,$I$66:$DJ$120,ROWS($A$10:$A30)+2,FALSE)</f>
        <v>0</v>
      </c>
      <c r="W30" s="25">
        <f>HLOOKUP(W$7,$I$66:$DJ$120,ROWS($A$10:$A30)+2,FALSE)</f>
        <v>675</v>
      </c>
      <c r="X30" s="25">
        <f>HLOOKUP(X$7,$I$66:$DJ$120,ROWS($A$10:$A30)+2,FALSE)</f>
        <v>164</v>
      </c>
      <c r="Y30" s="25">
        <f>HLOOKUP(Y$7,$I$66:$DJ$120,ROWS($A$10:$A30)+2,FALSE)</f>
        <v>275</v>
      </c>
      <c r="Z30" s="25">
        <f>HLOOKUP(Z$7,$I$66:$DJ$120,ROWS($A$10:$A30)+2,FALSE)</f>
        <v>523</v>
      </c>
      <c r="AA30" s="25">
        <f>HLOOKUP(AA$7,$I$66:$DJ$120,ROWS($A$10:$A30)+2,FALSE)</f>
        <v>158</v>
      </c>
      <c r="AB30" s="25">
        <f>HLOOKUP(AB$7,$I$66:$DJ$120,ROWS($A$10:$A30)+2,FALSE)</f>
        <v>138</v>
      </c>
      <c r="AC30" s="25" t="str">
        <f>HLOOKUP(AC$7,$I$66:$DJ$120,ROWS($A$10:$A30)+2,FALSE)</f>
        <v>N/A</v>
      </c>
      <c r="AD30" s="25">
        <f>HLOOKUP(AD$7,$I$66:$DJ$120,ROWS($A$10:$A30)+2,FALSE)</f>
        <v>52</v>
      </c>
      <c r="AE30" s="25">
        <f>HLOOKUP(AE$7,$I$66:$DJ$120,ROWS($A$10:$A30)+2,FALSE)</f>
        <v>4439</v>
      </c>
      <c r="AF30" s="25">
        <f>HLOOKUP(AF$7,$I$66:$DJ$120,ROWS($A$10:$A30)+2,FALSE)</f>
        <v>702</v>
      </c>
      <c r="AG30" s="25">
        <f>HLOOKUP(AG$7,$I$66:$DJ$120,ROWS($A$10:$A30)+2,FALSE)</f>
        <v>296</v>
      </c>
      <c r="AH30" s="25">
        <f>HLOOKUP(AH$7,$I$66:$DJ$120,ROWS($A$10:$A30)+2,FALSE)</f>
        <v>0</v>
      </c>
      <c r="AI30" s="25">
        <f>HLOOKUP(AI$7,$I$66:$DJ$120,ROWS($A$10:$A30)+2,FALSE)</f>
        <v>325</v>
      </c>
      <c r="AJ30" s="25">
        <f>HLOOKUP(AJ$7,$I$66:$DJ$120,ROWS($A$10:$A30)+2,FALSE)</f>
        <v>10</v>
      </c>
      <c r="AK30" s="25">
        <f>HLOOKUP(AK$7,$I$66:$DJ$120,ROWS($A$10:$A30)+2,FALSE)</f>
        <v>0</v>
      </c>
      <c r="AL30" s="25">
        <f>HLOOKUP(AL$7,$I$66:$DJ$120,ROWS($A$10:$A30)+2,FALSE)</f>
        <v>150</v>
      </c>
      <c r="AM30" s="25">
        <f>HLOOKUP(AM$7,$I$66:$DJ$120,ROWS($A$10:$A30)+2,FALSE)</f>
        <v>4302</v>
      </c>
      <c r="AN30" s="25">
        <f>HLOOKUP(AN$7,$I$66:$DJ$120,ROWS($A$10:$A30)+2,FALSE)</f>
        <v>694</v>
      </c>
      <c r="AO30" s="25">
        <f>HLOOKUP(AO$7,$I$66:$DJ$120,ROWS($A$10:$A30)+2,FALSE)</f>
        <v>144</v>
      </c>
      <c r="AP30" s="25">
        <f>HLOOKUP(AP$7,$I$66:$DJ$120,ROWS($A$10:$A30)+2,FALSE)</f>
        <v>2589</v>
      </c>
      <c r="AQ30" s="25">
        <f>HLOOKUP(AQ$7,$I$66:$DJ$120,ROWS($A$10:$A30)+2,FALSE)</f>
        <v>1439</v>
      </c>
      <c r="AR30" s="25">
        <f>HLOOKUP(AR$7,$I$66:$DJ$120,ROWS($A$10:$A30)+2,FALSE)</f>
        <v>19</v>
      </c>
      <c r="AS30" s="25">
        <f>HLOOKUP(AS$7,$I$66:$DJ$120,ROWS($A$10:$A30)+2,FALSE)</f>
        <v>483</v>
      </c>
      <c r="AT30" s="25">
        <f>HLOOKUP(AT$7,$I$66:$DJ$120,ROWS($A$10:$A30)+2,FALSE)</f>
        <v>25</v>
      </c>
      <c r="AU30" s="25">
        <f>HLOOKUP(AU$7,$I$66:$DJ$120,ROWS($A$10:$A30)+2,FALSE)</f>
        <v>471</v>
      </c>
      <c r="AV30" s="25">
        <f>HLOOKUP(AV$7,$I$66:$DJ$120,ROWS($A$10:$A30)+2,FALSE)</f>
        <v>915</v>
      </c>
      <c r="AW30" s="25">
        <f>HLOOKUP(AW$7,$I$66:$DJ$120,ROWS($A$10:$A30)+2,FALSE)</f>
        <v>234</v>
      </c>
      <c r="AX30" s="25">
        <f>HLOOKUP(AX$7,$I$66:$DJ$120,ROWS($A$10:$A30)+2,FALSE)</f>
        <v>587</v>
      </c>
      <c r="AY30" s="25">
        <f>HLOOKUP(AY$7,$I$66:$DJ$120,ROWS($A$10:$A30)+2,FALSE)</f>
        <v>42</v>
      </c>
      <c r="AZ30" s="25">
        <f>HLOOKUP(AZ$7,$I$66:$DJ$120,ROWS($A$10:$A30)+2,FALSE)</f>
        <v>394</v>
      </c>
      <c r="BA30" s="25">
        <f>HLOOKUP(BA$7,$I$66:$DJ$120,ROWS($A$10:$A30)+2,FALSE)</f>
        <v>1637</v>
      </c>
      <c r="BB30" s="25">
        <f>HLOOKUP(BB$7,$I$66:$DJ$120,ROWS($A$10:$A30)+2,FALSE)</f>
        <v>182</v>
      </c>
      <c r="BC30" s="25">
        <f>HLOOKUP(BC$7,$I$66:$DJ$120,ROWS($A$10:$A30)+2,FALSE)</f>
        <v>612</v>
      </c>
      <c r="BD30" s="25">
        <f>HLOOKUP(BD$7,$I$66:$DJ$120,ROWS($A$10:$A30)+2,FALSE)</f>
        <v>570</v>
      </c>
      <c r="BE30" s="25">
        <f>HLOOKUP(BE$7,$I$66:$DJ$120,ROWS($A$10:$A30)+2,FALSE)</f>
        <v>88</v>
      </c>
      <c r="BF30" s="25">
        <f>HLOOKUP(BF$7,$I$66:$DJ$120,ROWS($A$10:$A30)+2,FALSE)</f>
        <v>43</v>
      </c>
      <c r="BG30" s="25">
        <f>HLOOKUP(BG$7,$I$66:$DJ$120,ROWS($A$10:$A30)+2,FALSE)</f>
        <v>321</v>
      </c>
      <c r="BH30" s="25">
        <f>HLOOKUP(BH$7,$I$66:$DJ$120,ROWS($A$10:$A30)+2,FALSE)</f>
        <v>21</v>
      </c>
      <c r="BI30" s="25">
        <f>HLOOKUP(BI$7,$I$66:$DJ$120,ROWS($A$10:$A30)+2,FALSE)</f>
        <v>65</v>
      </c>
      <c r="BJ30" s="34">
        <f>HLOOKUP(BJ$7+0.5,$I$66:$DJ$120,ROWS($A$10:$A30)+2,FALSE)</f>
        <v>4248</v>
      </c>
      <c r="BK30" s="34">
        <f>HLOOKUP(BK$7+0.5,$I$66:$DJ$120,ROWS($A$10:$A30)+2,FALSE)</f>
        <v>541</v>
      </c>
      <c r="BL30" s="34">
        <f>HLOOKUP(BL$7+0.5,$I$66:$DJ$120,ROWS($A$10:$A30)+2,FALSE)</f>
        <v>43</v>
      </c>
      <c r="BM30" s="34">
        <f>HLOOKUP(BM$7+0.5,$I$66:$DJ$120,ROWS($A$10:$A30)+2,FALSE)</f>
        <v>301</v>
      </c>
      <c r="BN30" s="34">
        <f>HLOOKUP(BN$7+0.5,$I$66:$DJ$120,ROWS($A$10:$A30)+2,FALSE)</f>
        <v>67</v>
      </c>
      <c r="BO30" s="34">
        <f>HLOOKUP(BO$7+0.5,$I$66:$DJ$120,ROWS($A$10:$A30)+2,FALSE)</f>
        <v>428</v>
      </c>
      <c r="BP30" s="34">
        <f>HLOOKUP(BP$7+0.5,$I$66:$DJ$120,ROWS($A$10:$A30)+2,FALSE)</f>
        <v>222</v>
      </c>
      <c r="BQ30" s="34">
        <f>HLOOKUP(BQ$7+0.5,$I$66:$DJ$120,ROWS($A$10:$A30)+2,FALSE)</f>
        <v>668</v>
      </c>
      <c r="BR30" s="34">
        <f>HLOOKUP(BR$7+0.5,$I$66:$DJ$120,ROWS($A$10:$A30)+2,FALSE)</f>
        <v>228</v>
      </c>
      <c r="BS30" s="34">
        <f>HLOOKUP(BS$7+0.5,$I$66:$DJ$120,ROWS($A$10:$A30)+2,FALSE)</f>
        <v>177</v>
      </c>
      <c r="BT30" s="34">
        <f>HLOOKUP(BT$7+0.5,$I$66:$DJ$120,ROWS($A$10:$A30)+2,FALSE)</f>
        <v>1908</v>
      </c>
      <c r="BU30" s="34">
        <f>HLOOKUP(BU$7+0.5,$I$66:$DJ$120,ROWS($A$10:$A30)+2,FALSE)</f>
        <v>415</v>
      </c>
      <c r="BV30" s="34">
        <f>HLOOKUP(BV$7+0.5,$I$66:$DJ$120,ROWS($A$10:$A30)+2,FALSE)</f>
        <v>214</v>
      </c>
      <c r="BW30" s="34">
        <f>HLOOKUP(BW$7+0.5,$I$66:$DJ$120,ROWS($A$10:$A30)+2,FALSE)</f>
        <v>157</v>
      </c>
      <c r="BX30" s="34">
        <f>HLOOKUP(BX$7+0.5,$I$66:$DJ$120,ROWS($A$10:$A30)+2,FALSE)</f>
        <v>358</v>
      </c>
      <c r="BY30" s="34">
        <f>HLOOKUP(BY$7+0.5,$I$66:$DJ$120,ROWS($A$10:$A30)+2,FALSE)</f>
        <v>157</v>
      </c>
      <c r="BZ30" s="34">
        <f>HLOOKUP(BZ$7+0.5,$I$66:$DJ$120,ROWS($A$10:$A30)+2,FALSE)</f>
        <v>452</v>
      </c>
      <c r="CA30" s="34">
        <f>HLOOKUP(CA$7+0.5,$I$66:$DJ$120,ROWS($A$10:$A30)+2,FALSE)</f>
        <v>641</v>
      </c>
      <c r="CB30" s="34">
        <f>HLOOKUP(CB$7+0.5,$I$66:$DJ$120,ROWS($A$10:$A30)+2,FALSE)</f>
        <v>217</v>
      </c>
      <c r="CC30" s="34">
        <f>HLOOKUP(CC$7+0.5,$I$66:$DJ$120,ROWS($A$10:$A30)+2,FALSE)</f>
        <v>218</v>
      </c>
      <c r="CD30" s="34" t="str">
        <f>HLOOKUP(CD$7+0.5,$I$66:$DJ$120,ROWS($A$10:$A30)+2,FALSE)</f>
        <v>N/A</v>
      </c>
      <c r="CE30" s="34">
        <f>HLOOKUP(CE$7+0.5,$I$66:$DJ$120,ROWS($A$10:$A30)+2,FALSE)</f>
        <v>105</v>
      </c>
      <c r="CF30" s="34">
        <f>HLOOKUP(CF$7+0.5,$I$66:$DJ$120,ROWS($A$10:$A30)+2,FALSE)</f>
        <v>1293</v>
      </c>
      <c r="CG30" s="34">
        <f>HLOOKUP(CG$7+0.5,$I$66:$DJ$120,ROWS($A$10:$A30)+2,FALSE)</f>
        <v>703</v>
      </c>
      <c r="CH30" s="34">
        <f>HLOOKUP(CH$7+0.5,$I$66:$DJ$120,ROWS($A$10:$A30)+2,FALSE)</f>
        <v>307</v>
      </c>
      <c r="CI30" s="34">
        <f>HLOOKUP(CI$7+0.5,$I$66:$DJ$120,ROWS($A$10:$A30)+2,FALSE)</f>
        <v>157</v>
      </c>
      <c r="CJ30" s="34">
        <f>HLOOKUP(CJ$7+0.5,$I$66:$DJ$120,ROWS($A$10:$A30)+2,FALSE)</f>
        <v>228</v>
      </c>
      <c r="CK30" s="34">
        <f>HLOOKUP(CK$7+0.5,$I$66:$DJ$120,ROWS($A$10:$A30)+2,FALSE)</f>
        <v>18</v>
      </c>
      <c r="CL30" s="34">
        <f>HLOOKUP(CL$7+0.5,$I$66:$DJ$120,ROWS($A$10:$A30)+2,FALSE)</f>
        <v>157</v>
      </c>
      <c r="CM30" s="34">
        <f>HLOOKUP(CM$7+0.5,$I$66:$DJ$120,ROWS($A$10:$A30)+2,FALSE)</f>
        <v>250</v>
      </c>
      <c r="CN30" s="34">
        <f>HLOOKUP(CN$7+0.5,$I$66:$DJ$120,ROWS($A$10:$A30)+2,FALSE)</f>
        <v>1394</v>
      </c>
      <c r="CO30" s="34">
        <f>HLOOKUP(CO$7+0.5,$I$66:$DJ$120,ROWS($A$10:$A30)+2,FALSE)</f>
        <v>498</v>
      </c>
      <c r="CP30" s="34">
        <f>HLOOKUP(CP$7+0.5,$I$66:$DJ$120,ROWS($A$10:$A30)+2,FALSE)</f>
        <v>191</v>
      </c>
      <c r="CQ30" s="34">
        <f>HLOOKUP(CQ$7+0.5,$I$66:$DJ$120,ROWS($A$10:$A30)+2,FALSE)</f>
        <v>1633</v>
      </c>
      <c r="CR30" s="34">
        <f>HLOOKUP(CR$7+0.5,$I$66:$DJ$120,ROWS($A$10:$A30)+2,FALSE)</f>
        <v>1059</v>
      </c>
      <c r="CS30" s="34">
        <f>HLOOKUP(CS$7+0.5,$I$66:$DJ$120,ROWS($A$10:$A30)+2,FALSE)</f>
        <v>31</v>
      </c>
      <c r="CT30" s="34">
        <f>HLOOKUP(CT$7+0.5,$I$66:$DJ$120,ROWS($A$10:$A30)+2,FALSE)</f>
        <v>530</v>
      </c>
      <c r="CU30" s="34">
        <f>HLOOKUP(CU$7+0.5,$I$66:$DJ$120,ROWS($A$10:$A30)+2,FALSE)</f>
        <v>48</v>
      </c>
      <c r="CV30" s="34">
        <f>HLOOKUP(CV$7+0.5,$I$66:$DJ$120,ROWS($A$10:$A30)+2,FALSE)</f>
        <v>406</v>
      </c>
      <c r="CW30" s="34">
        <f>HLOOKUP(CW$7+0.5,$I$66:$DJ$120,ROWS($A$10:$A30)+2,FALSE)</f>
        <v>418</v>
      </c>
      <c r="CX30" s="34">
        <f>HLOOKUP(CX$7+0.5,$I$66:$DJ$120,ROWS($A$10:$A30)+2,FALSE)</f>
        <v>282</v>
      </c>
      <c r="CY30" s="34">
        <f>HLOOKUP(CY$7+0.5,$I$66:$DJ$120,ROWS($A$10:$A30)+2,FALSE)</f>
        <v>429</v>
      </c>
      <c r="CZ30" s="34">
        <f>HLOOKUP(CZ$7+0.5,$I$66:$DJ$120,ROWS($A$10:$A30)+2,FALSE)</f>
        <v>89</v>
      </c>
      <c r="DA30" s="34">
        <f>HLOOKUP(DA$7+0.5,$I$66:$DJ$120,ROWS($A$10:$A30)+2,FALSE)</f>
        <v>513</v>
      </c>
      <c r="DB30" s="34">
        <f>HLOOKUP(DB$7+0.5,$I$66:$DJ$120,ROWS($A$10:$A30)+2,FALSE)</f>
        <v>1115</v>
      </c>
      <c r="DC30" s="34">
        <f>HLOOKUP(DC$7+0.5,$I$66:$DJ$120,ROWS($A$10:$A30)+2,FALSE)</f>
        <v>202</v>
      </c>
      <c r="DD30" s="34">
        <f>HLOOKUP(DD$7+0.5,$I$66:$DJ$120,ROWS($A$10:$A30)+2,FALSE)</f>
        <v>341</v>
      </c>
      <c r="DE30" s="34">
        <f>HLOOKUP(DE$7+0.5,$I$66:$DJ$120,ROWS($A$10:$A30)+2,FALSE)</f>
        <v>337</v>
      </c>
      <c r="DF30" s="34">
        <f>HLOOKUP(DF$7+0.5,$I$66:$DJ$120,ROWS($A$10:$A30)+2,FALSE)</f>
        <v>131</v>
      </c>
      <c r="DG30" s="34">
        <f>HLOOKUP(DG$7+0.5,$I$66:$DJ$120,ROWS($A$10:$A30)+2,FALSE)</f>
        <v>73</v>
      </c>
      <c r="DH30" s="34">
        <f>HLOOKUP(DH$7+0.5,$I$66:$DJ$120,ROWS($A$10:$A30)+2,FALSE)</f>
        <v>408</v>
      </c>
      <c r="DI30" s="34">
        <f>HLOOKUP(DI$7+0.5,$I$66:$DJ$120,ROWS($A$10:$A30)+2,FALSE)</f>
        <v>37</v>
      </c>
      <c r="DJ30" s="34">
        <f>HLOOKUP(DJ$7+0.5,$I$66:$DJ$120,ROWS($A$10:$A30)+2,FALSE)</f>
        <v>64</v>
      </c>
    </row>
    <row r="31" spans="2:114" x14ac:dyDescent="0.25">
      <c r="B31" s="38" t="s">
        <v>27</v>
      </c>
      <c r="C31" s="16">
        <v>5759087</v>
      </c>
      <c r="D31" s="17">
        <v>4326</v>
      </c>
      <c r="E31" s="16">
        <v>5008452</v>
      </c>
      <c r="F31" s="17">
        <v>20478</v>
      </c>
      <c r="G31" s="16">
        <v>553895</v>
      </c>
      <c r="H31" s="17">
        <v>18323</v>
      </c>
      <c r="I31" s="36">
        <f>HLOOKUP(I$7,$I$66:$DJ$120,ROWS($A$10:$A31)+2,FALSE)</f>
        <v>153979</v>
      </c>
      <c r="J31" s="25">
        <f>HLOOKUP(J$7,$I$66:$DJ$120,ROWS($A$10:$A31)+2,FALSE)</f>
        <v>228</v>
      </c>
      <c r="K31" s="25">
        <f>HLOOKUP(K$7,$I$66:$DJ$120,ROWS($A$10:$A31)+2,FALSE)</f>
        <v>671</v>
      </c>
      <c r="L31" s="25">
        <f>HLOOKUP(L$7,$I$66:$DJ$120,ROWS($A$10:$A31)+2,FALSE)</f>
        <v>945</v>
      </c>
      <c r="M31" s="25">
        <f>HLOOKUP(M$7,$I$66:$DJ$120,ROWS($A$10:$A31)+2,FALSE)</f>
        <v>423</v>
      </c>
      <c r="N31" s="25">
        <f>HLOOKUP(N$7,$I$66:$DJ$120,ROWS($A$10:$A31)+2,FALSE)</f>
        <v>8595</v>
      </c>
      <c r="O31" s="25">
        <f>HLOOKUP(O$7,$I$66:$DJ$120,ROWS($A$10:$A31)+2,FALSE)</f>
        <v>1796</v>
      </c>
      <c r="P31" s="25">
        <f>HLOOKUP(P$7,$I$66:$DJ$120,ROWS($A$10:$A31)+2,FALSE)</f>
        <v>1608</v>
      </c>
      <c r="Q31" s="25">
        <f>HLOOKUP(Q$7,$I$66:$DJ$120,ROWS($A$10:$A31)+2,FALSE)</f>
        <v>6652</v>
      </c>
      <c r="R31" s="25">
        <f>HLOOKUP(R$7,$I$66:$DJ$120,ROWS($A$10:$A31)+2,FALSE)</f>
        <v>18492</v>
      </c>
      <c r="S31" s="25">
        <f>HLOOKUP(S$7,$I$66:$DJ$120,ROWS($A$10:$A31)+2,FALSE)</f>
        <v>7825</v>
      </c>
      <c r="T31" s="25">
        <f>HLOOKUP(T$7,$I$66:$DJ$120,ROWS($A$10:$A31)+2,FALSE)</f>
        <v>7113</v>
      </c>
      <c r="U31" s="25">
        <f>HLOOKUP(U$7,$I$66:$DJ$120,ROWS($A$10:$A31)+2,FALSE)</f>
        <v>1170</v>
      </c>
      <c r="V31" s="25">
        <f>HLOOKUP(V$7,$I$66:$DJ$120,ROWS($A$10:$A31)+2,FALSE)</f>
        <v>389</v>
      </c>
      <c r="W31" s="25">
        <f>HLOOKUP(W$7,$I$66:$DJ$120,ROWS($A$10:$A31)+2,FALSE)</f>
        <v>2392</v>
      </c>
      <c r="X31" s="25">
        <f>HLOOKUP(X$7,$I$66:$DJ$120,ROWS($A$10:$A31)+2,FALSE)</f>
        <v>1318</v>
      </c>
      <c r="Y31" s="25">
        <f>HLOOKUP(Y$7,$I$66:$DJ$120,ROWS($A$10:$A31)+2,FALSE)</f>
        <v>110</v>
      </c>
      <c r="Z31" s="25">
        <f>HLOOKUP(Z$7,$I$66:$DJ$120,ROWS($A$10:$A31)+2,FALSE)</f>
        <v>689</v>
      </c>
      <c r="AA31" s="25">
        <f>HLOOKUP(AA$7,$I$66:$DJ$120,ROWS($A$10:$A31)+2,FALSE)</f>
        <v>848</v>
      </c>
      <c r="AB31" s="25">
        <f>HLOOKUP(AB$7,$I$66:$DJ$120,ROWS($A$10:$A31)+2,FALSE)</f>
        <v>860</v>
      </c>
      <c r="AC31" s="25">
        <f>HLOOKUP(AC$7,$I$66:$DJ$120,ROWS($A$10:$A31)+2,FALSE)</f>
        <v>1526</v>
      </c>
      <c r="AD31" s="25" t="str">
        <f>HLOOKUP(AD$7,$I$66:$DJ$120,ROWS($A$10:$A31)+2,FALSE)</f>
        <v>N/A</v>
      </c>
      <c r="AE31" s="25">
        <f>HLOOKUP(AE$7,$I$66:$DJ$120,ROWS($A$10:$A31)+2,FALSE)</f>
        <v>3470</v>
      </c>
      <c r="AF31" s="25">
        <f>HLOOKUP(AF$7,$I$66:$DJ$120,ROWS($A$10:$A31)+2,FALSE)</f>
        <v>2077</v>
      </c>
      <c r="AG31" s="25">
        <f>HLOOKUP(AG$7,$I$66:$DJ$120,ROWS($A$10:$A31)+2,FALSE)</f>
        <v>810</v>
      </c>
      <c r="AH31" s="25">
        <f>HLOOKUP(AH$7,$I$66:$DJ$120,ROWS($A$10:$A31)+2,FALSE)</f>
        <v>1109</v>
      </c>
      <c r="AI31" s="25">
        <f>HLOOKUP(AI$7,$I$66:$DJ$120,ROWS($A$10:$A31)+2,FALSE)</f>
        <v>1469</v>
      </c>
      <c r="AJ31" s="25">
        <f>HLOOKUP(AJ$7,$I$66:$DJ$120,ROWS($A$10:$A31)+2,FALSE)</f>
        <v>73</v>
      </c>
      <c r="AK31" s="25">
        <f>HLOOKUP(AK$7,$I$66:$DJ$120,ROWS($A$10:$A31)+2,FALSE)</f>
        <v>0</v>
      </c>
      <c r="AL31" s="25">
        <f>HLOOKUP(AL$7,$I$66:$DJ$120,ROWS($A$10:$A31)+2,FALSE)</f>
        <v>1105</v>
      </c>
      <c r="AM31" s="25">
        <f>HLOOKUP(AM$7,$I$66:$DJ$120,ROWS($A$10:$A31)+2,FALSE)</f>
        <v>232</v>
      </c>
      <c r="AN31" s="25">
        <f>HLOOKUP(AN$7,$I$66:$DJ$120,ROWS($A$10:$A31)+2,FALSE)</f>
        <v>9627</v>
      </c>
      <c r="AO31" s="25">
        <f>HLOOKUP(AO$7,$I$66:$DJ$120,ROWS($A$10:$A31)+2,FALSE)</f>
        <v>797</v>
      </c>
      <c r="AP31" s="25">
        <f>HLOOKUP(AP$7,$I$66:$DJ$120,ROWS($A$10:$A31)+2,FALSE)</f>
        <v>9222</v>
      </c>
      <c r="AQ31" s="25">
        <f>HLOOKUP(AQ$7,$I$66:$DJ$120,ROWS($A$10:$A31)+2,FALSE)</f>
        <v>6686</v>
      </c>
      <c r="AR31" s="25">
        <f>HLOOKUP(AR$7,$I$66:$DJ$120,ROWS($A$10:$A31)+2,FALSE)</f>
        <v>0</v>
      </c>
      <c r="AS31" s="25">
        <f>HLOOKUP(AS$7,$I$66:$DJ$120,ROWS($A$10:$A31)+2,FALSE)</f>
        <v>3396</v>
      </c>
      <c r="AT31" s="25">
        <f>HLOOKUP(AT$7,$I$66:$DJ$120,ROWS($A$10:$A31)+2,FALSE)</f>
        <v>845</v>
      </c>
      <c r="AU31" s="25">
        <f>HLOOKUP(AU$7,$I$66:$DJ$120,ROWS($A$10:$A31)+2,FALSE)</f>
        <v>276</v>
      </c>
      <c r="AV31" s="25">
        <f>HLOOKUP(AV$7,$I$66:$DJ$120,ROWS($A$10:$A31)+2,FALSE)</f>
        <v>14158</v>
      </c>
      <c r="AW31" s="25">
        <f>HLOOKUP(AW$7,$I$66:$DJ$120,ROWS($A$10:$A31)+2,FALSE)</f>
        <v>197</v>
      </c>
      <c r="AX31" s="25">
        <f>HLOOKUP(AX$7,$I$66:$DJ$120,ROWS($A$10:$A31)+2,FALSE)</f>
        <v>2882</v>
      </c>
      <c r="AY31" s="25">
        <f>HLOOKUP(AY$7,$I$66:$DJ$120,ROWS($A$10:$A31)+2,FALSE)</f>
        <v>0</v>
      </c>
      <c r="AZ31" s="25">
        <f>HLOOKUP(AZ$7,$I$66:$DJ$120,ROWS($A$10:$A31)+2,FALSE)</f>
        <v>1942</v>
      </c>
      <c r="BA31" s="25">
        <f>HLOOKUP(BA$7,$I$66:$DJ$120,ROWS($A$10:$A31)+2,FALSE)</f>
        <v>3619</v>
      </c>
      <c r="BB31" s="25">
        <f>HLOOKUP(BB$7,$I$66:$DJ$120,ROWS($A$10:$A31)+2,FALSE)</f>
        <v>223</v>
      </c>
      <c r="BC31" s="25">
        <f>HLOOKUP(BC$7,$I$66:$DJ$120,ROWS($A$10:$A31)+2,FALSE)</f>
        <v>40</v>
      </c>
      <c r="BD31" s="25">
        <f>HLOOKUP(BD$7,$I$66:$DJ$120,ROWS($A$10:$A31)+2,FALSE)</f>
        <v>22089</v>
      </c>
      <c r="BE31" s="25">
        <f>HLOOKUP(BE$7,$I$66:$DJ$120,ROWS($A$10:$A31)+2,FALSE)</f>
        <v>1525</v>
      </c>
      <c r="BF31" s="25">
        <f>HLOOKUP(BF$7,$I$66:$DJ$120,ROWS($A$10:$A31)+2,FALSE)</f>
        <v>2027</v>
      </c>
      <c r="BG31" s="25">
        <f>HLOOKUP(BG$7,$I$66:$DJ$120,ROWS($A$10:$A31)+2,FALSE)</f>
        <v>353</v>
      </c>
      <c r="BH31" s="25">
        <f>HLOOKUP(BH$7,$I$66:$DJ$120,ROWS($A$10:$A31)+2,FALSE)</f>
        <v>80</v>
      </c>
      <c r="BI31" s="25">
        <f>HLOOKUP(BI$7,$I$66:$DJ$120,ROWS($A$10:$A31)+2,FALSE)</f>
        <v>779</v>
      </c>
      <c r="BJ31" s="34">
        <f>HLOOKUP(BJ$7+0.5,$I$66:$DJ$120,ROWS($A$10:$A31)+2,FALSE)</f>
        <v>9033</v>
      </c>
      <c r="BK31" s="34">
        <f>HLOOKUP(BK$7+0.5,$I$66:$DJ$120,ROWS($A$10:$A31)+2,FALSE)</f>
        <v>128</v>
      </c>
      <c r="BL31" s="34">
        <f>HLOOKUP(BL$7+0.5,$I$66:$DJ$120,ROWS($A$10:$A31)+2,FALSE)</f>
        <v>493</v>
      </c>
      <c r="BM31" s="34">
        <f>HLOOKUP(BM$7+0.5,$I$66:$DJ$120,ROWS($A$10:$A31)+2,FALSE)</f>
        <v>604</v>
      </c>
      <c r="BN31" s="34">
        <f>HLOOKUP(BN$7+0.5,$I$66:$DJ$120,ROWS($A$10:$A31)+2,FALSE)</f>
        <v>528</v>
      </c>
      <c r="BO31" s="34">
        <f>HLOOKUP(BO$7+0.5,$I$66:$DJ$120,ROWS($A$10:$A31)+2,FALSE)</f>
        <v>1773</v>
      </c>
      <c r="BP31" s="34">
        <f>HLOOKUP(BP$7+0.5,$I$66:$DJ$120,ROWS($A$10:$A31)+2,FALSE)</f>
        <v>837</v>
      </c>
      <c r="BQ31" s="34">
        <f>HLOOKUP(BQ$7+0.5,$I$66:$DJ$120,ROWS($A$10:$A31)+2,FALSE)</f>
        <v>903</v>
      </c>
      <c r="BR31" s="34">
        <f>HLOOKUP(BR$7+0.5,$I$66:$DJ$120,ROWS($A$10:$A31)+2,FALSE)</f>
        <v>1916</v>
      </c>
      <c r="BS31" s="34">
        <f>HLOOKUP(BS$7+0.5,$I$66:$DJ$120,ROWS($A$10:$A31)+2,FALSE)</f>
        <v>3025</v>
      </c>
      <c r="BT31" s="34">
        <f>HLOOKUP(BT$7+0.5,$I$66:$DJ$120,ROWS($A$10:$A31)+2,FALSE)</f>
        <v>1691</v>
      </c>
      <c r="BU31" s="34">
        <f>HLOOKUP(BU$7+0.5,$I$66:$DJ$120,ROWS($A$10:$A31)+2,FALSE)</f>
        <v>1789</v>
      </c>
      <c r="BV31" s="34">
        <f>HLOOKUP(BV$7+0.5,$I$66:$DJ$120,ROWS($A$10:$A31)+2,FALSE)</f>
        <v>815</v>
      </c>
      <c r="BW31" s="34">
        <f>HLOOKUP(BW$7+0.5,$I$66:$DJ$120,ROWS($A$10:$A31)+2,FALSE)</f>
        <v>366</v>
      </c>
      <c r="BX31" s="34">
        <f>HLOOKUP(BX$7+0.5,$I$66:$DJ$120,ROWS($A$10:$A31)+2,FALSE)</f>
        <v>1052</v>
      </c>
      <c r="BY31" s="34">
        <f>HLOOKUP(BY$7+0.5,$I$66:$DJ$120,ROWS($A$10:$A31)+2,FALSE)</f>
        <v>791</v>
      </c>
      <c r="BZ31" s="34">
        <f>HLOOKUP(BZ$7+0.5,$I$66:$DJ$120,ROWS($A$10:$A31)+2,FALSE)</f>
        <v>146</v>
      </c>
      <c r="CA31" s="34">
        <f>HLOOKUP(CA$7+0.5,$I$66:$DJ$120,ROWS($A$10:$A31)+2,FALSE)</f>
        <v>551</v>
      </c>
      <c r="CB31" s="34">
        <f>HLOOKUP(CB$7+0.5,$I$66:$DJ$120,ROWS($A$10:$A31)+2,FALSE)</f>
        <v>671</v>
      </c>
      <c r="CC31" s="34">
        <f>HLOOKUP(CC$7+0.5,$I$66:$DJ$120,ROWS($A$10:$A31)+2,FALSE)</f>
        <v>484</v>
      </c>
      <c r="CD31" s="34">
        <f>HLOOKUP(CD$7+0.5,$I$66:$DJ$120,ROWS($A$10:$A31)+2,FALSE)</f>
        <v>1245</v>
      </c>
      <c r="CE31" s="34" t="str">
        <f>HLOOKUP(CE$7+0.5,$I$66:$DJ$120,ROWS($A$10:$A31)+2,FALSE)</f>
        <v>N/A</v>
      </c>
      <c r="CF31" s="34">
        <f>HLOOKUP(CF$7+0.5,$I$66:$DJ$120,ROWS($A$10:$A31)+2,FALSE)</f>
        <v>1341</v>
      </c>
      <c r="CG31" s="34">
        <f>HLOOKUP(CG$7+0.5,$I$66:$DJ$120,ROWS($A$10:$A31)+2,FALSE)</f>
        <v>1273</v>
      </c>
      <c r="CH31" s="34">
        <f>HLOOKUP(CH$7+0.5,$I$66:$DJ$120,ROWS($A$10:$A31)+2,FALSE)</f>
        <v>503</v>
      </c>
      <c r="CI31" s="34">
        <f>HLOOKUP(CI$7+0.5,$I$66:$DJ$120,ROWS($A$10:$A31)+2,FALSE)</f>
        <v>825</v>
      </c>
      <c r="CJ31" s="34">
        <f>HLOOKUP(CJ$7+0.5,$I$66:$DJ$120,ROWS($A$10:$A31)+2,FALSE)</f>
        <v>944</v>
      </c>
      <c r="CK31" s="34">
        <f>HLOOKUP(CK$7+0.5,$I$66:$DJ$120,ROWS($A$10:$A31)+2,FALSE)</f>
        <v>103</v>
      </c>
      <c r="CL31" s="34">
        <f>HLOOKUP(CL$7+0.5,$I$66:$DJ$120,ROWS($A$10:$A31)+2,FALSE)</f>
        <v>204</v>
      </c>
      <c r="CM31" s="34">
        <f>HLOOKUP(CM$7+0.5,$I$66:$DJ$120,ROWS($A$10:$A31)+2,FALSE)</f>
        <v>1033</v>
      </c>
      <c r="CN31" s="34">
        <f>HLOOKUP(CN$7+0.5,$I$66:$DJ$120,ROWS($A$10:$A31)+2,FALSE)</f>
        <v>160</v>
      </c>
      <c r="CO31" s="34">
        <f>HLOOKUP(CO$7+0.5,$I$66:$DJ$120,ROWS($A$10:$A31)+2,FALSE)</f>
        <v>1880</v>
      </c>
      <c r="CP31" s="34">
        <f>HLOOKUP(CP$7+0.5,$I$66:$DJ$120,ROWS($A$10:$A31)+2,FALSE)</f>
        <v>676</v>
      </c>
      <c r="CQ31" s="34">
        <f>HLOOKUP(CQ$7+0.5,$I$66:$DJ$120,ROWS($A$10:$A31)+2,FALSE)</f>
        <v>2041</v>
      </c>
      <c r="CR31" s="34">
        <f>HLOOKUP(CR$7+0.5,$I$66:$DJ$120,ROWS($A$10:$A31)+2,FALSE)</f>
        <v>2008</v>
      </c>
      <c r="CS31" s="34">
        <f>HLOOKUP(CS$7+0.5,$I$66:$DJ$120,ROWS($A$10:$A31)+2,FALSE)</f>
        <v>204</v>
      </c>
      <c r="CT31" s="34">
        <f>HLOOKUP(CT$7+0.5,$I$66:$DJ$120,ROWS($A$10:$A31)+2,FALSE)</f>
        <v>1110</v>
      </c>
      <c r="CU31" s="34">
        <f>HLOOKUP(CU$7+0.5,$I$66:$DJ$120,ROWS($A$10:$A31)+2,FALSE)</f>
        <v>592</v>
      </c>
      <c r="CV31" s="34">
        <f>HLOOKUP(CV$7+0.5,$I$66:$DJ$120,ROWS($A$10:$A31)+2,FALSE)</f>
        <v>247</v>
      </c>
      <c r="CW31" s="34">
        <f>HLOOKUP(CW$7+0.5,$I$66:$DJ$120,ROWS($A$10:$A31)+2,FALSE)</f>
        <v>3380</v>
      </c>
      <c r="CX31" s="34">
        <f>HLOOKUP(CX$7+0.5,$I$66:$DJ$120,ROWS($A$10:$A31)+2,FALSE)</f>
        <v>162</v>
      </c>
      <c r="CY31" s="34">
        <f>HLOOKUP(CY$7+0.5,$I$66:$DJ$120,ROWS($A$10:$A31)+2,FALSE)</f>
        <v>1696</v>
      </c>
      <c r="CZ31" s="34">
        <f>HLOOKUP(CZ$7+0.5,$I$66:$DJ$120,ROWS($A$10:$A31)+2,FALSE)</f>
        <v>204</v>
      </c>
      <c r="DA31" s="34">
        <f>HLOOKUP(DA$7+0.5,$I$66:$DJ$120,ROWS($A$10:$A31)+2,FALSE)</f>
        <v>1093</v>
      </c>
      <c r="DB31" s="34">
        <f>HLOOKUP(DB$7+0.5,$I$66:$DJ$120,ROWS($A$10:$A31)+2,FALSE)</f>
        <v>1102</v>
      </c>
      <c r="DC31" s="34">
        <f>HLOOKUP(DC$7+0.5,$I$66:$DJ$120,ROWS($A$10:$A31)+2,FALSE)</f>
        <v>230</v>
      </c>
      <c r="DD31" s="34">
        <f>HLOOKUP(DD$7+0.5,$I$66:$DJ$120,ROWS($A$10:$A31)+2,FALSE)</f>
        <v>69</v>
      </c>
      <c r="DE31" s="34">
        <f>HLOOKUP(DE$7+0.5,$I$66:$DJ$120,ROWS($A$10:$A31)+2,FALSE)</f>
        <v>3805</v>
      </c>
      <c r="DF31" s="34">
        <f>HLOOKUP(DF$7+0.5,$I$66:$DJ$120,ROWS($A$10:$A31)+2,FALSE)</f>
        <v>611</v>
      </c>
      <c r="DG31" s="34">
        <f>HLOOKUP(DG$7+0.5,$I$66:$DJ$120,ROWS($A$10:$A31)+2,FALSE)</f>
        <v>859</v>
      </c>
      <c r="DH31" s="34">
        <f>HLOOKUP(DH$7+0.5,$I$66:$DJ$120,ROWS($A$10:$A31)+2,FALSE)</f>
        <v>514</v>
      </c>
      <c r="DI31" s="34">
        <f>HLOOKUP(DI$7+0.5,$I$66:$DJ$120,ROWS($A$10:$A31)+2,FALSE)</f>
        <v>132</v>
      </c>
      <c r="DJ31" s="34">
        <f>HLOOKUP(DJ$7+0.5,$I$66:$DJ$120,ROWS($A$10:$A31)+2,FALSE)</f>
        <v>654</v>
      </c>
    </row>
    <row r="32" spans="2:114" x14ac:dyDescent="0.25">
      <c r="B32" s="38" t="s">
        <v>28</v>
      </c>
      <c r="C32" s="16">
        <v>6515057</v>
      </c>
      <c r="D32" s="17">
        <v>3680</v>
      </c>
      <c r="E32" s="16">
        <v>5658768</v>
      </c>
      <c r="F32" s="17">
        <v>20357</v>
      </c>
      <c r="G32" s="16">
        <v>656441</v>
      </c>
      <c r="H32" s="17">
        <v>18778</v>
      </c>
      <c r="I32" s="36">
        <f>HLOOKUP(I$7,$I$66:$DJ$120,ROWS($A$10:$A32)+2,FALSE)</f>
        <v>139830</v>
      </c>
      <c r="J32" s="25">
        <f>HLOOKUP(J$7,$I$66:$DJ$120,ROWS($A$10:$A32)+2,FALSE)</f>
        <v>1201</v>
      </c>
      <c r="K32" s="25">
        <f>HLOOKUP(K$7,$I$66:$DJ$120,ROWS($A$10:$A32)+2,FALSE)</f>
        <v>225</v>
      </c>
      <c r="L32" s="25">
        <f>HLOOKUP(L$7,$I$66:$DJ$120,ROWS($A$10:$A32)+2,FALSE)</f>
        <v>1017</v>
      </c>
      <c r="M32" s="25">
        <f>HLOOKUP(M$7,$I$66:$DJ$120,ROWS($A$10:$A32)+2,FALSE)</f>
        <v>167</v>
      </c>
      <c r="N32" s="25">
        <f>HLOOKUP(N$7,$I$66:$DJ$120,ROWS($A$10:$A32)+2,FALSE)</f>
        <v>11556</v>
      </c>
      <c r="O32" s="25">
        <f>HLOOKUP(O$7,$I$66:$DJ$120,ROWS($A$10:$A32)+2,FALSE)</f>
        <v>1388</v>
      </c>
      <c r="P32" s="25">
        <f>HLOOKUP(P$7,$I$66:$DJ$120,ROWS($A$10:$A32)+2,FALSE)</f>
        <v>9445</v>
      </c>
      <c r="Q32" s="25">
        <f>HLOOKUP(Q$7,$I$66:$DJ$120,ROWS($A$10:$A32)+2,FALSE)</f>
        <v>399</v>
      </c>
      <c r="R32" s="25">
        <f>HLOOKUP(R$7,$I$66:$DJ$120,ROWS($A$10:$A32)+2,FALSE)</f>
        <v>676</v>
      </c>
      <c r="S32" s="25">
        <f>HLOOKUP(S$7,$I$66:$DJ$120,ROWS($A$10:$A32)+2,FALSE)</f>
        <v>11396</v>
      </c>
      <c r="T32" s="25">
        <f>HLOOKUP(T$7,$I$66:$DJ$120,ROWS($A$10:$A32)+2,FALSE)</f>
        <v>3264</v>
      </c>
      <c r="U32" s="25">
        <f>HLOOKUP(U$7,$I$66:$DJ$120,ROWS($A$10:$A32)+2,FALSE)</f>
        <v>733</v>
      </c>
      <c r="V32" s="25">
        <f>HLOOKUP(V$7,$I$66:$DJ$120,ROWS($A$10:$A32)+2,FALSE)</f>
        <v>412</v>
      </c>
      <c r="W32" s="25">
        <f>HLOOKUP(W$7,$I$66:$DJ$120,ROWS($A$10:$A32)+2,FALSE)</f>
        <v>2991</v>
      </c>
      <c r="X32" s="25">
        <f>HLOOKUP(X$7,$I$66:$DJ$120,ROWS($A$10:$A32)+2,FALSE)</f>
        <v>640</v>
      </c>
      <c r="Y32" s="25">
        <f>HLOOKUP(Y$7,$I$66:$DJ$120,ROWS($A$10:$A32)+2,FALSE)</f>
        <v>138</v>
      </c>
      <c r="Z32" s="25">
        <f>HLOOKUP(Z$7,$I$66:$DJ$120,ROWS($A$10:$A32)+2,FALSE)</f>
        <v>969</v>
      </c>
      <c r="AA32" s="25">
        <f>HLOOKUP(AA$7,$I$66:$DJ$120,ROWS($A$10:$A32)+2,FALSE)</f>
        <v>180</v>
      </c>
      <c r="AB32" s="25">
        <f>HLOOKUP(AB$7,$I$66:$DJ$120,ROWS($A$10:$A32)+2,FALSE)</f>
        <v>977</v>
      </c>
      <c r="AC32" s="25">
        <f>HLOOKUP(AC$7,$I$66:$DJ$120,ROWS($A$10:$A32)+2,FALSE)</f>
        <v>4006</v>
      </c>
      <c r="AD32" s="25">
        <f>HLOOKUP(AD$7,$I$66:$DJ$120,ROWS($A$10:$A32)+2,FALSE)</f>
        <v>2762</v>
      </c>
      <c r="AE32" s="25" t="str">
        <f>HLOOKUP(AE$7,$I$66:$DJ$120,ROWS($A$10:$A32)+2,FALSE)</f>
        <v>N/A</v>
      </c>
      <c r="AF32" s="25">
        <f>HLOOKUP(AF$7,$I$66:$DJ$120,ROWS($A$10:$A32)+2,FALSE)</f>
        <v>2629</v>
      </c>
      <c r="AG32" s="25">
        <f>HLOOKUP(AG$7,$I$66:$DJ$120,ROWS($A$10:$A32)+2,FALSE)</f>
        <v>862</v>
      </c>
      <c r="AH32" s="25">
        <f>HLOOKUP(AH$7,$I$66:$DJ$120,ROWS($A$10:$A32)+2,FALSE)</f>
        <v>356</v>
      </c>
      <c r="AI32" s="25">
        <f>HLOOKUP(AI$7,$I$66:$DJ$120,ROWS($A$10:$A32)+2,FALSE)</f>
        <v>1261</v>
      </c>
      <c r="AJ32" s="25">
        <f>HLOOKUP(AJ$7,$I$66:$DJ$120,ROWS($A$10:$A32)+2,FALSE)</f>
        <v>596</v>
      </c>
      <c r="AK32" s="25">
        <f>HLOOKUP(AK$7,$I$66:$DJ$120,ROWS($A$10:$A32)+2,FALSE)</f>
        <v>637</v>
      </c>
      <c r="AL32" s="25">
        <f>HLOOKUP(AL$7,$I$66:$DJ$120,ROWS($A$10:$A32)+2,FALSE)</f>
        <v>163</v>
      </c>
      <c r="AM32" s="25">
        <f>HLOOKUP(AM$7,$I$66:$DJ$120,ROWS($A$10:$A32)+2,FALSE)</f>
        <v>12010</v>
      </c>
      <c r="AN32" s="25">
        <f>HLOOKUP(AN$7,$I$66:$DJ$120,ROWS($A$10:$A32)+2,FALSE)</f>
        <v>8332</v>
      </c>
      <c r="AO32" s="25">
        <f>HLOOKUP(AO$7,$I$66:$DJ$120,ROWS($A$10:$A32)+2,FALSE)</f>
        <v>199</v>
      </c>
      <c r="AP32" s="25">
        <f>HLOOKUP(AP$7,$I$66:$DJ$120,ROWS($A$10:$A32)+2,FALSE)</f>
        <v>19431</v>
      </c>
      <c r="AQ32" s="25">
        <f>HLOOKUP(AQ$7,$I$66:$DJ$120,ROWS($A$10:$A32)+2,FALSE)</f>
        <v>3964</v>
      </c>
      <c r="AR32" s="25">
        <f>HLOOKUP(AR$7,$I$66:$DJ$120,ROWS($A$10:$A32)+2,FALSE)</f>
        <v>61</v>
      </c>
      <c r="AS32" s="25">
        <f>HLOOKUP(AS$7,$I$66:$DJ$120,ROWS($A$10:$A32)+2,FALSE)</f>
        <v>1757</v>
      </c>
      <c r="AT32" s="25">
        <f>HLOOKUP(AT$7,$I$66:$DJ$120,ROWS($A$10:$A32)+2,FALSE)</f>
        <v>90</v>
      </c>
      <c r="AU32" s="25">
        <f>HLOOKUP(AU$7,$I$66:$DJ$120,ROWS($A$10:$A32)+2,FALSE)</f>
        <v>178</v>
      </c>
      <c r="AV32" s="25">
        <f>HLOOKUP(AV$7,$I$66:$DJ$120,ROWS($A$10:$A32)+2,FALSE)</f>
        <v>6538</v>
      </c>
      <c r="AW32" s="25">
        <f>HLOOKUP(AW$7,$I$66:$DJ$120,ROWS($A$10:$A32)+2,FALSE)</f>
        <v>10182</v>
      </c>
      <c r="AX32" s="25">
        <f>HLOOKUP(AX$7,$I$66:$DJ$120,ROWS($A$10:$A32)+2,FALSE)</f>
        <v>1621</v>
      </c>
      <c r="AY32" s="25">
        <f>HLOOKUP(AY$7,$I$66:$DJ$120,ROWS($A$10:$A32)+2,FALSE)</f>
        <v>44</v>
      </c>
      <c r="AZ32" s="25">
        <f>HLOOKUP(AZ$7,$I$66:$DJ$120,ROWS($A$10:$A32)+2,FALSE)</f>
        <v>371</v>
      </c>
      <c r="BA32" s="25">
        <f>HLOOKUP(BA$7,$I$66:$DJ$120,ROWS($A$10:$A32)+2,FALSE)</f>
        <v>5203</v>
      </c>
      <c r="BB32" s="25">
        <f>HLOOKUP(BB$7,$I$66:$DJ$120,ROWS($A$10:$A32)+2,FALSE)</f>
        <v>548</v>
      </c>
      <c r="BC32" s="25">
        <f>HLOOKUP(BC$7,$I$66:$DJ$120,ROWS($A$10:$A32)+2,FALSE)</f>
        <v>2246</v>
      </c>
      <c r="BD32" s="25">
        <f>HLOOKUP(BD$7,$I$66:$DJ$120,ROWS($A$10:$A32)+2,FALSE)</f>
        <v>2984</v>
      </c>
      <c r="BE32" s="25">
        <f>HLOOKUP(BE$7,$I$66:$DJ$120,ROWS($A$10:$A32)+2,FALSE)</f>
        <v>1673</v>
      </c>
      <c r="BF32" s="25">
        <f>HLOOKUP(BF$7,$I$66:$DJ$120,ROWS($A$10:$A32)+2,FALSE)</f>
        <v>911</v>
      </c>
      <c r="BG32" s="25">
        <f>HLOOKUP(BG$7,$I$66:$DJ$120,ROWS($A$10:$A32)+2,FALSE)</f>
        <v>441</v>
      </c>
      <c r="BH32" s="25">
        <f>HLOOKUP(BH$7,$I$66:$DJ$120,ROWS($A$10:$A32)+2,FALSE)</f>
        <v>0</v>
      </c>
      <c r="BI32" s="25">
        <f>HLOOKUP(BI$7,$I$66:$DJ$120,ROWS($A$10:$A32)+2,FALSE)</f>
        <v>4413</v>
      </c>
      <c r="BJ32" s="34">
        <f>HLOOKUP(BJ$7+0.5,$I$66:$DJ$120,ROWS($A$10:$A32)+2,FALSE)</f>
        <v>8282</v>
      </c>
      <c r="BK32" s="34">
        <f>HLOOKUP(BK$7+0.5,$I$66:$DJ$120,ROWS($A$10:$A32)+2,FALSE)</f>
        <v>1083</v>
      </c>
      <c r="BL32" s="34">
        <f>HLOOKUP(BL$7+0.5,$I$66:$DJ$120,ROWS($A$10:$A32)+2,FALSE)</f>
        <v>345</v>
      </c>
      <c r="BM32" s="34">
        <f>HLOOKUP(BM$7+0.5,$I$66:$DJ$120,ROWS($A$10:$A32)+2,FALSE)</f>
        <v>518</v>
      </c>
      <c r="BN32" s="34">
        <f>HLOOKUP(BN$7+0.5,$I$66:$DJ$120,ROWS($A$10:$A32)+2,FALSE)</f>
        <v>201</v>
      </c>
      <c r="BO32" s="34">
        <f>HLOOKUP(BO$7+0.5,$I$66:$DJ$120,ROWS($A$10:$A32)+2,FALSE)</f>
        <v>2290</v>
      </c>
      <c r="BP32" s="34">
        <f>HLOOKUP(BP$7+0.5,$I$66:$DJ$120,ROWS($A$10:$A32)+2,FALSE)</f>
        <v>972</v>
      </c>
      <c r="BQ32" s="34">
        <f>HLOOKUP(BQ$7+0.5,$I$66:$DJ$120,ROWS($A$10:$A32)+2,FALSE)</f>
        <v>1884</v>
      </c>
      <c r="BR32" s="34">
        <f>HLOOKUP(BR$7+0.5,$I$66:$DJ$120,ROWS($A$10:$A32)+2,FALSE)</f>
        <v>579</v>
      </c>
      <c r="BS32" s="34">
        <f>HLOOKUP(BS$7+0.5,$I$66:$DJ$120,ROWS($A$10:$A32)+2,FALSE)</f>
        <v>358</v>
      </c>
      <c r="BT32" s="34">
        <f>HLOOKUP(BT$7+0.5,$I$66:$DJ$120,ROWS($A$10:$A32)+2,FALSE)</f>
        <v>2715</v>
      </c>
      <c r="BU32" s="34">
        <f>HLOOKUP(BU$7+0.5,$I$66:$DJ$120,ROWS($A$10:$A32)+2,FALSE)</f>
        <v>1666</v>
      </c>
      <c r="BV32" s="34">
        <f>HLOOKUP(BV$7+0.5,$I$66:$DJ$120,ROWS($A$10:$A32)+2,FALSE)</f>
        <v>860</v>
      </c>
      <c r="BW32" s="34">
        <f>HLOOKUP(BW$7+0.5,$I$66:$DJ$120,ROWS($A$10:$A32)+2,FALSE)</f>
        <v>695</v>
      </c>
      <c r="BX32" s="34">
        <f>HLOOKUP(BX$7+0.5,$I$66:$DJ$120,ROWS($A$10:$A32)+2,FALSE)</f>
        <v>899</v>
      </c>
      <c r="BY32" s="34">
        <f>HLOOKUP(BY$7+0.5,$I$66:$DJ$120,ROWS($A$10:$A32)+2,FALSE)</f>
        <v>456</v>
      </c>
      <c r="BZ32" s="34">
        <f>HLOOKUP(BZ$7+0.5,$I$66:$DJ$120,ROWS($A$10:$A32)+2,FALSE)</f>
        <v>136</v>
      </c>
      <c r="CA32" s="34">
        <f>HLOOKUP(CA$7+0.5,$I$66:$DJ$120,ROWS($A$10:$A32)+2,FALSE)</f>
        <v>867</v>
      </c>
      <c r="CB32" s="34">
        <f>HLOOKUP(CB$7+0.5,$I$66:$DJ$120,ROWS($A$10:$A32)+2,FALSE)</f>
        <v>203</v>
      </c>
      <c r="CC32" s="34">
        <f>HLOOKUP(CC$7+0.5,$I$66:$DJ$120,ROWS($A$10:$A32)+2,FALSE)</f>
        <v>1200</v>
      </c>
      <c r="CD32" s="34">
        <f>HLOOKUP(CD$7+0.5,$I$66:$DJ$120,ROWS($A$10:$A32)+2,FALSE)</f>
        <v>1526</v>
      </c>
      <c r="CE32" s="34">
        <f>HLOOKUP(CE$7+0.5,$I$66:$DJ$120,ROWS($A$10:$A32)+2,FALSE)</f>
        <v>2048</v>
      </c>
      <c r="CF32" s="34" t="str">
        <f>HLOOKUP(CF$7+0.5,$I$66:$DJ$120,ROWS($A$10:$A32)+2,FALSE)</f>
        <v>N/A</v>
      </c>
      <c r="CG32" s="34">
        <f>HLOOKUP(CG$7+0.5,$I$66:$DJ$120,ROWS($A$10:$A32)+2,FALSE)</f>
        <v>1245</v>
      </c>
      <c r="CH32" s="34">
        <f>HLOOKUP(CH$7+0.5,$I$66:$DJ$120,ROWS($A$10:$A32)+2,FALSE)</f>
        <v>537</v>
      </c>
      <c r="CI32" s="34">
        <f>HLOOKUP(CI$7+0.5,$I$66:$DJ$120,ROWS($A$10:$A32)+2,FALSE)</f>
        <v>567</v>
      </c>
      <c r="CJ32" s="34">
        <f>HLOOKUP(CJ$7+0.5,$I$66:$DJ$120,ROWS($A$10:$A32)+2,FALSE)</f>
        <v>654</v>
      </c>
      <c r="CK32" s="34">
        <f>HLOOKUP(CK$7+0.5,$I$66:$DJ$120,ROWS($A$10:$A32)+2,FALSE)</f>
        <v>719</v>
      </c>
      <c r="CL32" s="34">
        <f>HLOOKUP(CL$7+0.5,$I$66:$DJ$120,ROWS($A$10:$A32)+2,FALSE)</f>
        <v>727</v>
      </c>
      <c r="CM32" s="34">
        <f>HLOOKUP(CM$7+0.5,$I$66:$DJ$120,ROWS($A$10:$A32)+2,FALSE)</f>
        <v>158</v>
      </c>
      <c r="CN32" s="34">
        <f>HLOOKUP(CN$7+0.5,$I$66:$DJ$120,ROWS($A$10:$A32)+2,FALSE)</f>
        <v>2630</v>
      </c>
      <c r="CO32" s="34">
        <f>HLOOKUP(CO$7+0.5,$I$66:$DJ$120,ROWS($A$10:$A32)+2,FALSE)</f>
        <v>1949</v>
      </c>
      <c r="CP32" s="34">
        <f>HLOOKUP(CP$7+0.5,$I$66:$DJ$120,ROWS($A$10:$A32)+2,FALSE)</f>
        <v>276</v>
      </c>
      <c r="CQ32" s="34">
        <f>HLOOKUP(CQ$7+0.5,$I$66:$DJ$120,ROWS($A$10:$A32)+2,FALSE)</f>
        <v>3914</v>
      </c>
      <c r="CR32" s="34">
        <f>HLOOKUP(CR$7+0.5,$I$66:$DJ$120,ROWS($A$10:$A32)+2,FALSE)</f>
        <v>1384</v>
      </c>
      <c r="CS32" s="34">
        <f>HLOOKUP(CS$7+0.5,$I$66:$DJ$120,ROWS($A$10:$A32)+2,FALSE)</f>
        <v>111</v>
      </c>
      <c r="CT32" s="34">
        <f>HLOOKUP(CT$7+0.5,$I$66:$DJ$120,ROWS($A$10:$A32)+2,FALSE)</f>
        <v>681</v>
      </c>
      <c r="CU32" s="34">
        <f>HLOOKUP(CU$7+0.5,$I$66:$DJ$120,ROWS($A$10:$A32)+2,FALSE)</f>
        <v>123</v>
      </c>
      <c r="CV32" s="34">
        <f>HLOOKUP(CV$7+0.5,$I$66:$DJ$120,ROWS($A$10:$A32)+2,FALSE)</f>
        <v>220</v>
      </c>
      <c r="CW32" s="34">
        <f>HLOOKUP(CW$7+0.5,$I$66:$DJ$120,ROWS($A$10:$A32)+2,FALSE)</f>
        <v>1883</v>
      </c>
      <c r="CX32" s="34">
        <f>HLOOKUP(CX$7+0.5,$I$66:$DJ$120,ROWS($A$10:$A32)+2,FALSE)</f>
        <v>2144</v>
      </c>
      <c r="CY32" s="34">
        <f>HLOOKUP(CY$7+0.5,$I$66:$DJ$120,ROWS($A$10:$A32)+2,FALSE)</f>
        <v>989</v>
      </c>
      <c r="CZ32" s="34">
        <f>HLOOKUP(CZ$7+0.5,$I$66:$DJ$120,ROWS($A$10:$A32)+2,FALSE)</f>
        <v>72</v>
      </c>
      <c r="DA32" s="34">
        <f>HLOOKUP(DA$7+0.5,$I$66:$DJ$120,ROWS($A$10:$A32)+2,FALSE)</f>
        <v>355</v>
      </c>
      <c r="DB32" s="34">
        <f>HLOOKUP(DB$7+0.5,$I$66:$DJ$120,ROWS($A$10:$A32)+2,FALSE)</f>
        <v>1491</v>
      </c>
      <c r="DC32" s="34">
        <f>HLOOKUP(DC$7+0.5,$I$66:$DJ$120,ROWS($A$10:$A32)+2,FALSE)</f>
        <v>411</v>
      </c>
      <c r="DD32" s="34">
        <f>HLOOKUP(DD$7+0.5,$I$66:$DJ$120,ROWS($A$10:$A32)+2,FALSE)</f>
        <v>944</v>
      </c>
      <c r="DE32" s="34">
        <f>HLOOKUP(DE$7+0.5,$I$66:$DJ$120,ROWS($A$10:$A32)+2,FALSE)</f>
        <v>1241</v>
      </c>
      <c r="DF32" s="34">
        <f>HLOOKUP(DF$7+0.5,$I$66:$DJ$120,ROWS($A$10:$A32)+2,FALSE)</f>
        <v>741</v>
      </c>
      <c r="DG32" s="34">
        <f>HLOOKUP(DG$7+0.5,$I$66:$DJ$120,ROWS($A$10:$A32)+2,FALSE)</f>
        <v>855</v>
      </c>
      <c r="DH32" s="34">
        <f>HLOOKUP(DH$7+0.5,$I$66:$DJ$120,ROWS($A$10:$A32)+2,FALSE)</f>
        <v>311</v>
      </c>
      <c r="DI32" s="34">
        <f>HLOOKUP(DI$7+0.5,$I$66:$DJ$120,ROWS($A$10:$A32)+2,FALSE)</f>
        <v>204</v>
      </c>
      <c r="DJ32" s="34">
        <f>HLOOKUP(DJ$7+0.5,$I$66:$DJ$120,ROWS($A$10:$A32)+2,FALSE)</f>
        <v>1542</v>
      </c>
    </row>
    <row r="33" spans="2:114" x14ac:dyDescent="0.25">
      <c r="B33" s="38" t="s">
        <v>29</v>
      </c>
      <c r="C33" s="16">
        <v>9766574</v>
      </c>
      <c r="D33" s="17">
        <v>4376</v>
      </c>
      <c r="E33" s="16">
        <v>8340767</v>
      </c>
      <c r="F33" s="17">
        <v>29076</v>
      </c>
      <c r="G33" s="16">
        <v>1242917</v>
      </c>
      <c r="H33" s="17">
        <v>25401</v>
      </c>
      <c r="I33" s="36">
        <f>HLOOKUP(I$7,$I$66:$DJ$120,ROWS($A$10:$A33)+2,FALSE)</f>
        <v>139158</v>
      </c>
      <c r="J33" s="25">
        <f>HLOOKUP(J$7,$I$66:$DJ$120,ROWS($A$10:$A33)+2,FALSE)</f>
        <v>3527</v>
      </c>
      <c r="K33" s="25">
        <f>HLOOKUP(K$7,$I$66:$DJ$120,ROWS($A$10:$A33)+2,FALSE)</f>
        <v>3456</v>
      </c>
      <c r="L33" s="25">
        <f>HLOOKUP(L$7,$I$66:$DJ$120,ROWS($A$10:$A33)+2,FALSE)</f>
        <v>3840</v>
      </c>
      <c r="M33" s="25">
        <f>HLOOKUP(M$7,$I$66:$DJ$120,ROWS($A$10:$A33)+2,FALSE)</f>
        <v>2054</v>
      </c>
      <c r="N33" s="25">
        <f>HLOOKUP(N$7,$I$66:$DJ$120,ROWS($A$10:$A33)+2,FALSE)</f>
        <v>7793</v>
      </c>
      <c r="O33" s="25">
        <f>HLOOKUP(O$7,$I$66:$DJ$120,ROWS($A$10:$A33)+2,FALSE)</f>
        <v>3425</v>
      </c>
      <c r="P33" s="25">
        <f>HLOOKUP(P$7,$I$66:$DJ$120,ROWS($A$10:$A33)+2,FALSE)</f>
        <v>1656</v>
      </c>
      <c r="Q33" s="25">
        <f>HLOOKUP(Q$7,$I$66:$DJ$120,ROWS($A$10:$A33)+2,FALSE)</f>
        <v>0</v>
      </c>
      <c r="R33" s="25">
        <f>HLOOKUP(R$7,$I$66:$DJ$120,ROWS($A$10:$A33)+2,FALSE)</f>
        <v>256</v>
      </c>
      <c r="S33" s="25">
        <f>HLOOKUP(S$7,$I$66:$DJ$120,ROWS($A$10:$A33)+2,FALSE)</f>
        <v>17712</v>
      </c>
      <c r="T33" s="25">
        <f>HLOOKUP(T$7,$I$66:$DJ$120,ROWS($A$10:$A33)+2,FALSE)</f>
        <v>4254</v>
      </c>
      <c r="U33" s="25">
        <f>HLOOKUP(U$7,$I$66:$DJ$120,ROWS($A$10:$A33)+2,FALSE)</f>
        <v>630</v>
      </c>
      <c r="V33" s="25">
        <f>HLOOKUP(V$7,$I$66:$DJ$120,ROWS($A$10:$A33)+2,FALSE)</f>
        <v>882</v>
      </c>
      <c r="W33" s="25">
        <f>HLOOKUP(W$7,$I$66:$DJ$120,ROWS($A$10:$A33)+2,FALSE)</f>
        <v>9897</v>
      </c>
      <c r="X33" s="25">
        <f>HLOOKUP(X$7,$I$66:$DJ$120,ROWS($A$10:$A33)+2,FALSE)</f>
        <v>7668</v>
      </c>
      <c r="Y33" s="25">
        <f>HLOOKUP(Y$7,$I$66:$DJ$120,ROWS($A$10:$A33)+2,FALSE)</f>
        <v>1709</v>
      </c>
      <c r="Z33" s="25">
        <f>HLOOKUP(Z$7,$I$66:$DJ$120,ROWS($A$10:$A33)+2,FALSE)</f>
        <v>1148</v>
      </c>
      <c r="AA33" s="25">
        <f>HLOOKUP(AA$7,$I$66:$DJ$120,ROWS($A$10:$A33)+2,FALSE)</f>
        <v>2578</v>
      </c>
      <c r="AB33" s="25">
        <f>HLOOKUP(AB$7,$I$66:$DJ$120,ROWS($A$10:$A33)+2,FALSE)</f>
        <v>955</v>
      </c>
      <c r="AC33" s="25">
        <f>HLOOKUP(AC$7,$I$66:$DJ$120,ROWS($A$10:$A33)+2,FALSE)</f>
        <v>599</v>
      </c>
      <c r="AD33" s="25">
        <f>HLOOKUP(AD$7,$I$66:$DJ$120,ROWS($A$10:$A33)+2,FALSE)</f>
        <v>1035</v>
      </c>
      <c r="AE33" s="25">
        <f>HLOOKUP(AE$7,$I$66:$DJ$120,ROWS($A$10:$A33)+2,FALSE)</f>
        <v>2861</v>
      </c>
      <c r="AF33" s="25" t="str">
        <f>HLOOKUP(AF$7,$I$66:$DJ$120,ROWS($A$10:$A33)+2,FALSE)</f>
        <v>N/A</v>
      </c>
      <c r="AG33" s="25">
        <f>HLOOKUP(AG$7,$I$66:$DJ$120,ROWS($A$10:$A33)+2,FALSE)</f>
        <v>2671</v>
      </c>
      <c r="AH33" s="25">
        <f>HLOOKUP(AH$7,$I$66:$DJ$120,ROWS($A$10:$A33)+2,FALSE)</f>
        <v>715</v>
      </c>
      <c r="AI33" s="25">
        <f>HLOOKUP(AI$7,$I$66:$DJ$120,ROWS($A$10:$A33)+2,FALSE)</f>
        <v>2509</v>
      </c>
      <c r="AJ33" s="25">
        <f>HLOOKUP(AJ$7,$I$66:$DJ$120,ROWS($A$10:$A33)+2,FALSE)</f>
        <v>84</v>
      </c>
      <c r="AK33" s="25">
        <f>HLOOKUP(AK$7,$I$66:$DJ$120,ROWS($A$10:$A33)+2,FALSE)</f>
        <v>439</v>
      </c>
      <c r="AL33" s="25">
        <f>HLOOKUP(AL$7,$I$66:$DJ$120,ROWS($A$10:$A33)+2,FALSE)</f>
        <v>1215</v>
      </c>
      <c r="AM33" s="25">
        <f>HLOOKUP(AM$7,$I$66:$DJ$120,ROWS($A$10:$A33)+2,FALSE)</f>
        <v>73</v>
      </c>
      <c r="AN33" s="25">
        <f>HLOOKUP(AN$7,$I$66:$DJ$120,ROWS($A$10:$A33)+2,FALSE)</f>
        <v>1849</v>
      </c>
      <c r="AO33" s="25">
        <f>HLOOKUP(AO$7,$I$66:$DJ$120,ROWS($A$10:$A33)+2,FALSE)</f>
        <v>508</v>
      </c>
      <c r="AP33" s="25">
        <f>HLOOKUP(AP$7,$I$66:$DJ$120,ROWS($A$10:$A33)+2,FALSE)</f>
        <v>6087</v>
      </c>
      <c r="AQ33" s="25">
        <f>HLOOKUP(AQ$7,$I$66:$DJ$120,ROWS($A$10:$A33)+2,FALSE)</f>
        <v>3405</v>
      </c>
      <c r="AR33" s="25">
        <f>HLOOKUP(AR$7,$I$66:$DJ$120,ROWS($A$10:$A33)+2,FALSE)</f>
        <v>159</v>
      </c>
      <c r="AS33" s="25">
        <f>HLOOKUP(AS$7,$I$66:$DJ$120,ROWS($A$10:$A33)+2,FALSE)</f>
        <v>11224</v>
      </c>
      <c r="AT33" s="25">
        <f>HLOOKUP(AT$7,$I$66:$DJ$120,ROWS($A$10:$A33)+2,FALSE)</f>
        <v>917</v>
      </c>
      <c r="AU33" s="25">
        <f>HLOOKUP(AU$7,$I$66:$DJ$120,ROWS($A$10:$A33)+2,FALSE)</f>
        <v>647</v>
      </c>
      <c r="AV33" s="25">
        <f>HLOOKUP(AV$7,$I$66:$DJ$120,ROWS($A$10:$A33)+2,FALSE)</f>
        <v>2864</v>
      </c>
      <c r="AW33" s="25">
        <f>HLOOKUP(AW$7,$I$66:$DJ$120,ROWS($A$10:$A33)+2,FALSE)</f>
        <v>385</v>
      </c>
      <c r="AX33" s="25">
        <f>HLOOKUP(AX$7,$I$66:$DJ$120,ROWS($A$10:$A33)+2,FALSE)</f>
        <v>2185</v>
      </c>
      <c r="AY33" s="25">
        <f>HLOOKUP(AY$7,$I$66:$DJ$120,ROWS($A$10:$A33)+2,FALSE)</f>
        <v>571</v>
      </c>
      <c r="AZ33" s="25">
        <f>HLOOKUP(AZ$7,$I$66:$DJ$120,ROWS($A$10:$A33)+2,FALSE)</f>
        <v>3106</v>
      </c>
      <c r="BA33" s="25">
        <f>HLOOKUP(BA$7,$I$66:$DJ$120,ROWS($A$10:$A33)+2,FALSE)</f>
        <v>9935</v>
      </c>
      <c r="BB33" s="25">
        <f>HLOOKUP(BB$7,$I$66:$DJ$120,ROWS($A$10:$A33)+2,FALSE)</f>
        <v>642</v>
      </c>
      <c r="BC33" s="25">
        <f>HLOOKUP(BC$7,$I$66:$DJ$120,ROWS($A$10:$A33)+2,FALSE)</f>
        <v>0</v>
      </c>
      <c r="BD33" s="25">
        <f>HLOOKUP(BD$7,$I$66:$DJ$120,ROWS($A$10:$A33)+2,FALSE)</f>
        <v>2327</v>
      </c>
      <c r="BE33" s="25">
        <f>HLOOKUP(BE$7,$I$66:$DJ$120,ROWS($A$10:$A33)+2,FALSE)</f>
        <v>1430</v>
      </c>
      <c r="BF33" s="25">
        <f>HLOOKUP(BF$7,$I$66:$DJ$120,ROWS($A$10:$A33)+2,FALSE)</f>
        <v>417</v>
      </c>
      <c r="BG33" s="25">
        <f>HLOOKUP(BG$7,$I$66:$DJ$120,ROWS($A$10:$A33)+2,FALSE)</f>
        <v>4018</v>
      </c>
      <c r="BH33" s="25">
        <f>HLOOKUP(BH$7,$I$66:$DJ$120,ROWS($A$10:$A33)+2,FALSE)</f>
        <v>841</v>
      </c>
      <c r="BI33" s="25">
        <f>HLOOKUP(BI$7,$I$66:$DJ$120,ROWS($A$10:$A33)+2,FALSE)</f>
        <v>908</v>
      </c>
      <c r="BJ33" s="34">
        <f>HLOOKUP(BJ$7+0.5,$I$66:$DJ$120,ROWS($A$10:$A33)+2,FALSE)</f>
        <v>8465</v>
      </c>
      <c r="BK33" s="34">
        <f>HLOOKUP(BK$7+0.5,$I$66:$DJ$120,ROWS($A$10:$A33)+2,FALSE)</f>
        <v>2060</v>
      </c>
      <c r="BL33" s="34">
        <f>HLOOKUP(BL$7+0.5,$I$66:$DJ$120,ROWS($A$10:$A33)+2,FALSE)</f>
        <v>1793</v>
      </c>
      <c r="BM33" s="34">
        <f>HLOOKUP(BM$7+0.5,$I$66:$DJ$120,ROWS($A$10:$A33)+2,FALSE)</f>
        <v>1382</v>
      </c>
      <c r="BN33" s="34">
        <f>HLOOKUP(BN$7+0.5,$I$66:$DJ$120,ROWS($A$10:$A33)+2,FALSE)</f>
        <v>1024</v>
      </c>
      <c r="BO33" s="34">
        <f>HLOOKUP(BO$7+0.5,$I$66:$DJ$120,ROWS($A$10:$A33)+2,FALSE)</f>
        <v>1752</v>
      </c>
      <c r="BP33" s="34">
        <f>HLOOKUP(BP$7+0.5,$I$66:$DJ$120,ROWS($A$10:$A33)+2,FALSE)</f>
        <v>1462</v>
      </c>
      <c r="BQ33" s="34">
        <f>HLOOKUP(BQ$7+0.5,$I$66:$DJ$120,ROWS($A$10:$A33)+2,FALSE)</f>
        <v>1087</v>
      </c>
      <c r="BR33" s="34">
        <f>HLOOKUP(BR$7+0.5,$I$66:$DJ$120,ROWS($A$10:$A33)+2,FALSE)</f>
        <v>167</v>
      </c>
      <c r="BS33" s="34">
        <f>HLOOKUP(BS$7+0.5,$I$66:$DJ$120,ROWS($A$10:$A33)+2,FALSE)</f>
        <v>259</v>
      </c>
      <c r="BT33" s="34">
        <f>HLOOKUP(BT$7+0.5,$I$66:$DJ$120,ROWS($A$10:$A33)+2,FALSE)</f>
        <v>3844</v>
      </c>
      <c r="BU33" s="34">
        <f>HLOOKUP(BU$7+0.5,$I$66:$DJ$120,ROWS($A$10:$A33)+2,FALSE)</f>
        <v>1566</v>
      </c>
      <c r="BV33" s="34">
        <f>HLOOKUP(BV$7+0.5,$I$66:$DJ$120,ROWS($A$10:$A33)+2,FALSE)</f>
        <v>469</v>
      </c>
      <c r="BW33" s="34">
        <f>HLOOKUP(BW$7+0.5,$I$66:$DJ$120,ROWS($A$10:$A33)+2,FALSE)</f>
        <v>675</v>
      </c>
      <c r="BX33" s="34">
        <f>HLOOKUP(BX$7+0.5,$I$66:$DJ$120,ROWS($A$10:$A33)+2,FALSE)</f>
        <v>1863</v>
      </c>
      <c r="BY33" s="34">
        <f>HLOOKUP(BY$7+0.5,$I$66:$DJ$120,ROWS($A$10:$A33)+2,FALSE)</f>
        <v>1841</v>
      </c>
      <c r="BZ33" s="34">
        <f>HLOOKUP(BZ$7+0.5,$I$66:$DJ$120,ROWS($A$10:$A33)+2,FALSE)</f>
        <v>1026</v>
      </c>
      <c r="CA33" s="34">
        <f>HLOOKUP(CA$7+0.5,$I$66:$DJ$120,ROWS($A$10:$A33)+2,FALSE)</f>
        <v>867</v>
      </c>
      <c r="CB33" s="34">
        <f>HLOOKUP(CB$7+0.5,$I$66:$DJ$120,ROWS($A$10:$A33)+2,FALSE)</f>
        <v>1158</v>
      </c>
      <c r="CC33" s="34">
        <f>HLOOKUP(CC$7+0.5,$I$66:$DJ$120,ROWS($A$10:$A33)+2,FALSE)</f>
        <v>556</v>
      </c>
      <c r="CD33" s="34">
        <f>HLOOKUP(CD$7+0.5,$I$66:$DJ$120,ROWS($A$10:$A33)+2,FALSE)</f>
        <v>735</v>
      </c>
      <c r="CE33" s="34">
        <f>HLOOKUP(CE$7+0.5,$I$66:$DJ$120,ROWS($A$10:$A33)+2,FALSE)</f>
        <v>431</v>
      </c>
      <c r="CF33" s="34">
        <f>HLOOKUP(CF$7+0.5,$I$66:$DJ$120,ROWS($A$10:$A33)+2,FALSE)</f>
        <v>1135</v>
      </c>
      <c r="CG33" s="34" t="str">
        <f>HLOOKUP(CG$7+0.5,$I$66:$DJ$120,ROWS($A$10:$A33)+2,FALSE)</f>
        <v>N/A</v>
      </c>
      <c r="CH33" s="34">
        <f>HLOOKUP(CH$7+0.5,$I$66:$DJ$120,ROWS($A$10:$A33)+2,FALSE)</f>
        <v>1085</v>
      </c>
      <c r="CI33" s="34">
        <f>HLOOKUP(CI$7+0.5,$I$66:$DJ$120,ROWS($A$10:$A33)+2,FALSE)</f>
        <v>558</v>
      </c>
      <c r="CJ33" s="34">
        <f>HLOOKUP(CJ$7+0.5,$I$66:$DJ$120,ROWS($A$10:$A33)+2,FALSE)</f>
        <v>1200</v>
      </c>
      <c r="CK33" s="34">
        <f>HLOOKUP(CK$7+0.5,$I$66:$DJ$120,ROWS($A$10:$A33)+2,FALSE)</f>
        <v>105</v>
      </c>
      <c r="CL33" s="34">
        <f>HLOOKUP(CL$7+0.5,$I$66:$DJ$120,ROWS($A$10:$A33)+2,FALSE)</f>
        <v>312</v>
      </c>
      <c r="CM33" s="34">
        <f>HLOOKUP(CM$7+0.5,$I$66:$DJ$120,ROWS($A$10:$A33)+2,FALSE)</f>
        <v>610</v>
      </c>
      <c r="CN33" s="34">
        <f>HLOOKUP(CN$7+0.5,$I$66:$DJ$120,ROWS($A$10:$A33)+2,FALSE)</f>
        <v>120</v>
      </c>
      <c r="CO33" s="34">
        <f>HLOOKUP(CO$7+0.5,$I$66:$DJ$120,ROWS($A$10:$A33)+2,FALSE)</f>
        <v>779</v>
      </c>
      <c r="CP33" s="34">
        <f>HLOOKUP(CP$7+0.5,$I$66:$DJ$120,ROWS($A$10:$A33)+2,FALSE)</f>
        <v>367</v>
      </c>
      <c r="CQ33" s="34">
        <f>HLOOKUP(CQ$7+0.5,$I$66:$DJ$120,ROWS($A$10:$A33)+2,FALSE)</f>
        <v>2170</v>
      </c>
      <c r="CR33" s="34">
        <f>HLOOKUP(CR$7+0.5,$I$66:$DJ$120,ROWS($A$10:$A33)+2,FALSE)</f>
        <v>1427</v>
      </c>
      <c r="CS33" s="34">
        <f>HLOOKUP(CS$7+0.5,$I$66:$DJ$120,ROWS($A$10:$A33)+2,FALSE)</f>
        <v>164</v>
      </c>
      <c r="CT33" s="34">
        <f>HLOOKUP(CT$7+0.5,$I$66:$DJ$120,ROWS($A$10:$A33)+2,FALSE)</f>
        <v>2069</v>
      </c>
      <c r="CU33" s="34">
        <f>HLOOKUP(CU$7+0.5,$I$66:$DJ$120,ROWS($A$10:$A33)+2,FALSE)</f>
        <v>570</v>
      </c>
      <c r="CV33" s="34">
        <f>HLOOKUP(CV$7+0.5,$I$66:$DJ$120,ROWS($A$10:$A33)+2,FALSE)</f>
        <v>324</v>
      </c>
      <c r="CW33" s="34">
        <f>HLOOKUP(CW$7+0.5,$I$66:$DJ$120,ROWS($A$10:$A33)+2,FALSE)</f>
        <v>1095</v>
      </c>
      <c r="CX33" s="34">
        <f>HLOOKUP(CX$7+0.5,$I$66:$DJ$120,ROWS($A$10:$A33)+2,FALSE)</f>
        <v>377</v>
      </c>
      <c r="CY33" s="34">
        <f>HLOOKUP(CY$7+0.5,$I$66:$DJ$120,ROWS($A$10:$A33)+2,FALSE)</f>
        <v>1094</v>
      </c>
      <c r="CZ33" s="34">
        <f>HLOOKUP(CZ$7+0.5,$I$66:$DJ$120,ROWS($A$10:$A33)+2,FALSE)</f>
        <v>599</v>
      </c>
      <c r="DA33" s="34">
        <f>HLOOKUP(DA$7+0.5,$I$66:$DJ$120,ROWS($A$10:$A33)+2,FALSE)</f>
        <v>973</v>
      </c>
      <c r="DB33" s="34">
        <f>HLOOKUP(DB$7+0.5,$I$66:$DJ$120,ROWS($A$10:$A33)+2,FALSE)</f>
        <v>2208</v>
      </c>
      <c r="DC33" s="34">
        <f>HLOOKUP(DC$7+0.5,$I$66:$DJ$120,ROWS($A$10:$A33)+2,FALSE)</f>
        <v>582</v>
      </c>
      <c r="DD33" s="34">
        <f>HLOOKUP(DD$7+0.5,$I$66:$DJ$120,ROWS($A$10:$A33)+2,FALSE)</f>
        <v>167</v>
      </c>
      <c r="DE33" s="34">
        <f>HLOOKUP(DE$7+0.5,$I$66:$DJ$120,ROWS($A$10:$A33)+2,FALSE)</f>
        <v>834</v>
      </c>
      <c r="DF33" s="34">
        <f>HLOOKUP(DF$7+0.5,$I$66:$DJ$120,ROWS($A$10:$A33)+2,FALSE)</f>
        <v>669</v>
      </c>
      <c r="DG33" s="34">
        <f>HLOOKUP(DG$7+0.5,$I$66:$DJ$120,ROWS($A$10:$A33)+2,FALSE)</f>
        <v>301</v>
      </c>
      <c r="DH33" s="34">
        <f>HLOOKUP(DH$7+0.5,$I$66:$DJ$120,ROWS($A$10:$A33)+2,FALSE)</f>
        <v>1002</v>
      </c>
      <c r="DI33" s="34">
        <f>HLOOKUP(DI$7+0.5,$I$66:$DJ$120,ROWS($A$10:$A33)+2,FALSE)</f>
        <v>655</v>
      </c>
      <c r="DJ33" s="34">
        <f>HLOOKUP(DJ$7+0.5,$I$66:$DJ$120,ROWS($A$10:$A33)+2,FALSE)</f>
        <v>857</v>
      </c>
    </row>
    <row r="34" spans="2:114" x14ac:dyDescent="0.25">
      <c r="B34" s="38" t="s">
        <v>30</v>
      </c>
      <c r="C34" s="16">
        <v>5277329</v>
      </c>
      <c r="D34" s="17">
        <v>3380</v>
      </c>
      <c r="E34" s="16">
        <v>4505462</v>
      </c>
      <c r="F34" s="17">
        <v>20788</v>
      </c>
      <c r="G34" s="16">
        <v>646176</v>
      </c>
      <c r="H34" s="17">
        <v>19647</v>
      </c>
      <c r="I34" s="36">
        <f>HLOOKUP(I$7,$I$66:$DJ$120,ROWS($A$10:$A34)+2,FALSE)</f>
        <v>101029</v>
      </c>
      <c r="J34" s="25">
        <f>HLOOKUP(J$7,$I$66:$DJ$120,ROWS($A$10:$A34)+2,FALSE)</f>
        <v>123</v>
      </c>
      <c r="K34" s="25">
        <f>HLOOKUP(K$7,$I$66:$DJ$120,ROWS($A$10:$A34)+2,FALSE)</f>
        <v>893</v>
      </c>
      <c r="L34" s="25">
        <f>HLOOKUP(L$7,$I$66:$DJ$120,ROWS($A$10:$A34)+2,FALSE)</f>
        <v>2314</v>
      </c>
      <c r="M34" s="25">
        <f>HLOOKUP(M$7,$I$66:$DJ$120,ROWS($A$10:$A34)+2,FALSE)</f>
        <v>951</v>
      </c>
      <c r="N34" s="25">
        <f>HLOOKUP(N$7,$I$66:$DJ$120,ROWS($A$10:$A34)+2,FALSE)</f>
        <v>6638</v>
      </c>
      <c r="O34" s="25">
        <f>HLOOKUP(O$7,$I$66:$DJ$120,ROWS($A$10:$A34)+2,FALSE)</f>
        <v>2662</v>
      </c>
      <c r="P34" s="25">
        <f>HLOOKUP(P$7,$I$66:$DJ$120,ROWS($A$10:$A34)+2,FALSE)</f>
        <v>74</v>
      </c>
      <c r="Q34" s="25">
        <f>HLOOKUP(Q$7,$I$66:$DJ$120,ROWS($A$10:$A34)+2,FALSE)</f>
        <v>86</v>
      </c>
      <c r="R34" s="25">
        <f>HLOOKUP(R$7,$I$66:$DJ$120,ROWS($A$10:$A34)+2,FALSE)</f>
        <v>367</v>
      </c>
      <c r="S34" s="25">
        <f>HLOOKUP(S$7,$I$66:$DJ$120,ROWS($A$10:$A34)+2,FALSE)</f>
        <v>2820</v>
      </c>
      <c r="T34" s="25">
        <f>HLOOKUP(T$7,$I$66:$DJ$120,ROWS($A$10:$A34)+2,FALSE)</f>
        <v>840</v>
      </c>
      <c r="U34" s="25">
        <f>HLOOKUP(U$7,$I$66:$DJ$120,ROWS($A$10:$A34)+2,FALSE)</f>
        <v>901</v>
      </c>
      <c r="V34" s="25">
        <f>HLOOKUP(V$7,$I$66:$DJ$120,ROWS($A$10:$A34)+2,FALSE)</f>
        <v>402</v>
      </c>
      <c r="W34" s="25">
        <f>HLOOKUP(W$7,$I$66:$DJ$120,ROWS($A$10:$A34)+2,FALSE)</f>
        <v>8209</v>
      </c>
      <c r="X34" s="25">
        <f>HLOOKUP(X$7,$I$66:$DJ$120,ROWS($A$10:$A34)+2,FALSE)</f>
        <v>786</v>
      </c>
      <c r="Y34" s="25">
        <f>HLOOKUP(Y$7,$I$66:$DJ$120,ROWS($A$10:$A34)+2,FALSE)</f>
        <v>6175</v>
      </c>
      <c r="Z34" s="25">
        <f>HLOOKUP(Z$7,$I$66:$DJ$120,ROWS($A$10:$A34)+2,FALSE)</f>
        <v>606</v>
      </c>
      <c r="AA34" s="25">
        <f>HLOOKUP(AA$7,$I$66:$DJ$120,ROWS($A$10:$A34)+2,FALSE)</f>
        <v>755</v>
      </c>
      <c r="AB34" s="25">
        <f>HLOOKUP(AB$7,$I$66:$DJ$120,ROWS($A$10:$A34)+2,FALSE)</f>
        <v>573</v>
      </c>
      <c r="AC34" s="25">
        <f>HLOOKUP(AC$7,$I$66:$DJ$120,ROWS($A$10:$A34)+2,FALSE)</f>
        <v>321</v>
      </c>
      <c r="AD34" s="25">
        <f>HLOOKUP(AD$7,$I$66:$DJ$120,ROWS($A$10:$A34)+2,FALSE)</f>
        <v>424</v>
      </c>
      <c r="AE34" s="25">
        <f>HLOOKUP(AE$7,$I$66:$DJ$120,ROWS($A$10:$A34)+2,FALSE)</f>
        <v>970</v>
      </c>
      <c r="AF34" s="25">
        <f>HLOOKUP(AF$7,$I$66:$DJ$120,ROWS($A$10:$A34)+2,FALSE)</f>
        <v>5164</v>
      </c>
      <c r="AG34" s="25" t="str">
        <f>HLOOKUP(AG$7,$I$66:$DJ$120,ROWS($A$10:$A34)+2,FALSE)</f>
        <v>N/A</v>
      </c>
      <c r="AH34" s="25">
        <f>HLOOKUP(AH$7,$I$66:$DJ$120,ROWS($A$10:$A34)+2,FALSE)</f>
        <v>549</v>
      </c>
      <c r="AI34" s="25">
        <f>HLOOKUP(AI$7,$I$66:$DJ$120,ROWS($A$10:$A34)+2,FALSE)</f>
        <v>1345</v>
      </c>
      <c r="AJ34" s="25">
        <f>HLOOKUP(AJ$7,$I$66:$DJ$120,ROWS($A$10:$A34)+2,FALSE)</f>
        <v>1457</v>
      </c>
      <c r="AK34" s="25">
        <f>HLOOKUP(AK$7,$I$66:$DJ$120,ROWS($A$10:$A34)+2,FALSE)</f>
        <v>1936</v>
      </c>
      <c r="AL34" s="25">
        <f>HLOOKUP(AL$7,$I$66:$DJ$120,ROWS($A$10:$A34)+2,FALSE)</f>
        <v>2682</v>
      </c>
      <c r="AM34" s="25">
        <f>HLOOKUP(AM$7,$I$66:$DJ$120,ROWS($A$10:$A34)+2,FALSE)</f>
        <v>21</v>
      </c>
      <c r="AN34" s="25">
        <f>HLOOKUP(AN$7,$I$66:$DJ$120,ROWS($A$10:$A34)+2,FALSE)</f>
        <v>631</v>
      </c>
      <c r="AO34" s="25">
        <f>HLOOKUP(AO$7,$I$66:$DJ$120,ROWS($A$10:$A34)+2,FALSE)</f>
        <v>540</v>
      </c>
      <c r="AP34" s="25">
        <f>HLOOKUP(AP$7,$I$66:$DJ$120,ROWS($A$10:$A34)+2,FALSE)</f>
        <v>2416</v>
      </c>
      <c r="AQ34" s="25">
        <f>HLOOKUP(AQ$7,$I$66:$DJ$120,ROWS($A$10:$A34)+2,FALSE)</f>
        <v>845</v>
      </c>
      <c r="AR34" s="25">
        <f>HLOOKUP(AR$7,$I$66:$DJ$120,ROWS($A$10:$A34)+2,FALSE)</f>
        <v>7574</v>
      </c>
      <c r="AS34" s="25">
        <f>HLOOKUP(AS$7,$I$66:$DJ$120,ROWS($A$10:$A34)+2,FALSE)</f>
        <v>1961</v>
      </c>
      <c r="AT34" s="25">
        <f>HLOOKUP(AT$7,$I$66:$DJ$120,ROWS($A$10:$A34)+2,FALSE)</f>
        <v>546</v>
      </c>
      <c r="AU34" s="25">
        <f>HLOOKUP(AU$7,$I$66:$DJ$120,ROWS($A$10:$A34)+2,FALSE)</f>
        <v>1800</v>
      </c>
      <c r="AV34" s="25">
        <f>HLOOKUP(AV$7,$I$66:$DJ$120,ROWS($A$10:$A34)+2,FALSE)</f>
        <v>870</v>
      </c>
      <c r="AW34" s="25">
        <f>HLOOKUP(AW$7,$I$66:$DJ$120,ROWS($A$10:$A34)+2,FALSE)</f>
        <v>0</v>
      </c>
      <c r="AX34" s="25">
        <f>HLOOKUP(AX$7,$I$66:$DJ$120,ROWS($A$10:$A34)+2,FALSE)</f>
        <v>447</v>
      </c>
      <c r="AY34" s="25">
        <f>HLOOKUP(AY$7,$I$66:$DJ$120,ROWS($A$10:$A34)+2,FALSE)</f>
        <v>5305</v>
      </c>
      <c r="AZ34" s="25">
        <f>HLOOKUP(AZ$7,$I$66:$DJ$120,ROWS($A$10:$A34)+2,FALSE)</f>
        <v>874</v>
      </c>
      <c r="BA34" s="25">
        <f>HLOOKUP(BA$7,$I$66:$DJ$120,ROWS($A$10:$A34)+2,FALSE)</f>
        <v>3062</v>
      </c>
      <c r="BB34" s="25">
        <f>HLOOKUP(BB$7,$I$66:$DJ$120,ROWS($A$10:$A34)+2,FALSE)</f>
        <v>919</v>
      </c>
      <c r="BC34" s="25">
        <f>HLOOKUP(BC$7,$I$66:$DJ$120,ROWS($A$10:$A34)+2,FALSE)</f>
        <v>177</v>
      </c>
      <c r="BD34" s="25">
        <f>HLOOKUP(BD$7,$I$66:$DJ$120,ROWS($A$10:$A34)+2,FALSE)</f>
        <v>1034</v>
      </c>
      <c r="BE34" s="25">
        <f>HLOOKUP(BE$7,$I$66:$DJ$120,ROWS($A$10:$A34)+2,FALSE)</f>
        <v>1413</v>
      </c>
      <c r="BF34" s="25">
        <f>HLOOKUP(BF$7,$I$66:$DJ$120,ROWS($A$10:$A34)+2,FALSE)</f>
        <v>92</v>
      </c>
      <c r="BG34" s="25">
        <f>HLOOKUP(BG$7,$I$66:$DJ$120,ROWS($A$10:$A34)+2,FALSE)</f>
        <v>19255</v>
      </c>
      <c r="BH34" s="25">
        <f>HLOOKUP(BH$7,$I$66:$DJ$120,ROWS($A$10:$A34)+2,FALSE)</f>
        <v>224</v>
      </c>
      <c r="BI34" s="25">
        <f>HLOOKUP(BI$7,$I$66:$DJ$120,ROWS($A$10:$A34)+2,FALSE)</f>
        <v>54</v>
      </c>
      <c r="BJ34" s="34">
        <f>HLOOKUP(BJ$7+0.5,$I$66:$DJ$120,ROWS($A$10:$A34)+2,FALSE)</f>
        <v>7052</v>
      </c>
      <c r="BK34" s="34">
        <f>HLOOKUP(BK$7+0.5,$I$66:$DJ$120,ROWS($A$10:$A34)+2,FALSE)</f>
        <v>150</v>
      </c>
      <c r="BL34" s="34">
        <f>HLOOKUP(BL$7+0.5,$I$66:$DJ$120,ROWS($A$10:$A34)+2,FALSE)</f>
        <v>619</v>
      </c>
      <c r="BM34" s="34">
        <f>HLOOKUP(BM$7+0.5,$I$66:$DJ$120,ROWS($A$10:$A34)+2,FALSE)</f>
        <v>1071</v>
      </c>
      <c r="BN34" s="34">
        <f>HLOOKUP(BN$7+0.5,$I$66:$DJ$120,ROWS($A$10:$A34)+2,FALSE)</f>
        <v>599</v>
      </c>
      <c r="BO34" s="34">
        <f>HLOOKUP(BO$7+0.5,$I$66:$DJ$120,ROWS($A$10:$A34)+2,FALSE)</f>
        <v>2072</v>
      </c>
      <c r="BP34" s="34">
        <f>HLOOKUP(BP$7+0.5,$I$66:$DJ$120,ROWS($A$10:$A34)+2,FALSE)</f>
        <v>1023</v>
      </c>
      <c r="BQ34" s="34">
        <f>HLOOKUP(BQ$7+0.5,$I$66:$DJ$120,ROWS($A$10:$A34)+2,FALSE)</f>
        <v>131</v>
      </c>
      <c r="BR34" s="34">
        <f>HLOOKUP(BR$7+0.5,$I$66:$DJ$120,ROWS($A$10:$A34)+2,FALSE)</f>
        <v>143</v>
      </c>
      <c r="BS34" s="34">
        <f>HLOOKUP(BS$7+0.5,$I$66:$DJ$120,ROWS($A$10:$A34)+2,FALSE)</f>
        <v>391</v>
      </c>
      <c r="BT34" s="34">
        <f>HLOOKUP(BT$7+0.5,$I$66:$DJ$120,ROWS($A$10:$A34)+2,FALSE)</f>
        <v>806</v>
      </c>
      <c r="BU34" s="34">
        <f>HLOOKUP(BU$7+0.5,$I$66:$DJ$120,ROWS($A$10:$A34)+2,FALSE)</f>
        <v>467</v>
      </c>
      <c r="BV34" s="34">
        <f>HLOOKUP(BV$7+0.5,$I$66:$DJ$120,ROWS($A$10:$A34)+2,FALSE)</f>
        <v>634</v>
      </c>
      <c r="BW34" s="34">
        <f>HLOOKUP(BW$7+0.5,$I$66:$DJ$120,ROWS($A$10:$A34)+2,FALSE)</f>
        <v>328</v>
      </c>
      <c r="BX34" s="34">
        <f>HLOOKUP(BX$7+0.5,$I$66:$DJ$120,ROWS($A$10:$A34)+2,FALSE)</f>
        <v>2632</v>
      </c>
      <c r="BY34" s="34">
        <f>HLOOKUP(BY$7+0.5,$I$66:$DJ$120,ROWS($A$10:$A34)+2,FALSE)</f>
        <v>470</v>
      </c>
      <c r="BZ34" s="34">
        <f>HLOOKUP(BZ$7+0.5,$I$66:$DJ$120,ROWS($A$10:$A34)+2,FALSE)</f>
        <v>1326</v>
      </c>
      <c r="CA34" s="34">
        <f>HLOOKUP(CA$7+0.5,$I$66:$DJ$120,ROWS($A$10:$A34)+2,FALSE)</f>
        <v>324</v>
      </c>
      <c r="CB34" s="34">
        <f>HLOOKUP(CB$7+0.5,$I$66:$DJ$120,ROWS($A$10:$A34)+2,FALSE)</f>
        <v>580</v>
      </c>
      <c r="CC34" s="34">
        <f>HLOOKUP(CC$7+0.5,$I$66:$DJ$120,ROWS($A$10:$A34)+2,FALSE)</f>
        <v>599</v>
      </c>
      <c r="CD34" s="34">
        <f>HLOOKUP(CD$7+0.5,$I$66:$DJ$120,ROWS($A$10:$A34)+2,FALSE)</f>
        <v>343</v>
      </c>
      <c r="CE34" s="34">
        <f>HLOOKUP(CE$7+0.5,$I$66:$DJ$120,ROWS($A$10:$A34)+2,FALSE)</f>
        <v>382</v>
      </c>
      <c r="CF34" s="34">
        <f>HLOOKUP(CF$7+0.5,$I$66:$DJ$120,ROWS($A$10:$A34)+2,FALSE)</f>
        <v>422</v>
      </c>
      <c r="CG34" s="34">
        <f>HLOOKUP(CG$7+0.5,$I$66:$DJ$120,ROWS($A$10:$A34)+2,FALSE)</f>
        <v>2149</v>
      </c>
      <c r="CH34" s="34" t="str">
        <f>HLOOKUP(CH$7+0.5,$I$66:$DJ$120,ROWS($A$10:$A34)+2,FALSE)</f>
        <v>N/A</v>
      </c>
      <c r="CI34" s="34">
        <f>HLOOKUP(CI$7+0.5,$I$66:$DJ$120,ROWS($A$10:$A34)+2,FALSE)</f>
        <v>593</v>
      </c>
      <c r="CJ34" s="34">
        <f>HLOOKUP(CJ$7+0.5,$I$66:$DJ$120,ROWS($A$10:$A34)+2,FALSE)</f>
        <v>712</v>
      </c>
      <c r="CK34" s="34">
        <f>HLOOKUP(CK$7+0.5,$I$66:$DJ$120,ROWS($A$10:$A34)+2,FALSE)</f>
        <v>859</v>
      </c>
      <c r="CL34" s="34">
        <f>HLOOKUP(CL$7+0.5,$I$66:$DJ$120,ROWS($A$10:$A34)+2,FALSE)</f>
        <v>821</v>
      </c>
      <c r="CM34" s="34">
        <f>HLOOKUP(CM$7+0.5,$I$66:$DJ$120,ROWS($A$10:$A34)+2,FALSE)</f>
        <v>1858</v>
      </c>
      <c r="CN34" s="34">
        <f>HLOOKUP(CN$7+0.5,$I$66:$DJ$120,ROWS($A$10:$A34)+2,FALSE)</f>
        <v>26</v>
      </c>
      <c r="CO34" s="34">
        <f>HLOOKUP(CO$7+0.5,$I$66:$DJ$120,ROWS($A$10:$A34)+2,FALSE)</f>
        <v>522</v>
      </c>
      <c r="CP34" s="34">
        <f>HLOOKUP(CP$7+0.5,$I$66:$DJ$120,ROWS($A$10:$A34)+2,FALSE)</f>
        <v>319</v>
      </c>
      <c r="CQ34" s="34">
        <f>HLOOKUP(CQ$7+0.5,$I$66:$DJ$120,ROWS($A$10:$A34)+2,FALSE)</f>
        <v>913</v>
      </c>
      <c r="CR34" s="34">
        <f>HLOOKUP(CR$7+0.5,$I$66:$DJ$120,ROWS($A$10:$A34)+2,FALSE)</f>
        <v>520</v>
      </c>
      <c r="CS34" s="34">
        <f>HLOOKUP(CS$7+0.5,$I$66:$DJ$120,ROWS($A$10:$A34)+2,FALSE)</f>
        <v>1390</v>
      </c>
      <c r="CT34" s="34">
        <f>HLOOKUP(CT$7+0.5,$I$66:$DJ$120,ROWS($A$10:$A34)+2,FALSE)</f>
        <v>1059</v>
      </c>
      <c r="CU34" s="34">
        <f>HLOOKUP(CU$7+0.5,$I$66:$DJ$120,ROWS($A$10:$A34)+2,FALSE)</f>
        <v>399</v>
      </c>
      <c r="CV34" s="34">
        <f>HLOOKUP(CV$7+0.5,$I$66:$DJ$120,ROWS($A$10:$A34)+2,FALSE)</f>
        <v>1169</v>
      </c>
      <c r="CW34" s="34">
        <f>HLOOKUP(CW$7+0.5,$I$66:$DJ$120,ROWS($A$10:$A34)+2,FALSE)</f>
        <v>509</v>
      </c>
      <c r="CX34" s="34">
        <f>HLOOKUP(CX$7+0.5,$I$66:$DJ$120,ROWS($A$10:$A34)+2,FALSE)</f>
        <v>143</v>
      </c>
      <c r="CY34" s="34">
        <f>HLOOKUP(CY$7+0.5,$I$66:$DJ$120,ROWS($A$10:$A34)+2,FALSE)</f>
        <v>428</v>
      </c>
      <c r="CZ34" s="34">
        <f>HLOOKUP(CZ$7+0.5,$I$66:$DJ$120,ROWS($A$10:$A34)+2,FALSE)</f>
        <v>1596</v>
      </c>
      <c r="DA34" s="34">
        <f>HLOOKUP(DA$7+0.5,$I$66:$DJ$120,ROWS($A$10:$A34)+2,FALSE)</f>
        <v>489</v>
      </c>
      <c r="DB34" s="34">
        <f>HLOOKUP(DB$7+0.5,$I$66:$DJ$120,ROWS($A$10:$A34)+2,FALSE)</f>
        <v>1108</v>
      </c>
      <c r="DC34" s="34">
        <f>HLOOKUP(DC$7+0.5,$I$66:$DJ$120,ROWS($A$10:$A34)+2,FALSE)</f>
        <v>742</v>
      </c>
      <c r="DD34" s="34">
        <f>HLOOKUP(DD$7+0.5,$I$66:$DJ$120,ROWS($A$10:$A34)+2,FALSE)</f>
        <v>161</v>
      </c>
      <c r="DE34" s="34">
        <f>HLOOKUP(DE$7+0.5,$I$66:$DJ$120,ROWS($A$10:$A34)+2,FALSE)</f>
        <v>420</v>
      </c>
      <c r="DF34" s="34">
        <f>HLOOKUP(DF$7+0.5,$I$66:$DJ$120,ROWS($A$10:$A34)+2,FALSE)</f>
        <v>656</v>
      </c>
      <c r="DG34" s="34">
        <f>HLOOKUP(DG$7+0.5,$I$66:$DJ$120,ROWS($A$10:$A34)+2,FALSE)</f>
        <v>98</v>
      </c>
      <c r="DH34" s="34">
        <f>HLOOKUP(DH$7+0.5,$I$66:$DJ$120,ROWS($A$10:$A34)+2,FALSE)</f>
        <v>2960</v>
      </c>
      <c r="DI34" s="34">
        <f>HLOOKUP(DI$7+0.5,$I$66:$DJ$120,ROWS($A$10:$A34)+2,FALSE)</f>
        <v>178</v>
      </c>
      <c r="DJ34" s="34">
        <f>HLOOKUP(DJ$7+0.5,$I$66:$DJ$120,ROWS($A$10:$A34)+2,FALSE)</f>
        <v>91</v>
      </c>
    </row>
    <row r="35" spans="2:114" x14ac:dyDescent="0.25">
      <c r="B35" s="38" t="s">
        <v>31</v>
      </c>
      <c r="C35" s="16">
        <v>2943021</v>
      </c>
      <c r="D35" s="17">
        <v>3088</v>
      </c>
      <c r="E35" s="16">
        <v>2534036</v>
      </c>
      <c r="F35" s="17">
        <v>16620</v>
      </c>
      <c r="G35" s="16">
        <v>332934</v>
      </c>
      <c r="H35" s="17">
        <v>15960</v>
      </c>
      <c r="I35" s="36">
        <f>HLOOKUP(I$7,$I$66:$DJ$120,ROWS($A$10:$A35)+2,FALSE)</f>
        <v>68511</v>
      </c>
      <c r="J35" s="25">
        <f>HLOOKUP(J$7,$I$66:$DJ$120,ROWS($A$10:$A35)+2,FALSE)</f>
        <v>8922</v>
      </c>
      <c r="K35" s="25">
        <f>HLOOKUP(K$7,$I$66:$DJ$120,ROWS($A$10:$A35)+2,FALSE)</f>
        <v>117</v>
      </c>
      <c r="L35" s="25">
        <f>HLOOKUP(L$7,$I$66:$DJ$120,ROWS($A$10:$A35)+2,FALSE)</f>
        <v>556</v>
      </c>
      <c r="M35" s="25">
        <f>HLOOKUP(M$7,$I$66:$DJ$120,ROWS($A$10:$A35)+2,FALSE)</f>
        <v>2315</v>
      </c>
      <c r="N35" s="25">
        <f>HLOOKUP(N$7,$I$66:$DJ$120,ROWS($A$10:$A35)+2,FALSE)</f>
        <v>4723</v>
      </c>
      <c r="O35" s="25">
        <f>HLOOKUP(O$7,$I$66:$DJ$120,ROWS($A$10:$A35)+2,FALSE)</f>
        <v>484</v>
      </c>
      <c r="P35" s="25">
        <f>HLOOKUP(P$7,$I$66:$DJ$120,ROWS($A$10:$A35)+2,FALSE)</f>
        <v>54</v>
      </c>
      <c r="Q35" s="25">
        <f>HLOOKUP(Q$7,$I$66:$DJ$120,ROWS($A$10:$A35)+2,FALSE)</f>
        <v>0</v>
      </c>
      <c r="R35" s="25">
        <f>HLOOKUP(R$7,$I$66:$DJ$120,ROWS($A$10:$A35)+2,FALSE)</f>
        <v>415</v>
      </c>
      <c r="S35" s="25">
        <f>HLOOKUP(S$7,$I$66:$DJ$120,ROWS($A$10:$A35)+2,FALSE)</f>
        <v>6152</v>
      </c>
      <c r="T35" s="25">
        <f>HLOOKUP(T$7,$I$66:$DJ$120,ROWS($A$10:$A35)+2,FALSE)</f>
        <v>3136</v>
      </c>
      <c r="U35" s="25">
        <f>HLOOKUP(U$7,$I$66:$DJ$120,ROWS($A$10:$A35)+2,FALSE)</f>
        <v>369</v>
      </c>
      <c r="V35" s="25">
        <f>HLOOKUP(V$7,$I$66:$DJ$120,ROWS($A$10:$A35)+2,FALSE)</f>
        <v>55</v>
      </c>
      <c r="W35" s="25">
        <f>HLOOKUP(W$7,$I$66:$DJ$120,ROWS($A$10:$A35)+2,FALSE)</f>
        <v>2068</v>
      </c>
      <c r="X35" s="25">
        <f>HLOOKUP(X$7,$I$66:$DJ$120,ROWS($A$10:$A35)+2,FALSE)</f>
        <v>611</v>
      </c>
      <c r="Y35" s="25">
        <f>HLOOKUP(Y$7,$I$66:$DJ$120,ROWS($A$10:$A35)+2,FALSE)</f>
        <v>650</v>
      </c>
      <c r="Z35" s="25">
        <f>HLOOKUP(Z$7,$I$66:$DJ$120,ROWS($A$10:$A35)+2,FALSE)</f>
        <v>66</v>
      </c>
      <c r="AA35" s="25">
        <f>HLOOKUP(AA$7,$I$66:$DJ$120,ROWS($A$10:$A35)+2,FALSE)</f>
        <v>1626</v>
      </c>
      <c r="AB35" s="25">
        <f>HLOOKUP(AB$7,$I$66:$DJ$120,ROWS($A$10:$A35)+2,FALSE)</f>
        <v>7139</v>
      </c>
      <c r="AC35" s="25">
        <f>HLOOKUP(AC$7,$I$66:$DJ$120,ROWS($A$10:$A35)+2,FALSE)</f>
        <v>0</v>
      </c>
      <c r="AD35" s="25">
        <f>HLOOKUP(AD$7,$I$66:$DJ$120,ROWS($A$10:$A35)+2,FALSE)</f>
        <v>265</v>
      </c>
      <c r="AE35" s="25">
        <f>HLOOKUP(AE$7,$I$66:$DJ$120,ROWS($A$10:$A35)+2,FALSE)</f>
        <v>1445</v>
      </c>
      <c r="AF35" s="25">
        <f>HLOOKUP(AF$7,$I$66:$DJ$120,ROWS($A$10:$A35)+2,FALSE)</f>
        <v>1610</v>
      </c>
      <c r="AG35" s="25">
        <f>HLOOKUP(AG$7,$I$66:$DJ$120,ROWS($A$10:$A35)+2,FALSE)</f>
        <v>614</v>
      </c>
      <c r="AH35" s="25" t="str">
        <f>HLOOKUP(AH$7,$I$66:$DJ$120,ROWS($A$10:$A35)+2,FALSE)</f>
        <v>N/A</v>
      </c>
      <c r="AI35" s="25">
        <f>HLOOKUP(AI$7,$I$66:$DJ$120,ROWS($A$10:$A35)+2,FALSE)</f>
        <v>1581</v>
      </c>
      <c r="AJ35" s="25">
        <f>HLOOKUP(AJ$7,$I$66:$DJ$120,ROWS($A$10:$A35)+2,FALSE)</f>
        <v>0</v>
      </c>
      <c r="AK35" s="25">
        <f>HLOOKUP(AK$7,$I$66:$DJ$120,ROWS($A$10:$A35)+2,FALSE)</f>
        <v>118</v>
      </c>
      <c r="AL35" s="25">
        <f>HLOOKUP(AL$7,$I$66:$DJ$120,ROWS($A$10:$A35)+2,FALSE)</f>
        <v>84</v>
      </c>
      <c r="AM35" s="25">
        <f>HLOOKUP(AM$7,$I$66:$DJ$120,ROWS($A$10:$A35)+2,FALSE)</f>
        <v>65</v>
      </c>
      <c r="AN35" s="25">
        <f>HLOOKUP(AN$7,$I$66:$DJ$120,ROWS($A$10:$A35)+2,FALSE)</f>
        <v>269</v>
      </c>
      <c r="AO35" s="25">
        <f>HLOOKUP(AO$7,$I$66:$DJ$120,ROWS($A$10:$A35)+2,FALSE)</f>
        <v>1075</v>
      </c>
      <c r="AP35" s="25">
        <f>HLOOKUP(AP$7,$I$66:$DJ$120,ROWS($A$10:$A35)+2,FALSE)</f>
        <v>364</v>
      </c>
      <c r="AQ35" s="25">
        <f>HLOOKUP(AQ$7,$I$66:$DJ$120,ROWS($A$10:$A35)+2,FALSE)</f>
        <v>483</v>
      </c>
      <c r="AR35" s="25">
        <f>HLOOKUP(AR$7,$I$66:$DJ$120,ROWS($A$10:$A35)+2,FALSE)</f>
        <v>0</v>
      </c>
      <c r="AS35" s="25">
        <f>HLOOKUP(AS$7,$I$66:$DJ$120,ROWS($A$10:$A35)+2,FALSE)</f>
        <v>991</v>
      </c>
      <c r="AT35" s="25">
        <f>HLOOKUP(AT$7,$I$66:$DJ$120,ROWS($A$10:$A35)+2,FALSE)</f>
        <v>566</v>
      </c>
      <c r="AU35" s="25">
        <f>HLOOKUP(AU$7,$I$66:$DJ$120,ROWS($A$10:$A35)+2,FALSE)</f>
        <v>74</v>
      </c>
      <c r="AV35" s="25">
        <f>HLOOKUP(AV$7,$I$66:$DJ$120,ROWS($A$10:$A35)+2,FALSE)</f>
        <v>2568</v>
      </c>
      <c r="AW35" s="25">
        <f>HLOOKUP(AW$7,$I$66:$DJ$120,ROWS($A$10:$A35)+2,FALSE)</f>
        <v>41</v>
      </c>
      <c r="AX35" s="25">
        <f>HLOOKUP(AX$7,$I$66:$DJ$120,ROWS($A$10:$A35)+2,FALSE)</f>
        <v>398</v>
      </c>
      <c r="AY35" s="25">
        <f>HLOOKUP(AY$7,$I$66:$DJ$120,ROWS($A$10:$A35)+2,FALSE)</f>
        <v>6</v>
      </c>
      <c r="AZ35" s="25">
        <f>HLOOKUP(AZ$7,$I$66:$DJ$120,ROWS($A$10:$A35)+2,FALSE)</f>
        <v>7683</v>
      </c>
      <c r="BA35" s="25">
        <f>HLOOKUP(BA$7,$I$66:$DJ$120,ROWS($A$10:$A35)+2,FALSE)</f>
        <v>5243</v>
      </c>
      <c r="BB35" s="25">
        <f>HLOOKUP(BB$7,$I$66:$DJ$120,ROWS($A$10:$A35)+2,FALSE)</f>
        <v>332</v>
      </c>
      <c r="BC35" s="25">
        <f>HLOOKUP(BC$7,$I$66:$DJ$120,ROWS($A$10:$A35)+2,FALSE)</f>
        <v>0</v>
      </c>
      <c r="BD35" s="25">
        <f>HLOOKUP(BD$7,$I$66:$DJ$120,ROWS($A$10:$A35)+2,FALSE)</f>
        <v>1453</v>
      </c>
      <c r="BE35" s="25">
        <f>HLOOKUP(BE$7,$I$66:$DJ$120,ROWS($A$10:$A35)+2,FALSE)</f>
        <v>286</v>
      </c>
      <c r="BF35" s="25">
        <f>HLOOKUP(BF$7,$I$66:$DJ$120,ROWS($A$10:$A35)+2,FALSE)</f>
        <v>303</v>
      </c>
      <c r="BG35" s="25">
        <f>HLOOKUP(BG$7,$I$66:$DJ$120,ROWS($A$10:$A35)+2,FALSE)</f>
        <v>1136</v>
      </c>
      <c r="BH35" s="25">
        <f>HLOOKUP(BH$7,$I$66:$DJ$120,ROWS($A$10:$A35)+2,FALSE)</f>
        <v>0</v>
      </c>
      <c r="BI35" s="25">
        <f>HLOOKUP(BI$7,$I$66:$DJ$120,ROWS($A$10:$A35)+2,FALSE)</f>
        <v>318</v>
      </c>
      <c r="BJ35" s="34">
        <f>HLOOKUP(BJ$7+0.5,$I$66:$DJ$120,ROWS($A$10:$A35)+2,FALSE)</f>
        <v>5606</v>
      </c>
      <c r="BK35" s="34">
        <f>HLOOKUP(BK$7+0.5,$I$66:$DJ$120,ROWS($A$10:$A35)+2,FALSE)</f>
        <v>2639</v>
      </c>
      <c r="BL35" s="34">
        <f>HLOOKUP(BL$7+0.5,$I$66:$DJ$120,ROWS($A$10:$A35)+2,FALSE)</f>
        <v>102</v>
      </c>
      <c r="BM35" s="34">
        <f>HLOOKUP(BM$7+0.5,$I$66:$DJ$120,ROWS($A$10:$A35)+2,FALSE)</f>
        <v>405</v>
      </c>
      <c r="BN35" s="34">
        <f>HLOOKUP(BN$7+0.5,$I$66:$DJ$120,ROWS($A$10:$A35)+2,FALSE)</f>
        <v>1360</v>
      </c>
      <c r="BO35" s="34">
        <f>HLOOKUP(BO$7+0.5,$I$66:$DJ$120,ROWS($A$10:$A35)+2,FALSE)</f>
        <v>1290</v>
      </c>
      <c r="BP35" s="34">
        <f>HLOOKUP(BP$7+0.5,$I$66:$DJ$120,ROWS($A$10:$A35)+2,FALSE)</f>
        <v>453</v>
      </c>
      <c r="BQ35" s="34">
        <f>HLOOKUP(BQ$7+0.5,$I$66:$DJ$120,ROWS($A$10:$A35)+2,FALSE)</f>
        <v>74</v>
      </c>
      <c r="BR35" s="34">
        <f>HLOOKUP(BR$7+0.5,$I$66:$DJ$120,ROWS($A$10:$A35)+2,FALSE)</f>
        <v>206</v>
      </c>
      <c r="BS35" s="34">
        <f>HLOOKUP(BS$7+0.5,$I$66:$DJ$120,ROWS($A$10:$A35)+2,FALSE)</f>
        <v>434</v>
      </c>
      <c r="BT35" s="34">
        <f>HLOOKUP(BT$7+0.5,$I$66:$DJ$120,ROWS($A$10:$A35)+2,FALSE)</f>
        <v>2463</v>
      </c>
      <c r="BU35" s="34">
        <f>HLOOKUP(BU$7+0.5,$I$66:$DJ$120,ROWS($A$10:$A35)+2,FALSE)</f>
        <v>1397</v>
      </c>
      <c r="BV35" s="34">
        <f>HLOOKUP(BV$7+0.5,$I$66:$DJ$120,ROWS($A$10:$A35)+2,FALSE)</f>
        <v>429</v>
      </c>
      <c r="BW35" s="34">
        <f>HLOOKUP(BW$7+0.5,$I$66:$DJ$120,ROWS($A$10:$A35)+2,FALSE)</f>
        <v>82</v>
      </c>
      <c r="BX35" s="34">
        <f>HLOOKUP(BX$7+0.5,$I$66:$DJ$120,ROWS($A$10:$A35)+2,FALSE)</f>
        <v>853</v>
      </c>
      <c r="BY35" s="34">
        <f>HLOOKUP(BY$7+0.5,$I$66:$DJ$120,ROWS($A$10:$A35)+2,FALSE)</f>
        <v>411</v>
      </c>
      <c r="BZ35" s="34">
        <f>HLOOKUP(BZ$7+0.5,$I$66:$DJ$120,ROWS($A$10:$A35)+2,FALSE)</f>
        <v>603</v>
      </c>
      <c r="CA35" s="34">
        <f>HLOOKUP(CA$7+0.5,$I$66:$DJ$120,ROWS($A$10:$A35)+2,FALSE)</f>
        <v>90</v>
      </c>
      <c r="CB35" s="34">
        <f>HLOOKUP(CB$7+0.5,$I$66:$DJ$120,ROWS($A$10:$A35)+2,FALSE)</f>
        <v>841</v>
      </c>
      <c r="CC35" s="34">
        <f>HLOOKUP(CC$7+0.5,$I$66:$DJ$120,ROWS($A$10:$A35)+2,FALSE)</f>
        <v>1767</v>
      </c>
      <c r="CD35" s="34">
        <f>HLOOKUP(CD$7+0.5,$I$66:$DJ$120,ROWS($A$10:$A35)+2,FALSE)</f>
        <v>206</v>
      </c>
      <c r="CE35" s="34">
        <f>HLOOKUP(CE$7+0.5,$I$66:$DJ$120,ROWS($A$10:$A35)+2,FALSE)</f>
        <v>239</v>
      </c>
      <c r="CF35" s="34">
        <f>HLOOKUP(CF$7+0.5,$I$66:$DJ$120,ROWS($A$10:$A35)+2,FALSE)</f>
        <v>1561</v>
      </c>
      <c r="CG35" s="34">
        <f>HLOOKUP(CG$7+0.5,$I$66:$DJ$120,ROWS($A$10:$A35)+2,FALSE)</f>
        <v>900</v>
      </c>
      <c r="CH35" s="34">
        <f>HLOOKUP(CH$7+0.5,$I$66:$DJ$120,ROWS($A$10:$A35)+2,FALSE)</f>
        <v>615</v>
      </c>
      <c r="CI35" s="34" t="str">
        <f>HLOOKUP(CI$7+0.5,$I$66:$DJ$120,ROWS($A$10:$A35)+2,FALSE)</f>
        <v>N/A</v>
      </c>
      <c r="CJ35" s="34">
        <f>HLOOKUP(CJ$7+0.5,$I$66:$DJ$120,ROWS($A$10:$A35)+2,FALSE)</f>
        <v>973</v>
      </c>
      <c r="CK35" s="34">
        <f>HLOOKUP(CK$7+0.5,$I$66:$DJ$120,ROWS($A$10:$A35)+2,FALSE)</f>
        <v>206</v>
      </c>
      <c r="CL35" s="34">
        <f>HLOOKUP(CL$7+0.5,$I$66:$DJ$120,ROWS($A$10:$A35)+2,FALSE)</f>
        <v>198</v>
      </c>
      <c r="CM35" s="34">
        <f>HLOOKUP(CM$7+0.5,$I$66:$DJ$120,ROWS($A$10:$A35)+2,FALSE)</f>
        <v>141</v>
      </c>
      <c r="CN35" s="34">
        <f>HLOOKUP(CN$7+0.5,$I$66:$DJ$120,ROWS($A$10:$A35)+2,FALSE)</f>
        <v>135</v>
      </c>
      <c r="CO35" s="34">
        <f>HLOOKUP(CO$7+0.5,$I$66:$DJ$120,ROWS($A$10:$A35)+2,FALSE)</f>
        <v>293</v>
      </c>
      <c r="CP35" s="34">
        <f>HLOOKUP(CP$7+0.5,$I$66:$DJ$120,ROWS($A$10:$A35)+2,FALSE)</f>
        <v>1040</v>
      </c>
      <c r="CQ35" s="34">
        <f>HLOOKUP(CQ$7+0.5,$I$66:$DJ$120,ROWS($A$10:$A35)+2,FALSE)</f>
        <v>449</v>
      </c>
      <c r="CR35" s="34">
        <f>HLOOKUP(CR$7+0.5,$I$66:$DJ$120,ROWS($A$10:$A35)+2,FALSE)</f>
        <v>299</v>
      </c>
      <c r="CS35" s="34">
        <f>HLOOKUP(CS$7+0.5,$I$66:$DJ$120,ROWS($A$10:$A35)+2,FALSE)</f>
        <v>206</v>
      </c>
      <c r="CT35" s="34">
        <f>HLOOKUP(CT$7+0.5,$I$66:$DJ$120,ROWS($A$10:$A35)+2,FALSE)</f>
        <v>536</v>
      </c>
      <c r="CU35" s="34">
        <f>HLOOKUP(CU$7+0.5,$I$66:$DJ$120,ROWS($A$10:$A35)+2,FALSE)</f>
        <v>362</v>
      </c>
      <c r="CV35" s="34">
        <f>HLOOKUP(CV$7+0.5,$I$66:$DJ$120,ROWS($A$10:$A35)+2,FALSE)</f>
        <v>107</v>
      </c>
      <c r="CW35" s="34">
        <f>HLOOKUP(CW$7+0.5,$I$66:$DJ$120,ROWS($A$10:$A35)+2,FALSE)</f>
        <v>1700</v>
      </c>
      <c r="CX35" s="34">
        <f>HLOOKUP(CX$7+0.5,$I$66:$DJ$120,ROWS($A$10:$A35)+2,FALSE)</f>
        <v>89</v>
      </c>
      <c r="CY35" s="34">
        <f>HLOOKUP(CY$7+0.5,$I$66:$DJ$120,ROWS($A$10:$A35)+2,FALSE)</f>
        <v>320</v>
      </c>
      <c r="CZ35" s="34">
        <f>HLOOKUP(CZ$7+0.5,$I$66:$DJ$120,ROWS($A$10:$A35)+2,FALSE)</f>
        <v>15</v>
      </c>
      <c r="DA35" s="34">
        <f>HLOOKUP(DA$7+0.5,$I$66:$DJ$120,ROWS($A$10:$A35)+2,FALSE)</f>
        <v>2248</v>
      </c>
      <c r="DB35" s="34">
        <f>HLOOKUP(DB$7+0.5,$I$66:$DJ$120,ROWS($A$10:$A35)+2,FALSE)</f>
        <v>1807</v>
      </c>
      <c r="DC35" s="34">
        <f>HLOOKUP(DC$7+0.5,$I$66:$DJ$120,ROWS($A$10:$A35)+2,FALSE)</f>
        <v>520</v>
      </c>
      <c r="DD35" s="34">
        <f>HLOOKUP(DD$7+0.5,$I$66:$DJ$120,ROWS($A$10:$A35)+2,FALSE)</f>
        <v>206</v>
      </c>
      <c r="DE35" s="34">
        <f>HLOOKUP(DE$7+0.5,$I$66:$DJ$120,ROWS($A$10:$A35)+2,FALSE)</f>
        <v>805</v>
      </c>
      <c r="DF35" s="34">
        <f>HLOOKUP(DF$7+0.5,$I$66:$DJ$120,ROWS($A$10:$A35)+2,FALSE)</f>
        <v>252</v>
      </c>
      <c r="DG35" s="34">
        <f>HLOOKUP(DG$7+0.5,$I$66:$DJ$120,ROWS($A$10:$A35)+2,FALSE)</f>
        <v>411</v>
      </c>
      <c r="DH35" s="34">
        <f>HLOOKUP(DH$7+0.5,$I$66:$DJ$120,ROWS($A$10:$A35)+2,FALSE)</f>
        <v>1061</v>
      </c>
      <c r="DI35" s="34">
        <f>HLOOKUP(DI$7+0.5,$I$66:$DJ$120,ROWS($A$10:$A35)+2,FALSE)</f>
        <v>206</v>
      </c>
      <c r="DJ35" s="34">
        <f>HLOOKUP(DJ$7+0.5,$I$66:$DJ$120,ROWS($A$10:$A35)+2,FALSE)</f>
        <v>411</v>
      </c>
    </row>
    <row r="36" spans="2:114" x14ac:dyDescent="0.25">
      <c r="B36" s="38" t="s">
        <v>32</v>
      </c>
      <c r="C36" s="16">
        <v>5937896</v>
      </c>
      <c r="D36" s="17">
        <v>4110</v>
      </c>
      <c r="E36" s="16">
        <v>4963040</v>
      </c>
      <c r="F36" s="17">
        <v>26160</v>
      </c>
      <c r="G36" s="16">
        <v>801046</v>
      </c>
      <c r="H36" s="17">
        <v>25054</v>
      </c>
      <c r="I36" s="36">
        <f>HLOOKUP(I$7,$I$66:$DJ$120,ROWS($A$10:$A36)+2,FALSE)</f>
        <v>149439</v>
      </c>
      <c r="J36" s="25">
        <f>HLOOKUP(J$7,$I$66:$DJ$120,ROWS($A$10:$A36)+2,FALSE)</f>
        <v>1395</v>
      </c>
      <c r="K36" s="25">
        <f>HLOOKUP(K$7,$I$66:$DJ$120,ROWS($A$10:$A36)+2,FALSE)</f>
        <v>2043</v>
      </c>
      <c r="L36" s="25">
        <f>HLOOKUP(L$7,$I$66:$DJ$120,ROWS($A$10:$A36)+2,FALSE)</f>
        <v>2356</v>
      </c>
      <c r="M36" s="25">
        <f>HLOOKUP(M$7,$I$66:$DJ$120,ROWS($A$10:$A36)+2,FALSE)</f>
        <v>6168</v>
      </c>
      <c r="N36" s="25">
        <f>HLOOKUP(N$7,$I$66:$DJ$120,ROWS($A$10:$A36)+2,FALSE)</f>
        <v>8386</v>
      </c>
      <c r="O36" s="25">
        <f>HLOOKUP(O$7,$I$66:$DJ$120,ROWS($A$10:$A36)+2,FALSE)</f>
        <v>3144</v>
      </c>
      <c r="P36" s="25">
        <f>HLOOKUP(P$7,$I$66:$DJ$120,ROWS($A$10:$A36)+2,FALSE)</f>
        <v>1516</v>
      </c>
      <c r="Q36" s="25">
        <f>HLOOKUP(Q$7,$I$66:$DJ$120,ROWS($A$10:$A36)+2,FALSE)</f>
        <v>0</v>
      </c>
      <c r="R36" s="25">
        <f>HLOOKUP(R$7,$I$66:$DJ$120,ROWS($A$10:$A36)+2,FALSE)</f>
        <v>215</v>
      </c>
      <c r="S36" s="25">
        <f>HLOOKUP(S$7,$I$66:$DJ$120,ROWS($A$10:$A36)+2,FALSE)</f>
        <v>4513</v>
      </c>
      <c r="T36" s="25">
        <f>HLOOKUP(T$7,$I$66:$DJ$120,ROWS($A$10:$A36)+2,FALSE)</f>
        <v>2964</v>
      </c>
      <c r="U36" s="25">
        <f>HLOOKUP(U$7,$I$66:$DJ$120,ROWS($A$10:$A36)+2,FALSE)</f>
        <v>871</v>
      </c>
      <c r="V36" s="25">
        <f>HLOOKUP(V$7,$I$66:$DJ$120,ROWS($A$10:$A36)+2,FALSE)</f>
        <v>560</v>
      </c>
      <c r="W36" s="25">
        <f>HLOOKUP(W$7,$I$66:$DJ$120,ROWS($A$10:$A36)+2,FALSE)</f>
        <v>20161</v>
      </c>
      <c r="X36" s="25">
        <f>HLOOKUP(X$7,$I$66:$DJ$120,ROWS($A$10:$A36)+2,FALSE)</f>
        <v>4404</v>
      </c>
      <c r="Y36" s="25">
        <f>HLOOKUP(Y$7,$I$66:$DJ$120,ROWS($A$10:$A36)+2,FALSE)</f>
        <v>4811</v>
      </c>
      <c r="Z36" s="25">
        <f>HLOOKUP(Z$7,$I$66:$DJ$120,ROWS($A$10:$A36)+2,FALSE)</f>
        <v>20884</v>
      </c>
      <c r="AA36" s="25">
        <f>HLOOKUP(AA$7,$I$66:$DJ$120,ROWS($A$10:$A36)+2,FALSE)</f>
        <v>1993</v>
      </c>
      <c r="AB36" s="25">
        <f>HLOOKUP(AB$7,$I$66:$DJ$120,ROWS($A$10:$A36)+2,FALSE)</f>
        <v>1728</v>
      </c>
      <c r="AC36" s="25">
        <f>HLOOKUP(AC$7,$I$66:$DJ$120,ROWS($A$10:$A36)+2,FALSE)</f>
        <v>291</v>
      </c>
      <c r="AD36" s="25">
        <f>HLOOKUP(AD$7,$I$66:$DJ$120,ROWS($A$10:$A36)+2,FALSE)</f>
        <v>716</v>
      </c>
      <c r="AE36" s="25">
        <f>HLOOKUP(AE$7,$I$66:$DJ$120,ROWS($A$10:$A36)+2,FALSE)</f>
        <v>463</v>
      </c>
      <c r="AF36" s="25">
        <f>HLOOKUP(AF$7,$I$66:$DJ$120,ROWS($A$10:$A36)+2,FALSE)</f>
        <v>2830</v>
      </c>
      <c r="AG36" s="25">
        <f>HLOOKUP(AG$7,$I$66:$DJ$120,ROWS($A$10:$A36)+2,FALSE)</f>
        <v>2026</v>
      </c>
      <c r="AH36" s="25">
        <f>HLOOKUP(AH$7,$I$66:$DJ$120,ROWS($A$10:$A36)+2,FALSE)</f>
        <v>1641</v>
      </c>
      <c r="AI36" s="25" t="str">
        <f>HLOOKUP(AI$7,$I$66:$DJ$120,ROWS($A$10:$A36)+2,FALSE)</f>
        <v>N/A</v>
      </c>
      <c r="AJ36" s="25">
        <f>HLOOKUP(AJ$7,$I$66:$DJ$120,ROWS($A$10:$A36)+2,FALSE)</f>
        <v>845</v>
      </c>
      <c r="AK36" s="25">
        <f>HLOOKUP(AK$7,$I$66:$DJ$120,ROWS($A$10:$A36)+2,FALSE)</f>
        <v>4860</v>
      </c>
      <c r="AL36" s="25">
        <f>HLOOKUP(AL$7,$I$66:$DJ$120,ROWS($A$10:$A36)+2,FALSE)</f>
        <v>1544</v>
      </c>
      <c r="AM36" s="25">
        <f>HLOOKUP(AM$7,$I$66:$DJ$120,ROWS($A$10:$A36)+2,FALSE)</f>
        <v>769</v>
      </c>
      <c r="AN36" s="25">
        <f>HLOOKUP(AN$7,$I$66:$DJ$120,ROWS($A$10:$A36)+2,FALSE)</f>
        <v>1114</v>
      </c>
      <c r="AO36" s="25">
        <f>HLOOKUP(AO$7,$I$66:$DJ$120,ROWS($A$10:$A36)+2,FALSE)</f>
        <v>1016</v>
      </c>
      <c r="AP36" s="25">
        <f>HLOOKUP(AP$7,$I$66:$DJ$120,ROWS($A$10:$A36)+2,FALSE)</f>
        <v>2904</v>
      </c>
      <c r="AQ36" s="25">
        <f>HLOOKUP(AQ$7,$I$66:$DJ$120,ROWS($A$10:$A36)+2,FALSE)</f>
        <v>3669</v>
      </c>
      <c r="AR36" s="25">
        <f>HLOOKUP(AR$7,$I$66:$DJ$120,ROWS($A$10:$A36)+2,FALSE)</f>
        <v>977</v>
      </c>
      <c r="AS36" s="25">
        <f>HLOOKUP(AS$7,$I$66:$DJ$120,ROWS($A$10:$A36)+2,FALSE)</f>
        <v>3240</v>
      </c>
      <c r="AT36" s="25">
        <f>HLOOKUP(AT$7,$I$66:$DJ$120,ROWS($A$10:$A36)+2,FALSE)</f>
        <v>6073</v>
      </c>
      <c r="AU36" s="25">
        <f>HLOOKUP(AU$7,$I$66:$DJ$120,ROWS($A$10:$A36)+2,FALSE)</f>
        <v>777</v>
      </c>
      <c r="AV36" s="25">
        <f>HLOOKUP(AV$7,$I$66:$DJ$120,ROWS($A$10:$A36)+2,FALSE)</f>
        <v>1810</v>
      </c>
      <c r="AW36" s="25">
        <f>HLOOKUP(AW$7,$I$66:$DJ$120,ROWS($A$10:$A36)+2,FALSE)</f>
        <v>359</v>
      </c>
      <c r="AX36" s="25">
        <f>HLOOKUP(AX$7,$I$66:$DJ$120,ROWS($A$10:$A36)+2,FALSE)</f>
        <v>267</v>
      </c>
      <c r="AY36" s="25">
        <f>HLOOKUP(AY$7,$I$66:$DJ$120,ROWS($A$10:$A36)+2,FALSE)</f>
        <v>361</v>
      </c>
      <c r="AZ36" s="25">
        <f>HLOOKUP(AZ$7,$I$66:$DJ$120,ROWS($A$10:$A36)+2,FALSE)</f>
        <v>2676</v>
      </c>
      <c r="BA36" s="25">
        <f>HLOOKUP(BA$7,$I$66:$DJ$120,ROWS($A$10:$A36)+2,FALSE)</f>
        <v>10293</v>
      </c>
      <c r="BB36" s="25">
        <f>HLOOKUP(BB$7,$I$66:$DJ$120,ROWS($A$10:$A36)+2,FALSE)</f>
        <v>1697</v>
      </c>
      <c r="BC36" s="25">
        <f>HLOOKUP(BC$7,$I$66:$DJ$120,ROWS($A$10:$A36)+2,FALSE)</f>
        <v>88</v>
      </c>
      <c r="BD36" s="25">
        <f>HLOOKUP(BD$7,$I$66:$DJ$120,ROWS($A$10:$A36)+2,FALSE)</f>
        <v>2684</v>
      </c>
      <c r="BE36" s="25">
        <f>HLOOKUP(BE$7,$I$66:$DJ$120,ROWS($A$10:$A36)+2,FALSE)</f>
        <v>2518</v>
      </c>
      <c r="BF36" s="25">
        <f>HLOOKUP(BF$7,$I$66:$DJ$120,ROWS($A$10:$A36)+2,FALSE)</f>
        <v>196</v>
      </c>
      <c r="BG36" s="25">
        <f>HLOOKUP(BG$7,$I$66:$DJ$120,ROWS($A$10:$A36)+2,FALSE)</f>
        <v>1503</v>
      </c>
      <c r="BH36" s="25">
        <f>HLOOKUP(BH$7,$I$66:$DJ$120,ROWS($A$10:$A36)+2,FALSE)</f>
        <v>1120</v>
      </c>
      <c r="BI36" s="25">
        <f>HLOOKUP(BI$7,$I$66:$DJ$120,ROWS($A$10:$A36)+2,FALSE)</f>
        <v>709</v>
      </c>
      <c r="BJ36" s="34">
        <f>HLOOKUP(BJ$7+0.5,$I$66:$DJ$120,ROWS($A$10:$A36)+2,FALSE)</f>
        <v>9288</v>
      </c>
      <c r="BK36" s="34">
        <f>HLOOKUP(BK$7+0.5,$I$66:$DJ$120,ROWS($A$10:$A36)+2,FALSE)</f>
        <v>654</v>
      </c>
      <c r="BL36" s="34">
        <f>HLOOKUP(BL$7+0.5,$I$66:$DJ$120,ROWS($A$10:$A36)+2,FALSE)</f>
        <v>2471</v>
      </c>
      <c r="BM36" s="34">
        <f>HLOOKUP(BM$7+0.5,$I$66:$DJ$120,ROWS($A$10:$A36)+2,FALSE)</f>
        <v>1028</v>
      </c>
      <c r="BN36" s="34">
        <f>HLOOKUP(BN$7+0.5,$I$66:$DJ$120,ROWS($A$10:$A36)+2,FALSE)</f>
        <v>1528</v>
      </c>
      <c r="BO36" s="34">
        <f>HLOOKUP(BO$7+0.5,$I$66:$DJ$120,ROWS($A$10:$A36)+2,FALSE)</f>
        <v>1909</v>
      </c>
      <c r="BP36" s="34">
        <f>HLOOKUP(BP$7+0.5,$I$66:$DJ$120,ROWS($A$10:$A36)+2,FALSE)</f>
        <v>1163</v>
      </c>
      <c r="BQ36" s="34">
        <f>HLOOKUP(BQ$7+0.5,$I$66:$DJ$120,ROWS($A$10:$A36)+2,FALSE)</f>
        <v>1078</v>
      </c>
      <c r="BR36" s="34">
        <f>HLOOKUP(BR$7+0.5,$I$66:$DJ$120,ROWS($A$10:$A36)+2,FALSE)</f>
        <v>184</v>
      </c>
      <c r="BS36" s="34">
        <f>HLOOKUP(BS$7+0.5,$I$66:$DJ$120,ROWS($A$10:$A36)+2,FALSE)</f>
        <v>254</v>
      </c>
      <c r="BT36" s="34">
        <f>HLOOKUP(BT$7+0.5,$I$66:$DJ$120,ROWS($A$10:$A36)+2,FALSE)</f>
        <v>1398</v>
      </c>
      <c r="BU36" s="34">
        <f>HLOOKUP(BU$7+0.5,$I$66:$DJ$120,ROWS($A$10:$A36)+2,FALSE)</f>
        <v>972</v>
      </c>
      <c r="BV36" s="34">
        <f>HLOOKUP(BV$7+0.5,$I$66:$DJ$120,ROWS($A$10:$A36)+2,FALSE)</f>
        <v>517</v>
      </c>
      <c r="BW36" s="34">
        <f>HLOOKUP(BW$7+0.5,$I$66:$DJ$120,ROWS($A$10:$A36)+2,FALSE)</f>
        <v>439</v>
      </c>
      <c r="BX36" s="34">
        <f>HLOOKUP(BX$7+0.5,$I$66:$DJ$120,ROWS($A$10:$A36)+2,FALSE)</f>
        <v>3086</v>
      </c>
      <c r="BY36" s="34">
        <f>HLOOKUP(BY$7+0.5,$I$66:$DJ$120,ROWS($A$10:$A36)+2,FALSE)</f>
        <v>1588</v>
      </c>
      <c r="BZ36" s="34">
        <f>HLOOKUP(BZ$7+0.5,$I$66:$DJ$120,ROWS($A$10:$A36)+2,FALSE)</f>
        <v>1405</v>
      </c>
      <c r="CA36" s="34">
        <f>HLOOKUP(CA$7+0.5,$I$66:$DJ$120,ROWS($A$10:$A36)+2,FALSE)</f>
        <v>4170</v>
      </c>
      <c r="CB36" s="34">
        <f>HLOOKUP(CB$7+0.5,$I$66:$DJ$120,ROWS($A$10:$A36)+2,FALSE)</f>
        <v>803</v>
      </c>
      <c r="CC36" s="34">
        <f>HLOOKUP(CC$7+0.5,$I$66:$DJ$120,ROWS($A$10:$A36)+2,FALSE)</f>
        <v>905</v>
      </c>
      <c r="CD36" s="34">
        <f>HLOOKUP(CD$7+0.5,$I$66:$DJ$120,ROWS($A$10:$A36)+2,FALSE)</f>
        <v>295</v>
      </c>
      <c r="CE36" s="34">
        <f>HLOOKUP(CE$7+0.5,$I$66:$DJ$120,ROWS($A$10:$A36)+2,FALSE)</f>
        <v>317</v>
      </c>
      <c r="CF36" s="34">
        <f>HLOOKUP(CF$7+0.5,$I$66:$DJ$120,ROWS($A$10:$A36)+2,FALSE)</f>
        <v>306</v>
      </c>
      <c r="CG36" s="34">
        <f>HLOOKUP(CG$7+0.5,$I$66:$DJ$120,ROWS($A$10:$A36)+2,FALSE)</f>
        <v>1176</v>
      </c>
      <c r="CH36" s="34">
        <f>HLOOKUP(CH$7+0.5,$I$66:$DJ$120,ROWS($A$10:$A36)+2,FALSE)</f>
        <v>809</v>
      </c>
      <c r="CI36" s="34">
        <f>HLOOKUP(CI$7+0.5,$I$66:$DJ$120,ROWS($A$10:$A36)+2,FALSE)</f>
        <v>884</v>
      </c>
      <c r="CJ36" s="34" t="str">
        <f>HLOOKUP(CJ$7+0.5,$I$66:$DJ$120,ROWS($A$10:$A36)+2,FALSE)</f>
        <v>N/A</v>
      </c>
      <c r="CK36" s="34">
        <f>HLOOKUP(CK$7+0.5,$I$66:$DJ$120,ROWS($A$10:$A36)+2,FALSE)</f>
        <v>541</v>
      </c>
      <c r="CL36" s="34">
        <f>HLOOKUP(CL$7+0.5,$I$66:$DJ$120,ROWS($A$10:$A36)+2,FALSE)</f>
        <v>1645</v>
      </c>
      <c r="CM36" s="34">
        <f>HLOOKUP(CM$7+0.5,$I$66:$DJ$120,ROWS($A$10:$A36)+2,FALSE)</f>
        <v>830</v>
      </c>
      <c r="CN36" s="34">
        <f>HLOOKUP(CN$7+0.5,$I$66:$DJ$120,ROWS($A$10:$A36)+2,FALSE)</f>
        <v>750</v>
      </c>
      <c r="CO36" s="34">
        <f>HLOOKUP(CO$7+0.5,$I$66:$DJ$120,ROWS($A$10:$A36)+2,FALSE)</f>
        <v>755</v>
      </c>
      <c r="CP36" s="34">
        <f>HLOOKUP(CP$7+0.5,$I$66:$DJ$120,ROWS($A$10:$A36)+2,FALSE)</f>
        <v>718</v>
      </c>
      <c r="CQ36" s="34">
        <f>HLOOKUP(CQ$7+0.5,$I$66:$DJ$120,ROWS($A$10:$A36)+2,FALSE)</f>
        <v>1260</v>
      </c>
      <c r="CR36" s="34">
        <f>HLOOKUP(CR$7+0.5,$I$66:$DJ$120,ROWS($A$10:$A36)+2,FALSE)</f>
        <v>1527</v>
      </c>
      <c r="CS36" s="34">
        <f>HLOOKUP(CS$7+0.5,$I$66:$DJ$120,ROWS($A$10:$A36)+2,FALSE)</f>
        <v>446</v>
      </c>
      <c r="CT36" s="34">
        <f>HLOOKUP(CT$7+0.5,$I$66:$DJ$120,ROWS($A$10:$A36)+2,FALSE)</f>
        <v>1684</v>
      </c>
      <c r="CU36" s="34">
        <f>HLOOKUP(CU$7+0.5,$I$66:$DJ$120,ROWS($A$10:$A36)+2,FALSE)</f>
        <v>2312</v>
      </c>
      <c r="CV36" s="34">
        <f>HLOOKUP(CV$7+0.5,$I$66:$DJ$120,ROWS($A$10:$A36)+2,FALSE)</f>
        <v>538</v>
      </c>
      <c r="CW36" s="34">
        <f>HLOOKUP(CW$7+0.5,$I$66:$DJ$120,ROWS($A$10:$A36)+2,FALSE)</f>
        <v>1085</v>
      </c>
      <c r="CX36" s="34">
        <f>HLOOKUP(CX$7+0.5,$I$66:$DJ$120,ROWS($A$10:$A36)+2,FALSE)</f>
        <v>424</v>
      </c>
      <c r="CY36" s="34">
        <f>HLOOKUP(CY$7+0.5,$I$66:$DJ$120,ROWS($A$10:$A36)+2,FALSE)</f>
        <v>237</v>
      </c>
      <c r="CZ36" s="34">
        <f>HLOOKUP(CZ$7+0.5,$I$66:$DJ$120,ROWS($A$10:$A36)+2,FALSE)</f>
        <v>296</v>
      </c>
      <c r="DA36" s="34">
        <f>HLOOKUP(DA$7+0.5,$I$66:$DJ$120,ROWS($A$10:$A36)+2,FALSE)</f>
        <v>1056</v>
      </c>
      <c r="DB36" s="34">
        <f>HLOOKUP(DB$7+0.5,$I$66:$DJ$120,ROWS($A$10:$A36)+2,FALSE)</f>
        <v>2994</v>
      </c>
      <c r="DC36" s="34">
        <f>HLOOKUP(DC$7+0.5,$I$66:$DJ$120,ROWS($A$10:$A36)+2,FALSE)</f>
        <v>946</v>
      </c>
      <c r="DD36" s="34">
        <f>HLOOKUP(DD$7+0.5,$I$66:$DJ$120,ROWS($A$10:$A36)+2,FALSE)</f>
        <v>195</v>
      </c>
      <c r="DE36" s="34">
        <f>HLOOKUP(DE$7+0.5,$I$66:$DJ$120,ROWS($A$10:$A36)+2,FALSE)</f>
        <v>1493</v>
      </c>
      <c r="DF36" s="34">
        <f>HLOOKUP(DF$7+0.5,$I$66:$DJ$120,ROWS($A$10:$A36)+2,FALSE)</f>
        <v>843</v>
      </c>
      <c r="DG36" s="34">
        <f>HLOOKUP(DG$7+0.5,$I$66:$DJ$120,ROWS($A$10:$A36)+2,FALSE)</f>
        <v>214</v>
      </c>
      <c r="DH36" s="34">
        <f>HLOOKUP(DH$7+0.5,$I$66:$DJ$120,ROWS($A$10:$A36)+2,FALSE)</f>
        <v>671</v>
      </c>
      <c r="DI36" s="34">
        <f>HLOOKUP(DI$7+0.5,$I$66:$DJ$120,ROWS($A$10:$A36)+2,FALSE)</f>
        <v>900</v>
      </c>
      <c r="DJ36" s="34">
        <f>HLOOKUP(DJ$7+0.5,$I$66:$DJ$120,ROWS($A$10:$A36)+2,FALSE)</f>
        <v>463</v>
      </c>
    </row>
    <row r="37" spans="2:114" x14ac:dyDescent="0.25">
      <c r="B37" s="38" t="s">
        <v>33</v>
      </c>
      <c r="C37" s="16">
        <v>987076</v>
      </c>
      <c r="D37" s="17">
        <v>1359</v>
      </c>
      <c r="E37" s="16">
        <v>828254</v>
      </c>
      <c r="F37" s="17">
        <v>8593</v>
      </c>
      <c r="G37" s="16">
        <v>122210</v>
      </c>
      <c r="H37" s="17">
        <v>8386</v>
      </c>
      <c r="I37" s="36">
        <f>HLOOKUP(I$7,$I$66:$DJ$120,ROWS($A$10:$A37)+2,FALSE)</f>
        <v>33553</v>
      </c>
      <c r="J37" s="25">
        <f>HLOOKUP(J$7,$I$66:$DJ$120,ROWS($A$10:$A37)+2,FALSE)</f>
        <v>449</v>
      </c>
      <c r="K37" s="25">
        <f>HLOOKUP(K$7,$I$66:$DJ$120,ROWS($A$10:$A37)+2,FALSE)</f>
        <v>1118</v>
      </c>
      <c r="L37" s="25">
        <f>HLOOKUP(L$7,$I$66:$DJ$120,ROWS($A$10:$A37)+2,FALSE)</f>
        <v>1971</v>
      </c>
      <c r="M37" s="25">
        <f>HLOOKUP(M$7,$I$66:$DJ$120,ROWS($A$10:$A37)+2,FALSE)</f>
        <v>49</v>
      </c>
      <c r="N37" s="25">
        <f>HLOOKUP(N$7,$I$66:$DJ$120,ROWS($A$10:$A37)+2,FALSE)</f>
        <v>3033</v>
      </c>
      <c r="O37" s="25">
        <f>HLOOKUP(O$7,$I$66:$DJ$120,ROWS($A$10:$A37)+2,FALSE)</f>
        <v>2856</v>
      </c>
      <c r="P37" s="25">
        <f>HLOOKUP(P$7,$I$66:$DJ$120,ROWS($A$10:$A37)+2,FALSE)</f>
        <v>58</v>
      </c>
      <c r="Q37" s="25">
        <f>HLOOKUP(Q$7,$I$66:$DJ$120,ROWS($A$10:$A37)+2,FALSE)</f>
        <v>365</v>
      </c>
      <c r="R37" s="25">
        <f>HLOOKUP(R$7,$I$66:$DJ$120,ROWS($A$10:$A37)+2,FALSE)</f>
        <v>0</v>
      </c>
      <c r="S37" s="25">
        <f>HLOOKUP(S$7,$I$66:$DJ$120,ROWS($A$10:$A37)+2,FALSE)</f>
        <v>291</v>
      </c>
      <c r="T37" s="25">
        <f>HLOOKUP(T$7,$I$66:$DJ$120,ROWS($A$10:$A37)+2,FALSE)</f>
        <v>231</v>
      </c>
      <c r="U37" s="25">
        <f>HLOOKUP(U$7,$I$66:$DJ$120,ROWS($A$10:$A37)+2,FALSE)</f>
        <v>32</v>
      </c>
      <c r="V37" s="25">
        <f>HLOOKUP(V$7,$I$66:$DJ$120,ROWS($A$10:$A37)+2,FALSE)</f>
        <v>1543</v>
      </c>
      <c r="W37" s="25">
        <f>HLOOKUP(W$7,$I$66:$DJ$120,ROWS($A$10:$A37)+2,FALSE)</f>
        <v>765</v>
      </c>
      <c r="X37" s="25">
        <f>HLOOKUP(X$7,$I$66:$DJ$120,ROWS($A$10:$A37)+2,FALSE)</f>
        <v>646</v>
      </c>
      <c r="Y37" s="25">
        <f>HLOOKUP(Y$7,$I$66:$DJ$120,ROWS($A$10:$A37)+2,FALSE)</f>
        <v>417</v>
      </c>
      <c r="Z37" s="25">
        <f>HLOOKUP(Z$7,$I$66:$DJ$120,ROWS($A$10:$A37)+2,FALSE)</f>
        <v>845</v>
      </c>
      <c r="AA37" s="25">
        <f>HLOOKUP(AA$7,$I$66:$DJ$120,ROWS($A$10:$A37)+2,FALSE)</f>
        <v>0</v>
      </c>
      <c r="AB37" s="25">
        <f>HLOOKUP(AB$7,$I$66:$DJ$120,ROWS($A$10:$A37)+2,FALSE)</f>
        <v>0</v>
      </c>
      <c r="AC37" s="25">
        <f>HLOOKUP(AC$7,$I$66:$DJ$120,ROWS($A$10:$A37)+2,FALSE)</f>
        <v>71</v>
      </c>
      <c r="AD37" s="25">
        <f>HLOOKUP(AD$7,$I$66:$DJ$120,ROWS($A$10:$A37)+2,FALSE)</f>
        <v>57</v>
      </c>
      <c r="AE37" s="25">
        <f>HLOOKUP(AE$7,$I$66:$DJ$120,ROWS($A$10:$A37)+2,FALSE)</f>
        <v>10</v>
      </c>
      <c r="AF37" s="25">
        <f>HLOOKUP(AF$7,$I$66:$DJ$120,ROWS($A$10:$A37)+2,FALSE)</f>
        <v>353</v>
      </c>
      <c r="AG37" s="25">
        <f>HLOOKUP(AG$7,$I$66:$DJ$120,ROWS($A$10:$A37)+2,FALSE)</f>
        <v>969</v>
      </c>
      <c r="AH37" s="25">
        <f>HLOOKUP(AH$7,$I$66:$DJ$120,ROWS($A$10:$A37)+2,FALSE)</f>
        <v>0</v>
      </c>
      <c r="AI37" s="25">
        <f>HLOOKUP(AI$7,$I$66:$DJ$120,ROWS($A$10:$A37)+2,FALSE)</f>
        <v>158</v>
      </c>
      <c r="AJ37" s="25" t="str">
        <f>HLOOKUP(AJ$7,$I$66:$DJ$120,ROWS($A$10:$A37)+2,FALSE)</f>
        <v>N/A</v>
      </c>
      <c r="AK37" s="25">
        <f>HLOOKUP(AK$7,$I$66:$DJ$120,ROWS($A$10:$A37)+2,FALSE)</f>
        <v>384</v>
      </c>
      <c r="AL37" s="25">
        <f>HLOOKUP(AL$7,$I$66:$DJ$120,ROWS($A$10:$A37)+2,FALSE)</f>
        <v>688</v>
      </c>
      <c r="AM37" s="25">
        <f>HLOOKUP(AM$7,$I$66:$DJ$120,ROWS($A$10:$A37)+2,FALSE)</f>
        <v>0</v>
      </c>
      <c r="AN37" s="25">
        <f>HLOOKUP(AN$7,$I$66:$DJ$120,ROWS($A$10:$A37)+2,FALSE)</f>
        <v>889</v>
      </c>
      <c r="AO37" s="25">
        <f>HLOOKUP(AO$7,$I$66:$DJ$120,ROWS($A$10:$A37)+2,FALSE)</f>
        <v>264</v>
      </c>
      <c r="AP37" s="25">
        <f>HLOOKUP(AP$7,$I$66:$DJ$120,ROWS($A$10:$A37)+2,FALSE)</f>
        <v>422</v>
      </c>
      <c r="AQ37" s="25">
        <f>HLOOKUP(AQ$7,$I$66:$DJ$120,ROWS($A$10:$A37)+2,FALSE)</f>
        <v>1173</v>
      </c>
      <c r="AR37" s="25">
        <f>HLOOKUP(AR$7,$I$66:$DJ$120,ROWS($A$10:$A37)+2,FALSE)</f>
        <v>360</v>
      </c>
      <c r="AS37" s="25">
        <f>HLOOKUP(AS$7,$I$66:$DJ$120,ROWS($A$10:$A37)+2,FALSE)</f>
        <v>321</v>
      </c>
      <c r="AT37" s="25">
        <f>HLOOKUP(AT$7,$I$66:$DJ$120,ROWS($A$10:$A37)+2,FALSE)</f>
        <v>96</v>
      </c>
      <c r="AU37" s="25">
        <f>HLOOKUP(AU$7,$I$66:$DJ$120,ROWS($A$10:$A37)+2,FALSE)</f>
        <v>1959</v>
      </c>
      <c r="AV37" s="25">
        <f>HLOOKUP(AV$7,$I$66:$DJ$120,ROWS($A$10:$A37)+2,FALSE)</f>
        <v>840</v>
      </c>
      <c r="AW37" s="25">
        <f>HLOOKUP(AW$7,$I$66:$DJ$120,ROWS($A$10:$A37)+2,FALSE)</f>
        <v>0</v>
      </c>
      <c r="AX37" s="25">
        <f>HLOOKUP(AX$7,$I$66:$DJ$120,ROWS($A$10:$A37)+2,FALSE)</f>
        <v>77</v>
      </c>
      <c r="AY37" s="25">
        <f>HLOOKUP(AY$7,$I$66:$DJ$120,ROWS($A$10:$A37)+2,FALSE)</f>
        <v>227</v>
      </c>
      <c r="AZ37" s="25">
        <f>HLOOKUP(AZ$7,$I$66:$DJ$120,ROWS($A$10:$A37)+2,FALSE)</f>
        <v>266</v>
      </c>
      <c r="BA37" s="25">
        <f>HLOOKUP(BA$7,$I$66:$DJ$120,ROWS($A$10:$A37)+2,FALSE)</f>
        <v>1329</v>
      </c>
      <c r="BB37" s="25">
        <f>HLOOKUP(BB$7,$I$66:$DJ$120,ROWS($A$10:$A37)+2,FALSE)</f>
        <v>1232</v>
      </c>
      <c r="BC37" s="25">
        <f>HLOOKUP(BC$7,$I$66:$DJ$120,ROWS($A$10:$A37)+2,FALSE)</f>
        <v>53</v>
      </c>
      <c r="BD37" s="25">
        <f>HLOOKUP(BD$7,$I$66:$DJ$120,ROWS($A$10:$A37)+2,FALSE)</f>
        <v>278</v>
      </c>
      <c r="BE37" s="25">
        <f>HLOOKUP(BE$7,$I$66:$DJ$120,ROWS($A$10:$A37)+2,FALSE)</f>
        <v>3835</v>
      </c>
      <c r="BF37" s="25">
        <f>HLOOKUP(BF$7,$I$66:$DJ$120,ROWS($A$10:$A37)+2,FALSE)</f>
        <v>14</v>
      </c>
      <c r="BG37" s="25">
        <f>HLOOKUP(BG$7,$I$66:$DJ$120,ROWS($A$10:$A37)+2,FALSE)</f>
        <v>146</v>
      </c>
      <c r="BH37" s="25">
        <f>HLOOKUP(BH$7,$I$66:$DJ$120,ROWS($A$10:$A37)+2,FALSE)</f>
        <v>2413</v>
      </c>
      <c r="BI37" s="25">
        <f>HLOOKUP(BI$7,$I$66:$DJ$120,ROWS($A$10:$A37)+2,FALSE)</f>
        <v>353</v>
      </c>
      <c r="BJ37" s="34">
        <f>HLOOKUP(BJ$7+0.5,$I$66:$DJ$120,ROWS($A$10:$A37)+2,FALSE)</f>
        <v>4015</v>
      </c>
      <c r="BK37" s="34">
        <f>HLOOKUP(BK$7+0.5,$I$66:$DJ$120,ROWS($A$10:$A37)+2,FALSE)</f>
        <v>318</v>
      </c>
      <c r="BL37" s="34">
        <f>HLOOKUP(BL$7+0.5,$I$66:$DJ$120,ROWS($A$10:$A37)+2,FALSE)</f>
        <v>921</v>
      </c>
      <c r="BM37" s="34">
        <f>HLOOKUP(BM$7+0.5,$I$66:$DJ$120,ROWS($A$10:$A37)+2,FALSE)</f>
        <v>1358</v>
      </c>
      <c r="BN37" s="34">
        <f>HLOOKUP(BN$7+0.5,$I$66:$DJ$120,ROWS($A$10:$A37)+2,FALSE)</f>
        <v>70</v>
      </c>
      <c r="BO37" s="34">
        <f>HLOOKUP(BO$7+0.5,$I$66:$DJ$120,ROWS($A$10:$A37)+2,FALSE)</f>
        <v>1110</v>
      </c>
      <c r="BP37" s="34">
        <f>HLOOKUP(BP$7+0.5,$I$66:$DJ$120,ROWS($A$10:$A37)+2,FALSE)</f>
        <v>1265</v>
      </c>
      <c r="BQ37" s="34">
        <f>HLOOKUP(BQ$7+0.5,$I$66:$DJ$120,ROWS($A$10:$A37)+2,FALSE)</f>
        <v>72</v>
      </c>
      <c r="BR37" s="34">
        <f>HLOOKUP(BR$7+0.5,$I$66:$DJ$120,ROWS($A$10:$A37)+2,FALSE)</f>
        <v>392</v>
      </c>
      <c r="BS37" s="34">
        <f>HLOOKUP(BS$7+0.5,$I$66:$DJ$120,ROWS($A$10:$A37)+2,FALSE)</f>
        <v>165</v>
      </c>
      <c r="BT37" s="34">
        <f>HLOOKUP(BT$7+0.5,$I$66:$DJ$120,ROWS($A$10:$A37)+2,FALSE)</f>
        <v>235</v>
      </c>
      <c r="BU37" s="34">
        <f>HLOOKUP(BU$7+0.5,$I$66:$DJ$120,ROWS($A$10:$A37)+2,FALSE)</f>
        <v>193</v>
      </c>
      <c r="BV37" s="34">
        <f>HLOOKUP(BV$7+0.5,$I$66:$DJ$120,ROWS($A$10:$A37)+2,FALSE)</f>
        <v>35</v>
      </c>
      <c r="BW37" s="34">
        <f>HLOOKUP(BW$7+0.5,$I$66:$DJ$120,ROWS($A$10:$A37)+2,FALSE)</f>
        <v>1005</v>
      </c>
      <c r="BX37" s="34">
        <f>HLOOKUP(BX$7+0.5,$I$66:$DJ$120,ROWS($A$10:$A37)+2,FALSE)</f>
        <v>526</v>
      </c>
      <c r="BY37" s="34">
        <f>HLOOKUP(BY$7+0.5,$I$66:$DJ$120,ROWS($A$10:$A37)+2,FALSE)</f>
        <v>646</v>
      </c>
      <c r="BZ37" s="34">
        <f>HLOOKUP(BZ$7+0.5,$I$66:$DJ$120,ROWS($A$10:$A37)+2,FALSE)</f>
        <v>307</v>
      </c>
      <c r="CA37" s="34">
        <f>HLOOKUP(CA$7+0.5,$I$66:$DJ$120,ROWS($A$10:$A37)+2,FALSE)</f>
        <v>492</v>
      </c>
      <c r="CB37" s="34">
        <f>HLOOKUP(CB$7+0.5,$I$66:$DJ$120,ROWS($A$10:$A37)+2,FALSE)</f>
        <v>165</v>
      </c>
      <c r="CC37" s="34">
        <f>HLOOKUP(CC$7+0.5,$I$66:$DJ$120,ROWS($A$10:$A37)+2,FALSE)</f>
        <v>165</v>
      </c>
      <c r="CD37" s="34">
        <f>HLOOKUP(CD$7+0.5,$I$66:$DJ$120,ROWS($A$10:$A37)+2,FALSE)</f>
        <v>127</v>
      </c>
      <c r="CE37" s="34">
        <f>HLOOKUP(CE$7+0.5,$I$66:$DJ$120,ROWS($A$10:$A37)+2,FALSE)</f>
        <v>71</v>
      </c>
      <c r="CF37" s="34">
        <f>HLOOKUP(CF$7+0.5,$I$66:$DJ$120,ROWS($A$10:$A37)+2,FALSE)</f>
        <v>18</v>
      </c>
      <c r="CG37" s="34">
        <f>HLOOKUP(CG$7+0.5,$I$66:$DJ$120,ROWS($A$10:$A37)+2,FALSE)</f>
        <v>295</v>
      </c>
      <c r="CH37" s="34">
        <f>HLOOKUP(CH$7+0.5,$I$66:$DJ$120,ROWS($A$10:$A37)+2,FALSE)</f>
        <v>634</v>
      </c>
      <c r="CI37" s="34">
        <f>HLOOKUP(CI$7+0.5,$I$66:$DJ$120,ROWS($A$10:$A37)+2,FALSE)</f>
        <v>165</v>
      </c>
      <c r="CJ37" s="34">
        <f>HLOOKUP(CJ$7+0.5,$I$66:$DJ$120,ROWS($A$10:$A37)+2,FALSE)</f>
        <v>220</v>
      </c>
      <c r="CK37" s="34" t="str">
        <f>HLOOKUP(CK$7+0.5,$I$66:$DJ$120,ROWS($A$10:$A37)+2,FALSE)</f>
        <v>N/A</v>
      </c>
      <c r="CL37" s="34">
        <f>HLOOKUP(CL$7+0.5,$I$66:$DJ$120,ROWS($A$10:$A37)+2,FALSE)</f>
        <v>392</v>
      </c>
      <c r="CM37" s="34">
        <f>HLOOKUP(CM$7+0.5,$I$66:$DJ$120,ROWS($A$10:$A37)+2,FALSE)</f>
        <v>543</v>
      </c>
      <c r="CN37" s="34">
        <f>HLOOKUP(CN$7+0.5,$I$66:$DJ$120,ROWS($A$10:$A37)+2,FALSE)</f>
        <v>165</v>
      </c>
      <c r="CO37" s="34">
        <f>HLOOKUP(CO$7+0.5,$I$66:$DJ$120,ROWS($A$10:$A37)+2,FALSE)</f>
        <v>589</v>
      </c>
      <c r="CP37" s="34">
        <f>HLOOKUP(CP$7+0.5,$I$66:$DJ$120,ROWS($A$10:$A37)+2,FALSE)</f>
        <v>389</v>
      </c>
      <c r="CQ37" s="34">
        <f>HLOOKUP(CQ$7+0.5,$I$66:$DJ$120,ROWS($A$10:$A37)+2,FALSE)</f>
        <v>377</v>
      </c>
      <c r="CR37" s="34">
        <f>HLOOKUP(CR$7+0.5,$I$66:$DJ$120,ROWS($A$10:$A37)+2,FALSE)</f>
        <v>982</v>
      </c>
      <c r="CS37" s="34">
        <f>HLOOKUP(CS$7+0.5,$I$66:$DJ$120,ROWS($A$10:$A37)+2,FALSE)</f>
        <v>250</v>
      </c>
      <c r="CT37" s="34">
        <f>HLOOKUP(CT$7+0.5,$I$66:$DJ$120,ROWS($A$10:$A37)+2,FALSE)</f>
        <v>409</v>
      </c>
      <c r="CU37" s="34">
        <f>HLOOKUP(CU$7+0.5,$I$66:$DJ$120,ROWS($A$10:$A37)+2,FALSE)</f>
        <v>127</v>
      </c>
      <c r="CV37" s="34">
        <f>HLOOKUP(CV$7+0.5,$I$66:$DJ$120,ROWS($A$10:$A37)+2,FALSE)</f>
        <v>914</v>
      </c>
      <c r="CW37" s="34">
        <f>HLOOKUP(CW$7+0.5,$I$66:$DJ$120,ROWS($A$10:$A37)+2,FALSE)</f>
        <v>640</v>
      </c>
      <c r="CX37" s="34">
        <f>HLOOKUP(CX$7+0.5,$I$66:$DJ$120,ROWS($A$10:$A37)+2,FALSE)</f>
        <v>165</v>
      </c>
      <c r="CY37" s="34">
        <f>HLOOKUP(CY$7+0.5,$I$66:$DJ$120,ROWS($A$10:$A37)+2,FALSE)</f>
        <v>92</v>
      </c>
      <c r="CZ37" s="34">
        <f>HLOOKUP(CZ$7+0.5,$I$66:$DJ$120,ROWS($A$10:$A37)+2,FALSE)</f>
        <v>233</v>
      </c>
      <c r="DA37" s="34">
        <f>HLOOKUP(DA$7+0.5,$I$66:$DJ$120,ROWS($A$10:$A37)+2,FALSE)</f>
        <v>237</v>
      </c>
      <c r="DB37" s="34">
        <f>HLOOKUP(DB$7+0.5,$I$66:$DJ$120,ROWS($A$10:$A37)+2,FALSE)</f>
        <v>643</v>
      </c>
      <c r="DC37" s="34">
        <f>HLOOKUP(DC$7+0.5,$I$66:$DJ$120,ROWS($A$10:$A37)+2,FALSE)</f>
        <v>623</v>
      </c>
      <c r="DD37" s="34">
        <f>HLOOKUP(DD$7+0.5,$I$66:$DJ$120,ROWS($A$10:$A37)+2,FALSE)</f>
        <v>71</v>
      </c>
      <c r="DE37" s="34">
        <f>HLOOKUP(DE$7+0.5,$I$66:$DJ$120,ROWS($A$10:$A37)+2,FALSE)</f>
        <v>288</v>
      </c>
      <c r="DF37" s="34">
        <f>HLOOKUP(DF$7+0.5,$I$66:$DJ$120,ROWS($A$10:$A37)+2,FALSE)</f>
        <v>1160</v>
      </c>
      <c r="DG37" s="34">
        <f>HLOOKUP(DG$7+0.5,$I$66:$DJ$120,ROWS($A$10:$A37)+2,FALSE)</f>
        <v>28</v>
      </c>
      <c r="DH37" s="34">
        <f>HLOOKUP(DH$7+0.5,$I$66:$DJ$120,ROWS($A$10:$A37)+2,FALSE)</f>
        <v>184</v>
      </c>
      <c r="DI37" s="34">
        <f>HLOOKUP(DI$7+0.5,$I$66:$DJ$120,ROWS($A$10:$A37)+2,FALSE)</f>
        <v>1709</v>
      </c>
      <c r="DJ37" s="34">
        <f>HLOOKUP(DJ$7+0.5,$I$66:$DJ$120,ROWS($A$10:$A37)+2,FALSE)</f>
        <v>522</v>
      </c>
    </row>
    <row r="38" spans="2:114" x14ac:dyDescent="0.25">
      <c r="B38" s="38" t="s">
        <v>34</v>
      </c>
      <c r="C38" s="16">
        <v>1817126</v>
      </c>
      <c r="D38" s="17">
        <v>2304</v>
      </c>
      <c r="E38" s="16">
        <v>1505191</v>
      </c>
      <c r="F38" s="17">
        <v>11978</v>
      </c>
      <c r="G38" s="16">
        <v>253269</v>
      </c>
      <c r="H38" s="17">
        <v>10841</v>
      </c>
      <c r="I38" s="36">
        <f>HLOOKUP(I$7,$I$66:$DJ$120,ROWS($A$10:$A38)+2,FALSE)</f>
        <v>52070</v>
      </c>
      <c r="J38" s="25">
        <f>HLOOKUP(J$7,$I$66:$DJ$120,ROWS($A$10:$A38)+2,FALSE)</f>
        <v>169</v>
      </c>
      <c r="K38" s="25">
        <f>HLOOKUP(K$7,$I$66:$DJ$120,ROWS($A$10:$A38)+2,FALSE)</f>
        <v>721</v>
      </c>
      <c r="L38" s="25">
        <f>HLOOKUP(L$7,$I$66:$DJ$120,ROWS($A$10:$A38)+2,FALSE)</f>
        <v>1646</v>
      </c>
      <c r="M38" s="25">
        <f>HLOOKUP(M$7,$I$66:$DJ$120,ROWS($A$10:$A38)+2,FALSE)</f>
        <v>161</v>
      </c>
      <c r="N38" s="25">
        <f>HLOOKUP(N$7,$I$66:$DJ$120,ROWS($A$10:$A38)+2,FALSE)</f>
        <v>5124</v>
      </c>
      <c r="O38" s="25">
        <f>HLOOKUP(O$7,$I$66:$DJ$120,ROWS($A$10:$A38)+2,FALSE)</f>
        <v>3245</v>
      </c>
      <c r="P38" s="25">
        <f>HLOOKUP(P$7,$I$66:$DJ$120,ROWS($A$10:$A38)+2,FALSE)</f>
        <v>381</v>
      </c>
      <c r="Q38" s="25">
        <f>HLOOKUP(Q$7,$I$66:$DJ$120,ROWS($A$10:$A38)+2,FALSE)</f>
        <v>0</v>
      </c>
      <c r="R38" s="25">
        <f>HLOOKUP(R$7,$I$66:$DJ$120,ROWS($A$10:$A38)+2,FALSE)</f>
        <v>29</v>
      </c>
      <c r="S38" s="25">
        <f>HLOOKUP(S$7,$I$66:$DJ$120,ROWS($A$10:$A38)+2,FALSE)</f>
        <v>1105</v>
      </c>
      <c r="T38" s="25">
        <f>HLOOKUP(T$7,$I$66:$DJ$120,ROWS($A$10:$A38)+2,FALSE)</f>
        <v>434</v>
      </c>
      <c r="U38" s="25">
        <f>HLOOKUP(U$7,$I$66:$DJ$120,ROWS($A$10:$A38)+2,FALSE)</f>
        <v>275</v>
      </c>
      <c r="V38" s="25">
        <f>HLOOKUP(V$7,$I$66:$DJ$120,ROWS($A$10:$A38)+2,FALSE)</f>
        <v>506</v>
      </c>
      <c r="W38" s="25">
        <f>HLOOKUP(W$7,$I$66:$DJ$120,ROWS($A$10:$A38)+2,FALSE)</f>
        <v>1415</v>
      </c>
      <c r="X38" s="25">
        <f>HLOOKUP(X$7,$I$66:$DJ$120,ROWS($A$10:$A38)+2,FALSE)</f>
        <v>615</v>
      </c>
      <c r="Y38" s="25">
        <f>HLOOKUP(Y$7,$I$66:$DJ$120,ROWS($A$10:$A38)+2,FALSE)</f>
        <v>9575</v>
      </c>
      <c r="Z38" s="25">
        <f>HLOOKUP(Z$7,$I$66:$DJ$120,ROWS($A$10:$A38)+2,FALSE)</f>
        <v>3040</v>
      </c>
      <c r="AA38" s="25">
        <f>HLOOKUP(AA$7,$I$66:$DJ$120,ROWS($A$10:$A38)+2,FALSE)</f>
        <v>352</v>
      </c>
      <c r="AB38" s="25">
        <f>HLOOKUP(AB$7,$I$66:$DJ$120,ROWS($A$10:$A38)+2,FALSE)</f>
        <v>222</v>
      </c>
      <c r="AC38" s="25">
        <f>HLOOKUP(AC$7,$I$66:$DJ$120,ROWS($A$10:$A38)+2,FALSE)</f>
        <v>122</v>
      </c>
      <c r="AD38" s="25">
        <f>HLOOKUP(AD$7,$I$66:$DJ$120,ROWS($A$10:$A38)+2,FALSE)</f>
        <v>318</v>
      </c>
      <c r="AE38" s="25">
        <f>HLOOKUP(AE$7,$I$66:$DJ$120,ROWS($A$10:$A38)+2,FALSE)</f>
        <v>0</v>
      </c>
      <c r="AF38" s="25">
        <f>HLOOKUP(AF$7,$I$66:$DJ$120,ROWS($A$10:$A38)+2,FALSE)</f>
        <v>683</v>
      </c>
      <c r="AG38" s="25">
        <f>HLOOKUP(AG$7,$I$66:$DJ$120,ROWS($A$10:$A38)+2,FALSE)</f>
        <v>1455</v>
      </c>
      <c r="AH38" s="25">
        <f>HLOOKUP(AH$7,$I$66:$DJ$120,ROWS($A$10:$A38)+2,FALSE)</f>
        <v>424</v>
      </c>
      <c r="AI38" s="25">
        <f>HLOOKUP(AI$7,$I$66:$DJ$120,ROWS($A$10:$A38)+2,FALSE)</f>
        <v>1848</v>
      </c>
      <c r="AJ38" s="25">
        <f>HLOOKUP(AJ$7,$I$66:$DJ$120,ROWS($A$10:$A38)+2,FALSE)</f>
        <v>64</v>
      </c>
      <c r="AK38" s="25" t="str">
        <f>HLOOKUP(AK$7,$I$66:$DJ$120,ROWS($A$10:$A38)+2,FALSE)</f>
        <v>N/A</v>
      </c>
      <c r="AL38" s="25">
        <f>HLOOKUP(AL$7,$I$66:$DJ$120,ROWS($A$10:$A38)+2,FALSE)</f>
        <v>240</v>
      </c>
      <c r="AM38" s="25">
        <f>HLOOKUP(AM$7,$I$66:$DJ$120,ROWS($A$10:$A38)+2,FALSE)</f>
        <v>0</v>
      </c>
      <c r="AN38" s="25">
        <f>HLOOKUP(AN$7,$I$66:$DJ$120,ROWS($A$10:$A38)+2,FALSE)</f>
        <v>119</v>
      </c>
      <c r="AO38" s="25">
        <f>HLOOKUP(AO$7,$I$66:$DJ$120,ROWS($A$10:$A38)+2,FALSE)</f>
        <v>242</v>
      </c>
      <c r="AP38" s="25">
        <f>HLOOKUP(AP$7,$I$66:$DJ$120,ROWS($A$10:$A38)+2,FALSE)</f>
        <v>544</v>
      </c>
      <c r="AQ38" s="25">
        <f>HLOOKUP(AQ$7,$I$66:$DJ$120,ROWS($A$10:$A38)+2,FALSE)</f>
        <v>829</v>
      </c>
      <c r="AR38" s="25">
        <f>HLOOKUP(AR$7,$I$66:$DJ$120,ROWS($A$10:$A38)+2,FALSE)</f>
        <v>292</v>
      </c>
      <c r="AS38" s="25">
        <f>HLOOKUP(AS$7,$I$66:$DJ$120,ROWS($A$10:$A38)+2,FALSE)</f>
        <v>268</v>
      </c>
      <c r="AT38" s="25">
        <f>HLOOKUP(AT$7,$I$66:$DJ$120,ROWS($A$10:$A38)+2,FALSE)</f>
        <v>1255</v>
      </c>
      <c r="AU38" s="25">
        <f>HLOOKUP(AU$7,$I$66:$DJ$120,ROWS($A$10:$A38)+2,FALSE)</f>
        <v>1556</v>
      </c>
      <c r="AV38" s="25">
        <f>HLOOKUP(AV$7,$I$66:$DJ$120,ROWS($A$10:$A38)+2,FALSE)</f>
        <v>252</v>
      </c>
      <c r="AW38" s="25">
        <f>HLOOKUP(AW$7,$I$66:$DJ$120,ROWS($A$10:$A38)+2,FALSE)</f>
        <v>0</v>
      </c>
      <c r="AX38" s="25">
        <f>HLOOKUP(AX$7,$I$66:$DJ$120,ROWS($A$10:$A38)+2,FALSE)</f>
        <v>243</v>
      </c>
      <c r="AY38" s="25">
        <f>HLOOKUP(AY$7,$I$66:$DJ$120,ROWS($A$10:$A38)+2,FALSE)</f>
        <v>2999</v>
      </c>
      <c r="AZ38" s="25">
        <f>HLOOKUP(AZ$7,$I$66:$DJ$120,ROWS($A$10:$A38)+2,FALSE)</f>
        <v>226</v>
      </c>
      <c r="BA38" s="25">
        <f>HLOOKUP(BA$7,$I$66:$DJ$120,ROWS($A$10:$A38)+2,FALSE)</f>
        <v>5343</v>
      </c>
      <c r="BB38" s="25">
        <f>HLOOKUP(BB$7,$I$66:$DJ$120,ROWS($A$10:$A38)+2,FALSE)</f>
        <v>734</v>
      </c>
      <c r="BC38" s="25">
        <f>HLOOKUP(BC$7,$I$66:$DJ$120,ROWS($A$10:$A38)+2,FALSE)</f>
        <v>0</v>
      </c>
      <c r="BD38" s="25">
        <f>HLOOKUP(BD$7,$I$66:$DJ$120,ROWS($A$10:$A38)+2,FALSE)</f>
        <v>615</v>
      </c>
      <c r="BE38" s="25">
        <f>HLOOKUP(BE$7,$I$66:$DJ$120,ROWS($A$10:$A38)+2,FALSE)</f>
        <v>835</v>
      </c>
      <c r="BF38" s="25">
        <f>HLOOKUP(BF$7,$I$66:$DJ$120,ROWS($A$10:$A38)+2,FALSE)</f>
        <v>24</v>
      </c>
      <c r="BG38" s="25">
        <f>HLOOKUP(BG$7,$I$66:$DJ$120,ROWS($A$10:$A38)+2,FALSE)</f>
        <v>560</v>
      </c>
      <c r="BH38" s="25">
        <f>HLOOKUP(BH$7,$I$66:$DJ$120,ROWS($A$10:$A38)+2,FALSE)</f>
        <v>965</v>
      </c>
      <c r="BI38" s="25">
        <f>HLOOKUP(BI$7,$I$66:$DJ$120,ROWS($A$10:$A38)+2,FALSE)</f>
        <v>0</v>
      </c>
      <c r="BJ38" s="34">
        <f>HLOOKUP(BJ$7+0.5,$I$66:$DJ$120,ROWS($A$10:$A38)+2,FALSE)</f>
        <v>5507</v>
      </c>
      <c r="BK38" s="34">
        <f>HLOOKUP(BK$7+0.5,$I$66:$DJ$120,ROWS($A$10:$A38)+2,FALSE)</f>
        <v>271</v>
      </c>
      <c r="BL38" s="34">
        <f>HLOOKUP(BL$7+0.5,$I$66:$DJ$120,ROWS($A$10:$A38)+2,FALSE)</f>
        <v>785</v>
      </c>
      <c r="BM38" s="34">
        <f>HLOOKUP(BM$7+0.5,$I$66:$DJ$120,ROWS($A$10:$A38)+2,FALSE)</f>
        <v>898</v>
      </c>
      <c r="BN38" s="34">
        <f>HLOOKUP(BN$7+0.5,$I$66:$DJ$120,ROWS($A$10:$A38)+2,FALSE)</f>
        <v>146</v>
      </c>
      <c r="BO38" s="34">
        <f>HLOOKUP(BO$7+0.5,$I$66:$DJ$120,ROWS($A$10:$A38)+2,FALSE)</f>
        <v>1727</v>
      </c>
      <c r="BP38" s="34">
        <f>HLOOKUP(BP$7+0.5,$I$66:$DJ$120,ROWS($A$10:$A38)+2,FALSE)</f>
        <v>962</v>
      </c>
      <c r="BQ38" s="34">
        <f>HLOOKUP(BQ$7+0.5,$I$66:$DJ$120,ROWS($A$10:$A38)+2,FALSE)</f>
        <v>372</v>
      </c>
      <c r="BR38" s="34">
        <f>HLOOKUP(BR$7+0.5,$I$66:$DJ$120,ROWS($A$10:$A38)+2,FALSE)</f>
        <v>155</v>
      </c>
      <c r="BS38" s="34">
        <f>HLOOKUP(BS$7+0.5,$I$66:$DJ$120,ROWS($A$10:$A38)+2,FALSE)</f>
        <v>48</v>
      </c>
      <c r="BT38" s="34">
        <f>HLOOKUP(BT$7+0.5,$I$66:$DJ$120,ROWS($A$10:$A38)+2,FALSE)</f>
        <v>499</v>
      </c>
      <c r="BU38" s="34">
        <f>HLOOKUP(BU$7+0.5,$I$66:$DJ$120,ROWS($A$10:$A38)+2,FALSE)</f>
        <v>358</v>
      </c>
      <c r="BV38" s="34">
        <f>HLOOKUP(BV$7+0.5,$I$66:$DJ$120,ROWS($A$10:$A38)+2,FALSE)</f>
        <v>215</v>
      </c>
      <c r="BW38" s="34">
        <f>HLOOKUP(BW$7+0.5,$I$66:$DJ$120,ROWS($A$10:$A38)+2,FALSE)</f>
        <v>464</v>
      </c>
      <c r="BX38" s="34">
        <f>HLOOKUP(BX$7+0.5,$I$66:$DJ$120,ROWS($A$10:$A38)+2,FALSE)</f>
        <v>777</v>
      </c>
      <c r="BY38" s="34">
        <f>HLOOKUP(BY$7+0.5,$I$66:$DJ$120,ROWS($A$10:$A38)+2,FALSE)</f>
        <v>541</v>
      </c>
      <c r="BZ38" s="34">
        <f>HLOOKUP(BZ$7+0.5,$I$66:$DJ$120,ROWS($A$10:$A38)+2,FALSE)</f>
        <v>2602</v>
      </c>
      <c r="CA38" s="34">
        <f>HLOOKUP(CA$7+0.5,$I$66:$DJ$120,ROWS($A$10:$A38)+2,FALSE)</f>
        <v>1210</v>
      </c>
      <c r="CB38" s="34">
        <f>HLOOKUP(CB$7+0.5,$I$66:$DJ$120,ROWS($A$10:$A38)+2,FALSE)</f>
        <v>457</v>
      </c>
      <c r="CC38" s="34">
        <f>HLOOKUP(CC$7+0.5,$I$66:$DJ$120,ROWS($A$10:$A38)+2,FALSE)</f>
        <v>253</v>
      </c>
      <c r="CD38" s="34">
        <f>HLOOKUP(CD$7+0.5,$I$66:$DJ$120,ROWS($A$10:$A38)+2,FALSE)</f>
        <v>127</v>
      </c>
      <c r="CE38" s="34">
        <f>HLOOKUP(CE$7+0.5,$I$66:$DJ$120,ROWS($A$10:$A38)+2,FALSE)</f>
        <v>344</v>
      </c>
      <c r="CF38" s="34">
        <f>HLOOKUP(CF$7+0.5,$I$66:$DJ$120,ROWS($A$10:$A38)+2,FALSE)</f>
        <v>155</v>
      </c>
      <c r="CG38" s="34">
        <f>HLOOKUP(CG$7+0.5,$I$66:$DJ$120,ROWS($A$10:$A38)+2,FALSE)</f>
        <v>435</v>
      </c>
      <c r="CH38" s="34">
        <f>HLOOKUP(CH$7+0.5,$I$66:$DJ$120,ROWS($A$10:$A38)+2,FALSE)</f>
        <v>1009</v>
      </c>
      <c r="CI38" s="34">
        <f>HLOOKUP(CI$7+0.5,$I$66:$DJ$120,ROWS($A$10:$A38)+2,FALSE)</f>
        <v>430</v>
      </c>
      <c r="CJ38" s="34">
        <f>HLOOKUP(CJ$7+0.5,$I$66:$DJ$120,ROWS($A$10:$A38)+2,FALSE)</f>
        <v>771</v>
      </c>
      <c r="CK38" s="34">
        <f>HLOOKUP(CK$7+0.5,$I$66:$DJ$120,ROWS($A$10:$A38)+2,FALSE)</f>
        <v>88</v>
      </c>
      <c r="CL38" s="34" t="str">
        <f>HLOOKUP(CL$7+0.5,$I$66:$DJ$120,ROWS($A$10:$A38)+2,FALSE)</f>
        <v>N/A</v>
      </c>
      <c r="CM38" s="34">
        <f>HLOOKUP(CM$7+0.5,$I$66:$DJ$120,ROWS($A$10:$A38)+2,FALSE)</f>
        <v>165</v>
      </c>
      <c r="CN38" s="34">
        <f>HLOOKUP(CN$7+0.5,$I$66:$DJ$120,ROWS($A$10:$A38)+2,FALSE)</f>
        <v>155</v>
      </c>
      <c r="CO38" s="34">
        <f>HLOOKUP(CO$7+0.5,$I$66:$DJ$120,ROWS($A$10:$A38)+2,FALSE)</f>
        <v>101</v>
      </c>
      <c r="CP38" s="34">
        <f>HLOOKUP(CP$7+0.5,$I$66:$DJ$120,ROWS($A$10:$A38)+2,FALSE)</f>
        <v>326</v>
      </c>
      <c r="CQ38" s="34">
        <f>HLOOKUP(CQ$7+0.5,$I$66:$DJ$120,ROWS($A$10:$A38)+2,FALSE)</f>
        <v>349</v>
      </c>
      <c r="CR38" s="34">
        <f>HLOOKUP(CR$7+0.5,$I$66:$DJ$120,ROWS($A$10:$A38)+2,FALSE)</f>
        <v>872</v>
      </c>
      <c r="CS38" s="34">
        <f>HLOOKUP(CS$7+0.5,$I$66:$DJ$120,ROWS($A$10:$A38)+2,FALSE)</f>
        <v>213</v>
      </c>
      <c r="CT38" s="34">
        <f>HLOOKUP(CT$7+0.5,$I$66:$DJ$120,ROWS($A$10:$A38)+2,FALSE)</f>
        <v>250</v>
      </c>
      <c r="CU38" s="34">
        <f>HLOOKUP(CU$7+0.5,$I$66:$DJ$120,ROWS($A$10:$A38)+2,FALSE)</f>
        <v>884</v>
      </c>
      <c r="CV38" s="34">
        <f>HLOOKUP(CV$7+0.5,$I$66:$DJ$120,ROWS($A$10:$A38)+2,FALSE)</f>
        <v>1249</v>
      </c>
      <c r="CW38" s="34">
        <f>HLOOKUP(CW$7+0.5,$I$66:$DJ$120,ROWS($A$10:$A38)+2,FALSE)</f>
        <v>179</v>
      </c>
      <c r="CX38" s="34">
        <f>HLOOKUP(CX$7+0.5,$I$66:$DJ$120,ROWS($A$10:$A38)+2,FALSE)</f>
        <v>155</v>
      </c>
      <c r="CY38" s="34">
        <f>HLOOKUP(CY$7+0.5,$I$66:$DJ$120,ROWS($A$10:$A38)+2,FALSE)</f>
        <v>285</v>
      </c>
      <c r="CZ38" s="34">
        <f>HLOOKUP(CZ$7+0.5,$I$66:$DJ$120,ROWS($A$10:$A38)+2,FALSE)</f>
        <v>1280</v>
      </c>
      <c r="DA38" s="34">
        <f>HLOOKUP(DA$7+0.5,$I$66:$DJ$120,ROWS($A$10:$A38)+2,FALSE)</f>
        <v>244</v>
      </c>
      <c r="DB38" s="34">
        <f>HLOOKUP(DB$7+0.5,$I$66:$DJ$120,ROWS($A$10:$A38)+2,FALSE)</f>
        <v>2737</v>
      </c>
      <c r="DC38" s="34">
        <f>HLOOKUP(DC$7+0.5,$I$66:$DJ$120,ROWS($A$10:$A38)+2,FALSE)</f>
        <v>507</v>
      </c>
      <c r="DD38" s="34">
        <f>HLOOKUP(DD$7+0.5,$I$66:$DJ$120,ROWS($A$10:$A38)+2,FALSE)</f>
        <v>155</v>
      </c>
      <c r="DE38" s="34">
        <f>HLOOKUP(DE$7+0.5,$I$66:$DJ$120,ROWS($A$10:$A38)+2,FALSE)</f>
        <v>478</v>
      </c>
      <c r="DF38" s="34">
        <f>HLOOKUP(DF$7+0.5,$I$66:$DJ$120,ROWS($A$10:$A38)+2,FALSE)</f>
        <v>593</v>
      </c>
      <c r="DG38" s="34">
        <f>HLOOKUP(DG$7+0.5,$I$66:$DJ$120,ROWS($A$10:$A38)+2,FALSE)</f>
        <v>40</v>
      </c>
      <c r="DH38" s="34">
        <f>HLOOKUP(DH$7+0.5,$I$66:$DJ$120,ROWS($A$10:$A38)+2,FALSE)</f>
        <v>427</v>
      </c>
      <c r="DI38" s="34">
        <f>HLOOKUP(DI$7+0.5,$I$66:$DJ$120,ROWS($A$10:$A38)+2,FALSE)</f>
        <v>421</v>
      </c>
      <c r="DJ38" s="34">
        <f>HLOOKUP(DJ$7+0.5,$I$66:$DJ$120,ROWS($A$10:$A38)+2,FALSE)</f>
        <v>155</v>
      </c>
    </row>
    <row r="39" spans="2:114" x14ac:dyDescent="0.25">
      <c r="B39" s="38" t="s">
        <v>35</v>
      </c>
      <c r="C39" s="16">
        <v>2688336</v>
      </c>
      <c r="D39" s="17">
        <v>3578</v>
      </c>
      <c r="E39" s="16">
        <v>2084668</v>
      </c>
      <c r="F39" s="17">
        <v>23272</v>
      </c>
      <c r="G39" s="16">
        <v>480317</v>
      </c>
      <c r="H39" s="17">
        <v>23514</v>
      </c>
      <c r="I39" s="36">
        <f>HLOOKUP(I$7,$I$66:$DJ$120,ROWS($A$10:$A39)+2,FALSE)</f>
        <v>110345</v>
      </c>
      <c r="J39" s="25">
        <f>HLOOKUP(J$7,$I$66:$DJ$120,ROWS($A$10:$A39)+2,FALSE)</f>
        <v>280</v>
      </c>
      <c r="K39" s="25">
        <f>HLOOKUP(K$7,$I$66:$DJ$120,ROWS($A$10:$A39)+2,FALSE)</f>
        <v>597</v>
      </c>
      <c r="L39" s="25">
        <f>HLOOKUP(L$7,$I$66:$DJ$120,ROWS($A$10:$A39)+2,FALSE)</f>
        <v>10142</v>
      </c>
      <c r="M39" s="25">
        <f>HLOOKUP(M$7,$I$66:$DJ$120,ROWS($A$10:$A39)+2,FALSE)</f>
        <v>310</v>
      </c>
      <c r="N39" s="25">
        <f>HLOOKUP(N$7,$I$66:$DJ$120,ROWS($A$10:$A39)+2,FALSE)</f>
        <v>40114</v>
      </c>
      <c r="O39" s="25">
        <f>HLOOKUP(O$7,$I$66:$DJ$120,ROWS($A$10:$A39)+2,FALSE)</f>
        <v>2714</v>
      </c>
      <c r="P39" s="25">
        <f>HLOOKUP(P$7,$I$66:$DJ$120,ROWS($A$10:$A39)+2,FALSE)</f>
        <v>189</v>
      </c>
      <c r="Q39" s="25">
        <f>HLOOKUP(Q$7,$I$66:$DJ$120,ROWS($A$10:$A39)+2,FALSE)</f>
        <v>184</v>
      </c>
      <c r="R39" s="25">
        <f>HLOOKUP(R$7,$I$66:$DJ$120,ROWS($A$10:$A39)+2,FALSE)</f>
        <v>983</v>
      </c>
      <c r="S39" s="25">
        <f>HLOOKUP(S$7,$I$66:$DJ$120,ROWS($A$10:$A39)+2,FALSE)</f>
        <v>2923</v>
      </c>
      <c r="T39" s="25">
        <f>HLOOKUP(T$7,$I$66:$DJ$120,ROWS($A$10:$A39)+2,FALSE)</f>
        <v>1731</v>
      </c>
      <c r="U39" s="25">
        <f>HLOOKUP(U$7,$I$66:$DJ$120,ROWS($A$10:$A39)+2,FALSE)</f>
        <v>4093</v>
      </c>
      <c r="V39" s="25">
        <f>HLOOKUP(V$7,$I$66:$DJ$120,ROWS($A$10:$A39)+2,FALSE)</f>
        <v>3929</v>
      </c>
      <c r="W39" s="25">
        <f>HLOOKUP(W$7,$I$66:$DJ$120,ROWS($A$10:$A39)+2,FALSE)</f>
        <v>1668</v>
      </c>
      <c r="X39" s="25">
        <f>HLOOKUP(X$7,$I$66:$DJ$120,ROWS($A$10:$A39)+2,FALSE)</f>
        <v>855</v>
      </c>
      <c r="Y39" s="25">
        <f>HLOOKUP(Y$7,$I$66:$DJ$120,ROWS($A$10:$A39)+2,FALSE)</f>
        <v>114</v>
      </c>
      <c r="Z39" s="25">
        <f>HLOOKUP(Z$7,$I$66:$DJ$120,ROWS($A$10:$A39)+2,FALSE)</f>
        <v>602</v>
      </c>
      <c r="AA39" s="25">
        <f>HLOOKUP(AA$7,$I$66:$DJ$120,ROWS($A$10:$A39)+2,FALSE)</f>
        <v>628</v>
      </c>
      <c r="AB39" s="25">
        <f>HLOOKUP(AB$7,$I$66:$DJ$120,ROWS($A$10:$A39)+2,FALSE)</f>
        <v>78</v>
      </c>
      <c r="AC39" s="25">
        <f>HLOOKUP(AC$7,$I$66:$DJ$120,ROWS($A$10:$A39)+2,FALSE)</f>
        <v>49</v>
      </c>
      <c r="AD39" s="25">
        <f>HLOOKUP(AD$7,$I$66:$DJ$120,ROWS($A$10:$A39)+2,FALSE)</f>
        <v>931</v>
      </c>
      <c r="AE39" s="25">
        <f>HLOOKUP(AE$7,$I$66:$DJ$120,ROWS($A$10:$A39)+2,FALSE)</f>
        <v>256</v>
      </c>
      <c r="AF39" s="25">
        <f>HLOOKUP(AF$7,$I$66:$DJ$120,ROWS($A$10:$A39)+2,FALSE)</f>
        <v>1663</v>
      </c>
      <c r="AG39" s="25">
        <f>HLOOKUP(AG$7,$I$66:$DJ$120,ROWS($A$10:$A39)+2,FALSE)</f>
        <v>1055</v>
      </c>
      <c r="AH39" s="25">
        <f>HLOOKUP(AH$7,$I$66:$DJ$120,ROWS($A$10:$A39)+2,FALSE)</f>
        <v>203</v>
      </c>
      <c r="AI39" s="25">
        <f>HLOOKUP(AI$7,$I$66:$DJ$120,ROWS($A$10:$A39)+2,FALSE)</f>
        <v>335</v>
      </c>
      <c r="AJ39" s="25">
        <f>HLOOKUP(AJ$7,$I$66:$DJ$120,ROWS($A$10:$A39)+2,FALSE)</f>
        <v>1137</v>
      </c>
      <c r="AK39" s="25">
        <f>HLOOKUP(AK$7,$I$66:$DJ$120,ROWS($A$10:$A39)+2,FALSE)</f>
        <v>32</v>
      </c>
      <c r="AL39" s="25" t="str">
        <f>HLOOKUP(AL$7,$I$66:$DJ$120,ROWS($A$10:$A39)+2,FALSE)</f>
        <v>N/A</v>
      </c>
      <c r="AM39" s="25">
        <f>HLOOKUP(AM$7,$I$66:$DJ$120,ROWS($A$10:$A39)+2,FALSE)</f>
        <v>0</v>
      </c>
      <c r="AN39" s="25">
        <f>HLOOKUP(AN$7,$I$66:$DJ$120,ROWS($A$10:$A39)+2,FALSE)</f>
        <v>2118</v>
      </c>
      <c r="AO39" s="25">
        <f>HLOOKUP(AO$7,$I$66:$DJ$120,ROWS($A$10:$A39)+2,FALSE)</f>
        <v>2136</v>
      </c>
      <c r="AP39" s="25">
        <f>HLOOKUP(AP$7,$I$66:$DJ$120,ROWS($A$10:$A39)+2,FALSE)</f>
        <v>1516</v>
      </c>
      <c r="AQ39" s="25">
        <f>HLOOKUP(AQ$7,$I$66:$DJ$120,ROWS($A$10:$A39)+2,FALSE)</f>
        <v>1333</v>
      </c>
      <c r="AR39" s="25">
        <f>HLOOKUP(AR$7,$I$66:$DJ$120,ROWS($A$10:$A39)+2,FALSE)</f>
        <v>0</v>
      </c>
      <c r="AS39" s="25">
        <f>HLOOKUP(AS$7,$I$66:$DJ$120,ROWS($A$10:$A39)+2,FALSE)</f>
        <v>1354</v>
      </c>
      <c r="AT39" s="25">
        <f>HLOOKUP(AT$7,$I$66:$DJ$120,ROWS($A$10:$A39)+2,FALSE)</f>
        <v>258</v>
      </c>
      <c r="AU39" s="25">
        <f>HLOOKUP(AU$7,$I$66:$DJ$120,ROWS($A$10:$A39)+2,FALSE)</f>
        <v>1691</v>
      </c>
      <c r="AV39" s="25">
        <f>HLOOKUP(AV$7,$I$66:$DJ$120,ROWS($A$10:$A39)+2,FALSE)</f>
        <v>570</v>
      </c>
      <c r="AW39" s="25">
        <f>HLOOKUP(AW$7,$I$66:$DJ$120,ROWS($A$10:$A39)+2,FALSE)</f>
        <v>86</v>
      </c>
      <c r="AX39" s="25">
        <f>HLOOKUP(AX$7,$I$66:$DJ$120,ROWS($A$10:$A39)+2,FALSE)</f>
        <v>165</v>
      </c>
      <c r="AY39" s="25">
        <f>HLOOKUP(AY$7,$I$66:$DJ$120,ROWS($A$10:$A39)+2,FALSE)</f>
        <v>588</v>
      </c>
      <c r="AZ39" s="25">
        <f>HLOOKUP(AZ$7,$I$66:$DJ$120,ROWS($A$10:$A39)+2,FALSE)</f>
        <v>96</v>
      </c>
      <c r="BA39" s="25">
        <f>HLOOKUP(BA$7,$I$66:$DJ$120,ROWS($A$10:$A39)+2,FALSE)</f>
        <v>7249</v>
      </c>
      <c r="BB39" s="25">
        <f>HLOOKUP(BB$7,$I$66:$DJ$120,ROWS($A$10:$A39)+2,FALSE)</f>
        <v>3365</v>
      </c>
      <c r="BC39" s="25">
        <f>HLOOKUP(BC$7,$I$66:$DJ$120,ROWS($A$10:$A39)+2,FALSE)</f>
        <v>0</v>
      </c>
      <c r="BD39" s="25">
        <f>HLOOKUP(BD$7,$I$66:$DJ$120,ROWS($A$10:$A39)+2,FALSE)</f>
        <v>1740</v>
      </c>
      <c r="BE39" s="25">
        <f>HLOOKUP(BE$7,$I$66:$DJ$120,ROWS($A$10:$A39)+2,FALSE)</f>
        <v>4680</v>
      </c>
      <c r="BF39" s="25">
        <f>HLOOKUP(BF$7,$I$66:$DJ$120,ROWS($A$10:$A39)+2,FALSE)</f>
        <v>0</v>
      </c>
      <c r="BG39" s="25">
        <f>HLOOKUP(BG$7,$I$66:$DJ$120,ROWS($A$10:$A39)+2,FALSE)</f>
        <v>2672</v>
      </c>
      <c r="BH39" s="25">
        <f>HLOOKUP(BH$7,$I$66:$DJ$120,ROWS($A$10:$A39)+2,FALSE)</f>
        <v>933</v>
      </c>
      <c r="BI39" s="25">
        <f>HLOOKUP(BI$7,$I$66:$DJ$120,ROWS($A$10:$A39)+2,FALSE)</f>
        <v>153</v>
      </c>
      <c r="BJ39" s="34">
        <f>HLOOKUP(BJ$7+0.5,$I$66:$DJ$120,ROWS($A$10:$A39)+2,FALSE)</f>
        <v>9419</v>
      </c>
      <c r="BK39" s="34">
        <f>HLOOKUP(BK$7+0.5,$I$66:$DJ$120,ROWS($A$10:$A39)+2,FALSE)</f>
        <v>330</v>
      </c>
      <c r="BL39" s="34">
        <f>HLOOKUP(BL$7+0.5,$I$66:$DJ$120,ROWS($A$10:$A39)+2,FALSE)</f>
        <v>525</v>
      </c>
      <c r="BM39" s="34">
        <f>HLOOKUP(BM$7+0.5,$I$66:$DJ$120,ROWS($A$10:$A39)+2,FALSE)</f>
        <v>4338</v>
      </c>
      <c r="BN39" s="34">
        <f>HLOOKUP(BN$7+0.5,$I$66:$DJ$120,ROWS($A$10:$A39)+2,FALSE)</f>
        <v>358</v>
      </c>
      <c r="BO39" s="34">
        <f>HLOOKUP(BO$7+0.5,$I$66:$DJ$120,ROWS($A$10:$A39)+2,FALSE)</f>
        <v>5354</v>
      </c>
      <c r="BP39" s="34">
        <f>HLOOKUP(BP$7+0.5,$I$66:$DJ$120,ROWS($A$10:$A39)+2,FALSE)</f>
        <v>1470</v>
      </c>
      <c r="BQ39" s="34">
        <f>HLOOKUP(BQ$7+0.5,$I$66:$DJ$120,ROWS($A$10:$A39)+2,FALSE)</f>
        <v>163</v>
      </c>
      <c r="BR39" s="34">
        <f>HLOOKUP(BR$7+0.5,$I$66:$DJ$120,ROWS($A$10:$A39)+2,FALSE)</f>
        <v>226</v>
      </c>
      <c r="BS39" s="34">
        <f>HLOOKUP(BS$7+0.5,$I$66:$DJ$120,ROWS($A$10:$A39)+2,FALSE)</f>
        <v>1261</v>
      </c>
      <c r="BT39" s="34">
        <f>HLOOKUP(BT$7+0.5,$I$66:$DJ$120,ROWS($A$10:$A39)+2,FALSE)</f>
        <v>1608</v>
      </c>
      <c r="BU39" s="34">
        <f>HLOOKUP(BU$7+0.5,$I$66:$DJ$120,ROWS($A$10:$A39)+2,FALSE)</f>
        <v>909</v>
      </c>
      <c r="BV39" s="34">
        <f>HLOOKUP(BV$7+0.5,$I$66:$DJ$120,ROWS($A$10:$A39)+2,FALSE)</f>
        <v>2643</v>
      </c>
      <c r="BW39" s="34">
        <f>HLOOKUP(BW$7+0.5,$I$66:$DJ$120,ROWS($A$10:$A39)+2,FALSE)</f>
        <v>1734</v>
      </c>
      <c r="BX39" s="34">
        <f>HLOOKUP(BX$7+0.5,$I$66:$DJ$120,ROWS($A$10:$A39)+2,FALSE)</f>
        <v>1031</v>
      </c>
      <c r="BY39" s="34">
        <f>HLOOKUP(BY$7+0.5,$I$66:$DJ$120,ROWS($A$10:$A39)+2,FALSE)</f>
        <v>781</v>
      </c>
      <c r="BZ39" s="34">
        <f>HLOOKUP(BZ$7+0.5,$I$66:$DJ$120,ROWS($A$10:$A39)+2,FALSE)</f>
        <v>188</v>
      </c>
      <c r="CA39" s="34">
        <f>HLOOKUP(CA$7+0.5,$I$66:$DJ$120,ROWS($A$10:$A39)+2,FALSE)</f>
        <v>734</v>
      </c>
      <c r="CB39" s="34">
        <f>HLOOKUP(CB$7+0.5,$I$66:$DJ$120,ROWS($A$10:$A39)+2,FALSE)</f>
        <v>620</v>
      </c>
      <c r="CC39" s="34">
        <f>HLOOKUP(CC$7+0.5,$I$66:$DJ$120,ROWS($A$10:$A39)+2,FALSE)</f>
        <v>128</v>
      </c>
      <c r="CD39" s="34">
        <f>HLOOKUP(CD$7+0.5,$I$66:$DJ$120,ROWS($A$10:$A39)+2,FALSE)</f>
        <v>80</v>
      </c>
      <c r="CE39" s="34">
        <f>HLOOKUP(CE$7+0.5,$I$66:$DJ$120,ROWS($A$10:$A39)+2,FALSE)</f>
        <v>701</v>
      </c>
      <c r="CF39" s="34">
        <f>HLOOKUP(CF$7+0.5,$I$66:$DJ$120,ROWS($A$10:$A39)+2,FALSE)</f>
        <v>255</v>
      </c>
      <c r="CG39" s="34">
        <f>HLOOKUP(CG$7+0.5,$I$66:$DJ$120,ROWS($A$10:$A39)+2,FALSE)</f>
        <v>831</v>
      </c>
      <c r="CH39" s="34">
        <f>HLOOKUP(CH$7+0.5,$I$66:$DJ$120,ROWS($A$10:$A39)+2,FALSE)</f>
        <v>1329</v>
      </c>
      <c r="CI39" s="34">
        <f>HLOOKUP(CI$7+0.5,$I$66:$DJ$120,ROWS($A$10:$A39)+2,FALSE)</f>
        <v>279</v>
      </c>
      <c r="CJ39" s="34">
        <f>HLOOKUP(CJ$7+0.5,$I$66:$DJ$120,ROWS($A$10:$A39)+2,FALSE)</f>
        <v>237</v>
      </c>
      <c r="CK39" s="34">
        <f>HLOOKUP(CK$7+0.5,$I$66:$DJ$120,ROWS($A$10:$A39)+2,FALSE)</f>
        <v>740</v>
      </c>
      <c r="CL39" s="34">
        <f>HLOOKUP(CL$7+0.5,$I$66:$DJ$120,ROWS($A$10:$A39)+2,FALSE)</f>
        <v>37</v>
      </c>
      <c r="CM39" s="34" t="str">
        <f>HLOOKUP(CM$7+0.5,$I$66:$DJ$120,ROWS($A$10:$A39)+2,FALSE)</f>
        <v>N/A</v>
      </c>
      <c r="CN39" s="34">
        <f>HLOOKUP(CN$7+0.5,$I$66:$DJ$120,ROWS($A$10:$A39)+2,FALSE)</f>
        <v>234</v>
      </c>
      <c r="CO39" s="34">
        <f>HLOOKUP(CO$7+0.5,$I$66:$DJ$120,ROWS($A$10:$A39)+2,FALSE)</f>
        <v>1709</v>
      </c>
      <c r="CP39" s="34">
        <f>HLOOKUP(CP$7+0.5,$I$66:$DJ$120,ROWS($A$10:$A39)+2,FALSE)</f>
        <v>1429</v>
      </c>
      <c r="CQ39" s="34">
        <f>HLOOKUP(CQ$7+0.5,$I$66:$DJ$120,ROWS($A$10:$A39)+2,FALSE)</f>
        <v>819</v>
      </c>
      <c r="CR39" s="34">
        <f>HLOOKUP(CR$7+0.5,$I$66:$DJ$120,ROWS($A$10:$A39)+2,FALSE)</f>
        <v>895</v>
      </c>
      <c r="CS39" s="34">
        <f>HLOOKUP(CS$7+0.5,$I$66:$DJ$120,ROWS($A$10:$A39)+2,FALSE)</f>
        <v>234</v>
      </c>
      <c r="CT39" s="34">
        <f>HLOOKUP(CT$7+0.5,$I$66:$DJ$120,ROWS($A$10:$A39)+2,FALSE)</f>
        <v>894</v>
      </c>
      <c r="CU39" s="34">
        <f>HLOOKUP(CU$7+0.5,$I$66:$DJ$120,ROWS($A$10:$A39)+2,FALSE)</f>
        <v>254</v>
      </c>
      <c r="CV39" s="34">
        <f>HLOOKUP(CV$7+0.5,$I$66:$DJ$120,ROWS($A$10:$A39)+2,FALSE)</f>
        <v>695</v>
      </c>
      <c r="CW39" s="34">
        <f>HLOOKUP(CW$7+0.5,$I$66:$DJ$120,ROWS($A$10:$A39)+2,FALSE)</f>
        <v>581</v>
      </c>
      <c r="CX39" s="34">
        <f>HLOOKUP(CX$7+0.5,$I$66:$DJ$120,ROWS($A$10:$A39)+2,FALSE)</f>
        <v>148</v>
      </c>
      <c r="CY39" s="34">
        <f>HLOOKUP(CY$7+0.5,$I$66:$DJ$120,ROWS($A$10:$A39)+2,FALSE)</f>
        <v>273</v>
      </c>
      <c r="CZ39" s="34">
        <f>HLOOKUP(CZ$7+0.5,$I$66:$DJ$120,ROWS($A$10:$A39)+2,FALSE)</f>
        <v>557</v>
      </c>
      <c r="DA39" s="34">
        <f>HLOOKUP(DA$7+0.5,$I$66:$DJ$120,ROWS($A$10:$A39)+2,FALSE)</f>
        <v>150</v>
      </c>
      <c r="DB39" s="34">
        <f>HLOOKUP(DB$7+0.5,$I$66:$DJ$120,ROWS($A$10:$A39)+2,FALSE)</f>
        <v>3923</v>
      </c>
      <c r="DC39" s="34">
        <f>HLOOKUP(DC$7+0.5,$I$66:$DJ$120,ROWS($A$10:$A39)+2,FALSE)</f>
        <v>2105</v>
      </c>
      <c r="DD39" s="34">
        <f>HLOOKUP(DD$7+0.5,$I$66:$DJ$120,ROWS($A$10:$A39)+2,FALSE)</f>
        <v>234</v>
      </c>
      <c r="DE39" s="34">
        <f>HLOOKUP(DE$7+0.5,$I$66:$DJ$120,ROWS($A$10:$A39)+2,FALSE)</f>
        <v>1369</v>
      </c>
      <c r="DF39" s="34">
        <f>HLOOKUP(DF$7+0.5,$I$66:$DJ$120,ROWS($A$10:$A39)+2,FALSE)</f>
        <v>1646</v>
      </c>
      <c r="DG39" s="34">
        <f>HLOOKUP(DG$7+0.5,$I$66:$DJ$120,ROWS($A$10:$A39)+2,FALSE)</f>
        <v>234</v>
      </c>
      <c r="DH39" s="34">
        <f>HLOOKUP(DH$7+0.5,$I$66:$DJ$120,ROWS($A$10:$A39)+2,FALSE)</f>
        <v>2369</v>
      </c>
      <c r="DI39" s="34">
        <f>HLOOKUP(DI$7+0.5,$I$66:$DJ$120,ROWS($A$10:$A39)+2,FALSE)</f>
        <v>702</v>
      </c>
      <c r="DJ39" s="34">
        <f>HLOOKUP(DJ$7+0.5,$I$66:$DJ$120,ROWS($A$10:$A39)+2,FALSE)</f>
        <v>258</v>
      </c>
    </row>
    <row r="40" spans="2:114" x14ac:dyDescent="0.25">
      <c r="B40" s="38" t="s">
        <v>36</v>
      </c>
      <c r="C40" s="16">
        <v>1305678</v>
      </c>
      <c r="D40" s="17">
        <v>2046</v>
      </c>
      <c r="E40" s="16">
        <v>1141236</v>
      </c>
      <c r="F40" s="17">
        <v>9064</v>
      </c>
      <c r="G40" s="16">
        <v>122129</v>
      </c>
      <c r="H40" s="17">
        <v>8186</v>
      </c>
      <c r="I40" s="36">
        <f>HLOOKUP(I$7,$I$66:$DJ$120,ROWS($A$10:$A40)+2,FALSE)</f>
        <v>37000</v>
      </c>
      <c r="J40" s="25">
        <f>HLOOKUP(J$7,$I$66:$DJ$120,ROWS($A$10:$A40)+2,FALSE)</f>
        <v>193</v>
      </c>
      <c r="K40" s="25">
        <f>HLOOKUP(K$7,$I$66:$DJ$120,ROWS($A$10:$A40)+2,FALSE)</f>
        <v>0</v>
      </c>
      <c r="L40" s="25">
        <f>HLOOKUP(L$7,$I$66:$DJ$120,ROWS($A$10:$A40)+2,FALSE)</f>
        <v>246</v>
      </c>
      <c r="M40" s="25">
        <f>HLOOKUP(M$7,$I$66:$DJ$120,ROWS($A$10:$A40)+2,FALSE)</f>
        <v>22</v>
      </c>
      <c r="N40" s="25">
        <f>HLOOKUP(N$7,$I$66:$DJ$120,ROWS($A$10:$A40)+2,FALSE)</f>
        <v>547</v>
      </c>
      <c r="O40" s="25">
        <f>HLOOKUP(O$7,$I$66:$DJ$120,ROWS($A$10:$A40)+2,FALSE)</f>
        <v>403</v>
      </c>
      <c r="P40" s="25">
        <f>HLOOKUP(P$7,$I$66:$DJ$120,ROWS($A$10:$A40)+2,FALSE)</f>
        <v>1617</v>
      </c>
      <c r="Q40" s="25">
        <f>HLOOKUP(Q$7,$I$66:$DJ$120,ROWS($A$10:$A40)+2,FALSE)</f>
        <v>20</v>
      </c>
      <c r="R40" s="25">
        <f>HLOOKUP(R$7,$I$66:$DJ$120,ROWS($A$10:$A40)+2,FALSE)</f>
        <v>68</v>
      </c>
      <c r="S40" s="25">
        <f>HLOOKUP(S$7,$I$66:$DJ$120,ROWS($A$10:$A40)+2,FALSE)</f>
        <v>1970</v>
      </c>
      <c r="T40" s="25">
        <f>HLOOKUP(T$7,$I$66:$DJ$120,ROWS($A$10:$A40)+2,FALSE)</f>
        <v>535</v>
      </c>
      <c r="U40" s="25">
        <f>HLOOKUP(U$7,$I$66:$DJ$120,ROWS($A$10:$A40)+2,FALSE)</f>
        <v>0</v>
      </c>
      <c r="V40" s="25">
        <f>HLOOKUP(V$7,$I$66:$DJ$120,ROWS($A$10:$A40)+2,FALSE)</f>
        <v>0</v>
      </c>
      <c r="W40" s="25">
        <f>HLOOKUP(W$7,$I$66:$DJ$120,ROWS($A$10:$A40)+2,FALSE)</f>
        <v>478</v>
      </c>
      <c r="X40" s="25">
        <f>HLOOKUP(X$7,$I$66:$DJ$120,ROWS($A$10:$A40)+2,FALSE)</f>
        <v>470</v>
      </c>
      <c r="Y40" s="25">
        <f>HLOOKUP(Y$7,$I$66:$DJ$120,ROWS($A$10:$A40)+2,FALSE)</f>
        <v>47</v>
      </c>
      <c r="Z40" s="25">
        <f>HLOOKUP(Z$7,$I$66:$DJ$120,ROWS($A$10:$A40)+2,FALSE)</f>
        <v>0</v>
      </c>
      <c r="AA40" s="25">
        <f>HLOOKUP(AA$7,$I$66:$DJ$120,ROWS($A$10:$A40)+2,FALSE)</f>
        <v>0</v>
      </c>
      <c r="AB40" s="25">
        <f>HLOOKUP(AB$7,$I$66:$DJ$120,ROWS($A$10:$A40)+2,FALSE)</f>
        <v>0</v>
      </c>
      <c r="AC40" s="25">
        <f>HLOOKUP(AC$7,$I$66:$DJ$120,ROWS($A$10:$A40)+2,FALSE)</f>
        <v>3080</v>
      </c>
      <c r="AD40" s="25">
        <f>HLOOKUP(AD$7,$I$66:$DJ$120,ROWS($A$10:$A40)+2,FALSE)</f>
        <v>222</v>
      </c>
      <c r="AE40" s="25">
        <f>HLOOKUP(AE$7,$I$66:$DJ$120,ROWS($A$10:$A40)+2,FALSE)</f>
        <v>15526</v>
      </c>
      <c r="AF40" s="25">
        <f>HLOOKUP(AF$7,$I$66:$DJ$120,ROWS($A$10:$A40)+2,FALSE)</f>
        <v>155</v>
      </c>
      <c r="AG40" s="25">
        <f>HLOOKUP(AG$7,$I$66:$DJ$120,ROWS($A$10:$A40)+2,FALSE)</f>
        <v>104</v>
      </c>
      <c r="AH40" s="25">
        <f>HLOOKUP(AH$7,$I$66:$DJ$120,ROWS($A$10:$A40)+2,FALSE)</f>
        <v>160</v>
      </c>
      <c r="AI40" s="25">
        <f>HLOOKUP(AI$7,$I$66:$DJ$120,ROWS($A$10:$A40)+2,FALSE)</f>
        <v>153</v>
      </c>
      <c r="AJ40" s="25">
        <f>HLOOKUP(AJ$7,$I$66:$DJ$120,ROWS($A$10:$A40)+2,FALSE)</f>
        <v>230</v>
      </c>
      <c r="AK40" s="25">
        <f>HLOOKUP(AK$7,$I$66:$DJ$120,ROWS($A$10:$A40)+2,FALSE)</f>
        <v>33</v>
      </c>
      <c r="AL40" s="25">
        <f>HLOOKUP(AL$7,$I$66:$DJ$120,ROWS($A$10:$A40)+2,FALSE)</f>
        <v>186</v>
      </c>
      <c r="AM40" s="25" t="str">
        <f>HLOOKUP(AM$7,$I$66:$DJ$120,ROWS($A$10:$A40)+2,FALSE)</f>
        <v>N/A</v>
      </c>
      <c r="AN40" s="25">
        <f>HLOOKUP(AN$7,$I$66:$DJ$120,ROWS($A$10:$A40)+2,FALSE)</f>
        <v>294</v>
      </c>
      <c r="AO40" s="25">
        <f>HLOOKUP(AO$7,$I$66:$DJ$120,ROWS($A$10:$A40)+2,FALSE)</f>
        <v>186</v>
      </c>
      <c r="AP40" s="25">
        <f>HLOOKUP(AP$7,$I$66:$DJ$120,ROWS($A$10:$A40)+2,FALSE)</f>
        <v>1471</v>
      </c>
      <c r="AQ40" s="25">
        <f>HLOOKUP(AQ$7,$I$66:$DJ$120,ROWS($A$10:$A40)+2,FALSE)</f>
        <v>1297</v>
      </c>
      <c r="AR40" s="25">
        <f>HLOOKUP(AR$7,$I$66:$DJ$120,ROWS($A$10:$A40)+2,FALSE)</f>
        <v>47</v>
      </c>
      <c r="AS40" s="25">
        <f>HLOOKUP(AS$7,$I$66:$DJ$120,ROWS($A$10:$A40)+2,FALSE)</f>
        <v>248</v>
      </c>
      <c r="AT40" s="25">
        <f>HLOOKUP(AT$7,$I$66:$DJ$120,ROWS($A$10:$A40)+2,FALSE)</f>
        <v>0</v>
      </c>
      <c r="AU40" s="25">
        <f>HLOOKUP(AU$7,$I$66:$DJ$120,ROWS($A$10:$A40)+2,FALSE)</f>
        <v>198</v>
      </c>
      <c r="AV40" s="25">
        <f>HLOOKUP(AV$7,$I$66:$DJ$120,ROWS($A$10:$A40)+2,FALSE)</f>
        <v>1015</v>
      </c>
      <c r="AW40" s="25">
        <f>HLOOKUP(AW$7,$I$66:$DJ$120,ROWS($A$10:$A40)+2,FALSE)</f>
        <v>608</v>
      </c>
      <c r="AX40" s="25">
        <f>HLOOKUP(AX$7,$I$66:$DJ$120,ROWS($A$10:$A40)+2,FALSE)</f>
        <v>588</v>
      </c>
      <c r="AY40" s="25">
        <f>HLOOKUP(AY$7,$I$66:$DJ$120,ROWS($A$10:$A40)+2,FALSE)</f>
        <v>86</v>
      </c>
      <c r="AZ40" s="25">
        <f>HLOOKUP(AZ$7,$I$66:$DJ$120,ROWS($A$10:$A40)+2,FALSE)</f>
        <v>126</v>
      </c>
      <c r="BA40" s="25">
        <f>HLOOKUP(BA$7,$I$66:$DJ$120,ROWS($A$10:$A40)+2,FALSE)</f>
        <v>605</v>
      </c>
      <c r="BB40" s="25">
        <f>HLOOKUP(BB$7,$I$66:$DJ$120,ROWS($A$10:$A40)+2,FALSE)</f>
        <v>158</v>
      </c>
      <c r="BC40" s="25">
        <f>HLOOKUP(BC$7,$I$66:$DJ$120,ROWS($A$10:$A40)+2,FALSE)</f>
        <v>2138</v>
      </c>
      <c r="BD40" s="25">
        <f>HLOOKUP(BD$7,$I$66:$DJ$120,ROWS($A$10:$A40)+2,FALSE)</f>
        <v>880</v>
      </c>
      <c r="BE40" s="25">
        <f>HLOOKUP(BE$7,$I$66:$DJ$120,ROWS($A$10:$A40)+2,FALSE)</f>
        <v>428</v>
      </c>
      <c r="BF40" s="25">
        <f>HLOOKUP(BF$7,$I$66:$DJ$120,ROWS($A$10:$A40)+2,FALSE)</f>
        <v>0</v>
      </c>
      <c r="BG40" s="25">
        <f>HLOOKUP(BG$7,$I$66:$DJ$120,ROWS($A$10:$A40)+2,FALSE)</f>
        <v>0</v>
      </c>
      <c r="BH40" s="25">
        <f>HLOOKUP(BH$7,$I$66:$DJ$120,ROWS($A$10:$A40)+2,FALSE)</f>
        <v>162</v>
      </c>
      <c r="BI40" s="25">
        <f>HLOOKUP(BI$7,$I$66:$DJ$120,ROWS($A$10:$A40)+2,FALSE)</f>
        <v>0</v>
      </c>
      <c r="BJ40" s="34">
        <f>HLOOKUP(BJ$7+0.5,$I$66:$DJ$120,ROWS($A$10:$A40)+2,FALSE)</f>
        <v>3717</v>
      </c>
      <c r="BK40" s="34">
        <f>HLOOKUP(BK$7+0.5,$I$66:$DJ$120,ROWS($A$10:$A40)+2,FALSE)</f>
        <v>237</v>
      </c>
      <c r="BL40" s="34">
        <f>HLOOKUP(BL$7+0.5,$I$66:$DJ$120,ROWS($A$10:$A40)+2,FALSE)</f>
        <v>184</v>
      </c>
      <c r="BM40" s="34">
        <f>HLOOKUP(BM$7+0.5,$I$66:$DJ$120,ROWS($A$10:$A40)+2,FALSE)</f>
        <v>210</v>
      </c>
      <c r="BN40" s="34">
        <f>HLOOKUP(BN$7+0.5,$I$66:$DJ$120,ROWS($A$10:$A40)+2,FALSE)</f>
        <v>37</v>
      </c>
      <c r="BO40" s="34">
        <f>HLOOKUP(BO$7+0.5,$I$66:$DJ$120,ROWS($A$10:$A40)+2,FALSE)</f>
        <v>334</v>
      </c>
      <c r="BP40" s="34">
        <f>HLOOKUP(BP$7+0.5,$I$66:$DJ$120,ROWS($A$10:$A40)+2,FALSE)</f>
        <v>313</v>
      </c>
      <c r="BQ40" s="34">
        <f>HLOOKUP(BQ$7+0.5,$I$66:$DJ$120,ROWS($A$10:$A40)+2,FALSE)</f>
        <v>519</v>
      </c>
      <c r="BR40" s="34">
        <f>HLOOKUP(BR$7+0.5,$I$66:$DJ$120,ROWS($A$10:$A40)+2,FALSE)</f>
        <v>32</v>
      </c>
      <c r="BS40" s="34">
        <f>HLOOKUP(BS$7+0.5,$I$66:$DJ$120,ROWS($A$10:$A40)+2,FALSE)</f>
        <v>112</v>
      </c>
      <c r="BT40" s="34">
        <f>HLOOKUP(BT$7+0.5,$I$66:$DJ$120,ROWS($A$10:$A40)+2,FALSE)</f>
        <v>813</v>
      </c>
      <c r="BU40" s="34">
        <f>HLOOKUP(BU$7+0.5,$I$66:$DJ$120,ROWS($A$10:$A40)+2,FALSE)</f>
        <v>449</v>
      </c>
      <c r="BV40" s="34">
        <f>HLOOKUP(BV$7+0.5,$I$66:$DJ$120,ROWS($A$10:$A40)+2,FALSE)</f>
        <v>184</v>
      </c>
      <c r="BW40" s="34">
        <f>HLOOKUP(BW$7+0.5,$I$66:$DJ$120,ROWS($A$10:$A40)+2,FALSE)</f>
        <v>184</v>
      </c>
      <c r="BX40" s="34">
        <f>HLOOKUP(BX$7+0.5,$I$66:$DJ$120,ROWS($A$10:$A40)+2,FALSE)</f>
        <v>402</v>
      </c>
      <c r="BY40" s="34">
        <f>HLOOKUP(BY$7+0.5,$I$66:$DJ$120,ROWS($A$10:$A40)+2,FALSE)</f>
        <v>394</v>
      </c>
      <c r="BZ40" s="34">
        <f>HLOOKUP(BZ$7+0.5,$I$66:$DJ$120,ROWS($A$10:$A40)+2,FALSE)</f>
        <v>78</v>
      </c>
      <c r="CA40" s="34">
        <f>HLOOKUP(CA$7+0.5,$I$66:$DJ$120,ROWS($A$10:$A40)+2,FALSE)</f>
        <v>184</v>
      </c>
      <c r="CB40" s="34">
        <f>HLOOKUP(CB$7+0.5,$I$66:$DJ$120,ROWS($A$10:$A40)+2,FALSE)</f>
        <v>184</v>
      </c>
      <c r="CC40" s="34">
        <f>HLOOKUP(CC$7+0.5,$I$66:$DJ$120,ROWS($A$10:$A40)+2,FALSE)</f>
        <v>184</v>
      </c>
      <c r="CD40" s="34">
        <f>HLOOKUP(CD$7+0.5,$I$66:$DJ$120,ROWS($A$10:$A40)+2,FALSE)</f>
        <v>1064</v>
      </c>
      <c r="CE40" s="34">
        <f>HLOOKUP(CE$7+0.5,$I$66:$DJ$120,ROWS($A$10:$A40)+2,FALSE)</f>
        <v>177</v>
      </c>
      <c r="CF40" s="34">
        <f>HLOOKUP(CF$7+0.5,$I$66:$DJ$120,ROWS($A$10:$A40)+2,FALSE)</f>
        <v>2811</v>
      </c>
      <c r="CG40" s="34">
        <f>HLOOKUP(CG$7+0.5,$I$66:$DJ$120,ROWS($A$10:$A40)+2,FALSE)</f>
        <v>165</v>
      </c>
      <c r="CH40" s="34">
        <f>HLOOKUP(CH$7+0.5,$I$66:$DJ$120,ROWS($A$10:$A40)+2,FALSE)</f>
        <v>145</v>
      </c>
      <c r="CI40" s="34">
        <f>HLOOKUP(CI$7+0.5,$I$66:$DJ$120,ROWS($A$10:$A40)+2,FALSE)</f>
        <v>258</v>
      </c>
      <c r="CJ40" s="34">
        <f>HLOOKUP(CJ$7+0.5,$I$66:$DJ$120,ROWS($A$10:$A40)+2,FALSE)</f>
        <v>181</v>
      </c>
      <c r="CK40" s="34">
        <f>HLOOKUP(CK$7+0.5,$I$66:$DJ$120,ROWS($A$10:$A40)+2,FALSE)</f>
        <v>378</v>
      </c>
      <c r="CL40" s="34">
        <f>HLOOKUP(CL$7+0.5,$I$66:$DJ$120,ROWS($A$10:$A40)+2,FALSE)</f>
        <v>54</v>
      </c>
      <c r="CM40" s="34">
        <f>HLOOKUP(CM$7+0.5,$I$66:$DJ$120,ROWS($A$10:$A40)+2,FALSE)</f>
        <v>231</v>
      </c>
      <c r="CN40" s="34" t="str">
        <f>HLOOKUP(CN$7+0.5,$I$66:$DJ$120,ROWS($A$10:$A40)+2,FALSE)</f>
        <v>N/A</v>
      </c>
      <c r="CO40" s="34">
        <f>HLOOKUP(CO$7+0.5,$I$66:$DJ$120,ROWS($A$10:$A40)+2,FALSE)</f>
        <v>247</v>
      </c>
      <c r="CP40" s="34">
        <f>HLOOKUP(CP$7+0.5,$I$66:$DJ$120,ROWS($A$10:$A40)+2,FALSE)</f>
        <v>179</v>
      </c>
      <c r="CQ40" s="34">
        <f>HLOOKUP(CQ$7+0.5,$I$66:$DJ$120,ROWS($A$10:$A40)+2,FALSE)</f>
        <v>510</v>
      </c>
      <c r="CR40" s="34">
        <f>HLOOKUP(CR$7+0.5,$I$66:$DJ$120,ROWS($A$10:$A40)+2,FALSE)</f>
        <v>649</v>
      </c>
      <c r="CS40" s="34">
        <f>HLOOKUP(CS$7+0.5,$I$66:$DJ$120,ROWS($A$10:$A40)+2,FALSE)</f>
        <v>79</v>
      </c>
      <c r="CT40" s="34">
        <f>HLOOKUP(CT$7+0.5,$I$66:$DJ$120,ROWS($A$10:$A40)+2,FALSE)</f>
        <v>223</v>
      </c>
      <c r="CU40" s="34">
        <f>HLOOKUP(CU$7+0.5,$I$66:$DJ$120,ROWS($A$10:$A40)+2,FALSE)</f>
        <v>184</v>
      </c>
      <c r="CV40" s="34">
        <f>HLOOKUP(CV$7+0.5,$I$66:$DJ$120,ROWS($A$10:$A40)+2,FALSE)</f>
        <v>267</v>
      </c>
      <c r="CW40" s="34">
        <f>HLOOKUP(CW$7+0.5,$I$66:$DJ$120,ROWS($A$10:$A40)+2,FALSE)</f>
        <v>569</v>
      </c>
      <c r="CX40" s="34">
        <f>HLOOKUP(CX$7+0.5,$I$66:$DJ$120,ROWS($A$10:$A40)+2,FALSE)</f>
        <v>301</v>
      </c>
      <c r="CY40" s="34">
        <f>HLOOKUP(CY$7+0.5,$I$66:$DJ$120,ROWS($A$10:$A40)+2,FALSE)</f>
        <v>757</v>
      </c>
      <c r="CZ40" s="34">
        <f>HLOOKUP(CZ$7+0.5,$I$66:$DJ$120,ROWS($A$10:$A40)+2,FALSE)</f>
        <v>102</v>
      </c>
      <c r="DA40" s="34">
        <f>HLOOKUP(DA$7+0.5,$I$66:$DJ$120,ROWS($A$10:$A40)+2,FALSE)</f>
        <v>159</v>
      </c>
      <c r="DB40" s="34">
        <f>HLOOKUP(DB$7+0.5,$I$66:$DJ$120,ROWS($A$10:$A40)+2,FALSE)</f>
        <v>438</v>
      </c>
      <c r="DC40" s="34">
        <f>HLOOKUP(DC$7+0.5,$I$66:$DJ$120,ROWS($A$10:$A40)+2,FALSE)</f>
        <v>271</v>
      </c>
      <c r="DD40" s="34">
        <f>HLOOKUP(DD$7+0.5,$I$66:$DJ$120,ROWS($A$10:$A40)+2,FALSE)</f>
        <v>991</v>
      </c>
      <c r="DE40" s="34">
        <f>HLOOKUP(DE$7+0.5,$I$66:$DJ$120,ROWS($A$10:$A40)+2,FALSE)</f>
        <v>575</v>
      </c>
      <c r="DF40" s="34">
        <f>HLOOKUP(DF$7+0.5,$I$66:$DJ$120,ROWS($A$10:$A40)+2,FALSE)</f>
        <v>497</v>
      </c>
      <c r="DG40" s="34">
        <f>HLOOKUP(DG$7+0.5,$I$66:$DJ$120,ROWS($A$10:$A40)+2,FALSE)</f>
        <v>184</v>
      </c>
      <c r="DH40" s="34">
        <f>HLOOKUP(DH$7+0.5,$I$66:$DJ$120,ROWS($A$10:$A40)+2,FALSE)</f>
        <v>184</v>
      </c>
      <c r="DI40" s="34">
        <f>HLOOKUP(DI$7+0.5,$I$66:$DJ$120,ROWS($A$10:$A40)+2,FALSE)</f>
        <v>218</v>
      </c>
      <c r="DJ40" s="34">
        <f>HLOOKUP(DJ$7+0.5,$I$66:$DJ$120,ROWS($A$10:$A40)+2,FALSE)</f>
        <v>184</v>
      </c>
    </row>
    <row r="41" spans="2:114" x14ac:dyDescent="0.25">
      <c r="B41" s="38" t="s">
        <v>37</v>
      </c>
      <c r="C41" s="15">
        <v>8719952</v>
      </c>
      <c r="D41" s="14">
        <v>4595</v>
      </c>
      <c r="E41" s="15">
        <v>7825661</v>
      </c>
      <c r="F41" s="14">
        <v>21158</v>
      </c>
      <c r="G41" s="15">
        <v>693380</v>
      </c>
      <c r="H41" s="14">
        <v>21063</v>
      </c>
      <c r="I41" s="36">
        <f>HLOOKUP(I$7,$I$66:$DJ$120,ROWS($A$10:$A41)+2,FALSE)</f>
        <v>140194</v>
      </c>
      <c r="J41" s="25">
        <f>HLOOKUP(J$7,$I$66:$DJ$120,ROWS($A$10:$A41)+2,FALSE)</f>
        <v>189</v>
      </c>
      <c r="K41" s="25">
        <f>HLOOKUP(K$7,$I$66:$DJ$120,ROWS($A$10:$A41)+2,FALSE)</f>
        <v>1198</v>
      </c>
      <c r="L41" s="25">
        <f>HLOOKUP(L$7,$I$66:$DJ$120,ROWS($A$10:$A41)+2,FALSE)</f>
        <v>3784</v>
      </c>
      <c r="M41" s="25">
        <f>HLOOKUP(M$7,$I$66:$DJ$120,ROWS($A$10:$A41)+2,FALSE)</f>
        <v>57</v>
      </c>
      <c r="N41" s="25">
        <f>HLOOKUP(N$7,$I$66:$DJ$120,ROWS($A$10:$A41)+2,FALSE)</f>
        <v>5986</v>
      </c>
      <c r="O41" s="25">
        <f>HLOOKUP(O$7,$I$66:$DJ$120,ROWS($A$10:$A41)+2,FALSE)</f>
        <v>2203</v>
      </c>
      <c r="P41" s="25">
        <f>HLOOKUP(P$7,$I$66:$DJ$120,ROWS($A$10:$A41)+2,FALSE)</f>
        <v>1924</v>
      </c>
      <c r="Q41" s="25">
        <f>HLOOKUP(Q$7,$I$66:$DJ$120,ROWS($A$10:$A41)+2,FALSE)</f>
        <v>2100</v>
      </c>
      <c r="R41" s="25">
        <f>HLOOKUP(R$7,$I$66:$DJ$120,ROWS($A$10:$A41)+2,FALSE)</f>
        <v>781</v>
      </c>
      <c r="S41" s="25">
        <f>HLOOKUP(S$7,$I$66:$DJ$120,ROWS($A$10:$A41)+2,FALSE)</f>
        <v>12907</v>
      </c>
      <c r="T41" s="25">
        <f>HLOOKUP(T$7,$I$66:$DJ$120,ROWS($A$10:$A41)+2,FALSE)</f>
        <v>4268</v>
      </c>
      <c r="U41" s="25">
        <f>HLOOKUP(U$7,$I$66:$DJ$120,ROWS($A$10:$A41)+2,FALSE)</f>
        <v>264</v>
      </c>
      <c r="V41" s="25">
        <f>HLOOKUP(V$7,$I$66:$DJ$120,ROWS($A$10:$A41)+2,FALSE)</f>
        <v>256</v>
      </c>
      <c r="W41" s="25">
        <f>HLOOKUP(W$7,$I$66:$DJ$120,ROWS($A$10:$A41)+2,FALSE)</f>
        <v>3690</v>
      </c>
      <c r="X41" s="25">
        <f>HLOOKUP(X$7,$I$66:$DJ$120,ROWS($A$10:$A41)+2,FALSE)</f>
        <v>718</v>
      </c>
      <c r="Y41" s="25">
        <f>HLOOKUP(Y$7,$I$66:$DJ$120,ROWS($A$10:$A41)+2,FALSE)</f>
        <v>332</v>
      </c>
      <c r="Z41" s="25">
        <f>HLOOKUP(Z$7,$I$66:$DJ$120,ROWS($A$10:$A41)+2,FALSE)</f>
        <v>317</v>
      </c>
      <c r="AA41" s="25">
        <f>HLOOKUP(AA$7,$I$66:$DJ$120,ROWS($A$10:$A41)+2,FALSE)</f>
        <v>102</v>
      </c>
      <c r="AB41" s="25">
        <f>HLOOKUP(AB$7,$I$66:$DJ$120,ROWS($A$10:$A41)+2,FALSE)</f>
        <v>871</v>
      </c>
      <c r="AC41" s="25">
        <f>HLOOKUP(AC$7,$I$66:$DJ$120,ROWS($A$10:$A41)+2,FALSE)</f>
        <v>624</v>
      </c>
      <c r="AD41" s="25">
        <f>HLOOKUP(AD$7,$I$66:$DJ$120,ROWS($A$10:$A41)+2,FALSE)</f>
        <v>5335</v>
      </c>
      <c r="AE41" s="25">
        <f>HLOOKUP(AE$7,$I$66:$DJ$120,ROWS($A$10:$A41)+2,FALSE)</f>
        <v>4675</v>
      </c>
      <c r="AF41" s="25">
        <f>HLOOKUP(AF$7,$I$66:$DJ$120,ROWS($A$10:$A41)+2,FALSE)</f>
        <v>1889</v>
      </c>
      <c r="AG41" s="25">
        <f>HLOOKUP(AG$7,$I$66:$DJ$120,ROWS($A$10:$A41)+2,FALSE)</f>
        <v>1261</v>
      </c>
      <c r="AH41" s="25">
        <f>HLOOKUP(AH$7,$I$66:$DJ$120,ROWS($A$10:$A41)+2,FALSE)</f>
        <v>510</v>
      </c>
      <c r="AI41" s="25">
        <f>HLOOKUP(AI$7,$I$66:$DJ$120,ROWS($A$10:$A41)+2,FALSE)</f>
        <v>583</v>
      </c>
      <c r="AJ41" s="25">
        <f>HLOOKUP(AJ$7,$I$66:$DJ$120,ROWS($A$10:$A41)+2,FALSE)</f>
        <v>49</v>
      </c>
      <c r="AK41" s="25">
        <f>HLOOKUP(AK$7,$I$66:$DJ$120,ROWS($A$10:$A41)+2,FALSE)</f>
        <v>312</v>
      </c>
      <c r="AL41" s="25">
        <f>HLOOKUP(AL$7,$I$66:$DJ$120,ROWS($A$10:$A41)+2,FALSE)</f>
        <v>899</v>
      </c>
      <c r="AM41" s="25">
        <f>HLOOKUP(AM$7,$I$66:$DJ$120,ROWS($A$10:$A41)+2,FALSE)</f>
        <v>499</v>
      </c>
      <c r="AN41" s="25" t="str">
        <f>HLOOKUP(AN$7,$I$66:$DJ$120,ROWS($A$10:$A41)+2,FALSE)</f>
        <v>N/A</v>
      </c>
      <c r="AO41" s="25">
        <f>HLOOKUP(AO$7,$I$66:$DJ$120,ROWS($A$10:$A41)+2,FALSE)</f>
        <v>355</v>
      </c>
      <c r="AP41" s="25">
        <f>HLOOKUP(AP$7,$I$66:$DJ$120,ROWS($A$10:$A41)+2,FALSE)</f>
        <v>40815</v>
      </c>
      <c r="AQ41" s="25">
        <f>HLOOKUP(AQ$7,$I$66:$DJ$120,ROWS($A$10:$A41)+2,FALSE)</f>
        <v>2482</v>
      </c>
      <c r="AR41" s="25">
        <f>HLOOKUP(AR$7,$I$66:$DJ$120,ROWS($A$10:$A41)+2,FALSE)</f>
        <v>61</v>
      </c>
      <c r="AS41" s="25">
        <f>HLOOKUP(AS$7,$I$66:$DJ$120,ROWS($A$10:$A41)+2,FALSE)</f>
        <v>1121</v>
      </c>
      <c r="AT41" s="25">
        <f>HLOOKUP(AT$7,$I$66:$DJ$120,ROWS($A$10:$A41)+2,FALSE)</f>
        <v>773</v>
      </c>
      <c r="AU41" s="25">
        <f>HLOOKUP(AU$7,$I$66:$DJ$120,ROWS($A$10:$A41)+2,FALSE)</f>
        <v>360</v>
      </c>
      <c r="AV41" s="25">
        <f>HLOOKUP(AV$7,$I$66:$DJ$120,ROWS($A$10:$A41)+2,FALSE)</f>
        <v>19733</v>
      </c>
      <c r="AW41" s="25">
        <f>HLOOKUP(AW$7,$I$66:$DJ$120,ROWS($A$10:$A41)+2,FALSE)</f>
        <v>463</v>
      </c>
      <c r="AX41" s="25">
        <f>HLOOKUP(AX$7,$I$66:$DJ$120,ROWS($A$10:$A41)+2,FALSE)</f>
        <v>1586</v>
      </c>
      <c r="AY41" s="25">
        <f>HLOOKUP(AY$7,$I$66:$DJ$120,ROWS($A$10:$A41)+2,FALSE)</f>
        <v>0</v>
      </c>
      <c r="AZ41" s="25">
        <f>HLOOKUP(AZ$7,$I$66:$DJ$120,ROWS($A$10:$A41)+2,FALSE)</f>
        <v>1412</v>
      </c>
      <c r="BA41" s="25">
        <f>HLOOKUP(BA$7,$I$66:$DJ$120,ROWS($A$10:$A41)+2,FALSE)</f>
        <v>3801</v>
      </c>
      <c r="BB41" s="25">
        <f>HLOOKUP(BB$7,$I$66:$DJ$120,ROWS($A$10:$A41)+2,FALSE)</f>
        <v>256</v>
      </c>
      <c r="BC41" s="25">
        <f>HLOOKUP(BC$7,$I$66:$DJ$120,ROWS($A$10:$A41)+2,FALSE)</f>
        <v>0</v>
      </c>
      <c r="BD41" s="25">
        <f>HLOOKUP(BD$7,$I$66:$DJ$120,ROWS($A$10:$A41)+2,FALSE)</f>
        <v>4458</v>
      </c>
      <c r="BE41" s="25">
        <f>HLOOKUP(BE$7,$I$66:$DJ$120,ROWS($A$10:$A41)+2,FALSE)</f>
        <v>2454</v>
      </c>
      <c r="BF41" s="25">
        <f>HLOOKUP(BF$7,$I$66:$DJ$120,ROWS($A$10:$A41)+2,FALSE)</f>
        <v>1252</v>
      </c>
      <c r="BG41" s="25">
        <f>HLOOKUP(BG$7,$I$66:$DJ$120,ROWS($A$10:$A41)+2,FALSE)</f>
        <v>214</v>
      </c>
      <c r="BH41" s="25">
        <f>HLOOKUP(BH$7,$I$66:$DJ$120,ROWS($A$10:$A41)+2,FALSE)</f>
        <v>15</v>
      </c>
      <c r="BI41" s="25">
        <f>HLOOKUP(BI$7,$I$66:$DJ$120,ROWS($A$10:$A41)+2,FALSE)</f>
        <v>4312</v>
      </c>
      <c r="BJ41" s="34">
        <f>HLOOKUP(BJ$7+0.5,$I$66:$DJ$120,ROWS($A$10:$A41)+2,FALSE)</f>
        <v>8607</v>
      </c>
      <c r="BK41" s="34">
        <f>HLOOKUP(BK$7+0.5,$I$66:$DJ$120,ROWS($A$10:$A41)+2,FALSE)</f>
        <v>209</v>
      </c>
      <c r="BL41" s="34">
        <f>HLOOKUP(BL$7+0.5,$I$66:$DJ$120,ROWS($A$10:$A41)+2,FALSE)</f>
        <v>790</v>
      </c>
      <c r="BM41" s="34">
        <f>HLOOKUP(BM$7+0.5,$I$66:$DJ$120,ROWS($A$10:$A41)+2,FALSE)</f>
        <v>2287</v>
      </c>
      <c r="BN41" s="34">
        <f>HLOOKUP(BN$7+0.5,$I$66:$DJ$120,ROWS($A$10:$A41)+2,FALSE)</f>
        <v>97</v>
      </c>
      <c r="BO41" s="34">
        <f>HLOOKUP(BO$7+0.5,$I$66:$DJ$120,ROWS($A$10:$A41)+2,FALSE)</f>
        <v>1519</v>
      </c>
      <c r="BP41" s="34">
        <f>HLOOKUP(BP$7+0.5,$I$66:$DJ$120,ROWS($A$10:$A41)+2,FALSE)</f>
        <v>1931</v>
      </c>
      <c r="BQ41" s="34">
        <f>HLOOKUP(BQ$7+0.5,$I$66:$DJ$120,ROWS($A$10:$A41)+2,FALSE)</f>
        <v>845</v>
      </c>
      <c r="BR41" s="34">
        <f>HLOOKUP(BR$7+0.5,$I$66:$DJ$120,ROWS($A$10:$A41)+2,FALSE)</f>
        <v>1025</v>
      </c>
      <c r="BS41" s="34">
        <f>HLOOKUP(BS$7+0.5,$I$66:$DJ$120,ROWS($A$10:$A41)+2,FALSE)</f>
        <v>409</v>
      </c>
      <c r="BT41" s="34">
        <f>HLOOKUP(BT$7+0.5,$I$66:$DJ$120,ROWS($A$10:$A41)+2,FALSE)</f>
        <v>3313</v>
      </c>
      <c r="BU41" s="34">
        <f>HLOOKUP(BU$7+0.5,$I$66:$DJ$120,ROWS($A$10:$A41)+2,FALSE)</f>
        <v>2025</v>
      </c>
      <c r="BV41" s="34">
        <f>HLOOKUP(BV$7+0.5,$I$66:$DJ$120,ROWS($A$10:$A41)+2,FALSE)</f>
        <v>307</v>
      </c>
      <c r="BW41" s="34">
        <f>HLOOKUP(BW$7+0.5,$I$66:$DJ$120,ROWS($A$10:$A41)+2,FALSE)</f>
        <v>262</v>
      </c>
      <c r="BX41" s="34">
        <f>HLOOKUP(BX$7+0.5,$I$66:$DJ$120,ROWS($A$10:$A41)+2,FALSE)</f>
        <v>1572</v>
      </c>
      <c r="BY41" s="34">
        <f>HLOOKUP(BY$7+0.5,$I$66:$DJ$120,ROWS($A$10:$A41)+2,FALSE)</f>
        <v>436</v>
      </c>
      <c r="BZ41" s="34">
        <f>HLOOKUP(BZ$7+0.5,$I$66:$DJ$120,ROWS($A$10:$A41)+2,FALSE)</f>
        <v>441</v>
      </c>
      <c r="CA41" s="34">
        <f>HLOOKUP(CA$7+0.5,$I$66:$DJ$120,ROWS($A$10:$A41)+2,FALSE)</f>
        <v>306</v>
      </c>
      <c r="CB41" s="34">
        <f>HLOOKUP(CB$7+0.5,$I$66:$DJ$120,ROWS($A$10:$A41)+2,FALSE)</f>
        <v>125</v>
      </c>
      <c r="CC41" s="34">
        <f>HLOOKUP(CC$7+0.5,$I$66:$DJ$120,ROWS($A$10:$A41)+2,FALSE)</f>
        <v>590</v>
      </c>
      <c r="CD41" s="34">
        <f>HLOOKUP(CD$7+0.5,$I$66:$DJ$120,ROWS($A$10:$A41)+2,FALSE)</f>
        <v>629</v>
      </c>
      <c r="CE41" s="34">
        <f>HLOOKUP(CE$7+0.5,$I$66:$DJ$120,ROWS($A$10:$A41)+2,FALSE)</f>
        <v>2324</v>
      </c>
      <c r="CF41" s="34">
        <f>HLOOKUP(CF$7+0.5,$I$66:$DJ$120,ROWS($A$10:$A41)+2,FALSE)</f>
        <v>1356</v>
      </c>
      <c r="CG41" s="34">
        <f>HLOOKUP(CG$7+0.5,$I$66:$DJ$120,ROWS($A$10:$A41)+2,FALSE)</f>
        <v>1056</v>
      </c>
      <c r="CH41" s="34">
        <f>HLOOKUP(CH$7+0.5,$I$66:$DJ$120,ROWS($A$10:$A41)+2,FALSE)</f>
        <v>1200</v>
      </c>
      <c r="CI41" s="34">
        <f>HLOOKUP(CI$7+0.5,$I$66:$DJ$120,ROWS($A$10:$A41)+2,FALSE)</f>
        <v>677</v>
      </c>
      <c r="CJ41" s="34">
        <f>HLOOKUP(CJ$7+0.5,$I$66:$DJ$120,ROWS($A$10:$A41)+2,FALSE)</f>
        <v>544</v>
      </c>
      <c r="CK41" s="34">
        <f>HLOOKUP(CK$7+0.5,$I$66:$DJ$120,ROWS($A$10:$A41)+2,FALSE)</f>
        <v>80</v>
      </c>
      <c r="CL41" s="34">
        <f>HLOOKUP(CL$7+0.5,$I$66:$DJ$120,ROWS($A$10:$A41)+2,FALSE)</f>
        <v>429</v>
      </c>
      <c r="CM41" s="34">
        <f>HLOOKUP(CM$7+0.5,$I$66:$DJ$120,ROWS($A$10:$A41)+2,FALSE)</f>
        <v>566</v>
      </c>
      <c r="CN41" s="34">
        <f>HLOOKUP(CN$7+0.5,$I$66:$DJ$120,ROWS($A$10:$A41)+2,FALSE)</f>
        <v>360</v>
      </c>
      <c r="CO41" s="34" t="str">
        <f>HLOOKUP(CO$7+0.5,$I$66:$DJ$120,ROWS($A$10:$A41)+2,FALSE)</f>
        <v>N/A</v>
      </c>
      <c r="CP41" s="34">
        <f>HLOOKUP(CP$7+0.5,$I$66:$DJ$120,ROWS($A$10:$A41)+2,FALSE)</f>
        <v>537</v>
      </c>
      <c r="CQ41" s="34">
        <f>HLOOKUP(CQ$7+0.5,$I$66:$DJ$120,ROWS($A$10:$A41)+2,FALSE)</f>
        <v>4703</v>
      </c>
      <c r="CR41" s="34">
        <f>HLOOKUP(CR$7+0.5,$I$66:$DJ$120,ROWS($A$10:$A41)+2,FALSE)</f>
        <v>1416</v>
      </c>
      <c r="CS41" s="34">
        <f>HLOOKUP(CS$7+0.5,$I$66:$DJ$120,ROWS($A$10:$A41)+2,FALSE)</f>
        <v>103</v>
      </c>
      <c r="CT41" s="34">
        <f>HLOOKUP(CT$7+0.5,$I$66:$DJ$120,ROWS($A$10:$A41)+2,FALSE)</f>
        <v>608</v>
      </c>
      <c r="CU41" s="34">
        <f>HLOOKUP(CU$7+0.5,$I$66:$DJ$120,ROWS($A$10:$A41)+2,FALSE)</f>
        <v>707</v>
      </c>
      <c r="CV41" s="34">
        <f>HLOOKUP(CV$7+0.5,$I$66:$DJ$120,ROWS($A$10:$A41)+2,FALSE)</f>
        <v>331</v>
      </c>
      <c r="CW41" s="34">
        <f>HLOOKUP(CW$7+0.5,$I$66:$DJ$120,ROWS($A$10:$A41)+2,FALSE)</f>
        <v>2951</v>
      </c>
      <c r="CX41" s="34">
        <f>HLOOKUP(CX$7+0.5,$I$66:$DJ$120,ROWS($A$10:$A41)+2,FALSE)</f>
        <v>319</v>
      </c>
      <c r="CY41" s="34">
        <f>HLOOKUP(CY$7+0.5,$I$66:$DJ$120,ROWS($A$10:$A41)+2,FALSE)</f>
        <v>789</v>
      </c>
      <c r="CZ41" s="34">
        <f>HLOOKUP(CZ$7+0.5,$I$66:$DJ$120,ROWS($A$10:$A41)+2,FALSE)</f>
        <v>198</v>
      </c>
      <c r="DA41" s="34">
        <f>HLOOKUP(DA$7+0.5,$I$66:$DJ$120,ROWS($A$10:$A41)+2,FALSE)</f>
        <v>782</v>
      </c>
      <c r="DB41" s="34">
        <f>HLOOKUP(DB$7+0.5,$I$66:$DJ$120,ROWS($A$10:$A41)+2,FALSE)</f>
        <v>1818</v>
      </c>
      <c r="DC41" s="34">
        <f>HLOOKUP(DC$7+0.5,$I$66:$DJ$120,ROWS($A$10:$A41)+2,FALSE)</f>
        <v>229</v>
      </c>
      <c r="DD41" s="34">
        <f>HLOOKUP(DD$7+0.5,$I$66:$DJ$120,ROWS($A$10:$A41)+2,FALSE)</f>
        <v>198</v>
      </c>
      <c r="DE41" s="34">
        <f>HLOOKUP(DE$7+0.5,$I$66:$DJ$120,ROWS($A$10:$A41)+2,FALSE)</f>
        <v>1750</v>
      </c>
      <c r="DF41" s="34">
        <f>HLOOKUP(DF$7+0.5,$I$66:$DJ$120,ROWS($A$10:$A41)+2,FALSE)</f>
        <v>1946</v>
      </c>
      <c r="DG41" s="34">
        <f>HLOOKUP(DG$7+0.5,$I$66:$DJ$120,ROWS($A$10:$A41)+2,FALSE)</f>
        <v>1293</v>
      </c>
      <c r="DH41" s="34">
        <f>HLOOKUP(DH$7+0.5,$I$66:$DJ$120,ROWS($A$10:$A41)+2,FALSE)</f>
        <v>259</v>
      </c>
      <c r="DI41" s="34">
        <f>HLOOKUP(DI$7+0.5,$I$66:$DJ$120,ROWS($A$10:$A41)+2,FALSE)</f>
        <v>29</v>
      </c>
      <c r="DJ41" s="34">
        <f>HLOOKUP(DJ$7+0.5,$I$66:$DJ$120,ROWS($A$10:$A41)+2,FALSE)</f>
        <v>1535</v>
      </c>
    </row>
    <row r="42" spans="2:114" x14ac:dyDescent="0.25">
      <c r="B42" s="38" t="s">
        <v>38</v>
      </c>
      <c r="C42" s="15">
        <v>2055293</v>
      </c>
      <c r="D42" s="14">
        <v>2718</v>
      </c>
      <c r="E42" s="15">
        <v>1753413</v>
      </c>
      <c r="F42" s="14">
        <v>15690</v>
      </c>
      <c r="G42" s="15">
        <v>228218</v>
      </c>
      <c r="H42" s="14">
        <v>13801</v>
      </c>
      <c r="I42" s="36">
        <f>HLOOKUP(I$7,$I$66:$DJ$120,ROWS($A$10:$A42)+2,FALSE)</f>
        <v>62130</v>
      </c>
      <c r="J42" s="25">
        <f>HLOOKUP(J$7,$I$66:$DJ$120,ROWS($A$10:$A42)+2,FALSE)</f>
        <v>410</v>
      </c>
      <c r="K42" s="25">
        <f>HLOOKUP(K$7,$I$66:$DJ$120,ROWS($A$10:$A42)+2,FALSE)</f>
        <v>416</v>
      </c>
      <c r="L42" s="25">
        <f>HLOOKUP(L$7,$I$66:$DJ$120,ROWS($A$10:$A42)+2,FALSE)</f>
        <v>7444</v>
      </c>
      <c r="M42" s="25">
        <f>HLOOKUP(M$7,$I$66:$DJ$120,ROWS($A$10:$A42)+2,FALSE)</f>
        <v>682</v>
      </c>
      <c r="N42" s="25">
        <f>HLOOKUP(N$7,$I$66:$DJ$120,ROWS($A$10:$A42)+2,FALSE)</f>
        <v>7066</v>
      </c>
      <c r="O42" s="25">
        <f>HLOOKUP(O$7,$I$66:$DJ$120,ROWS($A$10:$A42)+2,FALSE)</f>
        <v>5525</v>
      </c>
      <c r="P42" s="25">
        <f>HLOOKUP(P$7,$I$66:$DJ$120,ROWS($A$10:$A42)+2,FALSE)</f>
        <v>0</v>
      </c>
      <c r="Q42" s="25">
        <f>HLOOKUP(Q$7,$I$66:$DJ$120,ROWS($A$10:$A42)+2,FALSE)</f>
        <v>0</v>
      </c>
      <c r="R42" s="25">
        <f>HLOOKUP(R$7,$I$66:$DJ$120,ROWS($A$10:$A42)+2,FALSE)</f>
        <v>212</v>
      </c>
      <c r="S42" s="25">
        <f>HLOOKUP(S$7,$I$66:$DJ$120,ROWS($A$10:$A42)+2,FALSE)</f>
        <v>2806</v>
      </c>
      <c r="T42" s="25">
        <f>HLOOKUP(T$7,$I$66:$DJ$120,ROWS($A$10:$A42)+2,FALSE)</f>
        <v>676</v>
      </c>
      <c r="U42" s="25">
        <f>HLOOKUP(U$7,$I$66:$DJ$120,ROWS($A$10:$A42)+2,FALSE)</f>
        <v>81</v>
      </c>
      <c r="V42" s="25">
        <f>HLOOKUP(V$7,$I$66:$DJ$120,ROWS($A$10:$A42)+2,FALSE)</f>
        <v>355</v>
      </c>
      <c r="W42" s="25">
        <f>HLOOKUP(W$7,$I$66:$DJ$120,ROWS($A$10:$A42)+2,FALSE)</f>
        <v>466</v>
      </c>
      <c r="X42" s="25">
        <f>HLOOKUP(X$7,$I$66:$DJ$120,ROWS($A$10:$A42)+2,FALSE)</f>
        <v>2030</v>
      </c>
      <c r="Y42" s="25">
        <f>HLOOKUP(Y$7,$I$66:$DJ$120,ROWS($A$10:$A42)+2,FALSE)</f>
        <v>0</v>
      </c>
      <c r="Z42" s="25">
        <f>HLOOKUP(Z$7,$I$66:$DJ$120,ROWS($A$10:$A42)+2,FALSE)</f>
        <v>1333</v>
      </c>
      <c r="AA42" s="25">
        <f>HLOOKUP(AA$7,$I$66:$DJ$120,ROWS($A$10:$A42)+2,FALSE)</f>
        <v>87</v>
      </c>
      <c r="AB42" s="25">
        <f>HLOOKUP(AB$7,$I$66:$DJ$120,ROWS($A$10:$A42)+2,FALSE)</f>
        <v>184</v>
      </c>
      <c r="AC42" s="25">
        <f>HLOOKUP(AC$7,$I$66:$DJ$120,ROWS($A$10:$A42)+2,FALSE)</f>
        <v>510</v>
      </c>
      <c r="AD42" s="25">
        <f>HLOOKUP(AD$7,$I$66:$DJ$120,ROWS($A$10:$A42)+2,FALSE)</f>
        <v>2277</v>
      </c>
      <c r="AE42" s="25">
        <f>HLOOKUP(AE$7,$I$66:$DJ$120,ROWS($A$10:$A42)+2,FALSE)</f>
        <v>252</v>
      </c>
      <c r="AF42" s="25">
        <f>HLOOKUP(AF$7,$I$66:$DJ$120,ROWS($A$10:$A42)+2,FALSE)</f>
        <v>908</v>
      </c>
      <c r="AG42" s="25">
        <f>HLOOKUP(AG$7,$I$66:$DJ$120,ROWS($A$10:$A42)+2,FALSE)</f>
        <v>438</v>
      </c>
      <c r="AH42" s="25">
        <f>HLOOKUP(AH$7,$I$66:$DJ$120,ROWS($A$10:$A42)+2,FALSE)</f>
        <v>556</v>
      </c>
      <c r="AI42" s="25">
        <f>HLOOKUP(AI$7,$I$66:$DJ$120,ROWS($A$10:$A42)+2,FALSE)</f>
        <v>1183</v>
      </c>
      <c r="AJ42" s="25">
        <f>HLOOKUP(AJ$7,$I$66:$DJ$120,ROWS($A$10:$A42)+2,FALSE)</f>
        <v>544</v>
      </c>
      <c r="AK42" s="25">
        <f>HLOOKUP(AK$7,$I$66:$DJ$120,ROWS($A$10:$A42)+2,FALSE)</f>
        <v>353</v>
      </c>
      <c r="AL42" s="25">
        <f>HLOOKUP(AL$7,$I$66:$DJ$120,ROWS($A$10:$A42)+2,FALSE)</f>
        <v>2099</v>
      </c>
      <c r="AM42" s="25">
        <f>HLOOKUP(AM$7,$I$66:$DJ$120,ROWS($A$10:$A42)+2,FALSE)</f>
        <v>114</v>
      </c>
      <c r="AN42" s="25">
        <f>HLOOKUP(AN$7,$I$66:$DJ$120,ROWS($A$10:$A42)+2,FALSE)</f>
        <v>245</v>
      </c>
      <c r="AO42" s="25" t="str">
        <f>HLOOKUP(AO$7,$I$66:$DJ$120,ROWS($A$10:$A42)+2,FALSE)</f>
        <v>N/A</v>
      </c>
      <c r="AP42" s="25">
        <f>HLOOKUP(AP$7,$I$66:$DJ$120,ROWS($A$10:$A42)+2,FALSE)</f>
        <v>1445</v>
      </c>
      <c r="AQ42" s="25">
        <f>HLOOKUP(AQ$7,$I$66:$DJ$120,ROWS($A$10:$A42)+2,FALSE)</f>
        <v>522</v>
      </c>
      <c r="AR42" s="25">
        <f>HLOOKUP(AR$7,$I$66:$DJ$120,ROWS($A$10:$A42)+2,FALSE)</f>
        <v>264</v>
      </c>
      <c r="AS42" s="25">
        <f>HLOOKUP(AS$7,$I$66:$DJ$120,ROWS($A$10:$A42)+2,FALSE)</f>
        <v>1742</v>
      </c>
      <c r="AT42" s="25">
        <f>HLOOKUP(AT$7,$I$66:$DJ$120,ROWS($A$10:$A42)+2,FALSE)</f>
        <v>234</v>
      </c>
      <c r="AU42" s="25">
        <f>HLOOKUP(AU$7,$I$66:$DJ$120,ROWS($A$10:$A42)+2,FALSE)</f>
        <v>916</v>
      </c>
      <c r="AV42" s="25">
        <f>HLOOKUP(AV$7,$I$66:$DJ$120,ROWS($A$10:$A42)+2,FALSE)</f>
        <v>492</v>
      </c>
      <c r="AW42" s="25">
        <f>HLOOKUP(AW$7,$I$66:$DJ$120,ROWS($A$10:$A42)+2,FALSE)</f>
        <v>0</v>
      </c>
      <c r="AX42" s="25">
        <f>HLOOKUP(AX$7,$I$66:$DJ$120,ROWS($A$10:$A42)+2,FALSE)</f>
        <v>145</v>
      </c>
      <c r="AY42" s="25">
        <f>HLOOKUP(AY$7,$I$66:$DJ$120,ROWS($A$10:$A42)+2,FALSE)</f>
        <v>240</v>
      </c>
      <c r="AZ42" s="25">
        <f>HLOOKUP(AZ$7,$I$66:$DJ$120,ROWS($A$10:$A42)+2,FALSE)</f>
        <v>899</v>
      </c>
      <c r="BA42" s="25">
        <f>HLOOKUP(BA$7,$I$66:$DJ$120,ROWS($A$10:$A42)+2,FALSE)</f>
        <v>13633</v>
      </c>
      <c r="BB42" s="25">
        <f>HLOOKUP(BB$7,$I$66:$DJ$120,ROWS($A$10:$A42)+2,FALSE)</f>
        <v>303</v>
      </c>
      <c r="BC42" s="25">
        <f>HLOOKUP(BC$7,$I$66:$DJ$120,ROWS($A$10:$A42)+2,FALSE)</f>
        <v>71</v>
      </c>
      <c r="BD42" s="25">
        <f>HLOOKUP(BD$7,$I$66:$DJ$120,ROWS($A$10:$A42)+2,FALSE)</f>
        <v>425</v>
      </c>
      <c r="BE42" s="25">
        <f>HLOOKUP(BE$7,$I$66:$DJ$120,ROWS($A$10:$A42)+2,FALSE)</f>
        <v>924</v>
      </c>
      <c r="BF42" s="25">
        <f>HLOOKUP(BF$7,$I$66:$DJ$120,ROWS($A$10:$A42)+2,FALSE)</f>
        <v>0</v>
      </c>
      <c r="BG42" s="25">
        <f>HLOOKUP(BG$7,$I$66:$DJ$120,ROWS($A$10:$A42)+2,FALSE)</f>
        <v>340</v>
      </c>
      <c r="BH42" s="25">
        <f>HLOOKUP(BH$7,$I$66:$DJ$120,ROWS($A$10:$A42)+2,FALSE)</f>
        <v>283</v>
      </c>
      <c r="BI42" s="25">
        <f>HLOOKUP(BI$7,$I$66:$DJ$120,ROWS($A$10:$A42)+2,FALSE)</f>
        <v>99</v>
      </c>
      <c r="BJ42" s="34">
        <f>HLOOKUP(BJ$7+0.5,$I$66:$DJ$120,ROWS($A$10:$A42)+2,FALSE)</f>
        <v>7330</v>
      </c>
      <c r="BK42" s="34">
        <f>HLOOKUP(BK$7+0.5,$I$66:$DJ$120,ROWS($A$10:$A42)+2,FALSE)</f>
        <v>494</v>
      </c>
      <c r="BL42" s="34">
        <f>HLOOKUP(BL$7+0.5,$I$66:$DJ$120,ROWS($A$10:$A42)+2,FALSE)</f>
        <v>446</v>
      </c>
      <c r="BM42" s="34">
        <f>HLOOKUP(BM$7+0.5,$I$66:$DJ$120,ROWS($A$10:$A42)+2,FALSE)</f>
        <v>3409</v>
      </c>
      <c r="BN42" s="34">
        <f>HLOOKUP(BN$7+0.5,$I$66:$DJ$120,ROWS($A$10:$A42)+2,FALSE)</f>
        <v>607</v>
      </c>
      <c r="BO42" s="34">
        <f>HLOOKUP(BO$7+0.5,$I$66:$DJ$120,ROWS($A$10:$A42)+2,FALSE)</f>
        <v>2324</v>
      </c>
      <c r="BP42" s="34">
        <f>HLOOKUP(BP$7+0.5,$I$66:$DJ$120,ROWS($A$10:$A42)+2,FALSE)</f>
        <v>1537</v>
      </c>
      <c r="BQ42" s="34">
        <f>HLOOKUP(BQ$7+0.5,$I$66:$DJ$120,ROWS($A$10:$A42)+2,FALSE)</f>
        <v>198</v>
      </c>
      <c r="BR42" s="34">
        <f>HLOOKUP(BR$7+0.5,$I$66:$DJ$120,ROWS($A$10:$A42)+2,FALSE)</f>
        <v>198</v>
      </c>
      <c r="BS42" s="34">
        <f>HLOOKUP(BS$7+0.5,$I$66:$DJ$120,ROWS($A$10:$A42)+2,FALSE)</f>
        <v>336</v>
      </c>
      <c r="BT42" s="34">
        <f>HLOOKUP(BT$7+0.5,$I$66:$DJ$120,ROWS($A$10:$A42)+2,FALSE)</f>
        <v>1557</v>
      </c>
      <c r="BU42" s="34">
        <f>HLOOKUP(BU$7+0.5,$I$66:$DJ$120,ROWS($A$10:$A42)+2,FALSE)</f>
        <v>406</v>
      </c>
      <c r="BV42" s="34">
        <f>HLOOKUP(BV$7+0.5,$I$66:$DJ$120,ROWS($A$10:$A42)+2,FALSE)</f>
        <v>128</v>
      </c>
      <c r="BW42" s="34">
        <f>HLOOKUP(BW$7+0.5,$I$66:$DJ$120,ROWS($A$10:$A42)+2,FALSE)</f>
        <v>326</v>
      </c>
      <c r="BX42" s="34">
        <f>HLOOKUP(BX$7+0.5,$I$66:$DJ$120,ROWS($A$10:$A42)+2,FALSE)</f>
        <v>315</v>
      </c>
      <c r="BY42" s="34">
        <f>HLOOKUP(BY$7+0.5,$I$66:$DJ$120,ROWS($A$10:$A42)+2,FALSE)</f>
        <v>2244</v>
      </c>
      <c r="BZ42" s="34">
        <f>HLOOKUP(BZ$7+0.5,$I$66:$DJ$120,ROWS($A$10:$A42)+2,FALSE)</f>
        <v>198</v>
      </c>
      <c r="CA42" s="34">
        <f>HLOOKUP(CA$7+0.5,$I$66:$DJ$120,ROWS($A$10:$A42)+2,FALSE)</f>
        <v>1078</v>
      </c>
      <c r="CB42" s="34">
        <f>HLOOKUP(CB$7+0.5,$I$66:$DJ$120,ROWS($A$10:$A42)+2,FALSE)</f>
        <v>152</v>
      </c>
      <c r="CC42" s="34">
        <f>HLOOKUP(CC$7+0.5,$I$66:$DJ$120,ROWS($A$10:$A42)+2,FALSE)</f>
        <v>244</v>
      </c>
      <c r="CD42" s="34">
        <f>HLOOKUP(CD$7+0.5,$I$66:$DJ$120,ROWS($A$10:$A42)+2,FALSE)</f>
        <v>384</v>
      </c>
      <c r="CE42" s="34">
        <f>HLOOKUP(CE$7+0.5,$I$66:$DJ$120,ROWS($A$10:$A42)+2,FALSE)</f>
        <v>1964</v>
      </c>
      <c r="CF42" s="34">
        <f>HLOOKUP(CF$7+0.5,$I$66:$DJ$120,ROWS($A$10:$A42)+2,FALSE)</f>
        <v>213</v>
      </c>
      <c r="CG42" s="34">
        <f>HLOOKUP(CG$7+0.5,$I$66:$DJ$120,ROWS($A$10:$A42)+2,FALSE)</f>
        <v>699</v>
      </c>
      <c r="CH42" s="34">
        <f>HLOOKUP(CH$7+0.5,$I$66:$DJ$120,ROWS($A$10:$A42)+2,FALSE)</f>
        <v>435</v>
      </c>
      <c r="CI42" s="34">
        <f>HLOOKUP(CI$7+0.5,$I$66:$DJ$120,ROWS($A$10:$A42)+2,FALSE)</f>
        <v>553</v>
      </c>
      <c r="CJ42" s="34">
        <f>HLOOKUP(CJ$7+0.5,$I$66:$DJ$120,ROWS($A$10:$A42)+2,FALSE)</f>
        <v>877</v>
      </c>
      <c r="CK42" s="34">
        <f>HLOOKUP(CK$7+0.5,$I$66:$DJ$120,ROWS($A$10:$A42)+2,FALSE)</f>
        <v>340</v>
      </c>
      <c r="CL42" s="34">
        <f>HLOOKUP(CL$7+0.5,$I$66:$DJ$120,ROWS($A$10:$A42)+2,FALSE)</f>
        <v>312</v>
      </c>
      <c r="CM42" s="34">
        <f>HLOOKUP(CM$7+0.5,$I$66:$DJ$120,ROWS($A$10:$A42)+2,FALSE)</f>
        <v>1159</v>
      </c>
      <c r="CN42" s="34">
        <f>HLOOKUP(CN$7+0.5,$I$66:$DJ$120,ROWS($A$10:$A42)+2,FALSE)</f>
        <v>130</v>
      </c>
      <c r="CO42" s="34">
        <f>HLOOKUP(CO$7+0.5,$I$66:$DJ$120,ROWS($A$10:$A42)+2,FALSE)</f>
        <v>229</v>
      </c>
      <c r="CP42" s="34" t="str">
        <f>HLOOKUP(CP$7+0.5,$I$66:$DJ$120,ROWS($A$10:$A42)+2,FALSE)</f>
        <v>N/A</v>
      </c>
      <c r="CQ42" s="34">
        <f>HLOOKUP(CQ$7+0.5,$I$66:$DJ$120,ROWS($A$10:$A42)+2,FALSE)</f>
        <v>781</v>
      </c>
      <c r="CR42" s="34">
        <f>HLOOKUP(CR$7+0.5,$I$66:$DJ$120,ROWS($A$10:$A42)+2,FALSE)</f>
        <v>300</v>
      </c>
      <c r="CS42" s="34">
        <f>HLOOKUP(CS$7+0.5,$I$66:$DJ$120,ROWS($A$10:$A42)+2,FALSE)</f>
        <v>310</v>
      </c>
      <c r="CT42" s="34">
        <f>HLOOKUP(CT$7+0.5,$I$66:$DJ$120,ROWS($A$10:$A42)+2,FALSE)</f>
        <v>1115</v>
      </c>
      <c r="CU42" s="34">
        <f>HLOOKUP(CU$7+0.5,$I$66:$DJ$120,ROWS($A$10:$A42)+2,FALSE)</f>
        <v>203</v>
      </c>
      <c r="CV42" s="34">
        <f>HLOOKUP(CV$7+0.5,$I$66:$DJ$120,ROWS($A$10:$A42)+2,FALSE)</f>
        <v>655</v>
      </c>
      <c r="CW42" s="34">
        <f>HLOOKUP(CW$7+0.5,$I$66:$DJ$120,ROWS($A$10:$A42)+2,FALSE)</f>
        <v>284</v>
      </c>
      <c r="CX42" s="34">
        <f>HLOOKUP(CX$7+0.5,$I$66:$DJ$120,ROWS($A$10:$A42)+2,FALSE)</f>
        <v>198</v>
      </c>
      <c r="CY42" s="34">
        <f>HLOOKUP(CY$7+0.5,$I$66:$DJ$120,ROWS($A$10:$A42)+2,FALSE)</f>
        <v>204</v>
      </c>
      <c r="CZ42" s="34">
        <f>HLOOKUP(CZ$7+0.5,$I$66:$DJ$120,ROWS($A$10:$A42)+2,FALSE)</f>
        <v>281</v>
      </c>
      <c r="DA42" s="34">
        <f>HLOOKUP(DA$7+0.5,$I$66:$DJ$120,ROWS($A$10:$A42)+2,FALSE)</f>
        <v>577</v>
      </c>
      <c r="DB42" s="34">
        <f>HLOOKUP(DB$7+0.5,$I$66:$DJ$120,ROWS($A$10:$A42)+2,FALSE)</f>
        <v>3724</v>
      </c>
      <c r="DC42" s="34">
        <f>HLOOKUP(DC$7+0.5,$I$66:$DJ$120,ROWS($A$10:$A42)+2,FALSE)</f>
        <v>218</v>
      </c>
      <c r="DD42" s="34">
        <f>HLOOKUP(DD$7+0.5,$I$66:$DJ$120,ROWS($A$10:$A42)+2,FALSE)</f>
        <v>120</v>
      </c>
      <c r="DE42" s="34">
        <f>HLOOKUP(DE$7+0.5,$I$66:$DJ$120,ROWS($A$10:$A42)+2,FALSE)</f>
        <v>337</v>
      </c>
      <c r="DF42" s="34">
        <f>HLOOKUP(DF$7+0.5,$I$66:$DJ$120,ROWS($A$10:$A42)+2,FALSE)</f>
        <v>616</v>
      </c>
      <c r="DG42" s="34">
        <f>HLOOKUP(DG$7+0.5,$I$66:$DJ$120,ROWS($A$10:$A42)+2,FALSE)</f>
        <v>198</v>
      </c>
      <c r="DH42" s="34">
        <f>HLOOKUP(DH$7+0.5,$I$66:$DJ$120,ROWS($A$10:$A42)+2,FALSE)</f>
        <v>342</v>
      </c>
      <c r="DI42" s="34">
        <f>HLOOKUP(DI$7+0.5,$I$66:$DJ$120,ROWS($A$10:$A42)+2,FALSE)</f>
        <v>313</v>
      </c>
      <c r="DJ42" s="34">
        <f>HLOOKUP(DJ$7+0.5,$I$66:$DJ$120,ROWS($A$10:$A42)+2,FALSE)</f>
        <v>158</v>
      </c>
    </row>
    <row r="43" spans="2:114" x14ac:dyDescent="0.25">
      <c r="B43" s="38" t="s">
        <v>39</v>
      </c>
      <c r="C43" s="15">
        <v>19248685</v>
      </c>
      <c r="D43" s="14">
        <v>7023</v>
      </c>
      <c r="E43" s="15">
        <v>17055260</v>
      </c>
      <c r="F43" s="14">
        <v>37016</v>
      </c>
      <c r="G43" s="15">
        <v>1756105</v>
      </c>
      <c r="H43" s="14">
        <v>32216</v>
      </c>
      <c r="I43" s="36">
        <f>HLOOKUP(I$7,$I$66:$DJ$120,ROWS($A$10:$A43)+2,FALSE)</f>
        <v>282209</v>
      </c>
      <c r="J43" s="25">
        <f>HLOOKUP(J$7,$I$66:$DJ$120,ROWS($A$10:$A43)+2,FALSE)</f>
        <v>1812</v>
      </c>
      <c r="K43" s="25">
        <f>HLOOKUP(K$7,$I$66:$DJ$120,ROWS($A$10:$A43)+2,FALSE)</f>
        <v>6124</v>
      </c>
      <c r="L43" s="25">
        <f>HLOOKUP(L$7,$I$66:$DJ$120,ROWS($A$10:$A43)+2,FALSE)</f>
        <v>2821</v>
      </c>
      <c r="M43" s="25">
        <f>HLOOKUP(M$7,$I$66:$DJ$120,ROWS($A$10:$A43)+2,FALSE)</f>
        <v>1041</v>
      </c>
      <c r="N43" s="25">
        <f>HLOOKUP(N$7,$I$66:$DJ$120,ROWS($A$10:$A43)+2,FALSE)</f>
        <v>25761</v>
      </c>
      <c r="O43" s="25">
        <f>HLOOKUP(O$7,$I$66:$DJ$120,ROWS($A$10:$A43)+2,FALSE)</f>
        <v>3724</v>
      </c>
      <c r="P43" s="25">
        <f>HLOOKUP(P$7,$I$66:$DJ$120,ROWS($A$10:$A43)+2,FALSE)</f>
        <v>15123</v>
      </c>
      <c r="Q43" s="25">
        <f>HLOOKUP(Q$7,$I$66:$DJ$120,ROWS($A$10:$A43)+2,FALSE)</f>
        <v>1124</v>
      </c>
      <c r="R43" s="25">
        <f>HLOOKUP(R$7,$I$66:$DJ$120,ROWS($A$10:$A43)+2,FALSE)</f>
        <v>3702</v>
      </c>
      <c r="S43" s="25">
        <f>HLOOKUP(S$7,$I$66:$DJ$120,ROWS($A$10:$A43)+2,FALSE)</f>
        <v>29344</v>
      </c>
      <c r="T43" s="25">
        <f>HLOOKUP(T$7,$I$66:$DJ$120,ROWS($A$10:$A43)+2,FALSE)</f>
        <v>10584</v>
      </c>
      <c r="U43" s="25">
        <f>HLOOKUP(U$7,$I$66:$DJ$120,ROWS($A$10:$A43)+2,FALSE)</f>
        <v>1002</v>
      </c>
      <c r="V43" s="25">
        <f>HLOOKUP(V$7,$I$66:$DJ$120,ROWS($A$10:$A43)+2,FALSE)</f>
        <v>434</v>
      </c>
      <c r="W43" s="25">
        <f>HLOOKUP(W$7,$I$66:$DJ$120,ROWS($A$10:$A43)+2,FALSE)</f>
        <v>6914</v>
      </c>
      <c r="X43" s="25">
        <f>HLOOKUP(X$7,$I$66:$DJ$120,ROWS($A$10:$A43)+2,FALSE)</f>
        <v>2198</v>
      </c>
      <c r="Y43" s="25">
        <f>HLOOKUP(Y$7,$I$66:$DJ$120,ROWS($A$10:$A43)+2,FALSE)</f>
        <v>928</v>
      </c>
      <c r="Z43" s="25">
        <f>HLOOKUP(Z$7,$I$66:$DJ$120,ROWS($A$10:$A43)+2,FALSE)</f>
        <v>838</v>
      </c>
      <c r="AA43" s="25">
        <f>HLOOKUP(AA$7,$I$66:$DJ$120,ROWS($A$10:$A43)+2,FALSE)</f>
        <v>2414</v>
      </c>
      <c r="AB43" s="25">
        <f>HLOOKUP(AB$7,$I$66:$DJ$120,ROWS($A$10:$A43)+2,FALSE)</f>
        <v>1495</v>
      </c>
      <c r="AC43" s="25">
        <f>HLOOKUP(AC$7,$I$66:$DJ$120,ROWS($A$10:$A43)+2,FALSE)</f>
        <v>2915</v>
      </c>
      <c r="AD43" s="25">
        <f>HLOOKUP(AD$7,$I$66:$DJ$120,ROWS($A$10:$A43)+2,FALSE)</f>
        <v>5037</v>
      </c>
      <c r="AE43" s="25">
        <f>HLOOKUP(AE$7,$I$66:$DJ$120,ROWS($A$10:$A43)+2,FALSE)</f>
        <v>14646</v>
      </c>
      <c r="AF43" s="25">
        <f>HLOOKUP(AF$7,$I$66:$DJ$120,ROWS($A$10:$A43)+2,FALSE)</f>
        <v>3936</v>
      </c>
      <c r="AG43" s="25">
        <f>HLOOKUP(AG$7,$I$66:$DJ$120,ROWS($A$10:$A43)+2,FALSE)</f>
        <v>1824</v>
      </c>
      <c r="AH43" s="25">
        <f>HLOOKUP(AH$7,$I$66:$DJ$120,ROWS($A$10:$A43)+2,FALSE)</f>
        <v>401</v>
      </c>
      <c r="AI43" s="25">
        <f>HLOOKUP(AI$7,$I$66:$DJ$120,ROWS($A$10:$A43)+2,FALSE)</f>
        <v>1417</v>
      </c>
      <c r="AJ43" s="25">
        <f>HLOOKUP(AJ$7,$I$66:$DJ$120,ROWS($A$10:$A43)+2,FALSE)</f>
        <v>391</v>
      </c>
      <c r="AK43" s="25">
        <f>HLOOKUP(AK$7,$I$66:$DJ$120,ROWS($A$10:$A43)+2,FALSE)</f>
        <v>579</v>
      </c>
      <c r="AL43" s="25">
        <f>HLOOKUP(AL$7,$I$66:$DJ$120,ROWS($A$10:$A43)+2,FALSE)</f>
        <v>1785</v>
      </c>
      <c r="AM43" s="25">
        <f>HLOOKUP(AM$7,$I$66:$DJ$120,ROWS($A$10:$A43)+2,FALSE)</f>
        <v>2972</v>
      </c>
      <c r="AN43" s="25">
        <f>HLOOKUP(AN$7,$I$66:$DJ$120,ROWS($A$10:$A43)+2,FALSE)</f>
        <v>41450</v>
      </c>
      <c r="AO43" s="25">
        <f>HLOOKUP(AO$7,$I$66:$DJ$120,ROWS($A$10:$A43)+2,FALSE)</f>
        <v>461</v>
      </c>
      <c r="AP43" s="25" t="str">
        <f>HLOOKUP(AP$7,$I$66:$DJ$120,ROWS($A$10:$A43)+2,FALSE)</f>
        <v>N/A</v>
      </c>
      <c r="AQ43" s="25">
        <f>HLOOKUP(AQ$7,$I$66:$DJ$120,ROWS($A$10:$A43)+2,FALSE)</f>
        <v>9336</v>
      </c>
      <c r="AR43" s="25">
        <f>HLOOKUP(AR$7,$I$66:$DJ$120,ROWS($A$10:$A43)+2,FALSE)</f>
        <v>374</v>
      </c>
      <c r="AS43" s="25">
        <f>HLOOKUP(AS$7,$I$66:$DJ$120,ROWS($A$10:$A43)+2,FALSE)</f>
        <v>5191</v>
      </c>
      <c r="AT43" s="25">
        <f>HLOOKUP(AT$7,$I$66:$DJ$120,ROWS($A$10:$A43)+2,FALSE)</f>
        <v>1425</v>
      </c>
      <c r="AU43" s="25">
        <f>HLOOKUP(AU$7,$I$66:$DJ$120,ROWS($A$10:$A43)+2,FALSE)</f>
        <v>2189</v>
      </c>
      <c r="AV43" s="25">
        <f>HLOOKUP(AV$7,$I$66:$DJ$120,ROWS($A$10:$A43)+2,FALSE)</f>
        <v>26596</v>
      </c>
      <c r="AW43" s="25">
        <f>HLOOKUP(AW$7,$I$66:$DJ$120,ROWS($A$10:$A43)+2,FALSE)</f>
        <v>1393</v>
      </c>
      <c r="AX43" s="25">
        <f>HLOOKUP(AX$7,$I$66:$DJ$120,ROWS($A$10:$A43)+2,FALSE)</f>
        <v>6947</v>
      </c>
      <c r="AY43" s="25">
        <f>HLOOKUP(AY$7,$I$66:$DJ$120,ROWS($A$10:$A43)+2,FALSE)</f>
        <v>112</v>
      </c>
      <c r="AZ43" s="25">
        <f>HLOOKUP(AZ$7,$I$66:$DJ$120,ROWS($A$10:$A43)+2,FALSE)</f>
        <v>2660</v>
      </c>
      <c r="BA43" s="25">
        <f>HLOOKUP(BA$7,$I$66:$DJ$120,ROWS($A$10:$A43)+2,FALSE)</f>
        <v>9151</v>
      </c>
      <c r="BB43" s="25">
        <f>HLOOKUP(BB$7,$I$66:$DJ$120,ROWS($A$10:$A43)+2,FALSE)</f>
        <v>773</v>
      </c>
      <c r="BC43" s="25">
        <f>HLOOKUP(BC$7,$I$66:$DJ$120,ROWS($A$10:$A43)+2,FALSE)</f>
        <v>3882</v>
      </c>
      <c r="BD43" s="25">
        <f>HLOOKUP(BD$7,$I$66:$DJ$120,ROWS($A$10:$A43)+2,FALSE)</f>
        <v>10800</v>
      </c>
      <c r="BE43" s="25">
        <f>HLOOKUP(BE$7,$I$66:$DJ$120,ROWS($A$10:$A43)+2,FALSE)</f>
        <v>2986</v>
      </c>
      <c r="BF43" s="25">
        <f>HLOOKUP(BF$7,$I$66:$DJ$120,ROWS($A$10:$A43)+2,FALSE)</f>
        <v>631</v>
      </c>
      <c r="BG43" s="25">
        <f>HLOOKUP(BG$7,$I$66:$DJ$120,ROWS($A$10:$A43)+2,FALSE)</f>
        <v>1878</v>
      </c>
      <c r="BH43" s="25">
        <f>HLOOKUP(BH$7,$I$66:$DJ$120,ROWS($A$10:$A43)+2,FALSE)</f>
        <v>688</v>
      </c>
      <c r="BI43" s="25">
        <f>HLOOKUP(BI$7,$I$66:$DJ$120,ROWS($A$10:$A43)+2,FALSE)</f>
        <v>10582</v>
      </c>
      <c r="BJ43" s="34">
        <f>HLOOKUP(BJ$7+0.5,$I$66:$DJ$120,ROWS($A$10:$A43)+2,FALSE)</f>
        <v>11956</v>
      </c>
      <c r="BK43" s="34">
        <f>HLOOKUP(BK$7+0.5,$I$66:$DJ$120,ROWS($A$10:$A43)+2,FALSE)</f>
        <v>1002</v>
      </c>
      <c r="BL43" s="34">
        <f>HLOOKUP(BL$7+0.5,$I$66:$DJ$120,ROWS($A$10:$A43)+2,FALSE)</f>
        <v>2270</v>
      </c>
      <c r="BM43" s="34">
        <f>HLOOKUP(BM$7+0.5,$I$66:$DJ$120,ROWS($A$10:$A43)+2,FALSE)</f>
        <v>1100</v>
      </c>
      <c r="BN43" s="34">
        <f>HLOOKUP(BN$7+0.5,$I$66:$DJ$120,ROWS($A$10:$A43)+2,FALSE)</f>
        <v>734</v>
      </c>
      <c r="BO43" s="34">
        <f>HLOOKUP(BO$7+0.5,$I$66:$DJ$120,ROWS($A$10:$A43)+2,FALSE)</f>
        <v>3856</v>
      </c>
      <c r="BP43" s="34">
        <f>HLOOKUP(BP$7+0.5,$I$66:$DJ$120,ROWS($A$10:$A43)+2,FALSE)</f>
        <v>1151</v>
      </c>
      <c r="BQ43" s="34">
        <f>HLOOKUP(BQ$7+0.5,$I$66:$DJ$120,ROWS($A$10:$A43)+2,FALSE)</f>
        <v>3667</v>
      </c>
      <c r="BR43" s="34">
        <f>HLOOKUP(BR$7+0.5,$I$66:$DJ$120,ROWS($A$10:$A43)+2,FALSE)</f>
        <v>588</v>
      </c>
      <c r="BS43" s="34">
        <f>HLOOKUP(BS$7+0.5,$I$66:$DJ$120,ROWS($A$10:$A43)+2,FALSE)</f>
        <v>1051</v>
      </c>
      <c r="BT43" s="34">
        <f>HLOOKUP(BT$7+0.5,$I$66:$DJ$120,ROWS($A$10:$A43)+2,FALSE)</f>
        <v>4718</v>
      </c>
      <c r="BU43" s="34">
        <f>HLOOKUP(BU$7+0.5,$I$66:$DJ$120,ROWS($A$10:$A43)+2,FALSE)</f>
        <v>2320</v>
      </c>
      <c r="BV43" s="34">
        <f>HLOOKUP(BV$7+0.5,$I$66:$DJ$120,ROWS($A$10:$A43)+2,FALSE)</f>
        <v>973</v>
      </c>
      <c r="BW43" s="34">
        <f>HLOOKUP(BW$7+0.5,$I$66:$DJ$120,ROWS($A$10:$A43)+2,FALSE)</f>
        <v>377</v>
      </c>
      <c r="BX43" s="34">
        <f>HLOOKUP(BX$7+0.5,$I$66:$DJ$120,ROWS($A$10:$A43)+2,FALSE)</f>
        <v>1720</v>
      </c>
      <c r="BY43" s="34">
        <f>HLOOKUP(BY$7+0.5,$I$66:$DJ$120,ROWS($A$10:$A43)+2,FALSE)</f>
        <v>958</v>
      </c>
      <c r="BZ43" s="34">
        <f>HLOOKUP(BZ$7+0.5,$I$66:$DJ$120,ROWS($A$10:$A43)+2,FALSE)</f>
        <v>783</v>
      </c>
      <c r="CA43" s="34">
        <f>HLOOKUP(CA$7+0.5,$I$66:$DJ$120,ROWS($A$10:$A43)+2,FALSE)</f>
        <v>397</v>
      </c>
      <c r="CB43" s="34">
        <f>HLOOKUP(CB$7+0.5,$I$66:$DJ$120,ROWS($A$10:$A43)+2,FALSE)</f>
        <v>1223</v>
      </c>
      <c r="CC43" s="34">
        <f>HLOOKUP(CC$7+0.5,$I$66:$DJ$120,ROWS($A$10:$A43)+2,FALSE)</f>
        <v>916</v>
      </c>
      <c r="CD43" s="34">
        <f>HLOOKUP(CD$7+0.5,$I$66:$DJ$120,ROWS($A$10:$A43)+2,FALSE)</f>
        <v>1114</v>
      </c>
      <c r="CE43" s="34">
        <f>HLOOKUP(CE$7+0.5,$I$66:$DJ$120,ROWS($A$10:$A43)+2,FALSE)</f>
        <v>1192</v>
      </c>
      <c r="CF43" s="34">
        <f>HLOOKUP(CF$7+0.5,$I$66:$DJ$120,ROWS($A$10:$A43)+2,FALSE)</f>
        <v>2367</v>
      </c>
      <c r="CG43" s="34">
        <f>HLOOKUP(CG$7+0.5,$I$66:$DJ$120,ROWS($A$10:$A43)+2,FALSE)</f>
        <v>947</v>
      </c>
      <c r="CH43" s="34">
        <f>HLOOKUP(CH$7+0.5,$I$66:$DJ$120,ROWS($A$10:$A43)+2,FALSE)</f>
        <v>678</v>
      </c>
      <c r="CI43" s="34">
        <f>HLOOKUP(CI$7+0.5,$I$66:$DJ$120,ROWS($A$10:$A43)+2,FALSE)</f>
        <v>266</v>
      </c>
      <c r="CJ43" s="34">
        <f>HLOOKUP(CJ$7+0.5,$I$66:$DJ$120,ROWS($A$10:$A43)+2,FALSE)</f>
        <v>595</v>
      </c>
      <c r="CK43" s="34">
        <f>HLOOKUP(CK$7+0.5,$I$66:$DJ$120,ROWS($A$10:$A43)+2,FALSE)</f>
        <v>282</v>
      </c>
      <c r="CL43" s="34">
        <f>HLOOKUP(CL$7+0.5,$I$66:$DJ$120,ROWS($A$10:$A43)+2,FALSE)</f>
        <v>553</v>
      </c>
      <c r="CM43" s="34">
        <f>HLOOKUP(CM$7+0.5,$I$66:$DJ$120,ROWS($A$10:$A43)+2,FALSE)</f>
        <v>1037</v>
      </c>
      <c r="CN43" s="34">
        <f>HLOOKUP(CN$7+0.5,$I$66:$DJ$120,ROWS($A$10:$A43)+2,FALSE)</f>
        <v>1172</v>
      </c>
      <c r="CO43" s="34">
        <f>HLOOKUP(CO$7+0.5,$I$66:$DJ$120,ROWS($A$10:$A43)+2,FALSE)</f>
        <v>4170</v>
      </c>
      <c r="CP43" s="34">
        <f>HLOOKUP(CP$7+0.5,$I$66:$DJ$120,ROWS($A$10:$A43)+2,FALSE)</f>
        <v>276</v>
      </c>
      <c r="CQ43" s="34" t="str">
        <f>HLOOKUP(CQ$7+0.5,$I$66:$DJ$120,ROWS($A$10:$A43)+2,FALSE)</f>
        <v>N/A</v>
      </c>
      <c r="CR43" s="34">
        <f>HLOOKUP(CR$7+0.5,$I$66:$DJ$120,ROWS($A$10:$A43)+2,FALSE)</f>
        <v>1874</v>
      </c>
      <c r="CS43" s="34">
        <f>HLOOKUP(CS$7+0.5,$I$66:$DJ$120,ROWS($A$10:$A43)+2,FALSE)</f>
        <v>266</v>
      </c>
      <c r="CT43" s="34">
        <f>HLOOKUP(CT$7+0.5,$I$66:$DJ$120,ROWS($A$10:$A43)+2,FALSE)</f>
        <v>1717</v>
      </c>
      <c r="CU43" s="34">
        <f>HLOOKUP(CU$7+0.5,$I$66:$DJ$120,ROWS($A$10:$A43)+2,FALSE)</f>
        <v>887</v>
      </c>
      <c r="CV43" s="34">
        <f>HLOOKUP(CV$7+0.5,$I$66:$DJ$120,ROWS($A$10:$A43)+2,FALSE)</f>
        <v>977</v>
      </c>
      <c r="CW43" s="34">
        <f>HLOOKUP(CW$7+0.5,$I$66:$DJ$120,ROWS($A$10:$A43)+2,FALSE)</f>
        <v>3427</v>
      </c>
      <c r="CX43" s="34">
        <f>HLOOKUP(CX$7+0.5,$I$66:$DJ$120,ROWS($A$10:$A43)+2,FALSE)</f>
        <v>663</v>
      </c>
      <c r="CY43" s="34">
        <f>HLOOKUP(CY$7+0.5,$I$66:$DJ$120,ROWS($A$10:$A43)+2,FALSE)</f>
        <v>2791</v>
      </c>
      <c r="CZ43" s="34">
        <f>HLOOKUP(CZ$7+0.5,$I$66:$DJ$120,ROWS($A$10:$A43)+2,FALSE)</f>
        <v>121</v>
      </c>
      <c r="DA43" s="34">
        <f>HLOOKUP(DA$7+0.5,$I$66:$DJ$120,ROWS($A$10:$A43)+2,FALSE)</f>
        <v>1051</v>
      </c>
      <c r="DB43" s="34">
        <f>HLOOKUP(DB$7+0.5,$I$66:$DJ$120,ROWS($A$10:$A43)+2,FALSE)</f>
        <v>2132</v>
      </c>
      <c r="DC43" s="34">
        <f>HLOOKUP(DC$7+0.5,$I$66:$DJ$120,ROWS($A$10:$A43)+2,FALSE)</f>
        <v>482</v>
      </c>
      <c r="DD43" s="34">
        <f>HLOOKUP(DD$7+0.5,$I$66:$DJ$120,ROWS($A$10:$A43)+2,FALSE)</f>
        <v>1242</v>
      </c>
      <c r="DE43" s="34">
        <f>HLOOKUP(DE$7+0.5,$I$66:$DJ$120,ROWS($A$10:$A43)+2,FALSE)</f>
        <v>2343</v>
      </c>
      <c r="DF43" s="34">
        <f>HLOOKUP(DF$7+0.5,$I$66:$DJ$120,ROWS($A$10:$A43)+2,FALSE)</f>
        <v>1367</v>
      </c>
      <c r="DG43" s="34">
        <f>HLOOKUP(DG$7+0.5,$I$66:$DJ$120,ROWS($A$10:$A43)+2,FALSE)</f>
        <v>470</v>
      </c>
      <c r="DH43" s="34">
        <f>HLOOKUP(DH$7+0.5,$I$66:$DJ$120,ROWS($A$10:$A43)+2,FALSE)</f>
        <v>1014</v>
      </c>
      <c r="DI43" s="34">
        <f>HLOOKUP(DI$7+0.5,$I$66:$DJ$120,ROWS($A$10:$A43)+2,FALSE)</f>
        <v>645</v>
      </c>
      <c r="DJ43" s="34">
        <f>HLOOKUP(DJ$7+0.5,$I$66:$DJ$120,ROWS($A$10:$A43)+2,FALSE)</f>
        <v>3796</v>
      </c>
    </row>
    <row r="44" spans="2:114" x14ac:dyDescent="0.25">
      <c r="B44" s="38" t="s">
        <v>40</v>
      </c>
      <c r="C44" s="15">
        <v>9539412</v>
      </c>
      <c r="D44" s="14">
        <v>5364</v>
      </c>
      <c r="E44" s="15">
        <v>8070238</v>
      </c>
      <c r="F44" s="14">
        <v>36924</v>
      </c>
      <c r="G44" s="15">
        <v>1160510</v>
      </c>
      <c r="H44" s="14">
        <v>33476</v>
      </c>
      <c r="I44" s="36">
        <f>HLOOKUP(I$7,$I$66:$DJ$120,ROWS($A$10:$A44)+2,FALSE)</f>
        <v>265291</v>
      </c>
      <c r="J44" s="25">
        <f>HLOOKUP(J$7,$I$66:$DJ$120,ROWS($A$10:$A44)+2,FALSE)</f>
        <v>5420</v>
      </c>
      <c r="K44" s="25">
        <f>HLOOKUP(K$7,$I$66:$DJ$120,ROWS($A$10:$A44)+2,FALSE)</f>
        <v>3991</v>
      </c>
      <c r="L44" s="25">
        <f>HLOOKUP(L$7,$I$66:$DJ$120,ROWS($A$10:$A44)+2,FALSE)</f>
        <v>4286</v>
      </c>
      <c r="M44" s="25">
        <f>HLOOKUP(M$7,$I$66:$DJ$120,ROWS($A$10:$A44)+2,FALSE)</f>
        <v>327</v>
      </c>
      <c r="N44" s="25">
        <f>HLOOKUP(N$7,$I$66:$DJ$120,ROWS($A$10:$A44)+2,FALSE)</f>
        <v>15373</v>
      </c>
      <c r="O44" s="25">
        <f>HLOOKUP(O$7,$I$66:$DJ$120,ROWS($A$10:$A44)+2,FALSE)</f>
        <v>3919</v>
      </c>
      <c r="P44" s="25">
        <f>HLOOKUP(P$7,$I$66:$DJ$120,ROWS($A$10:$A44)+2,FALSE)</f>
        <v>1975</v>
      </c>
      <c r="Q44" s="25">
        <f>HLOOKUP(Q$7,$I$66:$DJ$120,ROWS($A$10:$A44)+2,FALSE)</f>
        <v>954</v>
      </c>
      <c r="R44" s="25">
        <f>HLOOKUP(R$7,$I$66:$DJ$120,ROWS($A$10:$A44)+2,FALSE)</f>
        <v>1135</v>
      </c>
      <c r="S44" s="25">
        <f>HLOOKUP(S$7,$I$66:$DJ$120,ROWS($A$10:$A44)+2,FALSE)</f>
        <v>28044</v>
      </c>
      <c r="T44" s="25">
        <f>HLOOKUP(T$7,$I$66:$DJ$120,ROWS($A$10:$A44)+2,FALSE)</f>
        <v>16192</v>
      </c>
      <c r="U44" s="25">
        <f>HLOOKUP(U$7,$I$66:$DJ$120,ROWS($A$10:$A44)+2,FALSE)</f>
        <v>1806</v>
      </c>
      <c r="V44" s="25">
        <f>HLOOKUP(V$7,$I$66:$DJ$120,ROWS($A$10:$A44)+2,FALSE)</f>
        <v>675</v>
      </c>
      <c r="W44" s="25">
        <f>HLOOKUP(W$7,$I$66:$DJ$120,ROWS($A$10:$A44)+2,FALSE)</f>
        <v>5971</v>
      </c>
      <c r="X44" s="25">
        <f>HLOOKUP(X$7,$I$66:$DJ$120,ROWS($A$10:$A44)+2,FALSE)</f>
        <v>3228</v>
      </c>
      <c r="Y44" s="25">
        <f>HLOOKUP(Y$7,$I$66:$DJ$120,ROWS($A$10:$A44)+2,FALSE)</f>
        <v>654</v>
      </c>
      <c r="Z44" s="25">
        <f>HLOOKUP(Z$7,$I$66:$DJ$120,ROWS($A$10:$A44)+2,FALSE)</f>
        <v>4995</v>
      </c>
      <c r="AA44" s="25">
        <f>HLOOKUP(AA$7,$I$66:$DJ$120,ROWS($A$10:$A44)+2,FALSE)</f>
        <v>1637</v>
      </c>
      <c r="AB44" s="25">
        <f>HLOOKUP(AB$7,$I$66:$DJ$120,ROWS($A$10:$A44)+2,FALSE)</f>
        <v>2936</v>
      </c>
      <c r="AC44" s="25">
        <f>HLOOKUP(AC$7,$I$66:$DJ$120,ROWS($A$10:$A44)+2,FALSE)</f>
        <v>824</v>
      </c>
      <c r="AD44" s="25">
        <f>HLOOKUP(AD$7,$I$66:$DJ$120,ROWS($A$10:$A44)+2,FALSE)</f>
        <v>10485</v>
      </c>
      <c r="AE44" s="25">
        <f>HLOOKUP(AE$7,$I$66:$DJ$120,ROWS($A$10:$A44)+2,FALSE)</f>
        <v>9053</v>
      </c>
      <c r="AF44" s="25">
        <f>HLOOKUP(AF$7,$I$66:$DJ$120,ROWS($A$10:$A44)+2,FALSE)</f>
        <v>7530</v>
      </c>
      <c r="AG44" s="25">
        <f>HLOOKUP(AG$7,$I$66:$DJ$120,ROWS($A$10:$A44)+2,FALSE)</f>
        <v>1294</v>
      </c>
      <c r="AH44" s="25">
        <f>HLOOKUP(AH$7,$I$66:$DJ$120,ROWS($A$10:$A44)+2,FALSE)</f>
        <v>1273</v>
      </c>
      <c r="AI44" s="25">
        <f>HLOOKUP(AI$7,$I$66:$DJ$120,ROWS($A$10:$A44)+2,FALSE)</f>
        <v>2638</v>
      </c>
      <c r="AJ44" s="25">
        <f>HLOOKUP(AJ$7,$I$66:$DJ$120,ROWS($A$10:$A44)+2,FALSE)</f>
        <v>563</v>
      </c>
      <c r="AK44" s="25">
        <f>HLOOKUP(AK$7,$I$66:$DJ$120,ROWS($A$10:$A44)+2,FALSE)</f>
        <v>1056</v>
      </c>
      <c r="AL44" s="25">
        <f>HLOOKUP(AL$7,$I$66:$DJ$120,ROWS($A$10:$A44)+2,FALSE)</f>
        <v>1048</v>
      </c>
      <c r="AM44" s="25">
        <f>HLOOKUP(AM$7,$I$66:$DJ$120,ROWS($A$10:$A44)+2,FALSE)</f>
        <v>2078</v>
      </c>
      <c r="AN44" s="25">
        <f>HLOOKUP(AN$7,$I$66:$DJ$120,ROWS($A$10:$A44)+2,FALSE)</f>
        <v>10374</v>
      </c>
      <c r="AO44" s="25">
        <f>HLOOKUP(AO$7,$I$66:$DJ$120,ROWS($A$10:$A44)+2,FALSE)</f>
        <v>1737</v>
      </c>
      <c r="AP44" s="25">
        <f>HLOOKUP(AP$7,$I$66:$DJ$120,ROWS($A$10:$A44)+2,FALSE)</f>
        <v>18321</v>
      </c>
      <c r="AQ44" s="25" t="str">
        <f>HLOOKUP(AQ$7,$I$66:$DJ$120,ROWS($A$10:$A44)+2,FALSE)</f>
        <v>N/A</v>
      </c>
      <c r="AR44" s="25">
        <f>HLOOKUP(AR$7,$I$66:$DJ$120,ROWS($A$10:$A44)+2,FALSE)</f>
        <v>189</v>
      </c>
      <c r="AS44" s="25">
        <f>HLOOKUP(AS$7,$I$66:$DJ$120,ROWS($A$10:$A44)+2,FALSE)</f>
        <v>10187</v>
      </c>
      <c r="AT44" s="25">
        <f>HLOOKUP(AT$7,$I$66:$DJ$120,ROWS($A$10:$A44)+2,FALSE)</f>
        <v>1390</v>
      </c>
      <c r="AU44" s="25">
        <f>HLOOKUP(AU$7,$I$66:$DJ$120,ROWS($A$10:$A44)+2,FALSE)</f>
        <v>1175</v>
      </c>
      <c r="AV44" s="25">
        <f>HLOOKUP(AV$7,$I$66:$DJ$120,ROWS($A$10:$A44)+2,FALSE)</f>
        <v>9450</v>
      </c>
      <c r="AW44" s="25">
        <f>HLOOKUP(AW$7,$I$66:$DJ$120,ROWS($A$10:$A44)+2,FALSE)</f>
        <v>444</v>
      </c>
      <c r="AX44" s="25">
        <f>HLOOKUP(AX$7,$I$66:$DJ$120,ROWS($A$10:$A44)+2,FALSE)</f>
        <v>20427</v>
      </c>
      <c r="AY44" s="25">
        <f>HLOOKUP(AY$7,$I$66:$DJ$120,ROWS($A$10:$A44)+2,FALSE)</f>
        <v>565</v>
      </c>
      <c r="AZ44" s="25">
        <f>HLOOKUP(AZ$7,$I$66:$DJ$120,ROWS($A$10:$A44)+2,FALSE)</f>
        <v>6057</v>
      </c>
      <c r="BA44" s="25">
        <f>HLOOKUP(BA$7,$I$66:$DJ$120,ROWS($A$10:$A44)+2,FALSE)</f>
        <v>6621</v>
      </c>
      <c r="BB44" s="25">
        <f>HLOOKUP(BB$7,$I$66:$DJ$120,ROWS($A$10:$A44)+2,FALSE)</f>
        <v>961</v>
      </c>
      <c r="BC44" s="25">
        <f>HLOOKUP(BC$7,$I$66:$DJ$120,ROWS($A$10:$A44)+2,FALSE)</f>
        <v>212</v>
      </c>
      <c r="BD44" s="25">
        <f>HLOOKUP(BD$7,$I$66:$DJ$120,ROWS($A$10:$A44)+2,FALSE)</f>
        <v>27302</v>
      </c>
      <c r="BE44" s="25">
        <f>HLOOKUP(BE$7,$I$66:$DJ$120,ROWS($A$10:$A44)+2,FALSE)</f>
        <v>3295</v>
      </c>
      <c r="BF44" s="25">
        <f>HLOOKUP(BF$7,$I$66:$DJ$120,ROWS($A$10:$A44)+2,FALSE)</f>
        <v>2780</v>
      </c>
      <c r="BG44" s="25">
        <f>HLOOKUP(BG$7,$I$66:$DJ$120,ROWS($A$10:$A44)+2,FALSE)</f>
        <v>2291</v>
      </c>
      <c r="BH44" s="25">
        <f>HLOOKUP(BH$7,$I$66:$DJ$120,ROWS($A$10:$A44)+2,FALSE)</f>
        <v>153</v>
      </c>
      <c r="BI44" s="25">
        <f>HLOOKUP(BI$7,$I$66:$DJ$120,ROWS($A$10:$A44)+2,FALSE)</f>
        <v>844</v>
      </c>
      <c r="BJ44" s="34">
        <f>HLOOKUP(BJ$7+0.5,$I$66:$DJ$120,ROWS($A$10:$A44)+2,FALSE)</f>
        <v>16660</v>
      </c>
      <c r="BK44" s="34">
        <f>HLOOKUP(BK$7+0.5,$I$66:$DJ$120,ROWS($A$10:$A44)+2,FALSE)</f>
        <v>2338</v>
      </c>
      <c r="BL44" s="34">
        <f>HLOOKUP(BL$7+0.5,$I$66:$DJ$120,ROWS($A$10:$A44)+2,FALSE)</f>
        <v>2185</v>
      </c>
      <c r="BM44" s="34">
        <f>HLOOKUP(BM$7+0.5,$I$66:$DJ$120,ROWS($A$10:$A44)+2,FALSE)</f>
        <v>2860</v>
      </c>
      <c r="BN44" s="34">
        <f>HLOOKUP(BN$7+0.5,$I$66:$DJ$120,ROWS($A$10:$A44)+2,FALSE)</f>
        <v>322</v>
      </c>
      <c r="BO44" s="34">
        <f>HLOOKUP(BO$7+0.5,$I$66:$DJ$120,ROWS($A$10:$A44)+2,FALSE)</f>
        <v>5531</v>
      </c>
      <c r="BP44" s="34">
        <f>HLOOKUP(BP$7+0.5,$I$66:$DJ$120,ROWS($A$10:$A44)+2,FALSE)</f>
        <v>1645</v>
      </c>
      <c r="BQ44" s="34">
        <f>HLOOKUP(BQ$7+0.5,$I$66:$DJ$120,ROWS($A$10:$A44)+2,FALSE)</f>
        <v>820</v>
      </c>
      <c r="BR44" s="34">
        <f>HLOOKUP(BR$7+0.5,$I$66:$DJ$120,ROWS($A$10:$A44)+2,FALSE)</f>
        <v>600</v>
      </c>
      <c r="BS44" s="34">
        <f>HLOOKUP(BS$7+0.5,$I$66:$DJ$120,ROWS($A$10:$A44)+2,FALSE)</f>
        <v>591</v>
      </c>
      <c r="BT44" s="34">
        <f>HLOOKUP(BT$7+0.5,$I$66:$DJ$120,ROWS($A$10:$A44)+2,FALSE)</f>
        <v>4471</v>
      </c>
      <c r="BU44" s="34">
        <f>HLOOKUP(BU$7+0.5,$I$66:$DJ$120,ROWS($A$10:$A44)+2,FALSE)</f>
        <v>3163</v>
      </c>
      <c r="BV44" s="34">
        <f>HLOOKUP(BV$7+0.5,$I$66:$DJ$120,ROWS($A$10:$A44)+2,FALSE)</f>
        <v>1362</v>
      </c>
      <c r="BW44" s="34">
        <f>HLOOKUP(BW$7+0.5,$I$66:$DJ$120,ROWS($A$10:$A44)+2,FALSE)</f>
        <v>615</v>
      </c>
      <c r="BX44" s="34">
        <f>HLOOKUP(BX$7+0.5,$I$66:$DJ$120,ROWS($A$10:$A44)+2,FALSE)</f>
        <v>2065</v>
      </c>
      <c r="BY44" s="34">
        <f>HLOOKUP(BY$7+0.5,$I$66:$DJ$120,ROWS($A$10:$A44)+2,FALSE)</f>
        <v>1379</v>
      </c>
      <c r="BZ44" s="34">
        <f>HLOOKUP(BZ$7+0.5,$I$66:$DJ$120,ROWS($A$10:$A44)+2,FALSE)</f>
        <v>530</v>
      </c>
      <c r="CA44" s="34">
        <f>HLOOKUP(CA$7+0.5,$I$66:$DJ$120,ROWS($A$10:$A44)+2,FALSE)</f>
        <v>4644</v>
      </c>
      <c r="CB44" s="34">
        <f>HLOOKUP(CB$7+0.5,$I$66:$DJ$120,ROWS($A$10:$A44)+2,FALSE)</f>
        <v>786</v>
      </c>
      <c r="CC44" s="34">
        <f>HLOOKUP(CC$7+0.5,$I$66:$DJ$120,ROWS($A$10:$A44)+2,FALSE)</f>
        <v>1135</v>
      </c>
      <c r="CD44" s="34">
        <f>HLOOKUP(CD$7+0.5,$I$66:$DJ$120,ROWS($A$10:$A44)+2,FALSE)</f>
        <v>663</v>
      </c>
      <c r="CE44" s="34">
        <f>HLOOKUP(CE$7+0.5,$I$66:$DJ$120,ROWS($A$10:$A44)+2,FALSE)</f>
        <v>2304</v>
      </c>
      <c r="CF44" s="34">
        <f>HLOOKUP(CF$7+0.5,$I$66:$DJ$120,ROWS($A$10:$A44)+2,FALSE)</f>
        <v>4920</v>
      </c>
      <c r="CG44" s="34">
        <f>HLOOKUP(CG$7+0.5,$I$66:$DJ$120,ROWS($A$10:$A44)+2,FALSE)</f>
        <v>2879</v>
      </c>
      <c r="CH44" s="34">
        <f>HLOOKUP(CH$7+0.5,$I$66:$DJ$120,ROWS($A$10:$A44)+2,FALSE)</f>
        <v>825</v>
      </c>
      <c r="CI44" s="34">
        <f>HLOOKUP(CI$7+0.5,$I$66:$DJ$120,ROWS($A$10:$A44)+2,FALSE)</f>
        <v>829</v>
      </c>
      <c r="CJ44" s="34">
        <f>HLOOKUP(CJ$7+0.5,$I$66:$DJ$120,ROWS($A$10:$A44)+2,FALSE)</f>
        <v>1150</v>
      </c>
      <c r="CK44" s="34">
        <f>HLOOKUP(CK$7+0.5,$I$66:$DJ$120,ROWS($A$10:$A44)+2,FALSE)</f>
        <v>549</v>
      </c>
      <c r="CL44" s="34">
        <f>HLOOKUP(CL$7+0.5,$I$66:$DJ$120,ROWS($A$10:$A44)+2,FALSE)</f>
        <v>1334</v>
      </c>
      <c r="CM44" s="34">
        <f>HLOOKUP(CM$7+0.5,$I$66:$DJ$120,ROWS($A$10:$A44)+2,FALSE)</f>
        <v>716</v>
      </c>
      <c r="CN44" s="34">
        <f>HLOOKUP(CN$7+0.5,$I$66:$DJ$120,ROWS($A$10:$A44)+2,FALSE)</f>
        <v>1738</v>
      </c>
      <c r="CO44" s="34">
        <f>HLOOKUP(CO$7+0.5,$I$66:$DJ$120,ROWS($A$10:$A44)+2,FALSE)</f>
        <v>2643</v>
      </c>
      <c r="CP44" s="34">
        <f>HLOOKUP(CP$7+0.5,$I$66:$DJ$120,ROWS($A$10:$A44)+2,FALSE)</f>
        <v>1297</v>
      </c>
      <c r="CQ44" s="34">
        <f>HLOOKUP(CQ$7+0.5,$I$66:$DJ$120,ROWS($A$10:$A44)+2,FALSE)</f>
        <v>3621</v>
      </c>
      <c r="CR44" s="34" t="str">
        <f>HLOOKUP(CR$7+0.5,$I$66:$DJ$120,ROWS($A$10:$A44)+2,FALSE)</f>
        <v>N/A</v>
      </c>
      <c r="CS44" s="34">
        <f>HLOOKUP(CS$7+0.5,$I$66:$DJ$120,ROWS($A$10:$A44)+2,FALSE)</f>
        <v>272</v>
      </c>
      <c r="CT44" s="34">
        <f>HLOOKUP(CT$7+0.5,$I$66:$DJ$120,ROWS($A$10:$A44)+2,FALSE)</f>
        <v>3649</v>
      </c>
      <c r="CU44" s="34">
        <f>HLOOKUP(CU$7+0.5,$I$66:$DJ$120,ROWS($A$10:$A44)+2,FALSE)</f>
        <v>684</v>
      </c>
      <c r="CV44" s="34">
        <f>HLOOKUP(CV$7+0.5,$I$66:$DJ$120,ROWS($A$10:$A44)+2,FALSE)</f>
        <v>826</v>
      </c>
      <c r="CW44" s="34">
        <f>HLOOKUP(CW$7+0.5,$I$66:$DJ$120,ROWS($A$10:$A44)+2,FALSE)</f>
        <v>2770</v>
      </c>
      <c r="CX44" s="34">
        <f>HLOOKUP(CX$7+0.5,$I$66:$DJ$120,ROWS($A$10:$A44)+2,FALSE)</f>
        <v>384</v>
      </c>
      <c r="CY44" s="34">
        <f>HLOOKUP(CY$7+0.5,$I$66:$DJ$120,ROWS($A$10:$A44)+2,FALSE)</f>
        <v>3260</v>
      </c>
      <c r="CZ44" s="34">
        <f>HLOOKUP(CZ$7+0.5,$I$66:$DJ$120,ROWS($A$10:$A44)+2,FALSE)</f>
        <v>609</v>
      </c>
      <c r="DA44" s="34">
        <f>HLOOKUP(DA$7+0.5,$I$66:$DJ$120,ROWS($A$10:$A44)+2,FALSE)</f>
        <v>2083</v>
      </c>
      <c r="DB44" s="34">
        <f>HLOOKUP(DB$7+0.5,$I$66:$DJ$120,ROWS($A$10:$A44)+2,FALSE)</f>
        <v>2034</v>
      </c>
      <c r="DC44" s="34">
        <f>HLOOKUP(DC$7+0.5,$I$66:$DJ$120,ROWS($A$10:$A44)+2,FALSE)</f>
        <v>692</v>
      </c>
      <c r="DD44" s="34">
        <f>HLOOKUP(DD$7+0.5,$I$66:$DJ$120,ROWS($A$10:$A44)+2,FALSE)</f>
        <v>345</v>
      </c>
      <c r="DE44" s="34">
        <f>HLOOKUP(DE$7+0.5,$I$66:$DJ$120,ROWS($A$10:$A44)+2,FALSE)</f>
        <v>4012</v>
      </c>
      <c r="DF44" s="34">
        <f>HLOOKUP(DF$7+0.5,$I$66:$DJ$120,ROWS($A$10:$A44)+2,FALSE)</f>
        <v>1566</v>
      </c>
      <c r="DG44" s="34">
        <f>HLOOKUP(DG$7+0.5,$I$66:$DJ$120,ROWS($A$10:$A44)+2,FALSE)</f>
        <v>1517</v>
      </c>
      <c r="DH44" s="34">
        <f>HLOOKUP(DH$7+0.5,$I$66:$DJ$120,ROWS($A$10:$A44)+2,FALSE)</f>
        <v>1192</v>
      </c>
      <c r="DI44" s="34">
        <f>HLOOKUP(DI$7+0.5,$I$66:$DJ$120,ROWS($A$10:$A44)+2,FALSE)</f>
        <v>228</v>
      </c>
      <c r="DJ44" s="34">
        <f>HLOOKUP(DJ$7+0.5,$I$66:$DJ$120,ROWS($A$10:$A44)+2,FALSE)</f>
        <v>447</v>
      </c>
    </row>
    <row r="45" spans="2:114" x14ac:dyDescent="0.25">
      <c r="B45" s="38" t="s">
        <v>41</v>
      </c>
      <c r="C45" s="15">
        <v>675161</v>
      </c>
      <c r="D45" s="14">
        <v>1047</v>
      </c>
      <c r="E45" s="15">
        <v>559906</v>
      </c>
      <c r="F45" s="14">
        <v>6503</v>
      </c>
      <c r="G45" s="15">
        <v>79837</v>
      </c>
      <c r="H45" s="14">
        <v>6140</v>
      </c>
      <c r="I45" s="36">
        <f>HLOOKUP(I$7,$I$66:$DJ$120,ROWS($A$10:$A45)+2,FALSE)</f>
        <v>32510</v>
      </c>
      <c r="J45" s="25">
        <f>HLOOKUP(J$7,$I$66:$DJ$120,ROWS($A$10:$A45)+2,FALSE)</f>
        <v>97</v>
      </c>
      <c r="K45" s="25">
        <f>HLOOKUP(K$7,$I$66:$DJ$120,ROWS($A$10:$A45)+2,FALSE)</f>
        <v>393</v>
      </c>
      <c r="L45" s="25">
        <f>HLOOKUP(L$7,$I$66:$DJ$120,ROWS($A$10:$A45)+2,FALSE)</f>
        <v>1313</v>
      </c>
      <c r="M45" s="25">
        <f>HLOOKUP(M$7,$I$66:$DJ$120,ROWS($A$10:$A45)+2,FALSE)</f>
        <v>249</v>
      </c>
      <c r="N45" s="25">
        <f>HLOOKUP(N$7,$I$66:$DJ$120,ROWS($A$10:$A45)+2,FALSE)</f>
        <v>1356</v>
      </c>
      <c r="O45" s="25">
        <f>HLOOKUP(O$7,$I$66:$DJ$120,ROWS($A$10:$A45)+2,FALSE)</f>
        <v>1229</v>
      </c>
      <c r="P45" s="25">
        <f>HLOOKUP(P$7,$I$66:$DJ$120,ROWS($A$10:$A45)+2,FALSE)</f>
        <v>0</v>
      </c>
      <c r="Q45" s="25">
        <f>HLOOKUP(Q$7,$I$66:$DJ$120,ROWS($A$10:$A45)+2,FALSE)</f>
        <v>84</v>
      </c>
      <c r="R45" s="25">
        <f>HLOOKUP(R$7,$I$66:$DJ$120,ROWS($A$10:$A45)+2,FALSE)</f>
        <v>0</v>
      </c>
      <c r="S45" s="25">
        <f>HLOOKUP(S$7,$I$66:$DJ$120,ROWS($A$10:$A45)+2,FALSE)</f>
        <v>459</v>
      </c>
      <c r="T45" s="25">
        <f>HLOOKUP(T$7,$I$66:$DJ$120,ROWS($A$10:$A45)+2,FALSE)</f>
        <v>364</v>
      </c>
      <c r="U45" s="25">
        <f>HLOOKUP(U$7,$I$66:$DJ$120,ROWS($A$10:$A45)+2,FALSE)</f>
        <v>138</v>
      </c>
      <c r="V45" s="25">
        <f>HLOOKUP(V$7,$I$66:$DJ$120,ROWS($A$10:$A45)+2,FALSE)</f>
        <v>1209</v>
      </c>
      <c r="W45" s="25">
        <f>HLOOKUP(W$7,$I$66:$DJ$120,ROWS($A$10:$A45)+2,FALSE)</f>
        <v>571</v>
      </c>
      <c r="X45" s="25">
        <f>HLOOKUP(X$7,$I$66:$DJ$120,ROWS($A$10:$A45)+2,FALSE)</f>
        <v>130</v>
      </c>
      <c r="Y45" s="25">
        <f>HLOOKUP(Y$7,$I$66:$DJ$120,ROWS($A$10:$A45)+2,FALSE)</f>
        <v>208</v>
      </c>
      <c r="Z45" s="25">
        <f>HLOOKUP(Z$7,$I$66:$DJ$120,ROWS($A$10:$A45)+2,FALSE)</f>
        <v>75</v>
      </c>
      <c r="AA45" s="25">
        <f>HLOOKUP(AA$7,$I$66:$DJ$120,ROWS($A$10:$A45)+2,FALSE)</f>
        <v>0</v>
      </c>
      <c r="AB45" s="25">
        <f>HLOOKUP(AB$7,$I$66:$DJ$120,ROWS($A$10:$A45)+2,FALSE)</f>
        <v>422</v>
      </c>
      <c r="AC45" s="25">
        <f>HLOOKUP(AC$7,$I$66:$DJ$120,ROWS($A$10:$A45)+2,FALSE)</f>
        <v>50</v>
      </c>
      <c r="AD45" s="25">
        <f>HLOOKUP(AD$7,$I$66:$DJ$120,ROWS($A$10:$A45)+2,FALSE)</f>
        <v>10</v>
      </c>
      <c r="AE45" s="25">
        <f>HLOOKUP(AE$7,$I$66:$DJ$120,ROWS($A$10:$A45)+2,FALSE)</f>
        <v>369</v>
      </c>
      <c r="AF45" s="25">
        <f>HLOOKUP(AF$7,$I$66:$DJ$120,ROWS($A$10:$A45)+2,FALSE)</f>
        <v>328</v>
      </c>
      <c r="AG45" s="25">
        <f>HLOOKUP(AG$7,$I$66:$DJ$120,ROWS($A$10:$A45)+2,FALSE)</f>
        <v>12244</v>
      </c>
      <c r="AH45" s="25">
        <f>HLOOKUP(AH$7,$I$66:$DJ$120,ROWS($A$10:$A45)+2,FALSE)</f>
        <v>80</v>
      </c>
      <c r="AI45" s="25">
        <f>HLOOKUP(AI$7,$I$66:$DJ$120,ROWS($A$10:$A45)+2,FALSE)</f>
        <v>330</v>
      </c>
      <c r="AJ45" s="25">
        <f>HLOOKUP(AJ$7,$I$66:$DJ$120,ROWS($A$10:$A45)+2,FALSE)</f>
        <v>1227</v>
      </c>
      <c r="AK45" s="25">
        <f>HLOOKUP(AK$7,$I$66:$DJ$120,ROWS($A$10:$A45)+2,FALSE)</f>
        <v>218</v>
      </c>
      <c r="AL45" s="25">
        <f>HLOOKUP(AL$7,$I$66:$DJ$120,ROWS($A$10:$A45)+2,FALSE)</f>
        <v>845</v>
      </c>
      <c r="AM45" s="25">
        <f>HLOOKUP(AM$7,$I$66:$DJ$120,ROWS($A$10:$A45)+2,FALSE)</f>
        <v>0</v>
      </c>
      <c r="AN45" s="25">
        <f>HLOOKUP(AN$7,$I$66:$DJ$120,ROWS($A$10:$A45)+2,FALSE)</f>
        <v>183</v>
      </c>
      <c r="AO45" s="25">
        <f>HLOOKUP(AO$7,$I$66:$DJ$120,ROWS($A$10:$A45)+2,FALSE)</f>
        <v>99</v>
      </c>
      <c r="AP45" s="25">
        <f>HLOOKUP(AP$7,$I$66:$DJ$120,ROWS($A$10:$A45)+2,FALSE)</f>
        <v>264</v>
      </c>
      <c r="AQ45" s="25">
        <f>HLOOKUP(AQ$7,$I$66:$DJ$120,ROWS($A$10:$A45)+2,FALSE)</f>
        <v>900</v>
      </c>
      <c r="AR45" s="25" t="str">
        <f>HLOOKUP(AR$7,$I$66:$DJ$120,ROWS($A$10:$A45)+2,FALSE)</f>
        <v>N/A</v>
      </c>
      <c r="AS45" s="25">
        <f>HLOOKUP(AS$7,$I$66:$DJ$120,ROWS($A$10:$A45)+2,FALSE)</f>
        <v>286</v>
      </c>
      <c r="AT45" s="25">
        <f>HLOOKUP(AT$7,$I$66:$DJ$120,ROWS($A$10:$A45)+2,FALSE)</f>
        <v>59</v>
      </c>
      <c r="AU45" s="25">
        <f>HLOOKUP(AU$7,$I$66:$DJ$120,ROWS($A$10:$A45)+2,FALSE)</f>
        <v>264</v>
      </c>
      <c r="AV45" s="25">
        <f>HLOOKUP(AV$7,$I$66:$DJ$120,ROWS($A$10:$A45)+2,FALSE)</f>
        <v>652</v>
      </c>
      <c r="AW45" s="25">
        <f>HLOOKUP(AW$7,$I$66:$DJ$120,ROWS($A$10:$A45)+2,FALSE)</f>
        <v>0</v>
      </c>
      <c r="AX45" s="25">
        <f>HLOOKUP(AX$7,$I$66:$DJ$120,ROWS($A$10:$A45)+2,FALSE)</f>
        <v>1</v>
      </c>
      <c r="AY45" s="25">
        <f>HLOOKUP(AY$7,$I$66:$DJ$120,ROWS($A$10:$A45)+2,FALSE)</f>
        <v>1293</v>
      </c>
      <c r="AZ45" s="25">
        <f>HLOOKUP(AZ$7,$I$66:$DJ$120,ROWS($A$10:$A45)+2,FALSE)</f>
        <v>113</v>
      </c>
      <c r="BA45" s="25">
        <f>HLOOKUP(BA$7,$I$66:$DJ$120,ROWS($A$10:$A45)+2,FALSE)</f>
        <v>1862</v>
      </c>
      <c r="BB45" s="25">
        <f>HLOOKUP(BB$7,$I$66:$DJ$120,ROWS($A$10:$A45)+2,FALSE)</f>
        <v>429</v>
      </c>
      <c r="BC45" s="25">
        <f>HLOOKUP(BC$7,$I$66:$DJ$120,ROWS($A$10:$A45)+2,FALSE)</f>
        <v>0</v>
      </c>
      <c r="BD45" s="25">
        <f>HLOOKUP(BD$7,$I$66:$DJ$120,ROWS($A$10:$A45)+2,FALSE)</f>
        <v>166</v>
      </c>
      <c r="BE45" s="25">
        <f>HLOOKUP(BE$7,$I$66:$DJ$120,ROWS($A$10:$A45)+2,FALSE)</f>
        <v>404</v>
      </c>
      <c r="BF45" s="25">
        <f>HLOOKUP(BF$7,$I$66:$DJ$120,ROWS($A$10:$A45)+2,FALSE)</f>
        <v>0</v>
      </c>
      <c r="BG45" s="25">
        <f>HLOOKUP(BG$7,$I$66:$DJ$120,ROWS($A$10:$A45)+2,FALSE)</f>
        <v>1398</v>
      </c>
      <c r="BH45" s="25">
        <f>HLOOKUP(BH$7,$I$66:$DJ$120,ROWS($A$10:$A45)+2,FALSE)</f>
        <v>139</v>
      </c>
      <c r="BI45" s="25">
        <f>HLOOKUP(BI$7,$I$66:$DJ$120,ROWS($A$10:$A45)+2,FALSE)</f>
        <v>76</v>
      </c>
      <c r="BJ45" s="34">
        <f>HLOOKUP(BJ$7+0.5,$I$66:$DJ$120,ROWS($A$10:$A45)+2,FALSE)</f>
        <v>3641</v>
      </c>
      <c r="BK45" s="34">
        <f>HLOOKUP(BK$7+0.5,$I$66:$DJ$120,ROWS($A$10:$A45)+2,FALSE)</f>
        <v>125</v>
      </c>
      <c r="BL45" s="34">
        <f>HLOOKUP(BL$7+0.5,$I$66:$DJ$120,ROWS($A$10:$A45)+2,FALSE)</f>
        <v>365</v>
      </c>
      <c r="BM45" s="34">
        <f>HLOOKUP(BM$7+0.5,$I$66:$DJ$120,ROWS($A$10:$A45)+2,FALSE)</f>
        <v>613</v>
      </c>
      <c r="BN45" s="34">
        <f>HLOOKUP(BN$7+0.5,$I$66:$DJ$120,ROWS($A$10:$A45)+2,FALSE)</f>
        <v>293</v>
      </c>
      <c r="BO45" s="34">
        <f>HLOOKUP(BO$7+0.5,$I$66:$DJ$120,ROWS($A$10:$A45)+2,FALSE)</f>
        <v>1011</v>
      </c>
      <c r="BP45" s="34">
        <f>HLOOKUP(BP$7+0.5,$I$66:$DJ$120,ROWS($A$10:$A45)+2,FALSE)</f>
        <v>612</v>
      </c>
      <c r="BQ45" s="34">
        <f>HLOOKUP(BQ$7+0.5,$I$66:$DJ$120,ROWS($A$10:$A45)+2,FALSE)</f>
        <v>143</v>
      </c>
      <c r="BR45" s="34">
        <f>HLOOKUP(BR$7+0.5,$I$66:$DJ$120,ROWS($A$10:$A45)+2,FALSE)</f>
        <v>100</v>
      </c>
      <c r="BS45" s="34">
        <f>HLOOKUP(BS$7+0.5,$I$66:$DJ$120,ROWS($A$10:$A45)+2,FALSE)</f>
        <v>143</v>
      </c>
      <c r="BT45" s="34">
        <f>HLOOKUP(BT$7+0.5,$I$66:$DJ$120,ROWS($A$10:$A45)+2,FALSE)</f>
        <v>303</v>
      </c>
      <c r="BU45" s="34">
        <f>HLOOKUP(BU$7+0.5,$I$66:$DJ$120,ROWS($A$10:$A45)+2,FALSE)</f>
        <v>410</v>
      </c>
      <c r="BV45" s="34">
        <f>HLOOKUP(BV$7+0.5,$I$66:$DJ$120,ROWS($A$10:$A45)+2,FALSE)</f>
        <v>216</v>
      </c>
      <c r="BW45" s="34">
        <f>HLOOKUP(BW$7+0.5,$I$66:$DJ$120,ROWS($A$10:$A45)+2,FALSE)</f>
        <v>817</v>
      </c>
      <c r="BX45" s="34">
        <f>HLOOKUP(BX$7+0.5,$I$66:$DJ$120,ROWS($A$10:$A45)+2,FALSE)</f>
        <v>504</v>
      </c>
      <c r="BY45" s="34">
        <f>HLOOKUP(BY$7+0.5,$I$66:$DJ$120,ROWS($A$10:$A45)+2,FALSE)</f>
        <v>171</v>
      </c>
      <c r="BZ45" s="34">
        <f>HLOOKUP(BZ$7+0.5,$I$66:$DJ$120,ROWS($A$10:$A45)+2,FALSE)</f>
        <v>178</v>
      </c>
      <c r="CA45" s="34">
        <f>HLOOKUP(CA$7+0.5,$I$66:$DJ$120,ROWS($A$10:$A45)+2,FALSE)</f>
        <v>96</v>
      </c>
      <c r="CB45" s="34">
        <f>HLOOKUP(CB$7+0.5,$I$66:$DJ$120,ROWS($A$10:$A45)+2,FALSE)</f>
        <v>143</v>
      </c>
      <c r="CC45" s="34">
        <f>HLOOKUP(CC$7+0.5,$I$66:$DJ$120,ROWS($A$10:$A45)+2,FALSE)</f>
        <v>441</v>
      </c>
      <c r="CD45" s="34">
        <f>HLOOKUP(CD$7+0.5,$I$66:$DJ$120,ROWS($A$10:$A45)+2,FALSE)</f>
        <v>72</v>
      </c>
      <c r="CE45" s="34">
        <f>HLOOKUP(CE$7+0.5,$I$66:$DJ$120,ROWS($A$10:$A45)+2,FALSE)</f>
        <v>16</v>
      </c>
      <c r="CF45" s="34">
        <f>HLOOKUP(CF$7+0.5,$I$66:$DJ$120,ROWS($A$10:$A45)+2,FALSE)</f>
        <v>359</v>
      </c>
      <c r="CG45" s="34">
        <f>HLOOKUP(CG$7+0.5,$I$66:$DJ$120,ROWS($A$10:$A45)+2,FALSE)</f>
        <v>324</v>
      </c>
      <c r="CH45" s="34">
        <f>HLOOKUP(CH$7+0.5,$I$66:$DJ$120,ROWS($A$10:$A45)+2,FALSE)</f>
        <v>2374</v>
      </c>
      <c r="CI45" s="34">
        <f>HLOOKUP(CI$7+0.5,$I$66:$DJ$120,ROWS($A$10:$A45)+2,FALSE)</f>
        <v>143</v>
      </c>
      <c r="CJ45" s="34">
        <f>HLOOKUP(CJ$7+0.5,$I$66:$DJ$120,ROWS($A$10:$A45)+2,FALSE)</f>
        <v>284</v>
      </c>
      <c r="CK45" s="34">
        <f>HLOOKUP(CK$7+0.5,$I$66:$DJ$120,ROWS($A$10:$A45)+2,FALSE)</f>
        <v>612</v>
      </c>
      <c r="CL45" s="34">
        <f>HLOOKUP(CL$7+0.5,$I$66:$DJ$120,ROWS($A$10:$A45)+2,FALSE)</f>
        <v>170</v>
      </c>
      <c r="CM45" s="34">
        <f>HLOOKUP(CM$7+0.5,$I$66:$DJ$120,ROWS($A$10:$A45)+2,FALSE)</f>
        <v>860</v>
      </c>
      <c r="CN45" s="34">
        <f>HLOOKUP(CN$7+0.5,$I$66:$DJ$120,ROWS($A$10:$A45)+2,FALSE)</f>
        <v>143</v>
      </c>
      <c r="CO45" s="34">
        <f>HLOOKUP(CO$7+0.5,$I$66:$DJ$120,ROWS($A$10:$A45)+2,FALSE)</f>
        <v>306</v>
      </c>
      <c r="CP45" s="34">
        <f>HLOOKUP(CP$7+0.5,$I$66:$DJ$120,ROWS($A$10:$A45)+2,FALSE)</f>
        <v>112</v>
      </c>
      <c r="CQ45" s="34">
        <f>HLOOKUP(CQ$7+0.5,$I$66:$DJ$120,ROWS($A$10:$A45)+2,FALSE)</f>
        <v>233</v>
      </c>
      <c r="CR45" s="34">
        <f>HLOOKUP(CR$7+0.5,$I$66:$DJ$120,ROWS($A$10:$A45)+2,FALSE)</f>
        <v>678</v>
      </c>
      <c r="CS45" s="34" t="str">
        <f>HLOOKUP(CS$7+0.5,$I$66:$DJ$120,ROWS($A$10:$A45)+2,FALSE)</f>
        <v>N/A</v>
      </c>
      <c r="CT45" s="34">
        <f>HLOOKUP(CT$7+0.5,$I$66:$DJ$120,ROWS($A$10:$A45)+2,FALSE)</f>
        <v>248</v>
      </c>
      <c r="CU45" s="34">
        <f>HLOOKUP(CU$7+0.5,$I$66:$DJ$120,ROWS($A$10:$A45)+2,FALSE)</f>
        <v>68</v>
      </c>
      <c r="CV45" s="34">
        <f>HLOOKUP(CV$7+0.5,$I$66:$DJ$120,ROWS($A$10:$A45)+2,FALSE)</f>
        <v>256</v>
      </c>
      <c r="CW45" s="34">
        <f>HLOOKUP(CW$7+0.5,$I$66:$DJ$120,ROWS($A$10:$A45)+2,FALSE)</f>
        <v>637</v>
      </c>
      <c r="CX45" s="34">
        <f>HLOOKUP(CX$7+0.5,$I$66:$DJ$120,ROWS($A$10:$A45)+2,FALSE)</f>
        <v>143</v>
      </c>
      <c r="CY45" s="34">
        <f>HLOOKUP(CY$7+0.5,$I$66:$DJ$120,ROWS($A$10:$A45)+2,FALSE)</f>
        <v>2</v>
      </c>
      <c r="CZ45" s="34">
        <f>HLOOKUP(CZ$7+0.5,$I$66:$DJ$120,ROWS($A$10:$A45)+2,FALSE)</f>
        <v>714</v>
      </c>
      <c r="DA45" s="34">
        <f>HLOOKUP(DA$7+0.5,$I$66:$DJ$120,ROWS($A$10:$A45)+2,FALSE)</f>
        <v>120</v>
      </c>
      <c r="DB45" s="34">
        <f>HLOOKUP(DB$7+0.5,$I$66:$DJ$120,ROWS($A$10:$A45)+2,FALSE)</f>
        <v>1029</v>
      </c>
      <c r="DC45" s="34">
        <f>HLOOKUP(DC$7+0.5,$I$66:$DJ$120,ROWS($A$10:$A45)+2,FALSE)</f>
        <v>427</v>
      </c>
      <c r="DD45" s="34">
        <f>HLOOKUP(DD$7+0.5,$I$66:$DJ$120,ROWS($A$10:$A45)+2,FALSE)</f>
        <v>143</v>
      </c>
      <c r="DE45" s="34">
        <f>HLOOKUP(DE$7+0.5,$I$66:$DJ$120,ROWS($A$10:$A45)+2,FALSE)</f>
        <v>202</v>
      </c>
      <c r="DF45" s="34">
        <f>HLOOKUP(DF$7+0.5,$I$66:$DJ$120,ROWS($A$10:$A45)+2,FALSE)</f>
        <v>312</v>
      </c>
      <c r="DG45" s="34">
        <f>HLOOKUP(DG$7+0.5,$I$66:$DJ$120,ROWS($A$10:$A45)+2,FALSE)</f>
        <v>143</v>
      </c>
      <c r="DH45" s="34">
        <f>HLOOKUP(DH$7+0.5,$I$66:$DJ$120,ROWS($A$10:$A45)+2,FALSE)</f>
        <v>601</v>
      </c>
      <c r="DI45" s="34">
        <f>HLOOKUP(DI$7+0.5,$I$66:$DJ$120,ROWS($A$10:$A45)+2,FALSE)</f>
        <v>102</v>
      </c>
      <c r="DJ45" s="34">
        <f>HLOOKUP(DJ$7+0.5,$I$66:$DJ$120,ROWS($A$10:$A45)+2,FALSE)</f>
        <v>110</v>
      </c>
    </row>
    <row r="46" spans="2:114" x14ac:dyDescent="0.25">
      <c r="B46" s="38" t="s">
        <v>42</v>
      </c>
      <c r="C46" s="15">
        <v>11418944</v>
      </c>
      <c r="D46" s="14">
        <v>4418</v>
      </c>
      <c r="E46" s="15">
        <v>9764366</v>
      </c>
      <c r="F46" s="14">
        <v>32087</v>
      </c>
      <c r="G46" s="15">
        <v>1425709</v>
      </c>
      <c r="H46" s="14">
        <v>29701</v>
      </c>
      <c r="I46" s="36">
        <f>HLOOKUP(I$7,$I$66:$DJ$120,ROWS($A$10:$A46)+2,FALSE)</f>
        <v>191778</v>
      </c>
      <c r="J46" s="25">
        <f>HLOOKUP(J$7,$I$66:$DJ$120,ROWS($A$10:$A46)+2,FALSE)</f>
        <v>1567</v>
      </c>
      <c r="K46" s="25">
        <f>HLOOKUP(K$7,$I$66:$DJ$120,ROWS($A$10:$A46)+2,FALSE)</f>
        <v>1637</v>
      </c>
      <c r="L46" s="25">
        <f>HLOOKUP(L$7,$I$66:$DJ$120,ROWS($A$10:$A46)+2,FALSE)</f>
        <v>6763</v>
      </c>
      <c r="M46" s="25">
        <f>HLOOKUP(M$7,$I$66:$DJ$120,ROWS($A$10:$A46)+2,FALSE)</f>
        <v>1952</v>
      </c>
      <c r="N46" s="25">
        <f>HLOOKUP(N$7,$I$66:$DJ$120,ROWS($A$10:$A46)+2,FALSE)</f>
        <v>9032</v>
      </c>
      <c r="O46" s="25">
        <f>HLOOKUP(O$7,$I$66:$DJ$120,ROWS($A$10:$A46)+2,FALSE)</f>
        <v>2690</v>
      </c>
      <c r="P46" s="25">
        <f>HLOOKUP(P$7,$I$66:$DJ$120,ROWS($A$10:$A46)+2,FALSE)</f>
        <v>1189</v>
      </c>
      <c r="Q46" s="25">
        <f>HLOOKUP(Q$7,$I$66:$DJ$120,ROWS($A$10:$A46)+2,FALSE)</f>
        <v>263</v>
      </c>
      <c r="R46" s="25">
        <f>HLOOKUP(R$7,$I$66:$DJ$120,ROWS($A$10:$A46)+2,FALSE)</f>
        <v>587</v>
      </c>
      <c r="S46" s="25">
        <f>HLOOKUP(S$7,$I$66:$DJ$120,ROWS($A$10:$A46)+2,FALSE)</f>
        <v>16492</v>
      </c>
      <c r="T46" s="25">
        <f>HLOOKUP(T$7,$I$66:$DJ$120,ROWS($A$10:$A46)+2,FALSE)</f>
        <v>4290</v>
      </c>
      <c r="U46" s="25">
        <f>HLOOKUP(U$7,$I$66:$DJ$120,ROWS($A$10:$A46)+2,FALSE)</f>
        <v>1044</v>
      </c>
      <c r="V46" s="25">
        <f>HLOOKUP(V$7,$I$66:$DJ$120,ROWS($A$10:$A46)+2,FALSE)</f>
        <v>312</v>
      </c>
      <c r="W46" s="25">
        <f>HLOOKUP(W$7,$I$66:$DJ$120,ROWS($A$10:$A46)+2,FALSE)</f>
        <v>7027</v>
      </c>
      <c r="X46" s="25">
        <f>HLOOKUP(X$7,$I$66:$DJ$120,ROWS($A$10:$A46)+2,FALSE)</f>
        <v>11588</v>
      </c>
      <c r="Y46" s="25">
        <f>HLOOKUP(Y$7,$I$66:$DJ$120,ROWS($A$10:$A46)+2,FALSE)</f>
        <v>1146</v>
      </c>
      <c r="Z46" s="25">
        <f>HLOOKUP(Z$7,$I$66:$DJ$120,ROWS($A$10:$A46)+2,FALSE)</f>
        <v>657</v>
      </c>
      <c r="AA46" s="25">
        <f>HLOOKUP(AA$7,$I$66:$DJ$120,ROWS($A$10:$A46)+2,FALSE)</f>
        <v>12744</v>
      </c>
      <c r="AB46" s="25">
        <f>HLOOKUP(AB$7,$I$66:$DJ$120,ROWS($A$10:$A46)+2,FALSE)</f>
        <v>1872</v>
      </c>
      <c r="AC46" s="25">
        <f>HLOOKUP(AC$7,$I$66:$DJ$120,ROWS($A$10:$A46)+2,FALSE)</f>
        <v>0</v>
      </c>
      <c r="AD46" s="25">
        <f>HLOOKUP(AD$7,$I$66:$DJ$120,ROWS($A$10:$A46)+2,FALSE)</f>
        <v>4982</v>
      </c>
      <c r="AE46" s="25">
        <f>HLOOKUP(AE$7,$I$66:$DJ$120,ROWS($A$10:$A46)+2,FALSE)</f>
        <v>2101</v>
      </c>
      <c r="AF46" s="25">
        <f>HLOOKUP(AF$7,$I$66:$DJ$120,ROWS($A$10:$A46)+2,FALSE)</f>
        <v>14330</v>
      </c>
      <c r="AG46" s="25">
        <f>HLOOKUP(AG$7,$I$66:$DJ$120,ROWS($A$10:$A46)+2,FALSE)</f>
        <v>1788</v>
      </c>
      <c r="AH46" s="25">
        <f>HLOOKUP(AH$7,$I$66:$DJ$120,ROWS($A$10:$A46)+2,FALSE)</f>
        <v>691</v>
      </c>
      <c r="AI46" s="25">
        <f>HLOOKUP(AI$7,$I$66:$DJ$120,ROWS($A$10:$A46)+2,FALSE)</f>
        <v>2003</v>
      </c>
      <c r="AJ46" s="25">
        <f>HLOOKUP(AJ$7,$I$66:$DJ$120,ROWS($A$10:$A46)+2,FALSE)</f>
        <v>101</v>
      </c>
      <c r="AK46" s="25">
        <f>HLOOKUP(AK$7,$I$66:$DJ$120,ROWS($A$10:$A46)+2,FALSE)</f>
        <v>1176</v>
      </c>
      <c r="AL46" s="25">
        <f>HLOOKUP(AL$7,$I$66:$DJ$120,ROWS($A$10:$A46)+2,FALSE)</f>
        <v>1851</v>
      </c>
      <c r="AM46" s="25">
        <f>HLOOKUP(AM$7,$I$66:$DJ$120,ROWS($A$10:$A46)+2,FALSE)</f>
        <v>1992</v>
      </c>
      <c r="AN46" s="25">
        <f>HLOOKUP(AN$7,$I$66:$DJ$120,ROWS($A$10:$A46)+2,FALSE)</f>
        <v>3936</v>
      </c>
      <c r="AO46" s="25">
        <f>HLOOKUP(AO$7,$I$66:$DJ$120,ROWS($A$10:$A46)+2,FALSE)</f>
        <v>255</v>
      </c>
      <c r="AP46" s="25">
        <f>HLOOKUP(AP$7,$I$66:$DJ$120,ROWS($A$10:$A46)+2,FALSE)</f>
        <v>8784</v>
      </c>
      <c r="AQ46" s="25">
        <f>HLOOKUP(AQ$7,$I$66:$DJ$120,ROWS($A$10:$A46)+2,FALSE)</f>
        <v>4572</v>
      </c>
      <c r="AR46" s="25">
        <f>HLOOKUP(AR$7,$I$66:$DJ$120,ROWS($A$10:$A46)+2,FALSE)</f>
        <v>204</v>
      </c>
      <c r="AS46" s="25" t="str">
        <f>HLOOKUP(AS$7,$I$66:$DJ$120,ROWS($A$10:$A46)+2,FALSE)</f>
        <v>N/A</v>
      </c>
      <c r="AT46" s="25">
        <f>HLOOKUP(AT$7,$I$66:$DJ$120,ROWS($A$10:$A46)+2,FALSE)</f>
        <v>2333</v>
      </c>
      <c r="AU46" s="25">
        <f>HLOOKUP(AU$7,$I$66:$DJ$120,ROWS($A$10:$A46)+2,FALSE)</f>
        <v>1326</v>
      </c>
      <c r="AV46" s="25">
        <f>HLOOKUP(AV$7,$I$66:$DJ$120,ROWS($A$10:$A46)+2,FALSE)</f>
        <v>14292</v>
      </c>
      <c r="AW46" s="25">
        <f>HLOOKUP(AW$7,$I$66:$DJ$120,ROWS($A$10:$A46)+2,FALSE)</f>
        <v>369</v>
      </c>
      <c r="AX46" s="25">
        <f>HLOOKUP(AX$7,$I$66:$DJ$120,ROWS($A$10:$A46)+2,FALSE)</f>
        <v>3826</v>
      </c>
      <c r="AY46" s="25">
        <f>HLOOKUP(AY$7,$I$66:$DJ$120,ROWS($A$10:$A46)+2,FALSE)</f>
        <v>34</v>
      </c>
      <c r="AZ46" s="25">
        <f>HLOOKUP(AZ$7,$I$66:$DJ$120,ROWS($A$10:$A46)+2,FALSE)</f>
        <v>6468</v>
      </c>
      <c r="BA46" s="25">
        <f>HLOOKUP(BA$7,$I$66:$DJ$120,ROWS($A$10:$A46)+2,FALSE)</f>
        <v>11987</v>
      </c>
      <c r="BB46" s="25">
        <f>HLOOKUP(BB$7,$I$66:$DJ$120,ROWS($A$10:$A46)+2,FALSE)</f>
        <v>691</v>
      </c>
      <c r="BC46" s="25">
        <f>HLOOKUP(BC$7,$I$66:$DJ$120,ROWS($A$10:$A46)+2,FALSE)</f>
        <v>68</v>
      </c>
      <c r="BD46" s="25">
        <f>HLOOKUP(BD$7,$I$66:$DJ$120,ROWS($A$10:$A46)+2,FALSE)</f>
        <v>5425</v>
      </c>
      <c r="BE46" s="25">
        <f>HLOOKUP(BE$7,$I$66:$DJ$120,ROWS($A$10:$A46)+2,FALSE)</f>
        <v>1979</v>
      </c>
      <c r="BF46" s="25">
        <f>HLOOKUP(BF$7,$I$66:$DJ$120,ROWS($A$10:$A46)+2,FALSE)</f>
        <v>7548</v>
      </c>
      <c r="BG46" s="25">
        <f>HLOOKUP(BG$7,$I$66:$DJ$120,ROWS($A$10:$A46)+2,FALSE)</f>
        <v>2534</v>
      </c>
      <c r="BH46" s="25">
        <f>HLOOKUP(BH$7,$I$66:$DJ$120,ROWS($A$10:$A46)+2,FALSE)</f>
        <v>1280</v>
      </c>
      <c r="BI46" s="25">
        <f>HLOOKUP(BI$7,$I$66:$DJ$120,ROWS($A$10:$A46)+2,FALSE)</f>
        <v>1607</v>
      </c>
      <c r="BJ46" s="34">
        <f>HLOOKUP(BJ$7+0.5,$I$66:$DJ$120,ROWS($A$10:$A46)+2,FALSE)</f>
        <v>11799</v>
      </c>
      <c r="BK46" s="34">
        <f>HLOOKUP(BK$7+0.5,$I$66:$DJ$120,ROWS($A$10:$A46)+2,FALSE)</f>
        <v>705</v>
      </c>
      <c r="BL46" s="34">
        <f>HLOOKUP(BL$7+0.5,$I$66:$DJ$120,ROWS($A$10:$A46)+2,FALSE)</f>
        <v>1579</v>
      </c>
      <c r="BM46" s="34">
        <f>HLOOKUP(BM$7+0.5,$I$66:$DJ$120,ROWS($A$10:$A46)+2,FALSE)</f>
        <v>3193</v>
      </c>
      <c r="BN46" s="34">
        <f>HLOOKUP(BN$7+0.5,$I$66:$DJ$120,ROWS($A$10:$A46)+2,FALSE)</f>
        <v>1128</v>
      </c>
      <c r="BO46" s="34">
        <f>HLOOKUP(BO$7+0.5,$I$66:$DJ$120,ROWS($A$10:$A46)+2,FALSE)</f>
        <v>1771</v>
      </c>
      <c r="BP46" s="34">
        <f>HLOOKUP(BP$7+0.5,$I$66:$DJ$120,ROWS($A$10:$A46)+2,FALSE)</f>
        <v>1023</v>
      </c>
      <c r="BQ46" s="34">
        <f>HLOOKUP(BQ$7+0.5,$I$66:$DJ$120,ROWS($A$10:$A46)+2,FALSE)</f>
        <v>663</v>
      </c>
      <c r="BR46" s="34">
        <f>HLOOKUP(BR$7+0.5,$I$66:$DJ$120,ROWS($A$10:$A46)+2,FALSE)</f>
        <v>270</v>
      </c>
      <c r="BS46" s="34">
        <f>HLOOKUP(BS$7+0.5,$I$66:$DJ$120,ROWS($A$10:$A46)+2,FALSE)</f>
        <v>449</v>
      </c>
      <c r="BT46" s="34">
        <f>HLOOKUP(BT$7+0.5,$I$66:$DJ$120,ROWS($A$10:$A46)+2,FALSE)</f>
        <v>3173</v>
      </c>
      <c r="BU46" s="34">
        <f>HLOOKUP(BU$7+0.5,$I$66:$DJ$120,ROWS($A$10:$A46)+2,FALSE)</f>
        <v>1143</v>
      </c>
      <c r="BV46" s="34">
        <f>HLOOKUP(BV$7+0.5,$I$66:$DJ$120,ROWS($A$10:$A46)+2,FALSE)</f>
        <v>694</v>
      </c>
      <c r="BW46" s="34">
        <f>HLOOKUP(BW$7+0.5,$I$66:$DJ$120,ROWS($A$10:$A46)+2,FALSE)</f>
        <v>223</v>
      </c>
      <c r="BX46" s="34">
        <f>HLOOKUP(BX$7+0.5,$I$66:$DJ$120,ROWS($A$10:$A46)+2,FALSE)</f>
        <v>1504</v>
      </c>
      <c r="BY46" s="34">
        <f>HLOOKUP(BY$7+0.5,$I$66:$DJ$120,ROWS($A$10:$A46)+2,FALSE)</f>
        <v>2147</v>
      </c>
      <c r="BZ46" s="34">
        <f>HLOOKUP(BZ$7+0.5,$I$66:$DJ$120,ROWS($A$10:$A46)+2,FALSE)</f>
        <v>614</v>
      </c>
      <c r="CA46" s="34">
        <f>HLOOKUP(CA$7+0.5,$I$66:$DJ$120,ROWS($A$10:$A46)+2,FALSE)</f>
        <v>519</v>
      </c>
      <c r="CB46" s="34">
        <f>HLOOKUP(CB$7+0.5,$I$66:$DJ$120,ROWS($A$10:$A46)+2,FALSE)</f>
        <v>3507</v>
      </c>
      <c r="CC46" s="34">
        <f>HLOOKUP(CC$7+0.5,$I$66:$DJ$120,ROWS($A$10:$A46)+2,FALSE)</f>
        <v>1784</v>
      </c>
      <c r="CD46" s="34">
        <f>HLOOKUP(CD$7+0.5,$I$66:$DJ$120,ROWS($A$10:$A46)+2,FALSE)</f>
        <v>187</v>
      </c>
      <c r="CE46" s="34">
        <f>HLOOKUP(CE$7+0.5,$I$66:$DJ$120,ROWS($A$10:$A46)+2,FALSE)</f>
        <v>1578</v>
      </c>
      <c r="CF46" s="34">
        <f>HLOOKUP(CF$7+0.5,$I$66:$DJ$120,ROWS($A$10:$A46)+2,FALSE)</f>
        <v>1008</v>
      </c>
      <c r="CG46" s="34">
        <f>HLOOKUP(CG$7+0.5,$I$66:$DJ$120,ROWS($A$10:$A46)+2,FALSE)</f>
        <v>2896</v>
      </c>
      <c r="CH46" s="34">
        <f>HLOOKUP(CH$7+0.5,$I$66:$DJ$120,ROWS($A$10:$A46)+2,FALSE)</f>
        <v>784</v>
      </c>
      <c r="CI46" s="34">
        <f>HLOOKUP(CI$7+0.5,$I$66:$DJ$120,ROWS($A$10:$A46)+2,FALSE)</f>
        <v>462</v>
      </c>
      <c r="CJ46" s="34">
        <f>HLOOKUP(CJ$7+0.5,$I$66:$DJ$120,ROWS($A$10:$A46)+2,FALSE)</f>
        <v>873</v>
      </c>
      <c r="CK46" s="34">
        <f>HLOOKUP(CK$7+0.5,$I$66:$DJ$120,ROWS($A$10:$A46)+2,FALSE)</f>
        <v>172</v>
      </c>
      <c r="CL46" s="34">
        <f>HLOOKUP(CL$7+0.5,$I$66:$DJ$120,ROWS($A$10:$A46)+2,FALSE)</f>
        <v>616</v>
      </c>
      <c r="CM46" s="34">
        <f>HLOOKUP(CM$7+0.5,$I$66:$DJ$120,ROWS($A$10:$A46)+2,FALSE)</f>
        <v>1107</v>
      </c>
      <c r="CN46" s="34">
        <f>HLOOKUP(CN$7+0.5,$I$66:$DJ$120,ROWS($A$10:$A46)+2,FALSE)</f>
        <v>1509</v>
      </c>
      <c r="CO46" s="34">
        <f>HLOOKUP(CO$7+0.5,$I$66:$DJ$120,ROWS($A$10:$A46)+2,FALSE)</f>
        <v>1643</v>
      </c>
      <c r="CP46" s="34">
        <f>HLOOKUP(CP$7+0.5,$I$66:$DJ$120,ROWS($A$10:$A46)+2,FALSE)</f>
        <v>287</v>
      </c>
      <c r="CQ46" s="34">
        <f>HLOOKUP(CQ$7+0.5,$I$66:$DJ$120,ROWS($A$10:$A46)+2,FALSE)</f>
        <v>2659</v>
      </c>
      <c r="CR46" s="34">
        <f>HLOOKUP(CR$7+0.5,$I$66:$DJ$120,ROWS($A$10:$A46)+2,FALSE)</f>
        <v>1270</v>
      </c>
      <c r="CS46" s="34">
        <f>HLOOKUP(CS$7+0.5,$I$66:$DJ$120,ROWS($A$10:$A46)+2,FALSE)</f>
        <v>270</v>
      </c>
      <c r="CT46" s="34" t="str">
        <f>HLOOKUP(CT$7+0.5,$I$66:$DJ$120,ROWS($A$10:$A46)+2,FALSE)</f>
        <v>N/A</v>
      </c>
      <c r="CU46" s="34">
        <f>HLOOKUP(CU$7+0.5,$I$66:$DJ$120,ROWS($A$10:$A46)+2,FALSE)</f>
        <v>1263</v>
      </c>
      <c r="CV46" s="34">
        <f>HLOOKUP(CV$7+0.5,$I$66:$DJ$120,ROWS($A$10:$A46)+2,FALSE)</f>
        <v>614</v>
      </c>
      <c r="CW46" s="34">
        <f>HLOOKUP(CW$7+0.5,$I$66:$DJ$120,ROWS($A$10:$A46)+2,FALSE)</f>
        <v>2842</v>
      </c>
      <c r="CX46" s="34">
        <f>HLOOKUP(CX$7+0.5,$I$66:$DJ$120,ROWS($A$10:$A46)+2,FALSE)</f>
        <v>353</v>
      </c>
      <c r="CY46" s="34">
        <f>HLOOKUP(CY$7+0.5,$I$66:$DJ$120,ROWS($A$10:$A46)+2,FALSE)</f>
        <v>1192</v>
      </c>
      <c r="CZ46" s="34">
        <f>HLOOKUP(CZ$7+0.5,$I$66:$DJ$120,ROWS($A$10:$A46)+2,FALSE)</f>
        <v>68</v>
      </c>
      <c r="DA46" s="34">
        <f>HLOOKUP(DA$7+0.5,$I$66:$DJ$120,ROWS($A$10:$A46)+2,FALSE)</f>
        <v>2336</v>
      </c>
      <c r="DB46" s="34">
        <f>HLOOKUP(DB$7+0.5,$I$66:$DJ$120,ROWS($A$10:$A46)+2,FALSE)</f>
        <v>4302</v>
      </c>
      <c r="DC46" s="34">
        <f>HLOOKUP(DC$7+0.5,$I$66:$DJ$120,ROWS($A$10:$A46)+2,FALSE)</f>
        <v>469</v>
      </c>
      <c r="DD46" s="34">
        <f>HLOOKUP(DD$7+0.5,$I$66:$DJ$120,ROWS($A$10:$A46)+2,FALSE)</f>
        <v>77</v>
      </c>
      <c r="DE46" s="34">
        <f>HLOOKUP(DE$7+0.5,$I$66:$DJ$120,ROWS($A$10:$A46)+2,FALSE)</f>
        <v>2020</v>
      </c>
      <c r="DF46" s="34">
        <f>HLOOKUP(DF$7+0.5,$I$66:$DJ$120,ROWS($A$10:$A46)+2,FALSE)</f>
        <v>965</v>
      </c>
      <c r="DG46" s="34">
        <f>HLOOKUP(DG$7+0.5,$I$66:$DJ$120,ROWS($A$10:$A46)+2,FALSE)</f>
        <v>1866</v>
      </c>
      <c r="DH46" s="34">
        <f>HLOOKUP(DH$7+0.5,$I$66:$DJ$120,ROWS($A$10:$A46)+2,FALSE)</f>
        <v>1620</v>
      </c>
      <c r="DI46" s="34">
        <f>HLOOKUP(DI$7+0.5,$I$66:$DJ$120,ROWS($A$10:$A46)+2,FALSE)</f>
        <v>793</v>
      </c>
      <c r="DJ46" s="34">
        <f>HLOOKUP(DJ$7+0.5,$I$66:$DJ$120,ROWS($A$10:$A46)+2,FALSE)</f>
        <v>1062</v>
      </c>
    </row>
    <row r="47" spans="2:114" x14ac:dyDescent="0.25">
      <c r="B47" s="38" t="s">
        <v>43</v>
      </c>
      <c r="C47" s="15">
        <v>3742698</v>
      </c>
      <c r="D47" s="14">
        <v>2585</v>
      </c>
      <c r="E47" s="15">
        <v>3089041</v>
      </c>
      <c r="F47" s="14">
        <v>15209</v>
      </c>
      <c r="G47" s="15">
        <v>528498</v>
      </c>
      <c r="H47" s="14">
        <v>15584</v>
      </c>
      <c r="I47" s="36">
        <f>HLOOKUP(I$7,$I$66:$DJ$120,ROWS($A$10:$A47)+2,FALSE)</f>
        <v>108878</v>
      </c>
      <c r="J47" s="25">
        <f>HLOOKUP(J$7,$I$66:$DJ$120,ROWS($A$10:$A47)+2,FALSE)</f>
        <v>591</v>
      </c>
      <c r="K47" s="25">
        <f>HLOOKUP(K$7,$I$66:$DJ$120,ROWS($A$10:$A47)+2,FALSE)</f>
        <v>1137</v>
      </c>
      <c r="L47" s="25">
        <f>HLOOKUP(L$7,$I$66:$DJ$120,ROWS($A$10:$A47)+2,FALSE)</f>
        <v>3770</v>
      </c>
      <c r="M47" s="25">
        <f>HLOOKUP(M$7,$I$66:$DJ$120,ROWS($A$10:$A47)+2,FALSE)</f>
        <v>6894</v>
      </c>
      <c r="N47" s="25">
        <f>HLOOKUP(N$7,$I$66:$DJ$120,ROWS($A$10:$A47)+2,FALSE)</f>
        <v>8233</v>
      </c>
      <c r="O47" s="25">
        <f>HLOOKUP(O$7,$I$66:$DJ$120,ROWS($A$10:$A47)+2,FALSE)</f>
        <v>3273</v>
      </c>
      <c r="P47" s="25">
        <f>HLOOKUP(P$7,$I$66:$DJ$120,ROWS($A$10:$A47)+2,FALSE)</f>
        <v>97</v>
      </c>
      <c r="Q47" s="25">
        <f>HLOOKUP(Q$7,$I$66:$DJ$120,ROWS($A$10:$A47)+2,FALSE)</f>
        <v>66</v>
      </c>
      <c r="R47" s="25">
        <f>HLOOKUP(R$7,$I$66:$DJ$120,ROWS($A$10:$A47)+2,FALSE)</f>
        <v>191</v>
      </c>
      <c r="S47" s="25">
        <f>HLOOKUP(S$7,$I$66:$DJ$120,ROWS($A$10:$A47)+2,FALSE)</f>
        <v>6056</v>
      </c>
      <c r="T47" s="25">
        <f>HLOOKUP(T$7,$I$66:$DJ$120,ROWS($A$10:$A47)+2,FALSE)</f>
        <v>3514</v>
      </c>
      <c r="U47" s="25">
        <f>HLOOKUP(U$7,$I$66:$DJ$120,ROWS($A$10:$A47)+2,FALSE)</f>
        <v>140</v>
      </c>
      <c r="V47" s="25">
        <f>HLOOKUP(V$7,$I$66:$DJ$120,ROWS($A$10:$A47)+2,FALSE)</f>
        <v>21</v>
      </c>
      <c r="W47" s="25">
        <f>HLOOKUP(W$7,$I$66:$DJ$120,ROWS($A$10:$A47)+2,FALSE)</f>
        <v>2179</v>
      </c>
      <c r="X47" s="25">
        <f>HLOOKUP(X$7,$I$66:$DJ$120,ROWS($A$10:$A47)+2,FALSE)</f>
        <v>2113</v>
      </c>
      <c r="Y47" s="25">
        <f>HLOOKUP(Y$7,$I$66:$DJ$120,ROWS($A$10:$A47)+2,FALSE)</f>
        <v>580</v>
      </c>
      <c r="Z47" s="25">
        <f>HLOOKUP(Z$7,$I$66:$DJ$120,ROWS($A$10:$A47)+2,FALSE)</f>
        <v>4626</v>
      </c>
      <c r="AA47" s="25">
        <f>HLOOKUP(AA$7,$I$66:$DJ$120,ROWS($A$10:$A47)+2,FALSE)</f>
        <v>1398</v>
      </c>
      <c r="AB47" s="25">
        <f>HLOOKUP(AB$7,$I$66:$DJ$120,ROWS($A$10:$A47)+2,FALSE)</f>
        <v>1934</v>
      </c>
      <c r="AC47" s="25">
        <f>HLOOKUP(AC$7,$I$66:$DJ$120,ROWS($A$10:$A47)+2,FALSE)</f>
        <v>271</v>
      </c>
      <c r="AD47" s="25">
        <f>HLOOKUP(AD$7,$I$66:$DJ$120,ROWS($A$10:$A47)+2,FALSE)</f>
        <v>432</v>
      </c>
      <c r="AE47" s="25">
        <f>HLOOKUP(AE$7,$I$66:$DJ$120,ROWS($A$10:$A47)+2,FALSE)</f>
        <v>160</v>
      </c>
      <c r="AF47" s="25">
        <f>HLOOKUP(AF$7,$I$66:$DJ$120,ROWS($A$10:$A47)+2,FALSE)</f>
        <v>1038</v>
      </c>
      <c r="AG47" s="25">
        <f>HLOOKUP(AG$7,$I$66:$DJ$120,ROWS($A$10:$A47)+2,FALSE)</f>
        <v>497</v>
      </c>
      <c r="AH47" s="25">
        <f>HLOOKUP(AH$7,$I$66:$DJ$120,ROWS($A$10:$A47)+2,FALSE)</f>
        <v>199</v>
      </c>
      <c r="AI47" s="25">
        <f>HLOOKUP(AI$7,$I$66:$DJ$120,ROWS($A$10:$A47)+2,FALSE)</f>
        <v>5781</v>
      </c>
      <c r="AJ47" s="25">
        <f>HLOOKUP(AJ$7,$I$66:$DJ$120,ROWS($A$10:$A47)+2,FALSE)</f>
        <v>803</v>
      </c>
      <c r="AK47" s="25">
        <f>HLOOKUP(AK$7,$I$66:$DJ$120,ROWS($A$10:$A47)+2,FALSE)</f>
        <v>1979</v>
      </c>
      <c r="AL47" s="25">
        <f>HLOOKUP(AL$7,$I$66:$DJ$120,ROWS($A$10:$A47)+2,FALSE)</f>
        <v>705</v>
      </c>
      <c r="AM47" s="25">
        <f>HLOOKUP(AM$7,$I$66:$DJ$120,ROWS($A$10:$A47)+2,FALSE)</f>
        <v>0</v>
      </c>
      <c r="AN47" s="25">
        <f>HLOOKUP(AN$7,$I$66:$DJ$120,ROWS($A$10:$A47)+2,FALSE)</f>
        <v>391</v>
      </c>
      <c r="AO47" s="25">
        <f>HLOOKUP(AO$7,$I$66:$DJ$120,ROWS($A$10:$A47)+2,FALSE)</f>
        <v>403</v>
      </c>
      <c r="AP47" s="25">
        <f>HLOOKUP(AP$7,$I$66:$DJ$120,ROWS($A$10:$A47)+2,FALSE)</f>
        <v>1858</v>
      </c>
      <c r="AQ47" s="25">
        <f>HLOOKUP(AQ$7,$I$66:$DJ$120,ROWS($A$10:$A47)+2,FALSE)</f>
        <v>1322</v>
      </c>
      <c r="AR47" s="25">
        <f>HLOOKUP(AR$7,$I$66:$DJ$120,ROWS($A$10:$A47)+2,FALSE)</f>
        <v>928</v>
      </c>
      <c r="AS47" s="25">
        <f>HLOOKUP(AS$7,$I$66:$DJ$120,ROWS($A$10:$A47)+2,FALSE)</f>
        <v>1608</v>
      </c>
      <c r="AT47" s="25" t="str">
        <f>HLOOKUP(AT$7,$I$66:$DJ$120,ROWS($A$10:$A47)+2,FALSE)</f>
        <v>N/A</v>
      </c>
      <c r="AU47" s="25">
        <f>HLOOKUP(AU$7,$I$66:$DJ$120,ROWS($A$10:$A47)+2,FALSE)</f>
        <v>917</v>
      </c>
      <c r="AV47" s="25">
        <f>HLOOKUP(AV$7,$I$66:$DJ$120,ROWS($A$10:$A47)+2,FALSE)</f>
        <v>1116</v>
      </c>
      <c r="AW47" s="25">
        <f>HLOOKUP(AW$7,$I$66:$DJ$120,ROWS($A$10:$A47)+2,FALSE)</f>
        <v>152</v>
      </c>
      <c r="AX47" s="25">
        <f>HLOOKUP(AX$7,$I$66:$DJ$120,ROWS($A$10:$A47)+2,FALSE)</f>
        <v>2015</v>
      </c>
      <c r="AY47" s="25">
        <f>HLOOKUP(AY$7,$I$66:$DJ$120,ROWS($A$10:$A47)+2,FALSE)</f>
        <v>600</v>
      </c>
      <c r="AZ47" s="25">
        <f>HLOOKUP(AZ$7,$I$66:$DJ$120,ROWS($A$10:$A47)+2,FALSE)</f>
        <v>1700</v>
      </c>
      <c r="BA47" s="25">
        <f>HLOOKUP(BA$7,$I$66:$DJ$120,ROWS($A$10:$A47)+2,FALSE)</f>
        <v>31595</v>
      </c>
      <c r="BB47" s="25">
        <f>HLOOKUP(BB$7,$I$66:$DJ$120,ROWS($A$10:$A47)+2,FALSE)</f>
        <v>587</v>
      </c>
      <c r="BC47" s="25">
        <f>HLOOKUP(BC$7,$I$66:$DJ$120,ROWS($A$10:$A47)+2,FALSE)</f>
        <v>0</v>
      </c>
      <c r="BD47" s="25">
        <f>HLOOKUP(BD$7,$I$66:$DJ$120,ROWS($A$10:$A47)+2,FALSE)</f>
        <v>1013</v>
      </c>
      <c r="BE47" s="25">
        <f>HLOOKUP(BE$7,$I$66:$DJ$120,ROWS($A$10:$A47)+2,FALSE)</f>
        <v>1246</v>
      </c>
      <c r="BF47" s="25">
        <f>HLOOKUP(BF$7,$I$66:$DJ$120,ROWS($A$10:$A47)+2,FALSE)</f>
        <v>44</v>
      </c>
      <c r="BG47" s="25">
        <f>HLOOKUP(BG$7,$I$66:$DJ$120,ROWS($A$10:$A47)+2,FALSE)</f>
        <v>942</v>
      </c>
      <c r="BH47" s="25">
        <f>HLOOKUP(BH$7,$I$66:$DJ$120,ROWS($A$10:$A47)+2,FALSE)</f>
        <v>1763</v>
      </c>
      <c r="BI47" s="25">
        <f>HLOOKUP(BI$7,$I$66:$DJ$120,ROWS($A$10:$A47)+2,FALSE)</f>
        <v>105</v>
      </c>
      <c r="BJ47" s="34">
        <f>HLOOKUP(BJ$7+0.5,$I$66:$DJ$120,ROWS($A$10:$A47)+2,FALSE)</f>
        <v>7998</v>
      </c>
      <c r="BK47" s="34">
        <f>HLOOKUP(BK$7+0.5,$I$66:$DJ$120,ROWS($A$10:$A47)+2,FALSE)</f>
        <v>368</v>
      </c>
      <c r="BL47" s="34">
        <f>HLOOKUP(BL$7+0.5,$I$66:$DJ$120,ROWS($A$10:$A47)+2,FALSE)</f>
        <v>857</v>
      </c>
      <c r="BM47" s="34">
        <f>HLOOKUP(BM$7+0.5,$I$66:$DJ$120,ROWS($A$10:$A47)+2,FALSE)</f>
        <v>1522</v>
      </c>
      <c r="BN47" s="34">
        <f>HLOOKUP(BN$7+0.5,$I$66:$DJ$120,ROWS($A$10:$A47)+2,FALSE)</f>
        <v>2060</v>
      </c>
      <c r="BO47" s="34">
        <f>HLOOKUP(BO$7+0.5,$I$66:$DJ$120,ROWS($A$10:$A47)+2,FALSE)</f>
        <v>2583</v>
      </c>
      <c r="BP47" s="34">
        <f>HLOOKUP(BP$7+0.5,$I$66:$DJ$120,ROWS($A$10:$A47)+2,FALSE)</f>
        <v>1511</v>
      </c>
      <c r="BQ47" s="34">
        <f>HLOOKUP(BQ$7+0.5,$I$66:$DJ$120,ROWS($A$10:$A47)+2,FALSE)</f>
        <v>138</v>
      </c>
      <c r="BR47" s="34">
        <f>HLOOKUP(BR$7+0.5,$I$66:$DJ$120,ROWS($A$10:$A47)+2,FALSE)</f>
        <v>110</v>
      </c>
      <c r="BS47" s="34">
        <f>HLOOKUP(BS$7+0.5,$I$66:$DJ$120,ROWS($A$10:$A47)+2,FALSE)</f>
        <v>234</v>
      </c>
      <c r="BT47" s="34">
        <f>HLOOKUP(BT$7+0.5,$I$66:$DJ$120,ROWS($A$10:$A47)+2,FALSE)</f>
        <v>1588</v>
      </c>
      <c r="BU47" s="34">
        <f>HLOOKUP(BU$7+0.5,$I$66:$DJ$120,ROWS($A$10:$A47)+2,FALSE)</f>
        <v>1642</v>
      </c>
      <c r="BV47" s="34">
        <f>HLOOKUP(BV$7+0.5,$I$66:$DJ$120,ROWS($A$10:$A47)+2,FALSE)</f>
        <v>148</v>
      </c>
      <c r="BW47" s="34">
        <f>HLOOKUP(BW$7+0.5,$I$66:$DJ$120,ROWS($A$10:$A47)+2,FALSE)</f>
        <v>35</v>
      </c>
      <c r="BX47" s="34">
        <f>HLOOKUP(BX$7+0.5,$I$66:$DJ$120,ROWS($A$10:$A47)+2,FALSE)</f>
        <v>1297</v>
      </c>
      <c r="BY47" s="34">
        <f>HLOOKUP(BY$7+0.5,$I$66:$DJ$120,ROWS($A$10:$A47)+2,FALSE)</f>
        <v>1098</v>
      </c>
      <c r="BZ47" s="34">
        <f>HLOOKUP(BZ$7+0.5,$I$66:$DJ$120,ROWS($A$10:$A47)+2,FALSE)</f>
        <v>536</v>
      </c>
      <c r="CA47" s="34">
        <f>HLOOKUP(CA$7+0.5,$I$66:$DJ$120,ROWS($A$10:$A47)+2,FALSE)</f>
        <v>1250</v>
      </c>
      <c r="CB47" s="34">
        <f>HLOOKUP(CB$7+0.5,$I$66:$DJ$120,ROWS($A$10:$A47)+2,FALSE)</f>
        <v>747</v>
      </c>
      <c r="CC47" s="34">
        <f>HLOOKUP(CC$7+0.5,$I$66:$DJ$120,ROWS($A$10:$A47)+2,FALSE)</f>
        <v>727</v>
      </c>
      <c r="CD47" s="34">
        <f>HLOOKUP(CD$7+0.5,$I$66:$DJ$120,ROWS($A$10:$A47)+2,FALSE)</f>
        <v>425</v>
      </c>
      <c r="CE47" s="34">
        <f>HLOOKUP(CE$7+0.5,$I$66:$DJ$120,ROWS($A$10:$A47)+2,FALSE)</f>
        <v>312</v>
      </c>
      <c r="CF47" s="34">
        <f>HLOOKUP(CF$7+0.5,$I$66:$DJ$120,ROWS($A$10:$A47)+2,FALSE)</f>
        <v>103</v>
      </c>
      <c r="CG47" s="34">
        <f>HLOOKUP(CG$7+0.5,$I$66:$DJ$120,ROWS($A$10:$A47)+2,FALSE)</f>
        <v>848</v>
      </c>
      <c r="CH47" s="34">
        <f>HLOOKUP(CH$7+0.5,$I$66:$DJ$120,ROWS($A$10:$A47)+2,FALSE)</f>
        <v>341</v>
      </c>
      <c r="CI47" s="34">
        <f>HLOOKUP(CI$7+0.5,$I$66:$DJ$120,ROWS($A$10:$A47)+2,FALSE)</f>
        <v>202</v>
      </c>
      <c r="CJ47" s="34">
        <f>HLOOKUP(CJ$7+0.5,$I$66:$DJ$120,ROWS($A$10:$A47)+2,FALSE)</f>
        <v>1311</v>
      </c>
      <c r="CK47" s="34">
        <f>HLOOKUP(CK$7+0.5,$I$66:$DJ$120,ROWS($A$10:$A47)+2,FALSE)</f>
        <v>793</v>
      </c>
      <c r="CL47" s="34">
        <f>HLOOKUP(CL$7+0.5,$I$66:$DJ$120,ROWS($A$10:$A47)+2,FALSE)</f>
        <v>1196</v>
      </c>
      <c r="CM47" s="34">
        <f>HLOOKUP(CM$7+0.5,$I$66:$DJ$120,ROWS($A$10:$A47)+2,FALSE)</f>
        <v>532</v>
      </c>
      <c r="CN47" s="34">
        <f>HLOOKUP(CN$7+0.5,$I$66:$DJ$120,ROWS($A$10:$A47)+2,FALSE)</f>
        <v>163</v>
      </c>
      <c r="CO47" s="34">
        <f>HLOOKUP(CO$7+0.5,$I$66:$DJ$120,ROWS($A$10:$A47)+2,FALSE)</f>
        <v>333</v>
      </c>
      <c r="CP47" s="34">
        <f>HLOOKUP(CP$7+0.5,$I$66:$DJ$120,ROWS($A$10:$A47)+2,FALSE)</f>
        <v>259</v>
      </c>
      <c r="CQ47" s="34">
        <f>HLOOKUP(CQ$7+0.5,$I$66:$DJ$120,ROWS($A$10:$A47)+2,FALSE)</f>
        <v>925</v>
      </c>
      <c r="CR47" s="34">
        <f>HLOOKUP(CR$7+0.5,$I$66:$DJ$120,ROWS($A$10:$A47)+2,FALSE)</f>
        <v>800</v>
      </c>
      <c r="CS47" s="34">
        <f>HLOOKUP(CS$7+0.5,$I$66:$DJ$120,ROWS($A$10:$A47)+2,FALSE)</f>
        <v>805</v>
      </c>
      <c r="CT47" s="34">
        <f>HLOOKUP(CT$7+0.5,$I$66:$DJ$120,ROWS($A$10:$A47)+2,FALSE)</f>
        <v>791</v>
      </c>
      <c r="CU47" s="34" t="str">
        <f>HLOOKUP(CU$7+0.5,$I$66:$DJ$120,ROWS($A$10:$A47)+2,FALSE)</f>
        <v>N/A</v>
      </c>
      <c r="CV47" s="34">
        <f>HLOOKUP(CV$7+0.5,$I$66:$DJ$120,ROWS($A$10:$A47)+2,FALSE)</f>
        <v>713</v>
      </c>
      <c r="CW47" s="34">
        <f>HLOOKUP(CW$7+0.5,$I$66:$DJ$120,ROWS($A$10:$A47)+2,FALSE)</f>
        <v>492</v>
      </c>
      <c r="CX47" s="34">
        <f>HLOOKUP(CX$7+0.5,$I$66:$DJ$120,ROWS($A$10:$A47)+2,FALSE)</f>
        <v>179</v>
      </c>
      <c r="CY47" s="34">
        <f>HLOOKUP(CY$7+0.5,$I$66:$DJ$120,ROWS($A$10:$A47)+2,FALSE)</f>
        <v>971</v>
      </c>
      <c r="CZ47" s="34">
        <f>HLOOKUP(CZ$7+0.5,$I$66:$DJ$120,ROWS($A$10:$A47)+2,FALSE)</f>
        <v>379</v>
      </c>
      <c r="DA47" s="34">
        <f>HLOOKUP(DA$7+0.5,$I$66:$DJ$120,ROWS($A$10:$A47)+2,FALSE)</f>
        <v>1101</v>
      </c>
      <c r="DB47" s="34">
        <f>HLOOKUP(DB$7+0.5,$I$66:$DJ$120,ROWS($A$10:$A47)+2,FALSE)</f>
        <v>4987</v>
      </c>
      <c r="DC47" s="34">
        <f>HLOOKUP(DC$7+0.5,$I$66:$DJ$120,ROWS($A$10:$A47)+2,FALSE)</f>
        <v>450</v>
      </c>
      <c r="DD47" s="34">
        <f>HLOOKUP(DD$7+0.5,$I$66:$DJ$120,ROWS($A$10:$A47)+2,FALSE)</f>
        <v>163</v>
      </c>
      <c r="DE47" s="34">
        <f>HLOOKUP(DE$7+0.5,$I$66:$DJ$120,ROWS($A$10:$A47)+2,FALSE)</f>
        <v>610</v>
      </c>
      <c r="DF47" s="34">
        <f>HLOOKUP(DF$7+0.5,$I$66:$DJ$120,ROWS($A$10:$A47)+2,FALSE)</f>
        <v>620</v>
      </c>
      <c r="DG47" s="34">
        <f>HLOOKUP(DG$7+0.5,$I$66:$DJ$120,ROWS($A$10:$A47)+2,FALSE)</f>
        <v>68</v>
      </c>
      <c r="DH47" s="34">
        <f>HLOOKUP(DH$7+0.5,$I$66:$DJ$120,ROWS($A$10:$A47)+2,FALSE)</f>
        <v>474</v>
      </c>
      <c r="DI47" s="34">
        <f>HLOOKUP(DI$7+0.5,$I$66:$DJ$120,ROWS($A$10:$A47)+2,FALSE)</f>
        <v>1572</v>
      </c>
      <c r="DJ47" s="34">
        <f>HLOOKUP(DJ$7+0.5,$I$66:$DJ$120,ROWS($A$10:$A47)+2,FALSE)</f>
        <v>139</v>
      </c>
    </row>
    <row r="48" spans="2:114" x14ac:dyDescent="0.25">
      <c r="B48" s="38" t="s">
        <v>44</v>
      </c>
      <c r="C48" s="15">
        <v>3828714</v>
      </c>
      <c r="D48" s="14">
        <v>3857</v>
      </c>
      <c r="E48" s="15">
        <v>3128121</v>
      </c>
      <c r="F48" s="14">
        <v>20096</v>
      </c>
      <c r="G48" s="15">
        <v>549332</v>
      </c>
      <c r="H48" s="14">
        <v>19087</v>
      </c>
      <c r="I48" s="36">
        <f>HLOOKUP(I$7,$I$66:$DJ$120,ROWS($A$10:$A48)+2,FALSE)</f>
        <v>127906</v>
      </c>
      <c r="J48" s="25">
        <f>HLOOKUP(J$7,$I$66:$DJ$120,ROWS($A$10:$A48)+2,FALSE)</f>
        <v>758</v>
      </c>
      <c r="K48" s="25">
        <f>HLOOKUP(K$7,$I$66:$DJ$120,ROWS($A$10:$A48)+2,FALSE)</f>
        <v>1935</v>
      </c>
      <c r="L48" s="25">
        <f>HLOOKUP(L$7,$I$66:$DJ$120,ROWS($A$10:$A48)+2,FALSE)</f>
        <v>7911</v>
      </c>
      <c r="M48" s="25">
        <f>HLOOKUP(M$7,$I$66:$DJ$120,ROWS($A$10:$A48)+2,FALSE)</f>
        <v>988</v>
      </c>
      <c r="N48" s="25">
        <f>HLOOKUP(N$7,$I$66:$DJ$120,ROWS($A$10:$A48)+2,FALSE)</f>
        <v>34214</v>
      </c>
      <c r="O48" s="25">
        <f>HLOOKUP(O$7,$I$66:$DJ$120,ROWS($A$10:$A48)+2,FALSE)</f>
        <v>2110</v>
      </c>
      <c r="P48" s="25">
        <f>HLOOKUP(P$7,$I$66:$DJ$120,ROWS($A$10:$A48)+2,FALSE)</f>
        <v>949</v>
      </c>
      <c r="Q48" s="25">
        <f>HLOOKUP(Q$7,$I$66:$DJ$120,ROWS($A$10:$A48)+2,FALSE)</f>
        <v>251</v>
      </c>
      <c r="R48" s="25">
        <f>HLOOKUP(R$7,$I$66:$DJ$120,ROWS($A$10:$A48)+2,FALSE)</f>
        <v>349</v>
      </c>
      <c r="S48" s="25">
        <f>HLOOKUP(S$7,$I$66:$DJ$120,ROWS($A$10:$A48)+2,FALSE)</f>
        <v>3384</v>
      </c>
      <c r="T48" s="25">
        <f>HLOOKUP(T$7,$I$66:$DJ$120,ROWS($A$10:$A48)+2,FALSE)</f>
        <v>1946</v>
      </c>
      <c r="U48" s="25">
        <f>HLOOKUP(U$7,$I$66:$DJ$120,ROWS($A$10:$A48)+2,FALSE)</f>
        <v>2491</v>
      </c>
      <c r="V48" s="25">
        <f>HLOOKUP(V$7,$I$66:$DJ$120,ROWS($A$10:$A48)+2,FALSE)</f>
        <v>6236</v>
      </c>
      <c r="W48" s="25">
        <f>HLOOKUP(W$7,$I$66:$DJ$120,ROWS($A$10:$A48)+2,FALSE)</f>
        <v>1350</v>
      </c>
      <c r="X48" s="25">
        <f>HLOOKUP(X$7,$I$66:$DJ$120,ROWS($A$10:$A48)+2,FALSE)</f>
        <v>1371</v>
      </c>
      <c r="Y48" s="25">
        <f>HLOOKUP(Y$7,$I$66:$DJ$120,ROWS($A$10:$A48)+2,FALSE)</f>
        <v>659</v>
      </c>
      <c r="Z48" s="25">
        <f>HLOOKUP(Z$7,$I$66:$DJ$120,ROWS($A$10:$A48)+2,FALSE)</f>
        <v>1263</v>
      </c>
      <c r="AA48" s="25">
        <f>HLOOKUP(AA$7,$I$66:$DJ$120,ROWS($A$10:$A48)+2,FALSE)</f>
        <v>71</v>
      </c>
      <c r="AB48" s="25">
        <f>HLOOKUP(AB$7,$I$66:$DJ$120,ROWS($A$10:$A48)+2,FALSE)</f>
        <v>0</v>
      </c>
      <c r="AC48" s="25">
        <f>HLOOKUP(AC$7,$I$66:$DJ$120,ROWS($A$10:$A48)+2,FALSE)</f>
        <v>269</v>
      </c>
      <c r="AD48" s="25">
        <f>HLOOKUP(AD$7,$I$66:$DJ$120,ROWS($A$10:$A48)+2,FALSE)</f>
        <v>453</v>
      </c>
      <c r="AE48" s="25">
        <f>HLOOKUP(AE$7,$I$66:$DJ$120,ROWS($A$10:$A48)+2,FALSE)</f>
        <v>1423</v>
      </c>
      <c r="AF48" s="25">
        <f>HLOOKUP(AF$7,$I$66:$DJ$120,ROWS($A$10:$A48)+2,FALSE)</f>
        <v>1652</v>
      </c>
      <c r="AG48" s="25">
        <f>HLOOKUP(AG$7,$I$66:$DJ$120,ROWS($A$10:$A48)+2,FALSE)</f>
        <v>1413</v>
      </c>
      <c r="AH48" s="25">
        <f>HLOOKUP(AH$7,$I$66:$DJ$120,ROWS($A$10:$A48)+2,FALSE)</f>
        <v>7</v>
      </c>
      <c r="AI48" s="25">
        <f>HLOOKUP(AI$7,$I$66:$DJ$120,ROWS($A$10:$A48)+2,FALSE)</f>
        <v>1172</v>
      </c>
      <c r="AJ48" s="25">
        <f>HLOOKUP(AJ$7,$I$66:$DJ$120,ROWS($A$10:$A48)+2,FALSE)</f>
        <v>1079</v>
      </c>
      <c r="AK48" s="25">
        <f>HLOOKUP(AK$7,$I$66:$DJ$120,ROWS($A$10:$A48)+2,FALSE)</f>
        <v>324</v>
      </c>
      <c r="AL48" s="25">
        <f>HLOOKUP(AL$7,$I$66:$DJ$120,ROWS($A$10:$A48)+2,FALSE)</f>
        <v>7222</v>
      </c>
      <c r="AM48" s="25">
        <f>HLOOKUP(AM$7,$I$66:$DJ$120,ROWS($A$10:$A48)+2,FALSE)</f>
        <v>427</v>
      </c>
      <c r="AN48" s="25">
        <f>HLOOKUP(AN$7,$I$66:$DJ$120,ROWS($A$10:$A48)+2,FALSE)</f>
        <v>1322</v>
      </c>
      <c r="AO48" s="25">
        <f>HLOOKUP(AO$7,$I$66:$DJ$120,ROWS($A$10:$A48)+2,FALSE)</f>
        <v>537</v>
      </c>
      <c r="AP48" s="25">
        <f>HLOOKUP(AP$7,$I$66:$DJ$120,ROWS($A$10:$A48)+2,FALSE)</f>
        <v>2056</v>
      </c>
      <c r="AQ48" s="25">
        <f>HLOOKUP(AQ$7,$I$66:$DJ$120,ROWS($A$10:$A48)+2,FALSE)</f>
        <v>1099</v>
      </c>
      <c r="AR48" s="25">
        <f>HLOOKUP(AR$7,$I$66:$DJ$120,ROWS($A$10:$A48)+2,FALSE)</f>
        <v>313</v>
      </c>
      <c r="AS48" s="25">
        <f>HLOOKUP(AS$7,$I$66:$DJ$120,ROWS($A$10:$A48)+2,FALSE)</f>
        <v>949</v>
      </c>
      <c r="AT48" s="25">
        <f>HLOOKUP(AT$7,$I$66:$DJ$120,ROWS($A$10:$A48)+2,FALSE)</f>
        <v>2034</v>
      </c>
      <c r="AU48" s="25" t="str">
        <f>HLOOKUP(AU$7,$I$66:$DJ$120,ROWS($A$10:$A48)+2,FALSE)</f>
        <v>N/A</v>
      </c>
      <c r="AV48" s="25">
        <f>HLOOKUP(AV$7,$I$66:$DJ$120,ROWS($A$10:$A48)+2,FALSE)</f>
        <v>1407</v>
      </c>
      <c r="AW48" s="25">
        <f>HLOOKUP(AW$7,$I$66:$DJ$120,ROWS($A$10:$A48)+2,FALSE)</f>
        <v>0</v>
      </c>
      <c r="AX48" s="25">
        <f>HLOOKUP(AX$7,$I$66:$DJ$120,ROWS($A$10:$A48)+2,FALSE)</f>
        <v>370</v>
      </c>
      <c r="AY48" s="25">
        <f>HLOOKUP(AY$7,$I$66:$DJ$120,ROWS($A$10:$A48)+2,FALSE)</f>
        <v>417</v>
      </c>
      <c r="AZ48" s="25">
        <f>HLOOKUP(AZ$7,$I$66:$DJ$120,ROWS($A$10:$A48)+2,FALSE)</f>
        <v>673</v>
      </c>
      <c r="BA48" s="25">
        <f>HLOOKUP(BA$7,$I$66:$DJ$120,ROWS($A$10:$A48)+2,FALSE)</f>
        <v>4498</v>
      </c>
      <c r="BB48" s="25">
        <f>HLOOKUP(BB$7,$I$66:$DJ$120,ROWS($A$10:$A48)+2,FALSE)</f>
        <v>3443</v>
      </c>
      <c r="BC48" s="25">
        <f>HLOOKUP(BC$7,$I$66:$DJ$120,ROWS($A$10:$A48)+2,FALSE)</f>
        <v>176</v>
      </c>
      <c r="BD48" s="25">
        <f>HLOOKUP(BD$7,$I$66:$DJ$120,ROWS($A$10:$A48)+2,FALSE)</f>
        <v>1179</v>
      </c>
      <c r="BE48" s="25">
        <f>HLOOKUP(BE$7,$I$66:$DJ$120,ROWS($A$10:$A48)+2,FALSE)</f>
        <v>21862</v>
      </c>
      <c r="BF48" s="25">
        <f>HLOOKUP(BF$7,$I$66:$DJ$120,ROWS($A$10:$A48)+2,FALSE)</f>
        <v>66</v>
      </c>
      <c r="BG48" s="25">
        <f>HLOOKUP(BG$7,$I$66:$DJ$120,ROWS($A$10:$A48)+2,FALSE)</f>
        <v>914</v>
      </c>
      <c r="BH48" s="25">
        <f>HLOOKUP(BH$7,$I$66:$DJ$120,ROWS($A$10:$A48)+2,FALSE)</f>
        <v>914</v>
      </c>
      <c r="BI48" s="25">
        <f>HLOOKUP(BI$7,$I$66:$DJ$120,ROWS($A$10:$A48)+2,FALSE)</f>
        <v>4</v>
      </c>
      <c r="BJ48" s="34">
        <f>HLOOKUP(BJ$7+0.5,$I$66:$DJ$120,ROWS($A$10:$A48)+2,FALSE)</f>
        <v>9071</v>
      </c>
      <c r="BK48" s="34">
        <f>HLOOKUP(BK$7+0.5,$I$66:$DJ$120,ROWS($A$10:$A48)+2,FALSE)</f>
        <v>1071</v>
      </c>
      <c r="BL48" s="34">
        <f>HLOOKUP(BL$7+0.5,$I$66:$DJ$120,ROWS($A$10:$A48)+2,FALSE)</f>
        <v>1062</v>
      </c>
      <c r="BM48" s="34">
        <f>HLOOKUP(BM$7+0.5,$I$66:$DJ$120,ROWS($A$10:$A48)+2,FALSE)</f>
        <v>3054</v>
      </c>
      <c r="BN48" s="34">
        <f>HLOOKUP(BN$7+0.5,$I$66:$DJ$120,ROWS($A$10:$A48)+2,FALSE)</f>
        <v>1155</v>
      </c>
      <c r="BO48" s="34">
        <f>HLOOKUP(BO$7+0.5,$I$66:$DJ$120,ROWS($A$10:$A48)+2,FALSE)</f>
        <v>4555</v>
      </c>
      <c r="BP48" s="34">
        <f>HLOOKUP(BP$7+0.5,$I$66:$DJ$120,ROWS($A$10:$A48)+2,FALSE)</f>
        <v>659</v>
      </c>
      <c r="BQ48" s="34">
        <f>HLOOKUP(BQ$7+0.5,$I$66:$DJ$120,ROWS($A$10:$A48)+2,FALSE)</f>
        <v>564</v>
      </c>
      <c r="BR48" s="34">
        <f>HLOOKUP(BR$7+0.5,$I$66:$DJ$120,ROWS($A$10:$A48)+2,FALSE)</f>
        <v>264</v>
      </c>
      <c r="BS48" s="34">
        <f>HLOOKUP(BS$7+0.5,$I$66:$DJ$120,ROWS($A$10:$A48)+2,FALSE)</f>
        <v>291</v>
      </c>
      <c r="BT48" s="34">
        <f>HLOOKUP(BT$7+0.5,$I$66:$DJ$120,ROWS($A$10:$A48)+2,FALSE)</f>
        <v>1934</v>
      </c>
      <c r="BU48" s="34">
        <f>HLOOKUP(BU$7+0.5,$I$66:$DJ$120,ROWS($A$10:$A48)+2,FALSE)</f>
        <v>1914</v>
      </c>
      <c r="BV48" s="34">
        <f>HLOOKUP(BV$7+0.5,$I$66:$DJ$120,ROWS($A$10:$A48)+2,FALSE)</f>
        <v>1173</v>
      </c>
      <c r="BW48" s="34">
        <f>HLOOKUP(BW$7+0.5,$I$66:$DJ$120,ROWS($A$10:$A48)+2,FALSE)</f>
        <v>2097</v>
      </c>
      <c r="BX48" s="34">
        <f>HLOOKUP(BX$7+0.5,$I$66:$DJ$120,ROWS($A$10:$A48)+2,FALSE)</f>
        <v>663</v>
      </c>
      <c r="BY48" s="34">
        <f>HLOOKUP(BY$7+0.5,$I$66:$DJ$120,ROWS($A$10:$A48)+2,FALSE)</f>
        <v>1707</v>
      </c>
      <c r="BZ48" s="34">
        <f>HLOOKUP(BZ$7+0.5,$I$66:$DJ$120,ROWS($A$10:$A48)+2,FALSE)</f>
        <v>627</v>
      </c>
      <c r="CA48" s="34">
        <f>HLOOKUP(CA$7+0.5,$I$66:$DJ$120,ROWS($A$10:$A48)+2,FALSE)</f>
        <v>1355</v>
      </c>
      <c r="CB48" s="34">
        <f>HLOOKUP(CB$7+0.5,$I$66:$DJ$120,ROWS($A$10:$A48)+2,FALSE)</f>
        <v>118</v>
      </c>
      <c r="CC48" s="34">
        <f>HLOOKUP(CC$7+0.5,$I$66:$DJ$120,ROWS($A$10:$A48)+2,FALSE)</f>
        <v>203</v>
      </c>
      <c r="CD48" s="34">
        <f>HLOOKUP(CD$7+0.5,$I$66:$DJ$120,ROWS($A$10:$A48)+2,FALSE)</f>
        <v>320</v>
      </c>
      <c r="CE48" s="34">
        <f>HLOOKUP(CE$7+0.5,$I$66:$DJ$120,ROWS($A$10:$A48)+2,FALSE)</f>
        <v>482</v>
      </c>
      <c r="CF48" s="34">
        <f>HLOOKUP(CF$7+0.5,$I$66:$DJ$120,ROWS($A$10:$A48)+2,FALSE)</f>
        <v>768</v>
      </c>
      <c r="CG48" s="34">
        <f>HLOOKUP(CG$7+0.5,$I$66:$DJ$120,ROWS($A$10:$A48)+2,FALSE)</f>
        <v>1174</v>
      </c>
      <c r="CH48" s="34">
        <f>HLOOKUP(CH$7+0.5,$I$66:$DJ$120,ROWS($A$10:$A48)+2,FALSE)</f>
        <v>863</v>
      </c>
      <c r="CI48" s="34">
        <f>HLOOKUP(CI$7+0.5,$I$66:$DJ$120,ROWS($A$10:$A48)+2,FALSE)</f>
        <v>14</v>
      </c>
      <c r="CJ48" s="34">
        <f>HLOOKUP(CJ$7+0.5,$I$66:$DJ$120,ROWS($A$10:$A48)+2,FALSE)</f>
        <v>664</v>
      </c>
      <c r="CK48" s="34">
        <f>HLOOKUP(CK$7+0.5,$I$66:$DJ$120,ROWS($A$10:$A48)+2,FALSE)</f>
        <v>784</v>
      </c>
      <c r="CL48" s="34">
        <f>HLOOKUP(CL$7+0.5,$I$66:$DJ$120,ROWS($A$10:$A48)+2,FALSE)</f>
        <v>342</v>
      </c>
      <c r="CM48" s="34">
        <f>HLOOKUP(CM$7+0.5,$I$66:$DJ$120,ROWS($A$10:$A48)+2,FALSE)</f>
        <v>3426</v>
      </c>
      <c r="CN48" s="34">
        <f>HLOOKUP(CN$7+0.5,$I$66:$DJ$120,ROWS($A$10:$A48)+2,FALSE)</f>
        <v>404</v>
      </c>
      <c r="CO48" s="34">
        <f>HLOOKUP(CO$7+0.5,$I$66:$DJ$120,ROWS($A$10:$A48)+2,FALSE)</f>
        <v>771</v>
      </c>
      <c r="CP48" s="34">
        <f>HLOOKUP(CP$7+0.5,$I$66:$DJ$120,ROWS($A$10:$A48)+2,FALSE)</f>
        <v>449</v>
      </c>
      <c r="CQ48" s="34">
        <f>HLOOKUP(CQ$7+0.5,$I$66:$DJ$120,ROWS($A$10:$A48)+2,FALSE)</f>
        <v>850</v>
      </c>
      <c r="CR48" s="34">
        <f>HLOOKUP(CR$7+0.5,$I$66:$DJ$120,ROWS($A$10:$A48)+2,FALSE)</f>
        <v>740</v>
      </c>
      <c r="CS48" s="34">
        <f>HLOOKUP(CS$7+0.5,$I$66:$DJ$120,ROWS($A$10:$A48)+2,FALSE)</f>
        <v>340</v>
      </c>
      <c r="CT48" s="34">
        <f>HLOOKUP(CT$7+0.5,$I$66:$DJ$120,ROWS($A$10:$A48)+2,FALSE)</f>
        <v>789</v>
      </c>
      <c r="CU48" s="34">
        <f>HLOOKUP(CU$7+0.5,$I$66:$DJ$120,ROWS($A$10:$A48)+2,FALSE)</f>
        <v>1244</v>
      </c>
      <c r="CV48" s="34" t="str">
        <f>HLOOKUP(CV$7+0.5,$I$66:$DJ$120,ROWS($A$10:$A48)+2,FALSE)</f>
        <v>N/A</v>
      </c>
      <c r="CW48" s="34">
        <f>HLOOKUP(CW$7+0.5,$I$66:$DJ$120,ROWS($A$10:$A48)+2,FALSE)</f>
        <v>775</v>
      </c>
      <c r="CX48" s="34">
        <f>HLOOKUP(CX$7+0.5,$I$66:$DJ$120,ROWS($A$10:$A48)+2,FALSE)</f>
        <v>203</v>
      </c>
      <c r="CY48" s="34">
        <f>HLOOKUP(CY$7+0.5,$I$66:$DJ$120,ROWS($A$10:$A48)+2,FALSE)</f>
        <v>292</v>
      </c>
      <c r="CZ48" s="34">
        <f>HLOOKUP(CZ$7+0.5,$I$66:$DJ$120,ROWS($A$10:$A48)+2,FALSE)</f>
        <v>395</v>
      </c>
      <c r="DA48" s="34">
        <f>HLOOKUP(DA$7+0.5,$I$66:$DJ$120,ROWS($A$10:$A48)+2,FALSE)</f>
        <v>420</v>
      </c>
      <c r="DB48" s="34">
        <f>HLOOKUP(DB$7+0.5,$I$66:$DJ$120,ROWS($A$10:$A48)+2,FALSE)</f>
        <v>2398</v>
      </c>
      <c r="DC48" s="34">
        <f>HLOOKUP(DC$7+0.5,$I$66:$DJ$120,ROWS($A$10:$A48)+2,FALSE)</f>
        <v>1781</v>
      </c>
      <c r="DD48" s="34">
        <f>HLOOKUP(DD$7+0.5,$I$66:$DJ$120,ROWS($A$10:$A48)+2,FALSE)</f>
        <v>203</v>
      </c>
      <c r="DE48" s="34">
        <f>HLOOKUP(DE$7+0.5,$I$66:$DJ$120,ROWS($A$10:$A48)+2,FALSE)</f>
        <v>619</v>
      </c>
      <c r="DF48" s="34">
        <f>HLOOKUP(DF$7+0.5,$I$66:$DJ$120,ROWS($A$10:$A48)+2,FALSE)</f>
        <v>3732</v>
      </c>
      <c r="DG48" s="34">
        <f>HLOOKUP(DG$7+0.5,$I$66:$DJ$120,ROWS($A$10:$A48)+2,FALSE)</f>
        <v>115</v>
      </c>
      <c r="DH48" s="34">
        <f>HLOOKUP(DH$7+0.5,$I$66:$DJ$120,ROWS($A$10:$A48)+2,FALSE)</f>
        <v>697</v>
      </c>
      <c r="DI48" s="34">
        <f>HLOOKUP(DI$7+0.5,$I$66:$DJ$120,ROWS($A$10:$A48)+2,FALSE)</f>
        <v>880</v>
      </c>
      <c r="DJ48" s="34">
        <f>HLOOKUP(DJ$7+0.5,$I$66:$DJ$120,ROWS($A$10:$A48)+2,FALSE)</f>
        <v>8</v>
      </c>
    </row>
    <row r="49" spans="2:114" x14ac:dyDescent="0.25">
      <c r="B49" s="38" t="s">
        <v>45</v>
      </c>
      <c r="C49" s="15">
        <v>12610486</v>
      </c>
      <c r="D49" s="14">
        <v>5092</v>
      </c>
      <c r="E49" s="15">
        <v>11099077</v>
      </c>
      <c r="F49" s="14">
        <v>27780</v>
      </c>
      <c r="G49" s="15">
        <v>1224564</v>
      </c>
      <c r="H49" s="14">
        <v>25195</v>
      </c>
      <c r="I49" s="36">
        <f>HLOOKUP(I$7,$I$66:$DJ$120,ROWS($A$10:$A49)+2,FALSE)</f>
        <v>234291</v>
      </c>
      <c r="J49" s="25">
        <f>HLOOKUP(J$7,$I$66:$DJ$120,ROWS($A$10:$A49)+2,FALSE)</f>
        <v>1332</v>
      </c>
      <c r="K49" s="25">
        <f>HLOOKUP(K$7,$I$66:$DJ$120,ROWS($A$10:$A49)+2,FALSE)</f>
        <v>759</v>
      </c>
      <c r="L49" s="25">
        <f>HLOOKUP(L$7,$I$66:$DJ$120,ROWS($A$10:$A49)+2,FALSE)</f>
        <v>2278</v>
      </c>
      <c r="M49" s="25">
        <f>HLOOKUP(M$7,$I$66:$DJ$120,ROWS($A$10:$A49)+2,FALSE)</f>
        <v>582</v>
      </c>
      <c r="N49" s="25">
        <f>HLOOKUP(N$7,$I$66:$DJ$120,ROWS($A$10:$A49)+2,FALSE)</f>
        <v>10672</v>
      </c>
      <c r="O49" s="25">
        <f>HLOOKUP(O$7,$I$66:$DJ$120,ROWS($A$10:$A49)+2,FALSE)</f>
        <v>2491</v>
      </c>
      <c r="P49" s="25">
        <f>HLOOKUP(P$7,$I$66:$DJ$120,ROWS($A$10:$A49)+2,FALSE)</f>
        <v>4150</v>
      </c>
      <c r="Q49" s="25">
        <f>HLOOKUP(Q$7,$I$66:$DJ$120,ROWS($A$10:$A49)+2,FALSE)</f>
        <v>5177</v>
      </c>
      <c r="R49" s="25">
        <f>HLOOKUP(R$7,$I$66:$DJ$120,ROWS($A$10:$A49)+2,FALSE)</f>
        <v>1401</v>
      </c>
      <c r="S49" s="25">
        <f>HLOOKUP(S$7,$I$66:$DJ$120,ROWS($A$10:$A49)+2,FALSE)</f>
        <v>19299</v>
      </c>
      <c r="T49" s="25">
        <f>HLOOKUP(T$7,$I$66:$DJ$120,ROWS($A$10:$A49)+2,FALSE)</f>
        <v>4627</v>
      </c>
      <c r="U49" s="25">
        <f>HLOOKUP(U$7,$I$66:$DJ$120,ROWS($A$10:$A49)+2,FALSE)</f>
        <v>495</v>
      </c>
      <c r="V49" s="25">
        <f>HLOOKUP(V$7,$I$66:$DJ$120,ROWS($A$10:$A49)+2,FALSE)</f>
        <v>236</v>
      </c>
      <c r="W49" s="25">
        <f>HLOOKUP(W$7,$I$66:$DJ$120,ROWS($A$10:$A49)+2,FALSE)</f>
        <v>3902</v>
      </c>
      <c r="X49" s="25">
        <f>HLOOKUP(X$7,$I$66:$DJ$120,ROWS($A$10:$A49)+2,FALSE)</f>
        <v>4086</v>
      </c>
      <c r="Y49" s="25">
        <f>HLOOKUP(Y$7,$I$66:$DJ$120,ROWS($A$10:$A49)+2,FALSE)</f>
        <v>1176</v>
      </c>
      <c r="Z49" s="25">
        <f>HLOOKUP(Z$7,$I$66:$DJ$120,ROWS($A$10:$A49)+2,FALSE)</f>
        <v>2323</v>
      </c>
      <c r="AA49" s="25">
        <f>HLOOKUP(AA$7,$I$66:$DJ$120,ROWS($A$10:$A49)+2,FALSE)</f>
        <v>4013</v>
      </c>
      <c r="AB49" s="25">
        <f>HLOOKUP(AB$7,$I$66:$DJ$120,ROWS($A$10:$A49)+2,FALSE)</f>
        <v>615</v>
      </c>
      <c r="AC49" s="25">
        <f>HLOOKUP(AC$7,$I$66:$DJ$120,ROWS($A$10:$A49)+2,FALSE)</f>
        <v>608</v>
      </c>
      <c r="AD49" s="25">
        <f>HLOOKUP(AD$7,$I$66:$DJ$120,ROWS($A$10:$A49)+2,FALSE)</f>
        <v>17751</v>
      </c>
      <c r="AE49" s="25">
        <f>HLOOKUP(AE$7,$I$66:$DJ$120,ROWS($A$10:$A49)+2,FALSE)</f>
        <v>6284</v>
      </c>
      <c r="AF49" s="25">
        <f>HLOOKUP(AF$7,$I$66:$DJ$120,ROWS($A$10:$A49)+2,FALSE)</f>
        <v>4406</v>
      </c>
      <c r="AG49" s="25">
        <f>HLOOKUP(AG$7,$I$66:$DJ$120,ROWS($A$10:$A49)+2,FALSE)</f>
        <v>853</v>
      </c>
      <c r="AH49" s="25">
        <f>HLOOKUP(AH$7,$I$66:$DJ$120,ROWS($A$10:$A49)+2,FALSE)</f>
        <v>1238</v>
      </c>
      <c r="AI49" s="25">
        <f>HLOOKUP(AI$7,$I$66:$DJ$120,ROWS($A$10:$A49)+2,FALSE)</f>
        <v>1761</v>
      </c>
      <c r="AJ49" s="25">
        <f>HLOOKUP(AJ$7,$I$66:$DJ$120,ROWS($A$10:$A49)+2,FALSE)</f>
        <v>338</v>
      </c>
      <c r="AK49" s="25">
        <f>HLOOKUP(AK$7,$I$66:$DJ$120,ROWS($A$10:$A49)+2,FALSE)</f>
        <v>582</v>
      </c>
      <c r="AL49" s="25">
        <f>HLOOKUP(AL$7,$I$66:$DJ$120,ROWS($A$10:$A49)+2,FALSE)</f>
        <v>1057</v>
      </c>
      <c r="AM49" s="25">
        <f>HLOOKUP(AM$7,$I$66:$DJ$120,ROWS($A$10:$A49)+2,FALSE)</f>
        <v>1326</v>
      </c>
      <c r="AN49" s="25">
        <f>HLOOKUP(AN$7,$I$66:$DJ$120,ROWS($A$10:$A49)+2,FALSE)</f>
        <v>36133</v>
      </c>
      <c r="AO49" s="25">
        <f>HLOOKUP(AO$7,$I$66:$DJ$120,ROWS($A$10:$A49)+2,FALSE)</f>
        <v>325</v>
      </c>
      <c r="AP49" s="25">
        <f>HLOOKUP(AP$7,$I$66:$DJ$120,ROWS($A$10:$A49)+2,FALSE)</f>
        <v>29436</v>
      </c>
      <c r="AQ49" s="25">
        <f>HLOOKUP(AQ$7,$I$66:$DJ$120,ROWS($A$10:$A49)+2,FALSE)</f>
        <v>11254</v>
      </c>
      <c r="AR49" s="25">
        <f>HLOOKUP(AR$7,$I$66:$DJ$120,ROWS($A$10:$A49)+2,FALSE)</f>
        <v>195</v>
      </c>
      <c r="AS49" s="25">
        <f>HLOOKUP(AS$7,$I$66:$DJ$120,ROWS($A$10:$A49)+2,FALSE)</f>
        <v>13075</v>
      </c>
      <c r="AT49" s="25">
        <f>HLOOKUP(AT$7,$I$66:$DJ$120,ROWS($A$10:$A49)+2,FALSE)</f>
        <v>283</v>
      </c>
      <c r="AU49" s="25">
        <f>HLOOKUP(AU$7,$I$66:$DJ$120,ROWS($A$10:$A49)+2,FALSE)</f>
        <v>1594</v>
      </c>
      <c r="AV49" s="25" t="str">
        <f>HLOOKUP(AV$7,$I$66:$DJ$120,ROWS($A$10:$A49)+2,FALSE)</f>
        <v>N/A</v>
      </c>
      <c r="AW49" s="25">
        <f>HLOOKUP(AW$7,$I$66:$DJ$120,ROWS($A$10:$A49)+2,FALSE)</f>
        <v>799</v>
      </c>
      <c r="AX49" s="25">
        <f>HLOOKUP(AX$7,$I$66:$DJ$120,ROWS($A$10:$A49)+2,FALSE)</f>
        <v>3438</v>
      </c>
      <c r="AY49" s="25">
        <f>HLOOKUP(AY$7,$I$66:$DJ$120,ROWS($A$10:$A49)+2,FALSE)</f>
        <v>142</v>
      </c>
      <c r="AZ49" s="25">
        <f>HLOOKUP(AZ$7,$I$66:$DJ$120,ROWS($A$10:$A49)+2,FALSE)</f>
        <v>3742</v>
      </c>
      <c r="BA49" s="25">
        <f>HLOOKUP(BA$7,$I$66:$DJ$120,ROWS($A$10:$A49)+2,FALSE)</f>
        <v>7006</v>
      </c>
      <c r="BB49" s="25">
        <f>HLOOKUP(BB$7,$I$66:$DJ$120,ROWS($A$10:$A49)+2,FALSE)</f>
        <v>1246</v>
      </c>
      <c r="BC49" s="25">
        <f>HLOOKUP(BC$7,$I$66:$DJ$120,ROWS($A$10:$A49)+2,FALSE)</f>
        <v>446</v>
      </c>
      <c r="BD49" s="25">
        <f>HLOOKUP(BD$7,$I$66:$DJ$120,ROWS($A$10:$A49)+2,FALSE)</f>
        <v>8419</v>
      </c>
      <c r="BE49" s="25">
        <f>HLOOKUP(BE$7,$I$66:$DJ$120,ROWS($A$10:$A49)+2,FALSE)</f>
        <v>3688</v>
      </c>
      <c r="BF49" s="25">
        <f>HLOOKUP(BF$7,$I$66:$DJ$120,ROWS($A$10:$A49)+2,FALSE)</f>
        <v>4631</v>
      </c>
      <c r="BG49" s="25">
        <f>HLOOKUP(BG$7,$I$66:$DJ$120,ROWS($A$10:$A49)+2,FALSE)</f>
        <v>2426</v>
      </c>
      <c r="BH49" s="25">
        <f>HLOOKUP(BH$7,$I$66:$DJ$120,ROWS($A$10:$A49)+2,FALSE)</f>
        <v>195</v>
      </c>
      <c r="BI49" s="25">
        <f>HLOOKUP(BI$7,$I$66:$DJ$120,ROWS($A$10:$A49)+2,FALSE)</f>
        <v>2723</v>
      </c>
      <c r="BJ49" s="34">
        <f>HLOOKUP(BJ$7+0.5,$I$66:$DJ$120,ROWS($A$10:$A49)+2,FALSE)</f>
        <v>11246</v>
      </c>
      <c r="BK49" s="34">
        <f>HLOOKUP(BK$7+0.5,$I$66:$DJ$120,ROWS($A$10:$A49)+2,FALSE)</f>
        <v>684</v>
      </c>
      <c r="BL49" s="34">
        <f>HLOOKUP(BL$7+0.5,$I$66:$DJ$120,ROWS($A$10:$A49)+2,FALSE)</f>
        <v>664</v>
      </c>
      <c r="BM49" s="34">
        <f>HLOOKUP(BM$7+0.5,$I$66:$DJ$120,ROWS($A$10:$A49)+2,FALSE)</f>
        <v>917</v>
      </c>
      <c r="BN49" s="34">
        <f>HLOOKUP(BN$7+0.5,$I$66:$DJ$120,ROWS($A$10:$A49)+2,FALSE)</f>
        <v>601</v>
      </c>
      <c r="BO49" s="34">
        <f>HLOOKUP(BO$7+0.5,$I$66:$DJ$120,ROWS($A$10:$A49)+2,FALSE)</f>
        <v>2349</v>
      </c>
      <c r="BP49" s="34">
        <f>HLOOKUP(BP$7+0.5,$I$66:$DJ$120,ROWS($A$10:$A49)+2,FALSE)</f>
        <v>1027</v>
      </c>
      <c r="BQ49" s="34">
        <f>HLOOKUP(BQ$7+0.5,$I$66:$DJ$120,ROWS($A$10:$A49)+2,FALSE)</f>
        <v>993</v>
      </c>
      <c r="BR49" s="34">
        <f>HLOOKUP(BR$7+0.5,$I$66:$DJ$120,ROWS($A$10:$A49)+2,FALSE)</f>
        <v>1304</v>
      </c>
      <c r="BS49" s="34">
        <f>HLOOKUP(BS$7+0.5,$I$66:$DJ$120,ROWS($A$10:$A49)+2,FALSE)</f>
        <v>584</v>
      </c>
      <c r="BT49" s="34">
        <f>HLOOKUP(BT$7+0.5,$I$66:$DJ$120,ROWS($A$10:$A49)+2,FALSE)</f>
        <v>3790</v>
      </c>
      <c r="BU49" s="34">
        <f>HLOOKUP(BU$7+0.5,$I$66:$DJ$120,ROWS($A$10:$A49)+2,FALSE)</f>
        <v>1185</v>
      </c>
      <c r="BV49" s="34">
        <f>HLOOKUP(BV$7+0.5,$I$66:$DJ$120,ROWS($A$10:$A49)+2,FALSE)</f>
        <v>369</v>
      </c>
      <c r="BW49" s="34">
        <f>HLOOKUP(BW$7+0.5,$I$66:$DJ$120,ROWS($A$10:$A49)+2,FALSE)</f>
        <v>223</v>
      </c>
      <c r="BX49" s="34">
        <f>HLOOKUP(BX$7+0.5,$I$66:$DJ$120,ROWS($A$10:$A49)+2,FALSE)</f>
        <v>1438</v>
      </c>
      <c r="BY49" s="34">
        <f>HLOOKUP(BY$7+0.5,$I$66:$DJ$120,ROWS($A$10:$A49)+2,FALSE)</f>
        <v>1429</v>
      </c>
      <c r="BZ49" s="34">
        <f>HLOOKUP(BZ$7+0.5,$I$66:$DJ$120,ROWS($A$10:$A49)+2,FALSE)</f>
        <v>960</v>
      </c>
      <c r="CA49" s="34">
        <f>HLOOKUP(CA$7+0.5,$I$66:$DJ$120,ROWS($A$10:$A49)+2,FALSE)</f>
        <v>1449</v>
      </c>
      <c r="CB49" s="34">
        <f>HLOOKUP(CB$7+0.5,$I$66:$DJ$120,ROWS($A$10:$A49)+2,FALSE)</f>
        <v>1826</v>
      </c>
      <c r="CC49" s="34">
        <f>HLOOKUP(CC$7+0.5,$I$66:$DJ$120,ROWS($A$10:$A49)+2,FALSE)</f>
        <v>294</v>
      </c>
      <c r="CD49" s="34">
        <f>HLOOKUP(CD$7+0.5,$I$66:$DJ$120,ROWS($A$10:$A49)+2,FALSE)</f>
        <v>328</v>
      </c>
      <c r="CE49" s="34">
        <f>HLOOKUP(CE$7+0.5,$I$66:$DJ$120,ROWS($A$10:$A49)+2,FALSE)</f>
        <v>3723</v>
      </c>
      <c r="CF49" s="34">
        <f>HLOOKUP(CF$7+0.5,$I$66:$DJ$120,ROWS($A$10:$A49)+2,FALSE)</f>
        <v>1711</v>
      </c>
      <c r="CG49" s="34">
        <f>HLOOKUP(CG$7+0.5,$I$66:$DJ$120,ROWS($A$10:$A49)+2,FALSE)</f>
        <v>1278</v>
      </c>
      <c r="CH49" s="34">
        <f>HLOOKUP(CH$7+0.5,$I$66:$DJ$120,ROWS($A$10:$A49)+2,FALSE)</f>
        <v>592</v>
      </c>
      <c r="CI49" s="34">
        <f>HLOOKUP(CI$7+0.5,$I$66:$DJ$120,ROWS($A$10:$A49)+2,FALSE)</f>
        <v>943</v>
      </c>
      <c r="CJ49" s="34">
        <f>HLOOKUP(CJ$7+0.5,$I$66:$DJ$120,ROWS($A$10:$A49)+2,FALSE)</f>
        <v>1063</v>
      </c>
      <c r="CK49" s="34">
        <f>HLOOKUP(CK$7+0.5,$I$66:$DJ$120,ROWS($A$10:$A49)+2,FALSE)</f>
        <v>308</v>
      </c>
      <c r="CL49" s="34">
        <f>HLOOKUP(CL$7+0.5,$I$66:$DJ$120,ROWS($A$10:$A49)+2,FALSE)</f>
        <v>439</v>
      </c>
      <c r="CM49" s="34">
        <f>HLOOKUP(CM$7+0.5,$I$66:$DJ$120,ROWS($A$10:$A49)+2,FALSE)</f>
        <v>501</v>
      </c>
      <c r="CN49" s="34">
        <f>HLOOKUP(CN$7+0.5,$I$66:$DJ$120,ROWS($A$10:$A49)+2,FALSE)</f>
        <v>520</v>
      </c>
      <c r="CO49" s="34">
        <f>HLOOKUP(CO$7+0.5,$I$66:$DJ$120,ROWS($A$10:$A49)+2,FALSE)</f>
        <v>4167</v>
      </c>
      <c r="CP49" s="34">
        <f>HLOOKUP(CP$7+0.5,$I$66:$DJ$120,ROWS($A$10:$A49)+2,FALSE)</f>
        <v>405</v>
      </c>
      <c r="CQ49" s="34">
        <f>HLOOKUP(CQ$7+0.5,$I$66:$DJ$120,ROWS($A$10:$A49)+2,FALSE)</f>
        <v>3921</v>
      </c>
      <c r="CR49" s="34">
        <f>HLOOKUP(CR$7+0.5,$I$66:$DJ$120,ROWS($A$10:$A49)+2,FALSE)</f>
        <v>3103</v>
      </c>
      <c r="CS49" s="34">
        <f>HLOOKUP(CS$7+0.5,$I$66:$DJ$120,ROWS($A$10:$A49)+2,FALSE)</f>
        <v>208</v>
      </c>
      <c r="CT49" s="34">
        <f>HLOOKUP(CT$7+0.5,$I$66:$DJ$120,ROWS($A$10:$A49)+2,FALSE)</f>
        <v>2133</v>
      </c>
      <c r="CU49" s="34">
        <f>HLOOKUP(CU$7+0.5,$I$66:$DJ$120,ROWS($A$10:$A49)+2,FALSE)</f>
        <v>220</v>
      </c>
      <c r="CV49" s="34">
        <f>HLOOKUP(CV$7+0.5,$I$66:$DJ$120,ROWS($A$10:$A49)+2,FALSE)</f>
        <v>1022</v>
      </c>
      <c r="CW49" s="34" t="str">
        <f>HLOOKUP(CW$7+0.5,$I$66:$DJ$120,ROWS($A$10:$A49)+2,FALSE)</f>
        <v>N/A</v>
      </c>
      <c r="CX49" s="34">
        <f>HLOOKUP(CX$7+0.5,$I$66:$DJ$120,ROWS($A$10:$A49)+2,FALSE)</f>
        <v>558</v>
      </c>
      <c r="CY49" s="34">
        <f>HLOOKUP(CY$7+0.5,$I$66:$DJ$120,ROWS($A$10:$A49)+2,FALSE)</f>
        <v>1057</v>
      </c>
      <c r="CZ49" s="34">
        <f>HLOOKUP(CZ$7+0.5,$I$66:$DJ$120,ROWS($A$10:$A49)+2,FALSE)</f>
        <v>140</v>
      </c>
      <c r="DA49" s="34">
        <f>HLOOKUP(DA$7+0.5,$I$66:$DJ$120,ROWS($A$10:$A49)+2,FALSE)</f>
        <v>1402</v>
      </c>
      <c r="DB49" s="34">
        <f>HLOOKUP(DB$7+0.5,$I$66:$DJ$120,ROWS($A$10:$A49)+2,FALSE)</f>
        <v>1441</v>
      </c>
      <c r="DC49" s="34">
        <f>HLOOKUP(DC$7+0.5,$I$66:$DJ$120,ROWS($A$10:$A49)+2,FALSE)</f>
        <v>776</v>
      </c>
      <c r="DD49" s="34">
        <f>HLOOKUP(DD$7+0.5,$I$66:$DJ$120,ROWS($A$10:$A49)+2,FALSE)</f>
        <v>327</v>
      </c>
      <c r="DE49" s="34">
        <f>HLOOKUP(DE$7+0.5,$I$66:$DJ$120,ROWS($A$10:$A49)+2,FALSE)</f>
        <v>1530</v>
      </c>
      <c r="DF49" s="34">
        <f>HLOOKUP(DF$7+0.5,$I$66:$DJ$120,ROWS($A$10:$A49)+2,FALSE)</f>
        <v>1533</v>
      </c>
      <c r="DG49" s="34">
        <f>HLOOKUP(DG$7+0.5,$I$66:$DJ$120,ROWS($A$10:$A49)+2,FALSE)</f>
        <v>1483</v>
      </c>
      <c r="DH49" s="34">
        <f>HLOOKUP(DH$7+0.5,$I$66:$DJ$120,ROWS($A$10:$A49)+2,FALSE)</f>
        <v>1046</v>
      </c>
      <c r="DI49" s="34">
        <f>HLOOKUP(DI$7+0.5,$I$66:$DJ$120,ROWS($A$10:$A49)+2,FALSE)</f>
        <v>237</v>
      </c>
      <c r="DJ49" s="34">
        <f>HLOOKUP(DJ$7+0.5,$I$66:$DJ$120,ROWS($A$10:$A49)+2,FALSE)</f>
        <v>1294</v>
      </c>
    </row>
    <row r="50" spans="2:114" x14ac:dyDescent="0.25">
      <c r="B50" s="38" t="s">
        <v>46</v>
      </c>
      <c r="C50" s="15">
        <v>1040022</v>
      </c>
      <c r="D50" s="14">
        <v>1440</v>
      </c>
      <c r="E50" s="15">
        <v>903786</v>
      </c>
      <c r="F50" s="14">
        <v>8645</v>
      </c>
      <c r="G50" s="15">
        <v>101689</v>
      </c>
      <c r="H50" s="14">
        <v>7813</v>
      </c>
      <c r="I50" s="36">
        <f>HLOOKUP(I$7,$I$66:$DJ$120,ROWS($A$10:$A50)+2,FALSE)</f>
        <v>26769</v>
      </c>
      <c r="J50" s="25">
        <f>HLOOKUP(J$7,$I$66:$DJ$120,ROWS($A$10:$A50)+2,FALSE)</f>
        <v>0</v>
      </c>
      <c r="K50" s="25">
        <f>HLOOKUP(K$7,$I$66:$DJ$120,ROWS($A$10:$A50)+2,FALSE)</f>
        <v>0</v>
      </c>
      <c r="L50" s="25">
        <f>HLOOKUP(L$7,$I$66:$DJ$120,ROWS($A$10:$A50)+2,FALSE)</f>
        <v>214</v>
      </c>
      <c r="M50" s="25">
        <f>HLOOKUP(M$7,$I$66:$DJ$120,ROWS($A$10:$A50)+2,FALSE)</f>
        <v>0</v>
      </c>
      <c r="N50" s="25">
        <f>HLOOKUP(N$7,$I$66:$DJ$120,ROWS($A$10:$A50)+2,FALSE)</f>
        <v>1949</v>
      </c>
      <c r="O50" s="25">
        <f>HLOOKUP(O$7,$I$66:$DJ$120,ROWS($A$10:$A50)+2,FALSE)</f>
        <v>301</v>
      </c>
      <c r="P50" s="25">
        <f>HLOOKUP(P$7,$I$66:$DJ$120,ROWS($A$10:$A50)+2,FALSE)</f>
        <v>2613</v>
      </c>
      <c r="Q50" s="25">
        <f>HLOOKUP(Q$7,$I$66:$DJ$120,ROWS($A$10:$A50)+2,FALSE)</f>
        <v>0</v>
      </c>
      <c r="R50" s="25">
        <f>HLOOKUP(R$7,$I$66:$DJ$120,ROWS($A$10:$A50)+2,FALSE)</f>
        <v>0</v>
      </c>
      <c r="S50" s="25">
        <f>HLOOKUP(S$7,$I$66:$DJ$120,ROWS($A$10:$A50)+2,FALSE)</f>
        <v>2230</v>
      </c>
      <c r="T50" s="25">
        <f>HLOOKUP(T$7,$I$66:$DJ$120,ROWS($A$10:$A50)+2,FALSE)</f>
        <v>476</v>
      </c>
      <c r="U50" s="25">
        <f>HLOOKUP(U$7,$I$66:$DJ$120,ROWS($A$10:$A50)+2,FALSE)</f>
        <v>0</v>
      </c>
      <c r="V50" s="25">
        <f>HLOOKUP(V$7,$I$66:$DJ$120,ROWS($A$10:$A50)+2,FALSE)</f>
        <v>107</v>
      </c>
      <c r="W50" s="25">
        <f>HLOOKUP(W$7,$I$66:$DJ$120,ROWS($A$10:$A50)+2,FALSE)</f>
        <v>373</v>
      </c>
      <c r="X50" s="25">
        <f>HLOOKUP(X$7,$I$66:$DJ$120,ROWS($A$10:$A50)+2,FALSE)</f>
        <v>41</v>
      </c>
      <c r="Y50" s="25">
        <f>HLOOKUP(Y$7,$I$66:$DJ$120,ROWS($A$10:$A50)+2,FALSE)</f>
        <v>82</v>
      </c>
      <c r="Z50" s="25">
        <f>HLOOKUP(Z$7,$I$66:$DJ$120,ROWS($A$10:$A50)+2,FALSE)</f>
        <v>374</v>
      </c>
      <c r="AA50" s="25">
        <f>HLOOKUP(AA$7,$I$66:$DJ$120,ROWS($A$10:$A50)+2,FALSE)</f>
        <v>211</v>
      </c>
      <c r="AB50" s="25">
        <f>HLOOKUP(AB$7,$I$66:$DJ$120,ROWS($A$10:$A50)+2,FALSE)</f>
        <v>121</v>
      </c>
      <c r="AC50" s="25">
        <f>HLOOKUP(AC$7,$I$66:$DJ$120,ROWS($A$10:$A50)+2,FALSE)</f>
        <v>228</v>
      </c>
      <c r="AD50" s="25">
        <f>HLOOKUP(AD$7,$I$66:$DJ$120,ROWS($A$10:$A50)+2,FALSE)</f>
        <v>472</v>
      </c>
      <c r="AE50" s="25">
        <f>HLOOKUP(AE$7,$I$66:$DJ$120,ROWS($A$10:$A50)+2,FALSE)</f>
        <v>7715</v>
      </c>
      <c r="AF50" s="25">
        <f>HLOOKUP(AF$7,$I$66:$DJ$120,ROWS($A$10:$A50)+2,FALSE)</f>
        <v>178</v>
      </c>
      <c r="AG50" s="25">
        <f>HLOOKUP(AG$7,$I$66:$DJ$120,ROWS($A$10:$A50)+2,FALSE)</f>
        <v>27</v>
      </c>
      <c r="AH50" s="25">
        <f>HLOOKUP(AH$7,$I$66:$DJ$120,ROWS($A$10:$A50)+2,FALSE)</f>
        <v>0</v>
      </c>
      <c r="AI50" s="25">
        <f>HLOOKUP(AI$7,$I$66:$DJ$120,ROWS($A$10:$A50)+2,FALSE)</f>
        <v>109</v>
      </c>
      <c r="AJ50" s="25">
        <f>HLOOKUP(AJ$7,$I$66:$DJ$120,ROWS($A$10:$A50)+2,FALSE)</f>
        <v>0</v>
      </c>
      <c r="AK50" s="25">
        <f>HLOOKUP(AK$7,$I$66:$DJ$120,ROWS($A$10:$A50)+2,FALSE)</f>
        <v>0</v>
      </c>
      <c r="AL50" s="25">
        <f>HLOOKUP(AL$7,$I$66:$DJ$120,ROWS($A$10:$A50)+2,FALSE)</f>
        <v>0</v>
      </c>
      <c r="AM50" s="25">
        <f>HLOOKUP(AM$7,$I$66:$DJ$120,ROWS($A$10:$A50)+2,FALSE)</f>
        <v>941</v>
      </c>
      <c r="AN50" s="25">
        <f>HLOOKUP(AN$7,$I$66:$DJ$120,ROWS($A$10:$A50)+2,FALSE)</f>
        <v>1224</v>
      </c>
      <c r="AO50" s="25">
        <f>HLOOKUP(AO$7,$I$66:$DJ$120,ROWS($A$10:$A50)+2,FALSE)</f>
        <v>93</v>
      </c>
      <c r="AP50" s="25">
        <f>HLOOKUP(AP$7,$I$66:$DJ$120,ROWS($A$10:$A50)+2,FALSE)</f>
        <v>2776</v>
      </c>
      <c r="AQ50" s="25">
        <f>HLOOKUP(AQ$7,$I$66:$DJ$120,ROWS($A$10:$A50)+2,FALSE)</f>
        <v>259</v>
      </c>
      <c r="AR50" s="25">
        <f>HLOOKUP(AR$7,$I$66:$DJ$120,ROWS($A$10:$A50)+2,FALSE)</f>
        <v>0</v>
      </c>
      <c r="AS50" s="25">
        <f>HLOOKUP(AS$7,$I$66:$DJ$120,ROWS($A$10:$A50)+2,FALSE)</f>
        <v>60</v>
      </c>
      <c r="AT50" s="25">
        <f>HLOOKUP(AT$7,$I$66:$DJ$120,ROWS($A$10:$A50)+2,FALSE)</f>
        <v>0</v>
      </c>
      <c r="AU50" s="25">
        <f>HLOOKUP(AU$7,$I$66:$DJ$120,ROWS($A$10:$A50)+2,FALSE)</f>
        <v>57</v>
      </c>
      <c r="AV50" s="25">
        <f>HLOOKUP(AV$7,$I$66:$DJ$120,ROWS($A$10:$A50)+2,FALSE)</f>
        <v>1125</v>
      </c>
      <c r="AW50" s="25" t="str">
        <f>HLOOKUP(AW$7,$I$66:$DJ$120,ROWS($A$10:$A50)+2,FALSE)</f>
        <v>N/A</v>
      </c>
      <c r="AX50" s="25">
        <f>HLOOKUP(AX$7,$I$66:$DJ$120,ROWS($A$10:$A50)+2,FALSE)</f>
        <v>223</v>
      </c>
      <c r="AY50" s="25">
        <f>HLOOKUP(AY$7,$I$66:$DJ$120,ROWS($A$10:$A50)+2,FALSE)</f>
        <v>0</v>
      </c>
      <c r="AZ50" s="25">
        <f>HLOOKUP(AZ$7,$I$66:$DJ$120,ROWS($A$10:$A50)+2,FALSE)</f>
        <v>210</v>
      </c>
      <c r="BA50" s="25">
        <f>HLOOKUP(BA$7,$I$66:$DJ$120,ROWS($A$10:$A50)+2,FALSE)</f>
        <v>207</v>
      </c>
      <c r="BB50" s="25">
        <f>HLOOKUP(BB$7,$I$66:$DJ$120,ROWS($A$10:$A50)+2,FALSE)</f>
        <v>181</v>
      </c>
      <c r="BC50" s="25">
        <f>HLOOKUP(BC$7,$I$66:$DJ$120,ROWS($A$10:$A50)+2,FALSE)</f>
        <v>621</v>
      </c>
      <c r="BD50" s="25">
        <f>HLOOKUP(BD$7,$I$66:$DJ$120,ROWS($A$10:$A50)+2,FALSE)</f>
        <v>485</v>
      </c>
      <c r="BE50" s="25">
        <f>HLOOKUP(BE$7,$I$66:$DJ$120,ROWS($A$10:$A50)+2,FALSE)</f>
        <v>262</v>
      </c>
      <c r="BF50" s="25">
        <f>HLOOKUP(BF$7,$I$66:$DJ$120,ROWS($A$10:$A50)+2,FALSE)</f>
        <v>199</v>
      </c>
      <c r="BG50" s="25">
        <f>HLOOKUP(BG$7,$I$66:$DJ$120,ROWS($A$10:$A50)+2,FALSE)</f>
        <v>2</v>
      </c>
      <c r="BH50" s="25">
        <f>HLOOKUP(BH$7,$I$66:$DJ$120,ROWS($A$10:$A50)+2,FALSE)</f>
        <v>23</v>
      </c>
      <c r="BI50" s="25">
        <f>HLOOKUP(BI$7,$I$66:$DJ$120,ROWS($A$10:$A50)+2,FALSE)</f>
        <v>293</v>
      </c>
      <c r="BJ50" s="34">
        <f>HLOOKUP(BJ$7+0.5,$I$66:$DJ$120,ROWS($A$10:$A50)+2,FALSE)</f>
        <v>2836</v>
      </c>
      <c r="BK50" s="34">
        <f>HLOOKUP(BK$7+0.5,$I$66:$DJ$120,ROWS($A$10:$A50)+2,FALSE)</f>
        <v>207</v>
      </c>
      <c r="BL50" s="34">
        <f>HLOOKUP(BL$7+0.5,$I$66:$DJ$120,ROWS($A$10:$A50)+2,FALSE)</f>
        <v>207</v>
      </c>
      <c r="BM50" s="34">
        <f>HLOOKUP(BM$7+0.5,$I$66:$DJ$120,ROWS($A$10:$A50)+2,FALSE)</f>
        <v>348</v>
      </c>
      <c r="BN50" s="34">
        <f>HLOOKUP(BN$7+0.5,$I$66:$DJ$120,ROWS($A$10:$A50)+2,FALSE)</f>
        <v>207</v>
      </c>
      <c r="BO50" s="34">
        <f>HLOOKUP(BO$7+0.5,$I$66:$DJ$120,ROWS($A$10:$A50)+2,FALSE)</f>
        <v>734</v>
      </c>
      <c r="BP50" s="34">
        <f>HLOOKUP(BP$7+0.5,$I$66:$DJ$120,ROWS($A$10:$A50)+2,FALSE)</f>
        <v>271</v>
      </c>
      <c r="BQ50" s="34">
        <f>HLOOKUP(BQ$7+0.5,$I$66:$DJ$120,ROWS($A$10:$A50)+2,FALSE)</f>
        <v>984</v>
      </c>
      <c r="BR50" s="34">
        <f>HLOOKUP(BR$7+0.5,$I$66:$DJ$120,ROWS($A$10:$A50)+2,FALSE)</f>
        <v>207</v>
      </c>
      <c r="BS50" s="34">
        <f>HLOOKUP(BS$7+0.5,$I$66:$DJ$120,ROWS($A$10:$A50)+2,FALSE)</f>
        <v>207</v>
      </c>
      <c r="BT50" s="34">
        <f>HLOOKUP(BT$7+0.5,$I$66:$DJ$120,ROWS($A$10:$A50)+2,FALSE)</f>
        <v>915</v>
      </c>
      <c r="BU50" s="34">
        <f>HLOOKUP(BU$7+0.5,$I$66:$DJ$120,ROWS($A$10:$A50)+2,FALSE)</f>
        <v>361</v>
      </c>
      <c r="BV50" s="34">
        <f>HLOOKUP(BV$7+0.5,$I$66:$DJ$120,ROWS($A$10:$A50)+2,FALSE)</f>
        <v>207</v>
      </c>
      <c r="BW50" s="34">
        <f>HLOOKUP(BW$7+0.5,$I$66:$DJ$120,ROWS($A$10:$A50)+2,FALSE)</f>
        <v>199</v>
      </c>
      <c r="BX50" s="34">
        <f>HLOOKUP(BX$7+0.5,$I$66:$DJ$120,ROWS($A$10:$A50)+2,FALSE)</f>
        <v>375</v>
      </c>
      <c r="BY50" s="34">
        <f>HLOOKUP(BY$7+0.5,$I$66:$DJ$120,ROWS($A$10:$A50)+2,FALSE)</f>
        <v>95</v>
      </c>
      <c r="BZ50" s="34">
        <f>HLOOKUP(BZ$7+0.5,$I$66:$DJ$120,ROWS($A$10:$A50)+2,FALSE)</f>
        <v>145</v>
      </c>
      <c r="CA50" s="34">
        <f>HLOOKUP(CA$7+0.5,$I$66:$DJ$120,ROWS($A$10:$A50)+2,FALSE)</f>
        <v>433</v>
      </c>
      <c r="CB50" s="34">
        <f>HLOOKUP(CB$7+0.5,$I$66:$DJ$120,ROWS($A$10:$A50)+2,FALSE)</f>
        <v>318</v>
      </c>
      <c r="CC50" s="34">
        <f>HLOOKUP(CC$7+0.5,$I$66:$DJ$120,ROWS($A$10:$A50)+2,FALSE)</f>
        <v>185</v>
      </c>
      <c r="CD50" s="34">
        <f>HLOOKUP(CD$7+0.5,$I$66:$DJ$120,ROWS($A$10:$A50)+2,FALSE)</f>
        <v>177</v>
      </c>
      <c r="CE50" s="34">
        <f>HLOOKUP(CE$7+0.5,$I$66:$DJ$120,ROWS($A$10:$A50)+2,FALSE)</f>
        <v>323</v>
      </c>
      <c r="CF50" s="34">
        <f>HLOOKUP(CF$7+0.5,$I$66:$DJ$120,ROWS($A$10:$A50)+2,FALSE)</f>
        <v>1532</v>
      </c>
      <c r="CG50" s="34">
        <f>HLOOKUP(CG$7+0.5,$I$66:$DJ$120,ROWS($A$10:$A50)+2,FALSE)</f>
        <v>117</v>
      </c>
      <c r="CH50" s="34">
        <f>HLOOKUP(CH$7+0.5,$I$66:$DJ$120,ROWS($A$10:$A50)+2,FALSE)</f>
        <v>60</v>
      </c>
      <c r="CI50" s="34">
        <f>HLOOKUP(CI$7+0.5,$I$66:$DJ$120,ROWS($A$10:$A50)+2,FALSE)</f>
        <v>207</v>
      </c>
      <c r="CJ50" s="34">
        <f>HLOOKUP(CJ$7+0.5,$I$66:$DJ$120,ROWS($A$10:$A50)+2,FALSE)</f>
        <v>163</v>
      </c>
      <c r="CK50" s="34">
        <f>HLOOKUP(CK$7+0.5,$I$66:$DJ$120,ROWS($A$10:$A50)+2,FALSE)</f>
        <v>207</v>
      </c>
      <c r="CL50" s="34">
        <f>HLOOKUP(CL$7+0.5,$I$66:$DJ$120,ROWS($A$10:$A50)+2,FALSE)</f>
        <v>207</v>
      </c>
      <c r="CM50" s="34">
        <f>HLOOKUP(CM$7+0.5,$I$66:$DJ$120,ROWS($A$10:$A50)+2,FALSE)</f>
        <v>207</v>
      </c>
      <c r="CN50" s="34">
        <f>HLOOKUP(CN$7+0.5,$I$66:$DJ$120,ROWS($A$10:$A50)+2,FALSE)</f>
        <v>745</v>
      </c>
      <c r="CO50" s="34">
        <f>HLOOKUP(CO$7+0.5,$I$66:$DJ$120,ROWS($A$10:$A50)+2,FALSE)</f>
        <v>501</v>
      </c>
      <c r="CP50" s="34">
        <f>HLOOKUP(CP$7+0.5,$I$66:$DJ$120,ROWS($A$10:$A50)+2,FALSE)</f>
        <v>153</v>
      </c>
      <c r="CQ50" s="34">
        <f>HLOOKUP(CQ$7+0.5,$I$66:$DJ$120,ROWS($A$10:$A50)+2,FALSE)</f>
        <v>1118</v>
      </c>
      <c r="CR50" s="34">
        <f>HLOOKUP(CR$7+0.5,$I$66:$DJ$120,ROWS($A$10:$A50)+2,FALSE)</f>
        <v>212</v>
      </c>
      <c r="CS50" s="34">
        <f>HLOOKUP(CS$7+0.5,$I$66:$DJ$120,ROWS($A$10:$A50)+2,FALSE)</f>
        <v>207</v>
      </c>
      <c r="CT50" s="34">
        <f>HLOOKUP(CT$7+0.5,$I$66:$DJ$120,ROWS($A$10:$A50)+2,FALSE)</f>
        <v>89</v>
      </c>
      <c r="CU50" s="34">
        <f>HLOOKUP(CU$7+0.5,$I$66:$DJ$120,ROWS($A$10:$A50)+2,FALSE)</f>
        <v>207</v>
      </c>
      <c r="CV50" s="34">
        <f>HLOOKUP(CV$7+0.5,$I$66:$DJ$120,ROWS($A$10:$A50)+2,FALSE)</f>
        <v>94</v>
      </c>
      <c r="CW50" s="34">
        <f>HLOOKUP(CW$7+0.5,$I$66:$DJ$120,ROWS($A$10:$A50)+2,FALSE)</f>
        <v>725</v>
      </c>
      <c r="CX50" s="34" t="str">
        <f>HLOOKUP(CX$7+0.5,$I$66:$DJ$120,ROWS($A$10:$A50)+2,FALSE)</f>
        <v>N/A</v>
      </c>
      <c r="CY50" s="34">
        <f>HLOOKUP(CY$7+0.5,$I$66:$DJ$120,ROWS($A$10:$A50)+2,FALSE)</f>
        <v>232</v>
      </c>
      <c r="CZ50" s="34">
        <f>HLOOKUP(CZ$7+0.5,$I$66:$DJ$120,ROWS($A$10:$A50)+2,FALSE)</f>
        <v>207</v>
      </c>
      <c r="DA50" s="34">
        <f>HLOOKUP(DA$7+0.5,$I$66:$DJ$120,ROWS($A$10:$A50)+2,FALSE)</f>
        <v>187</v>
      </c>
      <c r="DB50" s="34">
        <f>HLOOKUP(DB$7+0.5,$I$66:$DJ$120,ROWS($A$10:$A50)+2,FALSE)</f>
        <v>153</v>
      </c>
      <c r="DC50" s="34">
        <f>HLOOKUP(DC$7+0.5,$I$66:$DJ$120,ROWS($A$10:$A50)+2,FALSE)</f>
        <v>267</v>
      </c>
      <c r="DD50" s="34">
        <f>HLOOKUP(DD$7+0.5,$I$66:$DJ$120,ROWS($A$10:$A50)+2,FALSE)</f>
        <v>328</v>
      </c>
      <c r="DE50" s="34">
        <f>HLOOKUP(DE$7+0.5,$I$66:$DJ$120,ROWS($A$10:$A50)+2,FALSE)</f>
        <v>448</v>
      </c>
      <c r="DF50" s="34">
        <f>HLOOKUP(DF$7+0.5,$I$66:$DJ$120,ROWS($A$10:$A50)+2,FALSE)</f>
        <v>277</v>
      </c>
      <c r="DG50" s="34">
        <f>HLOOKUP(DG$7+0.5,$I$66:$DJ$120,ROWS($A$10:$A50)+2,FALSE)</f>
        <v>253</v>
      </c>
      <c r="DH50" s="34">
        <f>HLOOKUP(DH$7+0.5,$I$66:$DJ$120,ROWS($A$10:$A50)+2,FALSE)</f>
        <v>5</v>
      </c>
      <c r="DI50" s="34">
        <f>HLOOKUP(DI$7+0.5,$I$66:$DJ$120,ROWS($A$10:$A50)+2,FALSE)</f>
        <v>47</v>
      </c>
      <c r="DJ50" s="34">
        <f>HLOOKUP(DJ$7+0.5,$I$66:$DJ$120,ROWS($A$10:$A50)+2,FALSE)</f>
        <v>292</v>
      </c>
    </row>
    <row r="51" spans="2:114" x14ac:dyDescent="0.25">
      <c r="B51" s="38" t="s">
        <v>47</v>
      </c>
      <c r="C51" s="15">
        <v>4624180</v>
      </c>
      <c r="D51" s="14">
        <v>3871</v>
      </c>
      <c r="E51" s="15">
        <v>3899705</v>
      </c>
      <c r="F51" s="14">
        <v>25459</v>
      </c>
      <c r="G51" s="15">
        <v>546666</v>
      </c>
      <c r="H51" s="14">
        <v>21151</v>
      </c>
      <c r="I51" s="36">
        <f>HLOOKUP(I$7,$I$66:$DJ$120,ROWS($A$10:$A51)+2,FALSE)</f>
        <v>157644</v>
      </c>
      <c r="J51" s="25">
        <f>HLOOKUP(J$7,$I$66:$DJ$120,ROWS($A$10:$A51)+2,FALSE)</f>
        <v>2999</v>
      </c>
      <c r="K51" s="25">
        <f>HLOOKUP(K$7,$I$66:$DJ$120,ROWS($A$10:$A51)+2,FALSE)</f>
        <v>2421</v>
      </c>
      <c r="L51" s="25">
        <f>HLOOKUP(L$7,$I$66:$DJ$120,ROWS($A$10:$A51)+2,FALSE)</f>
        <v>1971</v>
      </c>
      <c r="M51" s="25">
        <f>HLOOKUP(M$7,$I$66:$DJ$120,ROWS($A$10:$A51)+2,FALSE)</f>
        <v>1333</v>
      </c>
      <c r="N51" s="25">
        <f>HLOOKUP(N$7,$I$66:$DJ$120,ROWS($A$10:$A51)+2,FALSE)</f>
        <v>6592</v>
      </c>
      <c r="O51" s="25">
        <f>HLOOKUP(O$7,$I$66:$DJ$120,ROWS($A$10:$A51)+2,FALSE)</f>
        <v>1000</v>
      </c>
      <c r="P51" s="25">
        <f>HLOOKUP(P$7,$I$66:$DJ$120,ROWS($A$10:$A51)+2,FALSE)</f>
        <v>1752</v>
      </c>
      <c r="Q51" s="25">
        <f>HLOOKUP(Q$7,$I$66:$DJ$120,ROWS($A$10:$A51)+2,FALSE)</f>
        <v>841</v>
      </c>
      <c r="R51" s="25">
        <f>HLOOKUP(R$7,$I$66:$DJ$120,ROWS($A$10:$A51)+2,FALSE)</f>
        <v>589</v>
      </c>
      <c r="S51" s="25">
        <f>HLOOKUP(S$7,$I$66:$DJ$120,ROWS($A$10:$A51)+2,FALSE)</f>
        <v>15476</v>
      </c>
      <c r="T51" s="25">
        <f>HLOOKUP(T$7,$I$66:$DJ$120,ROWS($A$10:$A51)+2,FALSE)</f>
        <v>16355</v>
      </c>
      <c r="U51" s="25">
        <f>HLOOKUP(U$7,$I$66:$DJ$120,ROWS($A$10:$A51)+2,FALSE)</f>
        <v>712</v>
      </c>
      <c r="V51" s="25">
        <f>HLOOKUP(V$7,$I$66:$DJ$120,ROWS($A$10:$A51)+2,FALSE)</f>
        <v>55</v>
      </c>
      <c r="W51" s="25">
        <f>HLOOKUP(W$7,$I$66:$DJ$120,ROWS($A$10:$A51)+2,FALSE)</f>
        <v>2371</v>
      </c>
      <c r="X51" s="25">
        <f>HLOOKUP(X$7,$I$66:$DJ$120,ROWS($A$10:$A51)+2,FALSE)</f>
        <v>3249</v>
      </c>
      <c r="Y51" s="25">
        <f>HLOOKUP(Y$7,$I$66:$DJ$120,ROWS($A$10:$A51)+2,FALSE)</f>
        <v>1379</v>
      </c>
      <c r="Z51" s="25">
        <f>HLOOKUP(Z$7,$I$66:$DJ$120,ROWS($A$10:$A51)+2,FALSE)</f>
        <v>1885</v>
      </c>
      <c r="AA51" s="25">
        <f>HLOOKUP(AA$7,$I$66:$DJ$120,ROWS($A$10:$A51)+2,FALSE)</f>
        <v>2454</v>
      </c>
      <c r="AB51" s="25">
        <f>HLOOKUP(AB$7,$I$66:$DJ$120,ROWS($A$10:$A51)+2,FALSE)</f>
        <v>878</v>
      </c>
      <c r="AC51" s="25">
        <f>HLOOKUP(AC$7,$I$66:$DJ$120,ROWS($A$10:$A51)+2,FALSE)</f>
        <v>652</v>
      </c>
      <c r="AD51" s="25">
        <f>HLOOKUP(AD$7,$I$66:$DJ$120,ROWS($A$10:$A51)+2,FALSE)</f>
        <v>3807</v>
      </c>
      <c r="AE51" s="25">
        <f>HLOOKUP(AE$7,$I$66:$DJ$120,ROWS($A$10:$A51)+2,FALSE)</f>
        <v>730</v>
      </c>
      <c r="AF51" s="25">
        <f>HLOOKUP(AF$7,$I$66:$DJ$120,ROWS($A$10:$A51)+2,FALSE)</f>
        <v>4483</v>
      </c>
      <c r="AG51" s="25">
        <f>HLOOKUP(AG$7,$I$66:$DJ$120,ROWS($A$10:$A51)+2,FALSE)</f>
        <v>471</v>
      </c>
      <c r="AH51" s="25">
        <f>HLOOKUP(AH$7,$I$66:$DJ$120,ROWS($A$10:$A51)+2,FALSE)</f>
        <v>2163</v>
      </c>
      <c r="AI51" s="25">
        <f>HLOOKUP(AI$7,$I$66:$DJ$120,ROWS($A$10:$A51)+2,FALSE)</f>
        <v>1522</v>
      </c>
      <c r="AJ51" s="25">
        <f>HLOOKUP(AJ$7,$I$66:$DJ$120,ROWS($A$10:$A51)+2,FALSE)</f>
        <v>915</v>
      </c>
      <c r="AK51" s="25">
        <f>HLOOKUP(AK$7,$I$66:$DJ$120,ROWS($A$10:$A51)+2,FALSE)</f>
        <v>204</v>
      </c>
      <c r="AL51" s="25">
        <f>HLOOKUP(AL$7,$I$66:$DJ$120,ROWS($A$10:$A51)+2,FALSE)</f>
        <v>1017</v>
      </c>
      <c r="AM51" s="25">
        <f>HLOOKUP(AM$7,$I$66:$DJ$120,ROWS($A$10:$A51)+2,FALSE)</f>
        <v>372</v>
      </c>
      <c r="AN51" s="25">
        <f>HLOOKUP(AN$7,$I$66:$DJ$120,ROWS($A$10:$A51)+2,FALSE)</f>
        <v>4241</v>
      </c>
      <c r="AO51" s="25">
        <f>HLOOKUP(AO$7,$I$66:$DJ$120,ROWS($A$10:$A51)+2,FALSE)</f>
        <v>598</v>
      </c>
      <c r="AP51" s="25">
        <f>HLOOKUP(AP$7,$I$66:$DJ$120,ROWS($A$10:$A51)+2,FALSE)</f>
        <v>11317</v>
      </c>
      <c r="AQ51" s="25">
        <f>HLOOKUP(AQ$7,$I$66:$DJ$120,ROWS($A$10:$A51)+2,FALSE)</f>
        <v>23102</v>
      </c>
      <c r="AR51" s="25">
        <f>HLOOKUP(AR$7,$I$66:$DJ$120,ROWS($A$10:$A51)+2,FALSE)</f>
        <v>271</v>
      </c>
      <c r="AS51" s="25">
        <f>HLOOKUP(AS$7,$I$66:$DJ$120,ROWS($A$10:$A51)+2,FALSE)</f>
        <v>6327</v>
      </c>
      <c r="AT51" s="25">
        <f>HLOOKUP(AT$7,$I$66:$DJ$120,ROWS($A$10:$A51)+2,FALSE)</f>
        <v>1008</v>
      </c>
      <c r="AU51" s="25">
        <f>HLOOKUP(AU$7,$I$66:$DJ$120,ROWS($A$10:$A51)+2,FALSE)</f>
        <v>833</v>
      </c>
      <c r="AV51" s="25">
        <f>HLOOKUP(AV$7,$I$66:$DJ$120,ROWS($A$10:$A51)+2,FALSE)</f>
        <v>3523</v>
      </c>
      <c r="AW51" s="25">
        <f>HLOOKUP(AW$7,$I$66:$DJ$120,ROWS($A$10:$A51)+2,FALSE)</f>
        <v>453</v>
      </c>
      <c r="AX51" s="25" t="str">
        <f>HLOOKUP(AX$7,$I$66:$DJ$120,ROWS($A$10:$A51)+2,FALSE)</f>
        <v>N/A</v>
      </c>
      <c r="AY51" s="25">
        <f>HLOOKUP(AY$7,$I$66:$DJ$120,ROWS($A$10:$A51)+2,FALSE)</f>
        <v>62</v>
      </c>
      <c r="AZ51" s="25">
        <f>HLOOKUP(AZ$7,$I$66:$DJ$120,ROWS($A$10:$A51)+2,FALSE)</f>
        <v>3324</v>
      </c>
      <c r="BA51" s="25">
        <f>HLOOKUP(BA$7,$I$66:$DJ$120,ROWS($A$10:$A51)+2,FALSE)</f>
        <v>8623</v>
      </c>
      <c r="BB51" s="25">
        <f>HLOOKUP(BB$7,$I$66:$DJ$120,ROWS($A$10:$A51)+2,FALSE)</f>
        <v>181</v>
      </c>
      <c r="BC51" s="25">
        <f>HLOOKUP(BC$7,$I$66:$DJ$120,ROWS($A$10:$A51)+2,FALSE)</f>
        <v>91</v>
      </c>
      <c r="BD51" s="25">
        <f>HLOOKUP(BD$7,$I$66:$DJ$120,ROWS($A$10:$A51)+2,FALSE)</f>
        <v>7879</v>
      </c>
      <c r="BE51" s="25">
        <f>HLOOKUP(BE$7,$I$66:$DJ$120,ROWS($A$10:$A51)+2,FALSE)</f>
        <v>2510</v>
      </c>
      <c r="BF51" s="25">
        <f>HLOOKUP(BF$7,$I$66:$DJ$120,ROWS($A$10:$A51)+2,FALSE)</f>
        <v>1680</v>
      </c>
      <c r="BG51" s="25">
        <f>HLOOKUP(BG$7,$I$66:$DJ$120,ROWS($A$10:$A51)+2,FALSE)</f>
        <v>341</v>
      </c>
      <c r="BH51" s="25">
        <f>HLOOKUP(BH$7,$I$66:$DJ$120,ROWS($A$10:$A51)+2,FALSE)</f>
        <v>632</v>
      </c>
      <c r="BI51" s="25">
        <f>HLOOKUP(BI$7,$I$66:$DJ$120,ROWS($A$10:$A51)+2,FALSE)</f>
        <v>2166</v>
      </c>
      <c r="BJ51" s="34">
        <f>HLOOKUP(BJ$7+0.5,$I$66:$DJ$120,ROWS($A$10:$A51)+2,FALSE)</f>
        <v>12647</v>
      </c>
      <c r="BK51" s="34">
        <f>HLOOKUP(BK$7+0.5,$I$66:$DJ$120,ROWS($A$10:$A51)+2,FALSE)</f>
        <v>1543</v>
      </c>
      <c r="BL51" s="34">
        <f>HLOOKUP(BL$7+0.5,$I$66:$DJ$120,ROWS($A$10:$A51)+2,FALSE)</f>
        <v>1281</v>
      </c>
      <c r="BM51" s="34">
        <f>HLOOKUP(BM$7+0.5,$I$66:$DJ$120,ROWS($A$10:$A51)+2,FALSE)</f>
        <v>1391</v>
      </c>
      <c r="BN51" s="34">
        <f>HLOOKUP(BN$7+0.5,$I$66:$DJ$120,ROWS($A$10:$A51)+2,FALSE)</f>
        <v>1301</v>
      </c>
      <c r="BO51" s="34">
        <f>HLOOKUP(BO$7+0.5,$I$66:$DJ$120,ROWS($A$10:$A51)+2,FALSE)</f>
        <v>1789</v>
      </c>
      <c r="BP51" s="34">
        <f>HLOOKUP(BP$7+0.5,$I$66:$DJ$120,ROWS($A$10:$A51)+2,FALSE)</f>
        <v>598</v>
      </c>
      <c r="BQ51" s="34">
        <f>HLOOKUP(BQ$7+0.5,$I$66:$DJ$120,ROWS($A$10:$A51)+2,FALSE)</f>
        <v>1005</v>
      </c>
      <c r="BR51" s="34">
        <f>HLOOKUP(BR$7+0.5,$I$66:$DJ$120,ROWS($A$10:$A51)+2,FALSE)</f>
        <v>746</v>
      </c>
      <c r="BS51" s="34">
        <f>HLOOKUP(BS$7+0.5,$I$66:$DJ$120,ROWS($A$10:$A51)+2,FALSE)</f>
        <v>681</v>
      </c>
      <c r="BT51" s="34">
        <f>HLOOKUP(BT$7+0.5,$I$66:$DJ$120,ROWS($A$10:$A51)+2,FALSE)</f>
        <v>4230</v>
      </c>
      <c r="BU51" s="34">
        <f>HLOOKUP(BU$7+0.5,$I$66:$DJ$120,ROWS($A$10:$A51)+2,FALSE)</f>
        <v>2798</v>
      </c>
      <c r="BV51" s="34">
        <f>HLOOKUP(BV$7+0.5,$I$66:$DJ$120,ROWS($A$10:$A51)+2,FALSE)</f>
        <v>626</v>
      </c>
      <c r="BW51" s="34">
        <f>HLOOKUP(BW$7+0.5,$I$66:$DJ$120,ROWS($A$10:$A51)+2,FALSE)</f>
        <v>68</v>
      </c>
      <c r="BX51" s="34">
        <f>HLOOKUP(BX$7+0.5,$I$66:$DJ$120,ROWS($A$10:$A51)+2,FALSE)</f>
        <v>831</v>
      </c>
      <c r="BY51" s="34">
        <f>HLOOKUP(BY$7+0.5,$I$66:$DJ$120,ROWS($A$10:$A51)+2,FALSE)</f>
        <v>1601</v>
      </c>
      <c r="BZ51" s="34">
        <f>HLOOKUP(BZ$7+0.5,$I$66:$DJ$120,ROWS($A$10:$A51)+2,FALSE)</f>
        <v>1468</v>
      </c>
      <c r="CA51" s="34">
        <f>HLOOKUP(CA$7+0.5,$I$66:$DJ$120,ROWS($A$10:$A51)+2,FALSE)</f>
        <v>1445</v>
      </c>
      <c r="CB51" s="34">
        <f>HLOOKUP(CB$7+0.5,$I$66:$DJ$120,ROWS($A$10:$A51)+2,FALSE)</f>
        <v>1692</v>
      </c>
      <c r="CC51" s="34">
        <f>HLOOKUP(CC$7+0.5,$I$66:$DJ$120,ROWS($A$10:$A51)+2,FALSE)</f>
        <v>486</v>
      </c>
      <c r="CD51" s="34">
        <f>HLOOKUP(CD$7+0.5,$I$66:$DJ$120,ROWS($A$10:$A51)+2,FALSE)</f>
        <v>566</v>
      </c>
      <c r="CE51" s="34">
        <f>HLOOKUP(CE$7+0.5,$I$66:$DJ$120,ROWS($A$10:$A51)+2,FALSE)</f>
        <v>1261</v>
      </c>
      <c r="CF51" s="34">
        <f>HLOOKUP(CF$7+0.5,$I$66:$DJ$120,ROWS($A$10:$A51)+2,FALSE)</f>
        <v>447</v>
      </c>
      <c r="CG51" s="34">
        <f>HLOOKUP(CG$7+0.5,$I$66:$DJ$120,ROWS($A$10:$A51)+2,FALSE)</f>
        <v>1737</v>
      </c>
      <c r="CH51" s="34">
        <f>HLOOKUP(CH$7+0.5,$I$66:$DJ$120,ROWS($A$10:$A51)+2,FALSE)</f>
        <v>393</v>
      </c>
      <c r="CI51" s="34">
        <f>HLOOKUP(CI$7+0.5,$I$66:$DJ$120,ROWS($A$10:$A51)+2,FALSE)</f>
        <v>1979</v>
      </c>
      <c r="CJ51" s="34">
        <f>HLOOKUP(CJ$7+0.5,$I$66:$DJ$120,ROWS($A$10:$A51)+2,FALSE)</f>
        <v>1671</v>
      </c>
      <c r="CK51" s="34">
        <f>HLOOKUP(CK$7+0.5,$I$66:$DJ$120,ROWS($A$10:$A51)+2,FALSE)</f>
        <v>999</v>
      </c>
      <c r="CL51" s="34">
        <f>HLOOKUP(CL$7+0.5,$I$66:$DJ$120,ROWS($A$10:$A51)+2,FALSE)</f>
        <v>329</v>
      </c>
      <c r="CM51" s="34">
        <f>HLOOKUP(CM$7+0.5,$I$66:$DJ$120,ROWS($A$10:$A51)+2,FALSE)</f>
        <v>722</v>
      </c>
      <c r="CN51" s="34">
        <f>HLOOKUP(CN$7+0.5,$I$66:$DJ$120,ROWS($A$10:$A51)+2,FALSE)</f>
        <v>280</v>
      </c>
      <c r="CO51" s="34">
        <f>HLOOKUP(CO$7+0.5,$I$66:$DJ$120,ROWS($A$10:$A51)+2,FALSE)</f>
        <v>1445</v>
      </c>
      <c r="CP51" s="34">
        <f>HLOOKUP(CP$7+0.5,$I$66:$DJ$120,ROWS($A$10:$A51)+2,FALSE)</f>
        <v>609</v>
      </c>
      <c r="CQ51" s="34">
        <f>HLOOKUP(CQ$7+0.5,$I$66:$DJ$120,ROWS($A$10:$A51)+2,FALSE)</f>
        <v>3991</v>
      </c>
      <c r="CR51" s="34">
        <f>HLOOKUP(CR$7+0.5,$I$66:$DJ$120,ROWS($A$10:$A51)+2,FALSE)</f>
        <v>4356</v>
      </c>
      <c r="CS51" s="34">
        <f>HLOOKUP(CS$7+0.5,$I$66:$DJ$120,ROWS($A$10:$A51)+2,FALSE)</f>
        <v>213</v>
      </c>
      <c r="CT51" s="34">
        <f>HLOOKUP(CT$7+0.5,$I$66:$DJ$120,ROWS($A$10:$A51)+2,FALSE)</f>
        <v>2177</v>
      </c>
      <c r="CU51" s="34">
        <f>HLOOKUP(CU$7+0.5,$I$66:$DJ$120,ROWS($A$10:$A51)+2,FALSE)</f>
        <v>934</v>
      </c>
      <c r="CV51" s="34">
        <f>HLOOKUP(CV$7+0.5,$I$66:$DJ$120,ROWS($A$10:$A51)+2,FALSE)</f>
        <v>583</v>
      </c>
      <c r="CW51" s="34">
        <f>HLOOKUP(CW$7+0.5,$I$66:$DJ$120,ROWS($A$10:$A51)+2,FALSE)</f>
        <v>1139</v>
      </c>
      <c r="CX51" s="34">
        <f>HLOOKUP(CX$7+0.5,$I$66:$DJ$120,ROWS($A$10:$A51)+2,FALSE)</f>
        <v>360</v>
      </c>
      <c r="CY51" s="34" t="str">
        <f>HLOOKUP(CY$7+0.5,$I$66:$DJ$120,ROWS($A$10:$A51)+2,FALSE)</f>
        <v>N/A</v>
      </c>
      <c r="CZ51" s="34">
        <f>HLOOKUP(CZ$7+0.5,$I$66:$DJ$120,ROWS($A$10:$A51)+2,FALSE)</f>
        <v>107</v>
      </c>
      <c r="DA51" s="34">
        <f>HLOOKUP(DA$7+0.5,$I$66:$DJ$120,ROWS($A$10:$A51)+2,FALSE)</f>
        <v>1252</v>
      </c>
      <c r="DB51" s="34">
        <f>HLOOKUP(DB$7+0.5,$I$66:$DJ$120,ROWS($A$10:$A51)+2,FALSE)</f>
        <v>4005</v>
      </c>
      <c r="DC51" s="34">
        <f>HLOOKUP(DC$7+0.5,$I$66:$DJ$120,ROWS($A$10:$A51)+2,FALSE)</f>
        <v>188</v>
      </c>
      <c r="DD51" s="34">
        <f>HLOOKUP(DD$7+0.5,$I$66:$DJ$120,ROWS($A$10:$A51)+2,FALSE)</f>
        <v>115</v>
      </c>
      <c r="DE51" s="34">
        <f>HLOOKUP(DE$7+0.5,$I$66:$DJ$120,ROWS($A$10:$A51)+2,FALSE)</f>
        <v>2193</v>
      </c>
      <c r="DF51" s="34">
        <f>HLOOKUP(DF$7+0.5,$I$66:$DJ$120,ROWS($A$10:$A51)+2,FALSE)</f>
        <v>1257</v>
      </c>
      <c r="DG51" s="34">
        <f>HLOOKUP(DG$7+0.5,$I$66:$DJ$120,ROWS($A$10:$A51)+2,FALSE)</f>
        <v>1114</v>
      </c>
      <c r="DH51" s="34">
        <f>HLOOKUP(DH$7+0.5,$I$66:$DJ$120,ROWS($A$10:$A51)+2,FALSE)</f>
        <v>291</v>
      </c>
      <c r="DI51" s="34">
        <f>HLOOKUP(DI$7+0.5,$I$66:$DJ$120,ROWS($A$10:$A51)+2,FALSE)</f>
        <v>647</v>
      </c>
      <c r="DJ51" s="34">
        <f>HLOOKUP(DJ$7+0.5,$I$66:$DJ$120,ROWS($A$10:$A51)+2,FALSE)</f>
        <v>1534</v>
      </c>
    </row>
    <row r="52" spans="2:114" x14ac:dyDescent="0.25">
      <c r="B52" s="38" t="s">
        <v>48</v>
      </c>
      <c r="C52" s="15">
        <v>814175</v>
      </c>
      <c r="D52" s="14">
        <v>1297</v>
      </c>
      <c r="E52" s="15">
        <v>688436</v>
      </c>
      <c r="F52" s="14">
        <v>7824</v>
      </c>
      <c r="G52" s="15">
        <v>94655</v>
      </c>
      <c r="H52" s="14">
        <v>6542</v>
      </c>
      <c r="I52" s="36">
        <f>HLOOKUP(I$7,$I$66:$DJ$120,ROWS($A$10:$A52)+2,FALSE)</f>
        <v>27506</v>
      </c>
      <c r="J52" s="25">
        <f>HLOOKUP(J$7,$I$66:$DJ$120,ROWS($A$10:$A52)+2,FALSE)</f>
        <v>0</v>
      </c>
      <c r="K52" s="25">
        <f>HLOOKUP(K$7,$I$66:$DJ$120,ROWS($A$10:$A52)+2,FALSE)</f>
        <v>554</v>
      </c>
      <c r="L52" s="25">
        <f>HLOOKUP(L$7,$I$66:$DJ$120,ROWS($A$10:$A52)+2,FALSE)</f>
        <v>1422</v>
      </c>
      <c r="M52" s="25">
        <f>HLOOKUP(M$7,$I$66:$DJ$120,ROWS($A$10:$A52)+2,FALSE)</f>
        <v>659</v>
      </c>
      <c r="N52" s="25">
        <f>HLOOKUP(N$7,$I$66:$DJ$120,ROWS($A$10:$A52)+2,FALSE)</f>
        <v>1286</v>
      </c>
      <c r="O52" s="25">
        <f>HLOOKUP(O$7,$I$66:$DJ$120,ROWS($A$10:$A52)+2,FALSE)</f>
        <v>1021</v>
      </c>
      <c r="P52" s="25">
        <f>HLOOKUP(P$7,$I$66:$DJ$120,ROWS($A$10:$A52)+2,FALSE)</f>
        <v>0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101</v>
      </c>
      <c r="T52" s="25">
        <f>HLOOKUP(T$7,$I$66:$DJ$120,ROWS($A$10:$A52)+2,FALSE)</f>
        <v>69</v>
      </c>
      <c r="U52" s="25">
        <f>HLOOKUP(U$7,$I$66:$DJ$120,ROWS($A$10:$A52)+2,FALSE)</f>
        <v>0</v>
      </c>
      <c r="V52" s="25">
        <f>HLOOKUP(V$7,$I$66:$DJ$120,ROWS($A$10:$A52)+2,FALSE)</f>
        <v>186</v>
      </c>
      <c r="W52" s="25">
        <f>HLOOKUP(W$7,$I$66:$DJ$120,ROWS($A$10:$A52)+2,FALSE)</f>
        <v>267</v>
      </c>
      <c r="X52" s="25">
        <f>HLOOKUP(X$7,$I$66:$DJ$120,ROWS($A$10:$A52)+2,FALSE)</f>
        <v>285</v>
      </c>
      <c r="Y52" s="25">
        <f>HLOOKUP(Y$7,$I$66:$DJ$120,ROWS($A$10:$A52)+2,FALSE)</f>
        <v>4772</v>
      </c>
      <c r="Z52" s="25">
        <f>HLOOKUP(Z$7,$I$66:$DJ$120,ROWS($A$10:$A52)+2,FALSE)</f>
        <v>144</v>
      </c>
      <c r="AA52" s="25">
        <f>HLOOKUP(AA$7,$I$66:$DJ$120,ROWS($A$10:$A52)+2,FALSE)</f>
        <v>211</v>
      </c>
      <c r="AB52" s="25">
        <f>HLOOKUP(AB$7,$I$66:$DJ$120,ROWS($A$10:$A52)+2,FALSE)</f>
        <v>0</v>
      </c>
      <c r="AC52" s="25">
        <f>HLOOKUP(AC$7,$I$66:$DJ$120,ROWS($A$10:$A52)+2,FALSE)</f>
        <v>0</v>
      </c>
      <c r="AD52" s="25">
        <f>HLOOKUP(AD$7,$I$66:$DJ$120,ROWS($A$10:$A52)+2,FALSE)</f>
        <v>254</v>
      </c>
      <c r="AE52" s="25">
        <f>HLOOKUP(AE$7,$I$66:$DJ$120,ROWS($A$10:$A52)+2,FALSE)</f>
        <v>113</v>
      </c>
      <c r="AF52" s="25">
        <f>HLOOKUP(AF$7,$I$66:$DJ$120,ROWS($A$10:$A52)+2,FALSE)</f>
        <v>239</v>
      </c>
      <c r="AG52" s="25">
        <f>HLOOKUP(AG$7,$I$66:$DJ$120,ROWS($A$10:$A52)+2,FALSE)</f>
        <v>5342</v>
      </c>
      <c r="AH52" s="25">
        <f>HLOOKUP(AH$7,$I$66:$DJ$120,ROWS($A$10:$A52)+2,FALSE)</f>
        <v>129</v>
      </c>
      <c r="AI52" s="25">
        <f>HLOOKUP(AI$7,$I$66:$DJ$120,ROWS($A$10:$A52)+2,FALSE)</f>
        <v>354</v>
      </c>
      <c r="AJ52" s="25">
        <f>HLOOKUP(AJ$7,$I$66:$DJ$120,ROWS($A$10:$A52)+2,FALSE)</f>
        <v>232</v>
      </c>
      <c r="AK52" s="25">
        <f>HLOOKUP(AK$7,$I$66:$DJ$120,ROWS($A$10:$A52)+2,FALSE)</f>
        <v>1695</v>
      </c>
      <c r="AL52" s="25">
        <f>HLOOKUP(AL$7,$I$66:$DJ$120,ROWS($A$10:$A52)+2,FALSE)</f>
        <v>110</v>
      </c>
      <c r="AM52" s="25">
        <f>HLOOKUP(AM$7,$I$66:$DJ$120,ROWS($A$10:$A52)+2,FALSE)</f>
        <v>0</v>
      </c>
      <c r="AN52" s="25">
        <f>HLOOKUP(AN$7,$I$66:$DJ$120,ROWS($A$10:$A52)+2,FALSE)</f>
        <v>441</v>
      </c>
      <c r="AO52" s="25">
        <f>HLOOKUP(AO$7,$I$66:$DJ$120,ROWS($A$10:$A52)+2,FALSE)</f>
        <v>513</v>
      </c>
      <c r="AP52" s="25">
        <f>HLOOKUP(AP$7,$I$66:$DJ$120,ROWS($A$10:$A52)+2,FALSE)</f>
        <v>6</v>
      </c>
      <c r="AQ52" s="25">
        <f>HLOOKUP(AQ$7,$I$66:$DJ$120,ROWS($A$10:$A52)+2,FALSE)</f>
        <v>166</v>
      </c>
      <c r="AR52" s="25">
        <f>HLOOKUP(AR$7,$I$66:$DJ$120,ROWS($A$10:$A52)+2,FALSE)</f>
        <v>2060</v>
      </c>
      <c r="AS52" s="25">
        <f>HLOOKUP(AS$7,$I$66:$DJ$120,ROWS($A$10:$A52)+2,FALSE)</f>
        <v>84</v>
      </c>
      <c r="AT52" s="25">
        <f>HLOOKUP(AT$7,$I$66:$DJ$120,ROWS($A$10:$A52)+2,FALSE)</f>
        <v>40</v>
      </c>
      <c r="AU52" s="25">
        <f>HLOOKUP(AU$7,$I$66:$DJ$120,ROWS($A$10:$A52)+2,FALSE)</f>
        <v>15</v>
      </c>
      <c r="AV52" s="25">
        <f>HLOOKUP(AV$7,$I$66:$DJ$120,ROWS($A$10:$A52)+2,FALSE)</f>
        <v>57</v>
      </c>
      <c r="AW52" s="25">
        <f>HLOOKUP(AW$7,$I$66:$DJ$120,ROWS($A$10:$A52)+2,FALSE)</f>
        <v>7</v>
      </c>
      <c r="AX52" s="25">
        <f>HLOOKUP(AX$7,$I$66:$DJ$120,ROWS($A$10:$A52)+2,FALSE)</f>
        <v>529</v>
      </c>
      <c r="AY52" s="25" t="str">
        <f>HLOOKUP(AY$7,$I$66:$DJ$120,ROWS($A$10:$A52)+2,FALSE)</f>
        <v>N/A</v>
      </c>
      <c r="AZ52" s="25">
        <f>HLOOKUP(AZ$7,$I$66:$DJ$120,ROWS($A$10:$A52)+2,FALSE)</f>
        <v>0</v>
      </c>
      <c r="BA52" s="25">
        <f>HLOOKUP(BA$7,$I$66:$DJ$120,ROWS($A$10:$A52)+2,FALSE)</f>
        <v>1156</v>
      </c>
      <c r="BB52" s="25">
        <f>HLOOKUP(BB$7,$I$66:$DJ$120,ROWS($A$10:$A52)+2,FALSE)</f>
        <v>560</v>
      </c>
      <c r="BC52" s="25">
        <f>HLOOKUP(BC$7,$I$66:$DJ$120,ROWS($A$10:$A52)+2,FALSE)</f>
        <v>0</v>
      </c>
      <c r="BD52" s="25">
        <f>HLOOKUP(BD$7,$I$66:$DJ$120,ROWS($A$10:$A52)+2,FALSE)</f>
        <v>79</v>
      </c>
      <c r="BE52" s="25">
        <f>HLOOKUP(BE$7,$I$66:$DJ$120,ROWS($A$10:$A52)+2,FALSE)</f>
        <v>557</v>
      </c>
      <c r="BF52" s="25">
        <f>HLOOKUP(BF$7,$I$66:$DJ$120,ROWS($A$10:$A52)+2,FALSE)</f>
        <v>0</v>
      </c>
      <c r="BG52" s="25">
        <f>HLOOKUP(BG$7,$I$66:$DJ$120,ROWS($A$10:$A52)+2,FALSE)</f>
        <v>481</v>
      </c>
      <c r="BH52" s="25">
        <f>HLOOKUP(BH$7,$I$66:$DJ$120,ROWS($A$10:$A52)+2,FALSE)</f>
        <v>1310</v>
      </c>
      <c r="BI52" s="25">
        <f>HLOOKUP(BI$7,$I$66:$DJ$120,ROWS($A$10:$A52)+2,FALSE)</f>
        <v>0</v>
      </c>
      <c r="BJ52" s="34">
        <f>HLOOKUP(BJ$7+0.5,$I$66:$DJ$120,ROWS($A$10:$A52)+2,FALSE)</f>
        <v>3893</v>
      </c>
      <c r="BK52" s="34">
        <f>HLOOKUP(BK$7+0.5,$I$66:$DJ$120,ROWS($A$10:$A52)+2,FALSE)</f>
        <v>155</v>
      </c>
      <c r="BL52" s="34">
        <f>HLOOKUP(BL$7+0.5,$I$66:$DJ$120,ROWS($A$10:$A52)+2,FALSE)</f>
        <v>492</v>
      </c>
      <c r="BM52" s="34">
        <f>HLOOKUP(BM$7+0.5,$I$66:$DJ$120,ROWS($A$10:$A52)+2,FALSE)</f>
        <v>1445</v>
      </c>
      <c r="BN52" s="34">
        <f>HLOOKUP(BN$7+0.5,$I$66:$DJ$120,ROWS($A$10:$A52)+2,FALSE)</f>
        <v>778</v>
      </c>
      <c r="BO52" s="34">
        <f>HLOOKUP(BO$7+0.5,$I$66:$DJ$120,ROWS($A$10:$A52)+2,FALSE)</f>
        <v>622</v>
      </c>
      <c r="BP52" s="34">
        <f>HLOOKUP(BP$7+0.5,$I$66:$DJ$120,ROWS($A$10:$A52)+2,FALSE)</f>
        <v>604</v>
      </c>
      <c r="BQ52" s="34">
        <f>HLOOKUP(BQ$7+0.5,$I$66:$DJ$120,ROWS($A$10:$A52)+2,FALSE)</f>
        <v>155</v>
      </c>
      <c r="BR52" s="34">
        <f>HLOOKUP(BR$7+0.5,$I$66:$DJ$120,ROWS($A$10:$A52)+2,FALSE)</f>
        <v>155</v>
      </c>
      <c r="BS52" s="34">
        <f>HLOOKUP(BS$7+0.5,$I$66:$DJ$120,ROWS($A$10:$A52)+2,FALSE)</f>
        <v>155</v>
      </c>
      <c r="BT52" s="34">
        <f>HLOOKUP(BT$7+0.5,$I$66:$DJ$120,ROWS($A$10:$A52)+2,FALSE)</f>
        <v>102</v>
      </c>
      <c r="BU52" s="34">
        <f>HLOOKUP(BU$7+0.5,$I$66:$DJ$120,ROWS($A$10:$A52)+2,FALSE)</f>
        <v>104</v>
      </c>
      <c r="BV52" s="34">
        <f>HLOOKUP(BV$7+0.5,$I$66:$DJ$120,ROWS($A$10:$A52)+2,FALSE)</f>
        <v>155</v>
      </c>
      <c r="BW52" s="34">
        <f>HLOOKUP(BW$7+0.5,$I$66:$DJ$120,ROWS($A$10:$A52)+2,FALSE)</f>
        <v>262</v>
      </c>
      <c r="BX52" s="34">
        <f>HLOOKUP(BX$7+0.5,$I$66:$DJ$120,ROWS($A$10:$A52)+2,FALSE)</f>
        <v>235</v>
      </c>
      <c r="BY52" s="34">
        <f>HLOOKUP(BY$7+0.5,$I$66:$DJ$120,ROWS($A$10:$A52)+2,FALSE)</f>
        <v>378</v>
      </c>
      <c r="BZ52" s="34">
        <f>HLOOKUP(BZ$7+0.5,$I$66:$DJ$120,ROWS($A$10:$A52)+2,FALSE)</f>
        <v>1898</v>
      </c>
      <c r="CA52" s="34">
        <f>HLOOKUP(CA$7+0.5,$I$66:$DJ$120,ROWS($A$10:$A52)+2,FALSE)</f>
        <v>212</v>
      </c>
      <c r="CB52" s="34">
        <f>HLOOKUP(CB$7+0.5,$I$66:$DJ$120,ROWS($A$10:$A52)+2,FALSE)</f>
        <v>208</v>
      </c>
      <c r="CC52" s="34">
        <f>HLOOKUP(CC$7+0.5,$I$66:$DJ$120,ROWS($A$10:$A52)+2,FALSE)</f>
        <v>155</v>
      </c>
      <c r="CD52" s="34">
        <f>HLOOKUP(CD$7+0.5,$I$66:$DJ$120,ROWS($A$10:$A52)+2,FALSE)</f>
        <v>155</v>
      </c>
      <c r="CE52" s="34">
        <f>HLOOKUP(CE$7+0.5,$I$66:$DJ$120,ROWS($A$10:$A52)+2,FALSE)</f>
        <v>222</v>
      </c>
      <c r="CF52" s="34">
        <f>HLOOKUP(CF$7+0.5,$I$66:$DJ$120,ROWS($A$10:$A52)+2,FALSE)</f>
        <v>179</v>
      </c>
      <c r="CG52" s="34">
        <f>HLOOKUP(CG$7+0.5,$I$66:$DJ$120,ROWS($A$10:$A52)+2,FALSE)</f>
        <v>201</v>
      </c>
      <c r="CH52" s="34">
        <f>HLOOKUP(CH$7+0.5,$I$66:$DJ$120,ROWS($A$10:$A52)+2,FALSE)</f>
        <v>1981</v>
      </c>
      <c r="CI52" s="34">
        <f>HLOOKUP(CI$7+0.5,$I$66:$DJ$120,ROWS($A$10:$A52)+2,FALSE)</f>
        <v>155</v>
      </c>
      <c r="CJ52" s="34">
        <f>HLOOKUP(CJ$7+0.5,$I$66:$DJ$120,ROWS($A$10:$A52)+2,FALSE)</f>
        <v>294</v>
      </c>
      <c r="CK52" s="34">
        <f>HLOOKUP(CK$7+0.5,$I$66:$DJ$120,ROWS($A$10:$A52)+2,FALSE)</f>
        <v>258</v>
      </c>
      <c r="CL52" s="34">
        <f>HLOOKUP(CL$7+0.5,$I$66:$DJ$120,ROWS($A$10:$A52)+2,FALSE)</f>
        <v>784</v>
      </c>
      <c r="CM52" s="34">
        <f>HLOOKUP(CM$7+0.5,$I$66:$DJ$120,ROWS($A$10:$A52)+2,FALSE)</f>
        <v>177</v>
      </c>
      <c r="CN52" s="34">
        <f>HLOOKUP(CN$7+0.5,$I$66:$DJ$120,ROWS($A$10:$A52)+2,FALSE)</f>
        <v>155</v>
      </c>
      <c r="CO52" s="34">
        <f>HLOOKUP(CO$7+0.5,$I$66:$DJ$120,ROWS($A$10:$A52)+2,FALSE)</f>
        <v>473</v>
      </c>
      <c r="CP52" s="34">
        <f>HLOOKUP(CP$7+0.5,$I$66:$DJ$120,ROWS($A$10:$A52)+2,FALSE)</f>
        <v>571</v>
      </c>
      <c r="CQ52" s="34">
        <f>HLOOKUP(CQ$7+0.5,$I$66:$DJ$120,ROWS($A$10:$A52)+2,FALSE)</f>
        <v>11</v>
      </c>
      <c r="CR52" s="34">
        <f>HLOOKUP(CR$7+0.5,$I$66:$DJ$120,ROWS($A$10:$A52)+2,FALSE)</f>
        <v>257</v>
      </c>
      <c r="CS52" s="34">
        <f>HLOOKUP(CS$7+0.5,$I$66:$DJ$120,ROWS($A$10:$A52)+2,FALSE)</f>
        <v>1025</v>
      </c>
      <c r="CT52" s="34">
        <f>HLOOKUP(CT$7+0.5,$I$66:$DJ$120,ROWS($A$10:$A52)+2,FALSE)</f>
        <v>102</v>
      </c>
      <c r="CU52" s="34">
        <f>HLOOKUP(CU$7+0.5,$I$66:$DJ$120,ROWS($A$10:$A52)+2,FALSE)</f>
        <v>46</v>
      </c>
      <c r="CV52" s="34">
        <f>HLOOKUP(CV$7+0.5,$I$66:$DJ$120,ROWS($A$10:$A52)+2,FALSE)</f>
        <v>26</v>
      </c>
      <c r="CW52" s="34">
        <f>HLOOKUP(CW$7+0.5,$I$66:$DJ$120,ROWS($A$10:$A52)+2,FALSE)</f>
        <v>77</v>
      </c>
      <c r="CX52" s="34">
        <f>HLOOKUP(CX$7+0.5,$I$66:$DJ$120,ROWS($A$10:$A52)+2,FALSE)</f>
        <v>12</v>
      </c>
      <c r="CY52" s="34">
        <f>HLOOKUP(CY$7+0.5,$I$66:$DJ$120,ROWS($A$10:$A52)+2,FALSE)</f>
        <v>706</v>
      </c>
      <c r="CZ52" s="34" t="str">
        <f>HLOOKUP(CZ$7+0.5,$I$66:$DJ$120,ROWS($A$10:$A52)+2,FALSE)</f>
        <v>N/A</v>
      </c>
      <c r="DA52" s="34">
        <f>HLOOKUP(DA$7+0.5,$I$66:$DJ$120,ROWS($A$10:$A52)+2,FALSE)</f>
        <v>155</v>
      </c>
      <c r="DB52" s="34">
        <f>HLOOKUP(DB$7+0.5,$I$66:$DJ$120,ROWS($A$10:$A52)+2,FALSE)</f>
        <v>384</v>
      </c>
      <c r="DC52" s="34">
        <f>HLOOKUP(DC$7+0.5,$I$66:$DJ$120,ROWS($A$10:$A52)+2,FALSE)</f>
        <v>567</v>
      </c>
      <c r="DD52" s="34">
        <f>HLOOKUP(DD$7+0.5,$I$66:$DJ$120,ROWS($A$10:$A52)+2,FALSE)</f>
        <v>155</v>
      </c>
      <c r="DE52" s="34">
        <f>HLOOKUP(DE$7+0.5,$I$66:$DJ$120,ROWS($A$10:$A52)+2,FALSE)</f>
        <v>92</v>
      </c>
      <c r="DF52" s="34">
        <f>HLOOKUP(DF$7+0.5,$I$66:$DJ$120,ROWS($A$10:$A52)+2,FALSE)</f>
        <v>780</v>
      </c>
      <c r="DG52" s="34">
        <f>HLOOKUP(DG$7+0.5,$I$66:$DJ$120,ROWS($A$10:$A52)+2,FALSE)</f>
        <v>155</v>
      </c>
      <c r="DH52" s="34">
        <f>HLOOKUP(DH$7+0.5,$I$66:$DJ$120,ROWS($A$10:$A52)+2,FALSE)</f>
        <v>594</v>
      </c>
      <c r="DI52" s="34">
        <f>HLOOKUP(DI$7+0.5,$I$66:$DJ$120,ROWS($A$10:$A52)+2,FALSE)</f>
        <v>880</v>
      </c>
      <c r="DJ52" s="34">
        <f>HLOOKUP(DJ$7+0.5,$I$66:$DJ$120,ROWS($A$10:$A52)+2,FALSE)</f>
        <v>155</v>
      </c>
    </row>
    <row r="53" spans="2:114" x14ac:dyDescent="0.25">
      <c r="B53" s="38" t="s">
        <v>49</v>
      </c>
      <c r="C53" s="15">
        <v>6333466</v>
      </c>
      <c r="D53" s="14">
        <v>4450</v>
      </c>
      <c r="E53" s="15">
        <v>5342978</v>
      </c>
      <c r="F53" s="14">
        <v>29750</v>
      </c>
      <c r="G53" s="15">
        <v>794556</v>
      </c>
      <c r="H53" s="14">
        <v>26578</v>
      </c>
      <c r="I53" s="36">
        <f>HLOOKUP(I$7,$I$66:$DJ$120,ROWS($A$10:$A53)+2,FALSE)</f>
        <v>170969</v>
      </c>
      <c r="J53" s="25">
        <f>HLOOKUP(J$7,$I$66:$DJ$120,ROWS($A$10:$A53)+2,FALSE)</f>
        <v>9326</v>
      </c>
      <c r="K53" s="25">
        <f>HLOOKUP(K$7,$I$66:$DJ$120,ROWS($A$10:$A53)+2,FALSE)</f>
        <v>531</v>
      </c>
      <c r="L53" s="25">
        <f>HLOOKUP(L$7,$I$66:$DJ$120,ROWS($A$10:$A53)+2,FALSE)</f>
        <v>1346</v>
      </c>
      <c r="M53" s="25">
        <f>HLOOKUP(M$7,$I$66:$DJ$120,ROWS($A$10:$A53)+2,FALSE)</f>
        <v>7393</v>
      </c>
      <c r="N53" s="25">
        <f>HLOOKUP(N$7,$I$66:$DJ$120,ROWS($A$10:$A53)+2,FALSE)</f>
        <v>7130</v>
      </c>
      <c r="O53" s="25">
        <f>HLOOKUP(O$7,$I$66:$DJ$120,ROWS($A$10:$A53)+2,FALSE)</f>
        <v>1372</v>
      </c>
      <c r="P53" s="25">
        <f>HLOOKUP(P$7,$I$66:$DJ$120,ROWS($A$10:$A53)+2,FALSE)</f>
        <v>150</v>
      </c>
      <c r="Q53" s="25">
        <f>HLOOKUP(Q$7,$I$66:$DJ$120,ROWS($A$10:$A53)+2,FALSE)</f>
        <v>155</v>
      </c>
      <c r="R53" s="25">
        <f>HLOOKUP(R$7,$I$66:$DJ$120,ROWS($A$10:$A53)+2,FALSE)</f>
        <v>307</v>
      </c>
      <c r="S53" s="25">
        <f>HLOOKUP(S$7,$I$66:$DJ$120,ROWS($A$10:$A53)+2,FALSE)</f>
        <v>15491</v>
      </c>
      <c r="T53" s="25">
        <f>HLOOKUP(T$7,$I$66:$DJ$120,ROWS($A$10:$A53)+2,FALSE)</f>
        <v>17507</v>
      </c>
      <c r="U53" s="25">
        <f>HLOOKUP(U$7,$I$66:$DJ$120,ROWS($A$10:$A53)+2,FALSE)</f>
        <v>179</v>
      </c>
      <c r="V53" s="25">
        <f>HLOOKUP(V$7,$I$66:$DJ$120,ROWS($A$10:$A53)+2,FALSE)</f>
        <v>0</v>
      </c>
      <c r="W53" s="25">
        <f>HLOOKUP(W$7,$I$66:$DJ$120,ROWS($A$10:$A53)+2,FALSE)</f>
        <v>8593</v>
      </c>
      <c r="X53" s="25">
        <f>HLOOKUP(X$7,$I$66:$DJ$120,ROWS($A$10:$A53)+2,FALSE)</f>
        <v>5645</v>
      </c>
      <c r="Y53" s="25">
        <f>HLOOKUP(Y$7,$I$66:$DJ$120,ROWS($A$10:$A53)+2,FALSE)</f>
        <v>387</v>
      </c>
      <c r="Z53" s="25">
        <f>HLOOKUP(Z$7,$I$66:$DJ$120,ROWS($A$10:$A53)+2,FALSE)</f>
        <v>1805</v>
      </c>
      <c r="AA53" s="25">
        <f>HLOOKUP(AA$7,$I$66:$DJ$120,ROWS($A$10:$A53)+2,FALSE)</f>
        <v>13884</v>
      </c>
      <c r="AB53" s="25">
        <f>HLOOKUP(AB$7,$I$66:$DJ$120,ROWS($A$10:$A53)+2,FALSE)</f>
        <v>1901</v>
      </c>
      <c r="AC53" s="25">
        <f>HLOOKUP(AC$7,$I$66:$DJ$120,ROWS($A$10:$A53)+2,FALSE)</f>
        <v>9</v>
      </c>
      <c r="AD53" s="25">
        <f>HLOOKUP(AD$7,$I$66:$DJ$120,ROWS($A$10:$A53)+2,FALSE)</f>
        <v>1135</v>
      </c>
      <c r="AE53" s="25">
        <f>HLOOKUP(AE$7,$I$66:$DJ$120,ROWS($A$10:$A53)+2,FALSE)</f>
        <v>1690</v>
      </c>
      <c r="AF53" s="25">
        <f>HLOOKUP(AF$7,$I$66:$DJ$120,ROWS($A$10:$A53)+2,FALSE)</f>
        <v>5983</v>
      </c>
      <c r="AG53" s="25">
        <f>HLOOKUP(AG$7,$I$66:$DJ$120,ROWS($A$10:$A53)+2,FALSE)</f>
        <v>445</v>
      </c>
      <c r="AH53" s="25">
        <f>HLOOKUP(AH$7,$I$66:$DJ$120,ROWS($A$10:$A53)+2,FALSE)</f>
        <v>9172</v>
      </c>
      <c r="AI53" s="25">
        <f>HLOOKUP(AI$7,$I$66:$DJ$120,ROWS($A$10:$A53)+2,FALSE)</f>
        <v>3795</v>
      </c>
      <c r="AJ53" s="25">
        <f>HLOOKUP(AJ$7,$I$66:$DJ$120,ROWS($A$10:$A53)+2,FALSE)</f>
        <v>43</v>
      </c>
      <c r="AK53" s="25">
        <f>HLOOKUP(AK$7,$I$66:$DJ$120,ROWS($A$10:$A53)+2,FALSE)</f>
        <v>631</v>
      </c>
      <c r="AL53" s="25">
        <f>HLOOKUP(AL$7,$I$66:$DJ$120,ROWS($A$10:$A53)+2,FALSE)</f>
        <v>883</v>
      </c>
      <c r="AM53" s="25">
        <f>HLOOKUP(AM$7,$I$66:$DJ$120,ROWS($A$10:$A53)+2,FALSE)</f>
        <v>132</v>
      </c>
      <c r="AN53" s="25">
        <f>HLOOKUP(AN$7,$I$66:$DJ$120,ROWS($A$10:$A53)+2,FALSE)</f>
        <v>1396</v>
      </c>
      <c r="AO53" s="25">
        <f>HLOOKUP(AO$7,$I$66:$DJ$120,ROWS($A$10:$A53)+2,FALSE)</f>
        <v>381</v>
      </c>
      <c r="AP53" s="25">
        <f>HLOOKUP(AP$7,$I$66:$DJ$120,ROWS($A$10:$A53)+2,FALSE)</f>
        <v>4921</v>
      </c>
      <c r="AQ53" s="25">
        <f>HLOOKUP(AQ$7,$I$66:$DJ$120,ROWS($A$10:$A53)+2,FALSE)</f>
        <v>9353</v>
      </c>
      <c r="AR53" s="25">
        <f>HLOOKUP(AR$7,$I$66:$DJ$120,ROWS($A$10:$A53)+2,FALSE)</f>
        <v>50</v>
      </c>
      <c r="AS53" s="25">
        <f>HLOOKUP(AS$7,$I$66:$DJ$120,ROWS($A$10:$A53)+2,FALSE)</f>
        <v>5944</v>
      </c>
      <c r="AT53" s="25">
        <f>HLOOKUP(AT$7,$I$66:$DJ$120,ROWS($A$10:$A53)+2,FALSE)</f>
        <v>3166</v>
      </c>
      <c r="AU53" s="25">
        <f>HLOOKUP(AU$7,$I$66:$DJ$120,ROWS($A$10:$A53)+2,FALSE)</f>
        <v>726</v>
      </c>
      <c r="AV53" s="25">
        <f>HLOOKUP(AV$7,$I$66:$DJ$120,ROWS($A$10:$A53)+2,FALSE)</f>
        <v>3360</v>
      </c>
      <c r="AW53" s="25">
        <f>HLOOKUP(AW$7,$I$66:$DJ$120,ROWS($A$10:$A53)+2,FALSE)</f>
        <v>14</v>
      </c>
      <c r="AX53" s="25">
        <f>HLOOKUP(AX$7,$I$66:$DJ$120,ROWS($A$10:$A53)+2,FALSE)</f>
        <v>5531</v>
      </c>
      <c r="AY53" s="25">
        <f>HLOOKUP(AY$7,$I$66:$DJ$120,ROWS($A$10:$A53)+2,FALSE)</f>
        <v>181</v>
      </c>
      <c r="AZ53" s="25" t="str">
        <f>HLOOKUP(AZ$7,$I$66:$DJ$120,ROWS($A$10:$A53)+2,FALSE)</f>
        <v>N/A</v>
      </c>
      <c r="BA53" s="25">
        <f>HLOOKUP(BA$7,$I$66:$DJ$120,ROWS($A$10:$A53)+2,FALSE)</f>
        <v>7009</v>
      </c>
      <c r="BB53" s="25">
        <f>HLOOKUP(BB$7,$I$66:$DJ$120,ROWS($A$10:$A53)+2,FALSE)</f>
        <v>200</v>
      </c>
      <c r="BC53" s="25">
        <f>HLOOKUP(BC$7,$I$66:$DJ$120,ROWS($A$10:$A53)+2,FALSE)</f>
        <v>38</v>
      </c>
      <c r="BD53" s="25">
        <f>HLOOKUP(BD$7,$I$66:$DJ$120,ROWS($A$10:$A53)+2,FALSE)</f>
        <v>6098</v>
      </c>
      <c r="BE53" s="25">
        <f>HLOOKUP(BE$7,$I$66:$DJ$120,ROWS($A$10:$A53)+2,FALSE)</f>
        <v>2852</v>
      </c>
      <c r="BF53" s="25">
        <f>HLOOKUP(BF$7,$I$66:$DJ$120,ROWS($A$10:$A53)+2,FALSE)</f>
        <v>1385</v>
      </c>
      <c r="BG53" s="25">
        <f>HLOOKUP(BG$7,$I$66:$DJ$120,ROWS($A$10:$A53)+2,FALSE)</f>
        <v>1213</v>
      </c>
      <c r="BH53" s="25">
        <f>HLOOKUP(BH$7,$I$66:$DJ$120,ROWS($A$10:$A53)+2,FALSE)</f>
        <v>131</v>
      </c>
      <c r="BI53" s="25">
        <f>HLOOKUP(BI$7,$I$66:$DJ$120,ROWS($A$10:$A53)+2,FALSE)</f>
        <v>1083</v>
      </c>
      <c r="BJ53" s="34">
        <f>HLOOKUP(BJ$7+0.5,$I$66:$DJ$120,ROWS($A$10:$A53)+2,FALSE)</f>
        <v>13046</v>
      </c>
      <c r="BK53" s="34">
        <f>HLOOKUP(BK$7+0.5,$I$66:$DJ$120,ROWS($A$10:$A53)+2,FALSE)</f>
        <v>2717</v>
      </c>
      <c r="BL53" s="34">
        <f>HLOOKUP(BL$7+0.5,$I$66:$DJ$120,ROWS($A$10:$A53)+2,FALSE)</f>
        <v>465</v>
      </c>
      <c r="BM53" s="34">
        <f>HLOOKUP(BM$7+0.5,$I$66:$DJ$120,ROWS($A$10:$A53)+2,FALSE)</f>
        <v>1176</v>
      </c>
      <c r="BN53" s="34">
        <f>HLOOKUP(BN$7+0.5,$I$66:$DJ$120,ROWS($A$10:$A53)+2,FALSE)</f>
        <v>3038</v>
      </c>
      <c r="BO53" s="34">
        <f>HLOOKUP(BO$7+0.5,$I$66:$DJ$120,ROWS($A$10:$A53)+2,FALSE)</f>
        <v>2041</v>
      </c>
      <c r="BP53" s="34">
        <f>HLOOKUP(BP$7+0.5,$I$66:$DJ$120,ROWS($A$10:$A53)+2,FALSE)</f>
        <v>902</v>
      </c>
      <c r="BQ53" s="34">
        <f>HLOOKUP(BQ$7+0.5,$I$66:$DJ$120,ROWS($A$10:$A53)+2,FALSE)</f>
        <v>163</v>
      </c>
      <c r="BR53" s="34">
        <f>HLOOKUP(BR$7+0.5,$I$66:$DJ$120,ROWS($A$10:$A53)+2,FALSE)</f>
        <v>191</v>
      </c>
      <c r="BS53" s="34">
        <f>HLOOKUP(BS$7+0.5,$I$66:$DJ$120,ROWS($A$10:$A53)+2,FALSE)</f>
        <v>186</v>
      </c>
      <c r="BT53" s="34">
        <f>HLOOKUP(BT$7+0.5,$I$66:$DJ$120,ROWS($A$10:$A53)+2,FALSE)</f>
        <v>3282</v>
      </c>
      <c r="BU53" s="34">
        <f>HLOOKUP(BU$7+0.5,$I$66:$DJ$120,ROWS($A$10:$A53)+2,FALSE)</f>
        <v>4897</v>
      </c>
      <c r="BV53" s="34">
        <f>HLOOKUP(BV$7+0.5,$I$66:$DJ$120,ROWS($A$10:$A53)+2,FALSE)</f>
        <v>230</v>
      </c>
      <c r="BW53" s="34">
        <f>HLOOKUP(BW$7+0.5,$I$66:$DJ$120,ROWS($A$10:$A53)+2,FALSE)</f>
        <v>208</v>
      </c>
      <c r="BX53" s="34">
        <f>HLOOKUP(BX$7+0.5,$I$66:$DJ$120,ROWS($A$10:$A53)+2,FALSE)</f>
        <v>2245</v>
      </c>
      <c r="BY53" s="34">
        <f>HLOOKUP(BY$7+0.5,$I$66:$DJ$120,ROWS($A$10:$A53)+2,FALSE)</f>
        <v>1932</v>
      </c>
      <c r="BZ53" s="34">
        <f>HLOOKUP(BZ$7+0.5,$I$66:$DJ$120,ROWS($A$10:$A53)+2,FALSE)</f>
        <v>432</v>
      </c>
      <c r="CA53" s="34">
        <f>HLOOKUP(CA$7+0.5,$I$66:$DJ$120,ROWS($A$10:$A53)+2,FALSE)</f>
        <v>1529</v>
      </c>
      <c r="CB53" s="34">
        <f>HLOOKUP(CB$7+0.5,$I$66:$DJ$120,ROWS($A$10:$A53)+2,FALSE)</f>
        <v>2654</v>
      </c>
      <c r="CC53" s="34">
        <f>HLOOKUP(CC$7+0.5,$I$66:$DJ$120,ROWS($A$10:$A53)+2,FALSE)</f>
        <v>908</v>
      </c>
      <c r="CD53" s="34">
        <f>HLOOKUP(CD$7+0.5,$I$66:$DJ$120,ROWS($A$10:$A53)+2,FALSE)</f>
        <v>17</v>
      </c>
      <c r="CE53" s="34">
        <f>HLOOKUP(CE$7+0.5,$I$66:$DJ$120,ROWS($A$10:$A53)+2,FALSE)</f>
        <v>675</v>
      </c>
      <c r="CF53" s="34">
        <f>HLOOKUP(CF$7+0.5,$I$66:$DJ$120,ROWS($A$10:$A53)+2,FALSE)</f>
        <v>1886</v>
      </c>
      <c r="CG53" s="34">
        <f>HLOOKUP(CG$7+0.5,$I$66:$DJ$120,ROWS($A$10:$A53)+2,FALSE)</f>
        <v>2441</v>
      </c>
      <c r="CH53" s="34">
        <f>HLOOKUP(CH$7+0.5,$I$66:$DJ$120,ROWS($A$10:$A53)+2,FALSE)</f>
        <v>315</v>
      </c>
      <c r="CI53" s="34">
        <f>HLOOKUP(CI$7+0.5,$I$66:$DJ$120,ROWS($A$10:$A53)+2,FALSE)</f>
        <v>2752</v>
      </c>
      <c r="CJ53" s="34">
        <f>HLOOKUP(CJ$7+0.5,$I$66:$DJ$120,ROWS($A$10:$A53)+2,FALSE)</f>
        <v>1409</v>
      </c>
      <c r="CK53" s="34">
        <f>HLOOKUP(CK$7+0.5,$I$66:$DJ$120,ROWS($A$10:$A53)+2,FALSE)</f>
        <v>69</v>
      </c>
      <c r="CL53" s="34">
        <f>HLOOKUP(CL$7+0.5,$I$66:$DJ$120,ROWS($A$10:$A53)+2,FALSE)</f>
        <v>660</v>
      </c>
      <c r="CM53" s="34">
        <f>HLOOKUP(CM$7+0.5,$I$66:$DJ$120,ROWS($A$10:$A53)+2,FALSE)</f>
        <v>816</v>
      </c>
      <c r="CN53" s="34">
        <f>HLOOKUP(CN$7+0.5,$I$66:$DJ$120,ROWS($A$10:$A53)+2,FALSE)</f>
        <v>134</v>
      </c>
      <c r="CO53" s="34">
        <f>HLOOKUP(CO$7+0.5,$I$66:$DJ$120,ROWS($A$10:$A53)+2,FALSE)</f>
        <v>850</v>
      </c>
      <c r="CP53" s="34">
        <f>HLOOKUP(CP$7+0.5,$I$66:$DJ$120,ROWS($A$10:$A53)+2,FALSE)</f>
        <v>330</v>
      </c>
      <c r="CQ53" s="34">
        <f>HLOOKUP(CQ$7+0.5,$I$66:$DJ$120,ROWS($A$10:$A53)+2,FALSE)</f>
        <v>1493</v>
      </c>
      <c r="CR53" s="34">
        <f>HLOOKUP(CR$7+0.5,$I$66:$DJ$120,ROWS($A$10:$A53)+2,FALSE)</f>
        <v>2989</v>
      </c>
      <c r="CS53" s="34">
        <f>HLOOKUP(CS$7+0.5,$I$66:$DJ$120,ROWS($A$10:$A53)+2,FALSE)</f>
        <v>92</v>
      </c>
      <c r="CT53" s="34">
        <f>HLOOKUP(CT$7+0.5,$I$66:$DJ$120,ROWS($A$10:$A53)+2,FALSE)</f>
        <v>2044</v>
      </c>
      <c r="CU53" s="34">
        <f>HLOOKUP(CU$7+0.5,$I$66:$DJ$120,ROWS($A$10:$A53)+2,FALSE)</f>
        <v>3444</v>
      </c>
      <c r="CV53" s="34">
        <f>HLOOKUP(CV$7+0.5,$I$66:$DJ$120,ROWS($A$10:$A53)+2,FALSE)</f>
        <v>610</v>
      </c>
      <c r="CW53" s="34">
        <f>HLOOKUP(CW$7+0.5,$I$66:$DJ$120,ROWS($A$10:$A53)+2,FALSE)</f>
        <v>1716</v>
      </c>
      <c r="CX53" s="34">
        <f>HLOOKUP(CX$7+0.5,$I$66:$DJ$120,ROWS($A$10:$A53)+2,FALSE)</f>
        <v>31</v>
      </c>
      <c r="CY53" s="34">
        <f>HLOOKUP(CY$7+0.5,$I$66:$DJ$120,ROWS($A$10:$A53)+2,FALSE)</f>
        <v>1883</v>
      </c>
      <c r="CZ53" s="34">
        <f>HLOOKUP(CZ$7+0.5,$I$66:$DJ$120,ROWS($A$10:$A53)+2,FALSE)</f>
        <v>156</v>
      </c>
      <c r="DA53" s="34" t="str">
        <f>HLOOKUP(DA$7+0.5,$I$66:$DJ$120,ROWS($A$10:$A53)+2,FALSE)</f>
        <v>N/A</v>
      </c>
      <c r="DB53" s="34">
        <f>HLOOKUP(DB$7+0.5,$I$66:$DJ$120,ROWS($A$10:$A53)+2,FALSE)</f>
        <v>1999</v>
      </c>
      <c r="DC53" s="34">
        <f>HLOOKUP(DC$7+0.5,$I$66:$DJ$120,ROWS($A$10:$A53)+2,FALSE)</f>
        <v>223</v>
      </c>
      <c r="DD53" s="34">
        <f>HLOOKUP(DD$7+0.5,$I$66:$DJ$120,ROWS($A$10:$A53)+2,FALSE)</f>
        <v>64</v>
      </c>
      <c r="DE53" s="34">
        <f>HLOOKUP(DE$7+0.5,$I$66:$DJ$120,ROWS($A$10:$A53)+2,FALSE)</f>
        <v>1279</v>
      </c>
      <c r="DF53" s="34">
        <f>HLOOKUP(DF$7+0.5,$I$66:$DJ$120,ROWS($A$10:$A53)+2,FALSE)</f>
        <v>2746</v>
      </c>
      <c r="DG53" s="34">
        <f>HLOOKUP(DG$7+0.5,$I$66:$DJ$120,ROWS($A$10:$A53)+2,FALSE)</f>
        <v>764</v>
      </c>
      <c r="DH53" s="34">
        <f>HLOOKUP(DH$7+0.5,$I$66:$DJ$120,ROWS($A$10:$A53)+2,FALSE)</f>
        <v>631</v>
      </c>
      <c r="DI53" s="34">
        <f>HLOOKUP(DI$7+0.5,$I$66:$DJ$120,ROWS($A$10:$A53)+2,FALSE)</f>
        <v>214</v>
      </c>
      <c r="DJ53" s="34">
        <f>HLOOKUP(DJ$7+0.5,$I$66:$DJ$120,ROWS($A$10:$A53)+2,FALSE)</f>
        <v>1191</v>
      </c>
    </row>
    <row r="54" spans="2:114" x14ac:dyDescent="0.25">
      <c r="B54" s="38" t="s">
        <v>50</v>
      </c>
      <c r="C54" s="15">
        <v>25327104</v>
      </c>
      <c r="D54" s="14">
        <v>10987</v>
      </c>
      <c r="E54" s="15">
        <v>20984855</v>
      </c>
      <c r="F54" s="14">
        <v>65490</v>
      </c>
      <c r="G54" s="15">
        <v>3648260</v>
      </c>
      <c r="H54" s="14">
        <v>63784</v>
      </c>
      <c r="I54" s="36">
        <f>HLOOKUP(I$7,$I$66:$DJ$120,ROWS($A$10:$A54)+2,FALSE)</f>
        <v>514726</v>
      </c>
      <c r="J54" s="25">
        <f>HLOOKUP(J$7,$I$66:$DJ$120,ROWS($A$10:$A54)+2,FALSE)</f>
        <v>8747</v>
      </c>
      <c r="K54" s="25">
        <f>HLOOKUP(K$7,$I$66:$DJ$120,ROWS($A$10:$A54)+2,FALSE)</f>
        <v>6670</v>
      </c>
      <c r="L54" s="25">
        <f>HLOOKUP(L$7,$I$66:$DJ$120,ROWS($A$10:$A54)+2,FALSE)</f>
        <v>20073</v>
      </c>
      <c r="M54" s="25">
        <f>HLOOKUP(M$7,$I$66:$DJ$120,ROWS($A$10:$A54)+2,FALSE)</f>
        <v>16461</v>
      </c>
      <c r="N54" s="25">
        <f>HLOOKUP(N$7,$I$66:$DJ$120,ROWS($A$10:$A54)+2,FALSE)</f>
        <v>58992</v>
      </c>
      <c r="O54" s="25">
        <f>HLOOKUP(O$7,$I$66:$DJ$120,ROWS($A$10:$A54)+2,FALSE)</f>
        <v>19126</v>
      </c>
      <c r="P54" s="25">
        <f>HLOOKUP(P$7,$I$66:$DJ$120,ROWS($A$10:$A54)+2,FALSE)</f>
        <v>2927</v>
      </c>
      <c r="Q54" s="25">
        <f>HLOOKUP(Q$7,$I$66:$DJ$120,ROWS($A$10:$A54)+2,FALSE)</f>
        <v>884</v>
      </c>
      <c r="R54" s="25">
        <f>HLOOKUP(R$7,$I$66:$DJ$120,ROWS($A$10:$A54)+2,FALSE)</f>
        <v>2276</v>
      </c>
      <c r="S54" s="25">
        <f>HLOOKUP(S$7,$I$66:$DJ$120,ROWS($A$10:$A54)+2,FALSE)</f>
        <v>35777</v>
      </c>
      <c r="T54" s="25">
        <f>HLOOKUP(T$7,$I$66:$DJ$120,ROWS($A$10:$A54)+2,FALSE)</f>
        <v>17401</v>
      </c>
      <c r="U54" s="25">
        <f>HLOOKUP(U$7,$I$66:$DJ$120,ROWS($A$10:$A54)+2,FALSE)</f>
        <v>6106</v>
      </c>
      <c r="V54" s="25">
        <f>HLOOKUP(V$7,$I$66:$DJ$120,ROWS($A$10:$A54)+2,FALSE)</f>
        <v>4379</v>
      </c>
      <c r="W54" s="25">
        <f>HLOOKUP(W$7,$I$66:$DJ$120,ROWS($A$10:$A54)+2,FALSE)</f>
        <v>15064</v>
      </c>
      <c r="X54" s="25">
        <f>HLOOKUP(X$7,$I$66:$DJ$120,ROWS($A$10:$A54)+2,FALSE)</f>
        <v>10265</v>
      </c>
      <c r="Y54" s="25">
        <f>HLOOKUP(Y$7,$I$66:$DJ$120,ROWS($A$10:$A54)+2,FALSE)</f>
        <v>3236</v>
      </c>
      <c r="Z54" s="25">
        <f>HLOOKUP(Z$7,$I$66:$DJ$120,ROWS($A$10:$A54)+2,FALSE)</f>
        <v>12766</v>
      </c>
      <c r="AA54" s="25">
        <f>HLOOKUP(AA$7,$I$66:$DJ$120,ROWS($A$10:$A54)+2,FALSE)</f>
        <v>6616</v>
      </c>
      <c r="AB54" s="25">
        <f>HLOOKUP(AB$7,$I$66:$DJ$120,ROWS($A$10:$A54)+2,FALSE)</f>
        <v>25513</v>
      </c>
      <c r="AC54" s="25">
        <f>HLOOKUP(AC$7,$I$66:$DJ$120,ROWS($A$10:$A54)+2,FALSE)</f>
        <v>1357</v>
      </c>
      <c r="AD54" s="25">
        <f>HLOOKUP(AD$7,$I$66:$DJ$120,ROWS($A$10:$A54)+2,FALSE)</f>
        <v>9443</v>
      </c>
      <c r="AE54" s="25">
        <f>HLOOKUP(AE$7,$I$66:$DJ$120,ROWS($A$10:$A54)+2,FALSE)</f>
        <v>5035</v>
      </c>
      <c r="AF54" s="25">
        <f>HLOOKUP(AF$7,$I$66:$DJ$120,ROWS($A$10:$A54)+2,FALSE)</f>
        <v>15654</v>
      </c>
      <c r="AG54" s="25">
        <f>HLOOKUP(AG$7,$I$66:$DJ$120,ROWS($A$10:$A54)+2,FALSE)</f>
        <v>7691</v>
      </c>
      <c r="AH54" s="25">
        <f>HLOOKUP(AH$7,$I$66:$DJ$120,ROWS($A$10:$A54)+2,FALSE)</f>
        <v>6048</v>
      </c>
      <c r="AI54" s="25">
        <f>HLOOKUP(AI$7,$I$66:$DJ$120,ROWS($A$10:$A54)+2,FALSE)</f>
        <v>13473</v>
      </c>
      <c r="AJ54" s="25">
        <f>HLOOKUP(AJ$7,$I$66:$DJ$120,ROWS($A$10:$A54)+2,FALSE)</f>
        <v>537</v>
      </c>
      <c r="AK54" s="25">
        <f>HLOOKUP(AK$7,$I$66:$DJ$120,ROWS($A$10:$A54)+2,FALSE)</f>
        <v>3837</v>
      </c>
      <c r="AL54" s="25">
        <f>HLOOKUP(AL$7,$I$66:$DJ$120,ROWS($A$10:$A54)+2,FALSE)</f>
        <v>7793</v>
      </c>
      <c r="AM54" s="25">
        <f>HLOOKUP(AM$7,$I$66:$DJ$120,ROWS($A$10:$A54)+2,FALSE)</f>
        <v>459</v>
      </c>
      <c r="AN54" s="25">
        <f>HLOOKUP(AN$7,$I$66:$DJ$120,ROWS($A$10:$A54)+2,FALSE)</f>
        <v>7578</v>
      </c>
      <c r="AO54" s="25">
        <f>HLOOKUP(AO$7,$I$66:$DJ$120,ROWS($A$10:$A54)+2,FALSE)</f>
        <v>15225</v>
      </c>
      <c r="AP54" s="25">
        <f>HLOOKUP(AP$7,$I$66:$DJ$120,ROWS($A$10:$A54)+2,FALSE)</f>
        <v>26155</v>
      </c>
      <c r="AQ54" s="25">
        <f>HLOOKUP(AQ$7,$I$66:$DJ$120,ROWS($A$10:$A54)+2,FALSE)</f>
        <v>14956</v>
      </c>
      <c r="AR54" s="25">
        <f>HLOOKUP(AR$7,$I$66:$DJ$120,ROWS($A$10:$A54)+2,FALSE)</f>
        <v>809</v>
      </c>
      <c r="AS54" s="25">
        <f>HLOOKUP(AS$7,$I$66:$DJ$120,ROWS($A$10:$A54)+2,FALSE)</f>
        <v>12315</v>
      </c>
      <c r="AT54" s="25">
        <f>HLOOKUP(AT$7,$I$66:$DJ$120,ROWS($A$10:$A54)+2,FALSE)</f>
        <v>19302</v>
      </c>
      <c r="AU54" s="25">
        <f>HLOOKUP(AU$7,$I$66:$DJ$120,ROWS($A$10:$A54)+2,FALSE)</f>
        <v>3743</v>
      </c>
      <c r="AV54" s="25">
        <f>HLOOKUP(AV$7,$I$66:$DJ$120,ROWS($A$10:$A54)+2,FALSE)</f>
        <v>9107</v>
      </c>
      <c r="AW54" s="25">
        <f>HLOOKUP(AW$7,$I$66:$DJ$120,ROWS($A$10:$A54)+2,FALSE)</f>
        <v>1297</v>
      </c>
      <c r="AX54" s="25">
        <f>HLOOKUP(AX$7,$I$66:$DJ$120,ROWS($A$10:$A54)+2,FALSE)</f>
        <v>4075</v>
      </c>
      <c r="AY54" s="25">
        <f>HLOOKUP(AY$7,$I$66:$DJ$120,ROWS($A$10:$A54)+2,FALSE)</f>
        <v>1486</v>
      </c>
      <c r="AZ54" s="25">
        <f>HLOOKUP(AZ$7,$I$66:$DJ$120,ROWS($A$10:$A54)+2,FALSE)</f>
        <v>10788</v>
      </c>
      <c r="BA54" s="25" t="str">
        <f>HLOOKUP(BA$7,$I$66:$DJ$120,ROWS($A$10:$A54)+2,FALSE)</f>
        <v>N/A</v>
      </c>
      <c r="BB54" s="25">
        <f>HLOOKUP(BB$7,$I$66:$DJ$120,ROWS($A$10:$A54)+2,FALSE)</f>
        <v>5234</v>
      </c>
      <c r="BC54" s="25">
        <f>HLOOKUP(BC$7,$I$66:$DJ$120,ROWS($A$10:$A54)+2,FALSE)</f>
        <v>349</v>
      </c>
      <c r="BD54" s="25">
        <f>HLOOKUP(BD$7,$I$66:$DJ$120,ROWS($A$10:$A54)+2,FALSE)</f>
        <v>13231</v>
      </c>
      <c r="BE54" s="25">
        <f>HLOOKUP(BE$7,$I$66:$DJ$120,ROWS($A$10:$A54)+2,FALSE)</f>
        <v>15325</v>
      </c>
      <c r="BF54" s="25">
        <f>HLOOKUP(BF$7,$I$66:$DJ$120,ROWS($A$10:$A54)+2,FALSE)</f>
        <v>663</v>
      </c>
      <c r="BG54" s="25">
        <f>HLOOKUP(BG$7,$I$66:$DJ$120,ROWS($A$10:$A54)+2,FALSE)</f>
        <v>5982</v>
      </c>
      <c r="BH54" s="25">
        <f>HLOOKUP(BH$7,$I$66:$DJ$120,ROWS($A$10:$A54)+2,FALSE)</f>
        <v>2500</v>
      </c>
      <c r="BI54" s="25">
        <f>HLOOKUP(BI$7,$I$66:$DJ$120,ROWS($A$10:$A54)+2,FALSE)</f>
        <v>5225</v>
      </c>
      <c r="BJ54" s="34">
        <f>HLOOKUP(BJ$7+0.5,$I$66:$DJ$120,ROWS($A$10:$A54)+2,FALSE)</f>
        <v>23860</v>
      </c>
      <c r="BK54" s="34">
        <f>HLOOKUP(BK$7+0.5,$I$66:$DJ$120,ROWS($A$10:$A54)+2,FALSE)</f>
        <v>2609</v>
      </c>
      <c r="BL54" s="34">
        <f>HLOOKUP(BL$7+0.5,$I$66:$DJ$120,ROWS($A$10:$A54)+2,FALSE)</f>
        <v>2828</v>
      </c>
      <c r="BM54" s="34">
        <f>HLOOKUP(BM$7+0.5,$I$66:$DJ$120,ROWS($A$10:$A54)+2,FALSE)</f>
        <v>5295</v>
      </c>
      <c r="BN54" s="34">
        <f>HLOOKUP(BN$7+0.5,$I$66:$DJ$120,ROWS($A$10:$A54)+2,FALSE)</f>
        <v>3965</v>
      </c>
      <c r="BO54" s="34">
        <f>HLOOKUP(BO$7+0.5,$I$66:$DJ$120,ROWS($A$10:$A54)+2,FALSE)</f>
        <v>7044</v>
      </c>
      <c r="BP54" s="34">
        <f>HLOOKUP(BP$7+0.5,$I$66:$DJ$120,ROWS($A$10:$A54)+2,FALSE)</f>
        <v>3821</v>
      </c>
      <c r="BQ54" s="34">
        <f>HLOOKUP(BQ$7+0.5,$I$66:$DJ$120,ROWS($A$10:$A54)+2,FALSE)</f>
        <v>1710</v>
      </c>
      <c r="BR54" s="34">
        <f>HLOOKUP(BR$7+0.5,$I$66:$DJ$120,ROWS($A$10:$A54)+2,FALSE)</f>
        <v>658</v>
      </c>
      <c r="BS54" s="34">
        <f>HLOOKUP(BS$7+0.5,$I$66:$DJ$120,ROWS($A$10:$A54)+2,FALSE)</f>
        <v>1540</v>
      </c>
      <c r="BT54" s="34">
        <f>HLOOKUP(BT$7+0.5,$I$66:$DJ$120,ROWS($A$10:$A54)+2,FALSE)</f>
        <v>6888</v>
      </c>
      <c r="BU54" s="34">
        <f>HLOOKUP(BU$7+0.5,$I$66:$DJ$120,ROWS($A$10:$A54)+2,FALSE)</f>
        <v>3608</v>
      </c>
      <c r="BV54" s="34">
        <f>HLOOKUP(BV$7+0.5,$I$66:$DJ$120,ROWS($A$10:$A54)+2,FALSE)</f>
        <v>2623</v>
      </c>
      <c r="BW54" s="34">
        <f>HLOOKUP(BW$7+0.5,$I$66:$DJ$120,ROWS($A$10:$A54)+2,FALSE)</f>
        <v>3119</v>
      </c>
      <c r="BX54" s="34">
        <f>HLOOKUP(BX$7+0.5,$I$66:$DJ$120,ROWS($A$10:$A54)+2,FALSE)</f>
        <v>3097</v>
      </c>
      <c r="BY54" s="34">
        <f>HLOOKUP(BY$7+0.5,$I$66:$DJ$120,ROWS($A$10:$A54)+2,FALSE)</f>
        <v>3693</v>
      </c>
      <c r="BZ54" s="34">
        <f>HLOOKUP(BZ$7+0.5,$I$66:$DJ$120,ROWS($A$10:$A54)+2,FALSE)</f>
        <v>1628</v>
      </c>
      <c r="CA54" s="34">
        <f>HLOOKUP(CA$7+0.5,$I$66:$DJ$120,ROWS($A$10:$A54)+2,FALSE)</f>
        <v>4731</v>
      </c>
      <c r="CB54" s="34">
        <f>HLOOKUP(CB$7+0.5,$I$66:$DJ$120,ROWS($A$10:$A54)+2,FALSE)</f>
        <v>2648</v>
      </c>
      <c r="CC54" s="34">
        <f>HLOOKUP(CC$7+0.5,$I$66:$DJ$120,ROWS($A$10:$A54)+2,FALSE)</f>
        <v>5283</v>
      </c>
      <c r="CD54" s="34">
        <f>HLOOKUP(CD$7+0.5,$I$66:$DJ$120,ROWS($A$10:$A54)+2,FALSE)</f>
        <v>1052</v>
      </c>
      <c r="CE54" s="34">
        <f>HLOOKUP(CE$7+0.5,$I$66:$DJ$120,ROWS($A$10:$A54)+2,FALSE)</f>
        <v>3323</v>
      </c>
      <c r="CF54" s="34">
        <f>HLOOKUP(CF$7+0.5,$I$66:$DJ$120,ROWS($A$10:$A54)+2,FALSE)</f>
        <v>1644</v>
      </c>
      <c r="CG54" s="34">
        <f>HLOOKUP(CG$7+0.5,$I$66:$DJ$120,ROWS($A$10:$A54)+2,FALSE)</f>
        <v>4327</v>
      </c>
      <c r="CH54" s="34">
        <f>HLOOKUP(CH$7+0.5,$I$66:$DJ$120,ROWS($A$10:$A54)+2,FALSE)</f>
        <v>2576</v>
      </c>
      <c r="CI54" s="34">
        <f>HLOOKUP(CI$7+0.5,$I$66:$DJ$120,ROWS($A$10:$A54)+2,FALSE)</f>
        <v>2921</v>
      </c>
      <c r="CJ54" s="34">
        <f>HLOOKUP(CJ$7+0.5,$I$66:$DJ$120,ROWS($A$10:$A54)+2,FALSE)</f>
        <v>3950</v>
      </c>
      <c r="CK54" s="34">
        <f>HLOOKUP(CK$7+0.5,$I$66:$DJ$120,ROWS($A$10:$A54)+2,FALSE)</f>
        <v>423</v>
      </c>
      <c r="CL54" s="34">
        <f>HLOOKUP(CL$7+0.5,$I$66:$DJ$120,ROWS($A$10:$A54)+2,FALSE)</f>
        <v>2060</v>
      </c>
      <c r="CM54" s="34">
        <f>HLOOKUP(CM$7+0.5,$I$66:$DJ$120,ROWS($A$10:$A54)+2,FALSE)</f>
        <v>2927</v>
      </c>
      <c r="CN54" s="34">
        <f>HLOOKUP(CN$7+0.5,$I$66:$DJ$120,ROWS($A$10:$A54)+2,FALSE)</f>
        <v>334</v>
      </c>
      <c r="CO54" s="34">
        <f>HLOOKUP(CO$7+0.5,$I$66:$DJ$120,ROWS($A$10:$A54)+2,FALSE)</f>
        <v>2982</v>
      </c>
      <c r="CP54" s="34">
        <f>HLOOKUP(CP$7+0.5,$I$66:$DJ$120,ROWS($A$10:$A54)+2,FALSE)</f>
        <v>2786</v>
      </c>
      <c r="CQ54" s="34">
        <f>HLOOKUP(CQ$7+0.5,$I$66:$DJ$120,ROWS($A$10:$A54)+2,FALSE)</f>
        <v>6509</v>
      </c>
      <c r="CR54" s="34">
        <f>HLOOKUP(CR$7+0.5,$I$66:$DJ$120,ROWS($A$10:$A54)+2,FALSE)</f>
        <v>4396</v>
      </c>
      <c r="CS54" s="34">
        <f>HLOOKUP(CS$7+0.5,$I$66:$DJ$120,ROWS($A$10:$A54)+2,FALSE)</f>
        <v>652</v>
      </c>
      <c r="CT54" s="34">
        <f>HLOOKUP(CT$7+0.5,$I$66:$DJ$120,ROWS($A$10:$A54)+2,FALSE)</f>
        <v>2730</v>
      </c>
      <c r="CU54" s="34">
        <f>HLOOKUP(CU$7+0.5,$I$66:$DJ$120,ROWS($A$10:$A54)+2,FALSE)</f>
        <v>4804</v>
      </c>
      <c r="CV54" s="34">
        <f>HLOOKUP(CV$7+0.5,$I$66:$DJ$120,ROWS($A$10:$A54)+2,FALSE)</f>
        <v>1552</v>
      </c>
      <c r="CW54" s="34">
        <f>HLOOKUP(CW$7+0.5,$I$66:$DJ$120,ROWS($A$10:$A54)+2,FALSE)</f>
        <v>2433</v>
      </c>
      <c r="CX54" s="34">
        <f>HLOOKUP(CX$7+0.5,$I$66:$DJ$120,ROWS($A$10:$A54)+2,FALSE)</f>
        <v>1223</v>
      </c>
      <c r="CY54" s="34">
        <f>HLOOKUP(CY$7+0.5,$I$66:$DJ$120,ROWS($A$10:$A54)+2,FALSE)</f>
        <v>1969</v>
      </c>
      <c r="CZ54" s="34">
        <f>HLOOKUP(CZ$7+0.5,$I$66:$DJ$120,ROWS($A$10:$A54)+2,FALSE)</f>
        <v>1045</v>
      </c>
      <c r="DA54" s="34">
        <f>HLOOKUP(DA$7+0.5,$I$66:$DJ$120,ROWS($A$10:$A54)+2,FALSE)</f>
        <v>3114</v>
      </c>
      <c r="DB54" s="34" t="str">
        <f>HLOOKUP(DB$7+0.5,$I$66:$DJ$120,ROWS($A$10:$A54)+2,FALSE)</f>
        <v>N/A</v>
      </c>
      <c r="DC54" s="34">
        <f>HLOOKUP(DC$7+0.5,$I$66:$DJ$120,ROWS($A$10:$A54)+2,FALSE)</f>
        <v>2551</v>
      </c>
      <c r="DD54" s="34">
        <f>HLOOKUP(DD$7+0.5,$I$66:$DJ$120,ROWS($A$10:$A54)+2,FALSE)</f>
        <v>344</v>
      </c>
      <c r="DE54" s="34">
        <f>HLOOKUP(DE$7+0.5,$I$66:$DJ$120,ROWS($A$10:$A54)+2,FALSE)</f>
        <v>3158</v>
      </c>
      <c r="DF54" s="34">
        <f>HLOOKUP(DF$7+0.5,$I$66:$DJ$120,ROWS($A$10:$A54)+2,FALSE)</f>
        <v>3090</v>
      </c>
      <c r="DG54" s="34">
        <f>HLOOKUP(DG$7+0.5,$I$66:$DJ$120,ROWS($A$10:$A54)+2,FALSE)</f>
        <v>563</v>
      </c>
      <c r="DH54" s="34">
        <f>HLOOKUP(DH$7+0.5,$I$66:$DJ$120,ROWS($A$10:$A54)+2,FALSE)</f>
        <v>2396</v>
      </c>
      <c r="DI54" s="34">
        <f>HLOOKUP(DI$7+0.5,$I$66:$DJ$120,ROWS($A$10:$A54)+2,FALSE)</f>
        <v>1485</v>
      </c>
      <c r="DJ54" s="34">
        <f>HLOOKUP(DJ$7+0.5,$I$66:$DJ$120,ROWS($A$10:$A54)+2,FALSE)</f>
        <v>2173</v>
      </c>
    </row>
    <row r="55" spans="2:114" x14ac:dyDescent="0.25">
      <c r="B55" s="38" t="s">
        <v>51</v>
      </c>
      <c r="C55" s="15">
        <v>2769627</v>
      </c>
      <c r="D55" s="14">
        <v>2949</v>
      </c>
      <c r="E55" s="15">
        <v>2295961</v>
      </c>
      <c r="F55" s="14">
        <v>19215</v>
      </c>
      <c r="G55" s="15">
        <v>373984</v>
      </c>
      <c r="H55" s="14">
        <v>17246</v>
      </c>
      <c r="I55" s="36">
        <f>HLOOKUP(I$7,$I$66:$DJ$120,ROWS($A$10:$A55)+2,FALSE)</f>
        <v>85217</v>
      </c>
      <c r="J55" s="25">
        <f>HLOOKUP(J$7,$I$66:$DJ$120,ROWS($A$10:$A55)+2,FALSE)</f>
        <v>486</v>
      </c>
      <c r="K55" s="25">
        <f>HLOOKUP(K$7,$I$66:$DJ$120,ROWS($A$10:$A55)+2,FALSE)</f>
        <v>2151</v>
      </c>
      <c r="L55" s="25">
        <f>HLOOKUP(L$7,$I$66:$DJ$120,ROWS($A$10:$A55)+2,FALSE)</f>
        <v>6585</v>
      </c>
      <c r="M55" s="25">
        <f>HLOOKUP(M$7,$I$66:$DJ$120,ROWS($A$10:$A55)+2,FALSE)</f>
        <v>422</v>
      </c>
      <c r="N55" s="25">
        <f>HLOOKUP(N$7,$I$66:$DJ$120,ROWS($A$10:$A55)+2,FALSE)</f>
        <v>18237</v>
      </c>
      <c r="O55" s="25">
        <f>HLOOKUP(O$7,$I$66:$DJ$120,ROWS($A$10:$A55)+2,FALSE)</f>
        <v>3986</v>
      </c>
      <c r="P55" s="25">
        <f>HLOOKUP(P$7,$I$66:$DJ$120,ROWS($A$10:$A55)+2,FALSE)</f>
        <v>562</v>
      </c>
      <c r="Q55" s="25">
        <f>HLOOKUP(Q$7,$I$66:$DJ$120,ROWS($A$10:$A55)+2,FALSE)</f>
        <v>0</v>
      </c>
      <c r="R55" s="25">
        <f>HLOOKUP(R$7,$I$66:$DJ$120,ROWS($A$10:$A55)+2,FALSE)</f>
        <v>132</v>
      </c>
      <c r="S55" s="25">
        <f>HLOOKUP(S$7,$I$66:$DJ$120,ROWS($A$10:$A55)+2,FALSE)</f>
        <v>1643</v>
      </c>
      <c r="T55" s="25">
        <f>HLOOKUP(T$7,$I$66:$DJ$120,ROWS($A$10:$A55)+2,FALSE)</f>
        <v>1052</v>
      </c>
      <c r="U55" s="25">
        <f>HLOOKUP(U$7,$I$66:$DJ$120,ROWS($A$10:$A55)+2,FALSE)</f>
        <v>1701</v>
      </c>
      <c r="V55" s="25">
        <f>HLOOKUP(V$7,$I$66:$DJ$120,ROWS($A$10:$A55)+2,FALSE)</f>
        <v>7538</v>
      </c>
      <c r="W55" s="25">
        <f>HLOOKUP(W$7,$I$66:$DJ$120,ROWS($A$10:$A55)+2,FALSE)</f>
        <v>1447</v>
      </c>
      <c r="X55" s="25">
        <f>HLOOKUP(X$7,$I$66:$DJ$120,ROWS($A$10:$A55)+2,FALSE)</f>
        <v>545</v>
      </c>
      <c r="Y55" s="25">
        <f>HLOOKUP(Y$7,$I$66:$DJ$120,ROWS($A$10:$A55)+2,FALSE)</f>
        <v>290</v>
      </c>
      <c r="Z55" s="25">
        <f>HLOOKUP(Z$7,$I$66:$DJ$120,ROWS($A$10:$A55)+2,FALSE)</f>
        <v>1146</v>
      </c>
      <c r="AA55" s="25">
        <f>HLOOKUP(AA$7,$I$66:$DJ$120,ROWS($A$10:$A55)+2,FALSE)</f>
        <v>611</v>
      </c>
      <c r="AB55" s="25">
        <f>HLOOKUP(AB$7,$I$66:$DJ$120,ROWS($A$10:$A55)+2,FALSE)</f>
        <v>494</v>
      </c>
      <c r="AC55" s="25">
        <f>HLOOKUP(AC$7,$I$66:$DJ$120,ROWS($A$10:$A55)+2,FALSE)</f>
        <v>0</v>
      </c>
      <c r="AD55" s="25">
        <f>HLOOKUP(AD$7,$I$66:$DJ$120,ROWS($A$10:$A55)+2,FALSE)</f>
        <v>342</v>
      </c>
      <c r="AE55" s="25">
        <f>HLOOKUP(AE$7,$I$66:$DJ$120,ROWS($A$10:$A55)+2,FALSE)</f>
        <v>959</v>
      </c>
      <c r="AF55" s="25">
        <f>HLOOKUP(AF$7,$I$66:$DJ$120,ROWS($A$10:$A55)+2,FALSE)</f>
        <v>1099</v>
      </c>
      <c r="AG55" s="25">
        <f>HLOOKUP(AG$7,$I$66:$DJ$120,ROWS($A$10:$A55)+2,FALSE)</f>
        <v>939</v>
      </c>
      <c r="AH55" s="25">
        <f>HLOOKUP(AH$7,$I$66:$DJ$120,ROWS($A$10:$A55)+2,FALSE)</f>
        <v>143</v>
      </c>
      <c r="AI55" s="25">
        <f>HLOOKUP(AI$7,$I$66:$DJ$120,ROWS($A$10:$A55)+2,FALSE)</f>
        <v>511</v>
      </c>
      <c r="AJ55" s="25">
        <f>HLOOKUP(AJ$7,$I$66:$DJ$120,ROWS($A$10:$A55)+2,FALSE)</f>
        <v>1241</v>
      </c>
      <c r="AK55" s="25">
        <f>HLOOKUP(AK$7,$I$66:$DJ$120,ROWS($A$10:$A55)+2,FALSE)</f>
        <v>195</v>
      </c>
      <c r="AL55" s="25">
        <f>HLOOKUP(AL$7,$I$66:$DJ$120,ROWS($A$10:$A55)+2,FALSE)</f>
        <v>4315</v>
      </c>
      <c r="AM55" s="25">
        <f>HLOOKUP(AM$7,$I$66:$DJ$120,ROWS($A$10:$A55)+2,FALSE)</f>
        <v>34</v>
      </c>
      <c r="AN55" s="25">
        <f>HLOOKUP(AN$7,$I$66:$DJ$120,ROWS($A$10:$A55)+2,FALSE)</f>
        <v>506</v>
      </c>
      <c r="AO55" s="25">
        <f>HLOOKUP(AO$7,$I$66:$DJ$120,ROWS($A$10:$A55)+2,FALSE)</f>
        <v>1707</v>
      </c>
      <c r="AP55" s="25">
        <f>HLOOKUP(AP$7,$I$66:$DJ$120,ROWS($A$10:$A55)+2,FALSE)</f>
        <v>1937</v>
      </c>
      <c r="AQ55" s="25">
        <f>HLOOKUP(AQ$7,$I$66:$DJ$120,ROWS($A$10:$A55)+2,FALSE)</f>
        <v>1653</v>
      </c>
      <c r="AR55" s="25">
        <f>HLOOKUP(AR$7,$I$66:$DJ$120,ROWS($A$10:$A55)+2,FALSE)</f>
        <v>2</v>
      </c>
      <c r="AS55" s="25">
        <f>HLOOKUP(AS$7,$I$66:$DJ$120,ROWS($A$10:$A55)+2,FALSE)</f>
        <v>2584</v>
      </c>
      <c r="AT55" s="25">
        <f>HLOOKUP(AT$7,$I$66:$DJ$120,ROWS($A$10:$A55)+2,FALSE)</f>
        <v>150</v>
      </c>
      <c r="AU55" s="25">
        <f>HLOOKUP(AU$7,$I$66:$DJ$120,ROWS($A$10:$A55)+2,FALSE)</f>
        <v>2037</v>
      </c>
      <c r="AV55" s="25">
        <f>HLOOKUP(AV$7,$I$66:$DJ$120,ROWS($A$10:$A55)+2,FALSE)</f>
        <v>1496</v>
      </c>
      <c r="AW55" s="25">
        <f>HLOOKUP(AW$7,$I$66:$DJ$120,ROWS($A$10:$A55)+2,FALSE)</f>
        <v>0</v>
      </c>
      <c r="AX55" s="25">
        <f>HLOOKUP(AX$7,$I$66:$DJ$120,ROWS($A$10:$A55)+2,FALSE)</f>
        <v>309</v>
      </c>
      <c r="AY55" s="25">
        <f>HLOOKUP(AY$7,$I$66:$DJ$120,ROWS($A$10:$A55)+2,FALSE)</f>
        <v>128</v>
      </c>
      <c r="AZ55" s="25">
        <f>HLOOKUP(AZ$7,$I$66:$DJ$120,ROWS($A$10:$A55)+2,FALSE)</f>
        <v>549</v>
      </c>
      <c r="BA55" s="25">
        <f>HLOOKUP(BA$7,$I$66:$DJ$120,ROWS($A$10:$A55)+2,FALSE)</f>
        <v>4507</v>
      </c>
      <c r="BB55" s="25" t="str">
        <f>HLOOKUP(BB$7,$I$66:$DJ$120,ROWS($A$10:$A55)+2,FALSE)</f>
        <v>N/A</v>
      </c>
      <c r="BC55" s="25">
        <f>HLOOKUP(BC$7,$I$66:$DJ$120,ROWS($A$10:$A55)+2,FALSE)</f>
        <v>122</v>
      </c>
      <c r="BD55" s="25">
        <f>HLOOKUP(BD$7,$I$66:$DJ$120,ROWS($A$10:$A55)+2,FALSE)</f>
        <v>2413</v>
      </c>
      <c r="BE55" s="25">
        <f>HLOOKUP(BE$7,$I$66:$DJ$120,ROWS($A$10:$A55)+2,FALSE)</f>
        <v>4825</v>
      </c>
      <c r="BF55" s="25">
        <f>HLOOKUP(BF$7,$I$66:$DJ$120,ROWS($A$10:$A55)+2,FALSE)</f>
        <v>270</v>
      </c>
      <c r="BG55" s="25">
        <f>HLOOKUP(BG$7,$I$66:$DJ$120,ROWS($A$10:$A55)+2,FALSE)</f>
        <v>158</v>
      </c>
      <c r="BH55" s="25">
        <f>HLOOKUP(BH$7,$I$66:$DJ$120,ROWS($A$10:$A55)+2,FALSE)</f>
        <v>1058</v>
      </c>
      <c r="BI55" s="25">
        <f>HLOOKUP(BI$7,$I$66:$DJ$120,ROWS($A$10:$A55)+2,FALSE)</f>
        <v>0</v>
      </c>
      <c r="BJ55" s="34">
        <f>HLOOKUP(BJ$7+0.5,$I$66:$DJ$120,ROWS($A$10:$A55)+2,FALSE)</f>
        <v>7587</v>
      </c>
      <c r="BK55" s="34">
        <f>HLOOKUP(BK$7+0.5,$I$66:$DJ$120,ROWS($A$10:$A55)+2,FALSE)</f>
        <v>558</v>
      </c>
      <c r="BL55" s="34">
        <f>HLOOKUP(BL$7+0.5,$I$66:$DJ$120,ROWS($A$10:$A55)+2,FALSE)</f>
        <v>1259</v>
      </c>
      <c r="BM55" s="34">
        <f>HLOOKUP(BM$7+0.5,$I$66:$DJ$120,ROWS($A$10:$A55)+2,FALSE)</f>
        <v>2560</v>
      </c>
      <c r="BN55" s="34">
        <f>HLOOKUP(BN$7+0.5,$I$66:$DJ$120,ROWS($A$10:$A55)+2,FALSE)</f>
        <v>455</v>
      </c>
      <c r="BO55" s="34">
        <f>HLOOKUP(BO$7+0.5,$I$66:$DJ$120,ROWS($A$10:$A55)+2,FALSE)</f>
        <v>4113</v>
      </c>
      <c r="BP55" s="34">
        <f>HLOOKUP(BP$7+0.5,$I$66:$DJ$120,ROWS($A$10:$A55)+2,FALSE)</f>
        <v>1191</v>
      </c>
      <c r="BQ55" s="34">
        <f>HLOOKUP(BQ$7+0.5,$I$66:$DJ$120,ROWS($A$10:$A55)+2,FALSE)</f>
        <v>590</v>
      </c>
      <c r="BR55" s="34">
        <f>HLOOKUP(BR$7+0.5,$I$66:$DJ$120,ROWS($A$10:$A55)+2,FALSE)</f>
        <v>192</v>
      </c>
      <c r="BS55" s="34">
        <f>HLOOKUP(BS$7+0.5,$I$66:$DJ$120,ROWS($A$10:$A55)+2,FALSE)</f>
        <v>141</v>
      </c>
      <c r="BT55" s="34">
        <f>HLOOKUP(BT$7+0.5,$I$66:$DJ$120,ROWS($A$10:$A55)+2,FALSE)</f>
        <v>960</v>
      </c>
      <c r="BU55" s="34">
        <f>HLOOKUP(BU$7+0.5,$I$66:$DJ$120,ROWS($A$10:$A55)+2,FALSE)</f>
        <v>595</v>
      </c>
      <c r="BV55" s="34">
        <f>HLOOKUP(BV$7+0.5,$I$66:$DJ$120,ROWS($A$10:$A55)+2,FALSE)</f>
        <v>997</v>
      </c>
      <c r="BW55" s="34">
        <f>HLOOKUP(BW$7+0.5,$I$66:$DJ$120,ROWS($A$10:$A55)+2,FALSE)</f>
        <v>3248</v>
      </c>
      <c r="BX55" s="34">
        <f>HLOOKUP(BX$7+0.5,$I$66:$DJ$120,ROWS($A$10:$A55)+2,FALSE)</f>
        <v>825</v>
      </c>
      <c r="BY55" s="34">
        <f>HLOOKUP(BY$7+0.5,$I$66:$DJ$120,ROWS($A$10:$A55)+2,FALSE)</f>
        <v>398</v>
      </c>
      <c r="BZ55" s="34">
        <f>HLOOKUP(BZ$7+0.5,$I$66:$DJ$120,ROWS($A$10:$A55)+2,FALSE)</f>
        <v>250</v>
      </c>
      <c r="CA55" s="34">
        <f>HLOOKUP(CA$7+0.5,$I$66:$DJ$120,ROWS($A$10:$A55)+2,FALSE)</f>
        <v>829</v>
      </c>
      <c r="CB55" s="34">
        <f>HLOOKUP(CB$7+0.5,$I$66:$DJ$120,ROWS($A$10:$A55)+2,FALSE)</f>
        <v>529</v>
      </c>
      <c r="CC55" s="34">
        <f>HLOOKUP(CC$7+0.5,$I$66:$DJ$120,ROWS($A$10:$A55)+2,FALSE)</f>
        <v>402</v>
      </c>
      <c r="CD55" s="34">
        <f>HLOOKUP(CD$7+0.5,$I$66:$DJ$120,ROWS($A$10:$A55)+2,FALSE)</f>
        <v>192</v>
      </c>
      <c r="CE55" s="34">
        <f>HLOOKUP(CE$7+0.5,$I$66:$DJ$120,ROWS($A$10:$A55)+2,FALSE)</f>
        <v>301</v>
      </c>
      <c r="CF55" s="34">
        <f>HLOOKUP(CF$7+0.5,$I$66:$DJ$120,ROWS($A$10:$A55)+2,FALSE)</f>
        <v>638</v>
      </c>
      <c r="CG55" s="34">
        <f>HLOOKUP(CG$7+0.5,$I$66:$DJ$120,ROWS($A$10:$A55)+2,FALSE)</f>
        <v>724</v>
      </c>
      <c r="CH55" s="34">
        <f>HLOOKUP(CH$7+0.5,$I$66:$DJ$120,ROWS($A$10:$A55)+2,FALSE)</f>
        <v>634</v>
      </c>
      <c r="CI55" s="34">
        <f>HLOOKUP(CI$7+0.5,$I$66:$DJ$120,ROWS($A$10:$A55)+2,FALSE)</f>
        <v>163</v>
      </c>
      <c r="CJ55" s="34">
        <f>HLOOKUP(CJ$7+0.5,$I$66:$DJ$120,ROWS($A$10:$A55)+2,FALSE)</f>
        <v>372</v>
      </c>
      <c r="CK55" s="34">
        <f>HLOOKUP(CK$7+0.5,$I$66:$DJ$120,ROWS($A$10:$A55)+2,FALSE)</f>
        <v>623</v>
      </c>
      <c r="CL55" s="34">
        <f>HLOOKUP(CL$7+0.5,$I$66:$DJ$120,ROWS($A$10:$A55)+2,FALSE)</f>
        <v>178</v>
      </c>
      <c r="CM55" s="34">
        <f>HLOOKUP(CM$7+0.5,$I$66:$DJ$120,ROWS($A$10:$A55)+2,FALSE)</f>
        <v>1358</v>
      </c>
      <c r="CN55" s="34">
        <f>HLOOKUP(CN$7+0.5,$I$66:$DJ$120,ROWS($A$10:$A55)+2,FALSE)</f>
        <v>42</v>
      </c>
      <c r="CO55" s="34">
        <f>HLOOKUP(CO$7+0.5,$I$66:$DJ$120,ROWS($A$10:$A55)+2,FALSE)</f>
        <v>485</v>
      </c>
      <c r="CP55" s="34">
        <f>HLOOKUP(CP$7+0.5,$I$66:$DJ$120,ROWS($A$10:$A55)+2,FALSE)</f>
        <v>1068</v>
      </c>
      <c r="CQ55" s="34">
        <f>HLOOKUP(CQ$7+0.5,$I$66:$DJ$120,ROWS($A$10:$A55)+2,FALSE)</f>
        <v>1299</v>
      </c>
      <c r="CR55" s="34">
        <f>HLOOKUP(CR$7+0.5,$I$66:$DJ$120,ROWS($A$10:$A55)+2,FALSE)</f>
        <v>1181</v>
      </c>
      <c r="CS55" s="34">
        <f>HLOOKUP(CS$7+0.5,$I$66:$DJ$120,ROWS($A$10:$A55)+2,FALSE)</f>
        <v>5</v>
      </c>
      <c r="CT55" s="34">
        <f>HLOOKUP(CT$7+0.5,$I$66:$DJ$120,ROWS($A$10:$A55)+2,FALSE)</f>
        <v>1124</v>
      </c>
      <c r="CU55" s="34">
        <f>HLOOKUP(CU$7+0.5,$I$66:$DJ$120,ROWS($A$10:$A55)+2,FALSE)</f>
        <v>218</v>
      </c>
      <c r="CV55" s="34">
        <f>HLOOKUP(CV$7+0.5,$I$66:$DJ$120,ROWS($A$10:$A55)+2,FALSE)</f>
        <v>1026</v>
      </c>
      <c r="CW55" s="34">
        <f>HLOOKUP(CW$7+0.5,$I$66:$DJ$120,ROWS($A$10:$A55)+2,FALSE)</f>
        <v>808</v>
      </c>
      <c r="CX55" s="34">
        <f>HLOOKUP(CX$7+0.5,$I$66:$DJ$120,ROWS($A$10:$A55)+2,FALSE)</f>
        <v>192</v>
      </c>
      <c r="CY55" s="34">
        <f>HLOOKUP(CY$7+0.5,$I$66:$DJ$120,ROWS($A$10:$A55)+2,FALSE)</f>
        <v>259</v>
      </c>
      <c r="CZ55" s="34">
        <f>HLOOKUP(CZ$7+0.5,$I$66:$DJ$120,ROWS($A$10:$A55)+2,FALSE)</f>
        <v>146</v>
      </c>
      <c r="DA55" s="34">
        <f>HLOOKUP(DA$7+0.5,$I$66:$DJ$120,ROWS($A$10:$A55)+2,FALSE)</f>
        <v>419</v>
      </c>
      <c r="DB55" s="34">
        <f>HLOOKUP(DB$7+0.5,$I$66:$DJ$120,ROWS($A$10:$A55)+2,FALSE)</f>
        <v>1517</v>
      </c>
      <c r="DC55" s="34" t="str">
        <f>HLOOKUP(DC$7+0.5,$I$66:$DJ$120,ROWS($A$10:$A55)+2,FALSE)</f>
        <v>N/A</v>
      </c>
      <c r="DD55" s="34">
        <f>HLOOKUP(DD$7+0.5,$I$66:$DJ$120,ROWS($A$10:$A55)+2,FALSE)</f>
        <v>205</v>
      </c>
      <c r="DE55" s="34">
        <f>HLOOKUP(DE$7+0.5,$I$66:$DJ$120,ROWS($A$10:$A55)+2,FALSE)</f>
        <v>1459</v>
      </c>
      <c r="DF55" s="34">
        <f>HLOOKUP(DF$7+0.5,$I$66:$DJ$120,ROWS($A$10:$A55)+2,FALSE)</f>
        <v>2196</v>
      </c>
      <c r="DG55" s="34">
        <f>HLOOKUP(DG$7+0.5,$I$66:$DJ$120,ROWS($A$10:$A55)+2,FALSE)</f>
        <v>268</v>
      </c>
      <c r="DH55" s="34">
        <f>HLOOKUP(DH$7+0.5,$I$66:$DJ$120,ROWS($A$10:$A55)+2,FALSE)</f>
        <v>153</v>
      </c>
      <c r="DI55" s="34">
        <f>HLOOKUP(DI$7+0.5,$I$66:$DJ$120,ROWS($A$10:$A55)+2,FALSE)</f>
        <v>609</v>
      </c>
      <c r="DJ55" s="34">
        <f>HLOOKUP(DJ$7+0.5,$I$66:$DJ$120,ROWS($A$10:$A55)+2,FALSE)</f>
        <v>192</v>
      </c>
    </row>
    <row r="56" spans="2:114" x14ac:dyDescent="0.25">
      <c r="B56" s="38" t="s">
        <v>52</v>
      </c>
      <c r="C56" s="15">
        <v>621354</v>
      </c>
      <c r="D56" s="14">
        <v>940</v>
      </c>
      <c r="E56" s="15">
        <v>537304</v>
      </c>
      <c r="F56" s="14">
        <v>5021</v>
      </c>
      <c r="G56" s="15">
        <v>60719</v>
      </c>
      <c r="H56" s="14">
        <v>4634</v>
      </c>
      <c r="I56" s="36">
        <f>HLOOKUP(I$7,$I$66:$DJ$120,ROWS($A$10:$A56)+2,FALSE)</f>
        <v>20463</v>
      </c>
      <c r="J56" s="25">
        <f>HLOOKUP(J$7,$I$66:$DJ$120,ROWS($A$10:$A56)+2,FALSE)</f>
        <v>0</v>
      </c>
      <c r="K56" s="25">
        <f>HLOOKUP(K$7,$I$66:$DJ$120,ROWS($A$10:$A56)+2,FALSE)</f>
        <v>580</v>
      </c>
      <c r="L56" s="25">
        <f>HLOOKUP(L$7,$I$66:$DJ$120,ROWS($A$10:$A56)+2,FALSE)</f>
        <v>310</v>
      </c>
      <c r="M56" s="25">
        <f>HLOOKUP(M$7,$I$66:$DJ$120,ROWS($A$10:$A56)+2,FALSE)</f>
        <v>0</v>
      </c>
      <c r="N56" s="25">
        <f>HLOOKUP(N$7,$I$66:$DJ$120,ROWS($A$10:$A56)+2,FALSE)</f>
        <v>819</v>
      </c>
      <c r="O56" s="25">
        <f>HLOOKUP(O$7,$I$66:$DJ$120,ROWS($A$10:$A56)+2,FALSE)</f>
        <v>529</v>
      </c>
      <c r="P56" s="25">
        <f>HLOOKUP(P$7,$I$66:$DJ$120,ROWS($A$10:$A56)+2,FALSE)</f>
        <v>2105</v>
      </c>
      <c r="Q56" s="25">
        <f>HLOOKUP(Q$7,$I$66:$DJ$120,ROWS($A$10:$A56)+2,FALSE)</f>
        <v>107</v>
      </c>
      <c r="R56" s="25">
        <f>HLOOKUP(R$7,$I$66:$DJ$120,ROWS($A$10:$A56)+2,FALSE)</f>
        <v>27</v>
      </c>
      <c r="S56" s="25">
        <f>HLOOKUP(S$7,$I$66:$DJ$120,ROWS($A$10:$A56)+2,FALSE)</f>
        <v>366</v>
      </c>
      <c r="T56" s="25">
        <f>HLOOKUP(T$7,$I$66:$DJ$120,ROWS($A$10:$A56)+2,FALSE)</f>
        <v>101</v>
      </c>
      <c r="U56" s="25">
        <f>HLOOKUP(U$7,$I$66:$DJ$120,ROWS($A$10:$A56)+2,FALSE)</f>
        <v>143</v>
      </c>
      <c r="V56" s="25">
        <f>HLOOKUP(V$7,$I$66:$DJ$120,ROWS($A$10:$A56)+2,FALSE)</f>
        <v>0</v>
      </c>
      <c r="W56" s="25">
        <f>HLOOKUP(W$7,$I$66:$DJ$120,ROWS($A$10:$A56)+2,FALSE)</f>
        <v>386</v>
      </c>
      <c r="X56" s="25">
        <f>HLOOKUP(X$7,$I$66:$DJ$120,ROWS($A$10:$A56)+2,FALSE)</f>
        <v>258</v>
      </c>
      <c r="Y56" s="25">
        <f>HLOOKUP(Y$7,$I$66:$DJ$120,ROWS($A$10:$A56)+2,FALSE)</f>
        <v>0</v>
      </c>
      <c r="Z56" s="25">
        <f>HLOOKUP(Z$7,$I$66:$DJ$120,ROWS($A$10:$A56)+2,FALSE)</f>
        <v>7</v>
      </c>
      <c r="AA56" s="25">
        <f>HLOOKUP(AA$7,$I$66:$DJ$120,ROWS($A$10:$A56)+2,FALSE)</f>
        <v>627</v>
      </c>
      <c r="AB56" s="25">
        <f>HLOOKUP(AB$7,$I$66:$DJ$120,ROWS($A$10:$A56)+2,FALSE)</f>
        <v>41</v>
      </c>
      <c r="AC56" s="25">
        <f>HLOOKUP(AC$7,$I$66:$DJ$120,ROWS($A$10:$A56)+2,FALSE)</f>
        <v>322</v>
      </c>
      <c r="AD56" s="25">
        <f>HLOOKUP(AD$7,$I$66:$DJ$120,ROWS($A$10:$A56)+2,FALSE)</f>
        <v>361</v>
      </c>
      <c r="AE56" s="25">
        <f>HLOOKUP(AE$7,$I$66:$DJ$120,ROWS($A$10:$A56)+2,FALSE)</f>
        <v>2378</v>
      </c>
      <c r="AF56" s="25">
        <f>HLOOKUP(AF$7,$I$66:$DJ$120,ROWS($A$10:$A56)+2,FALSE)</f>
        <v>335</v>
      </c>
      <c r="AG56" s="25">
        <f>HLOOKUP(AG$7,$I$66:$DJ$120,ROWS($A$10:$A56)+2,FALSE)</f>
        <v>206</v>
      </c>
      <c r="AH56" s="25">
        <f>HLOOKUP(AH$7,$I$66:$DJ$120,ROWS($A$10:$A56)+2,FALSE)</f>
        <v>0</v>
      </c>
      <c r="AI56" s="25">
        <f>HLOOKUP(AI$7,$I$66:$DJ$120,ROWS($A$10:$A56)+2,FALSE)</f>
        <v>69</v>
      </c>
      <c r="AJ56" s="25">
        <f>HLOOKUP(AJ$7,$I$66:$DJ$120,ROWS($A$10:$A56)+2,FALSE)</f>
        <v>0</v>
      </c>
      <c r="AK56" s="25">
        <f>HLOOKUP(AK$7,$I$66:$DJ$120,ROWS($A$10:$A56)+2,FALSE)</f>
        <v>0</v>
      </c>
      <c r="AL56" s="25">
        <f>HLOOKUP(AL$7,$I$66:$DJ$120,ROWS($A$10:$A56)+2,FALSE)</f>
        <v>15</v>
      </c>
      <c r="AM56" s="25">
        <f>HLOOKUP(AM$7,$I$66:$DJ$120,ROWS($A$10:$A56)+2,FALSE)</f>
        <v>2244</v>
      </c>
      <c r="AN56" s="25">
        <f>HLOOKUP(AN$7,$I$66:$DJ$120,ROWS($A$10:$A56)+2,FALSE)</f>
        <v>962</v>
      </c>
      <c r="AO56" s="25">
        <f>HLOOKUP(AO$7,$I$66:$DJ$120,ROWS($A$10:$A56)+2,FALSE)</f>
        <v>56</v>
      </c>
      <c r="AP56" s="25">
        <f>HLOOKUP(AP$7,$I$66:$DJ$120,ROWS($A$10:$A56)+2,FALSE)</f>
        <v>3723</v>
      </c>
      <c r="AQ56" s="25">
        <f>HLOOKUP(AQ$7,$I$66:$DJ$120,ROWS($A$10:$A56)+2,FALSE)</f>
        <v>250</v>
      </c>
      <c r="AR56" s="25">
        <f>HLOOKUP(AR$7,$I$66:$DJ$120,ROWS($A$10:$A56)+2,FALSE)</f>
        <v>0</v>
      </c>
      <c r="AS56" s="25">
        <f>HLOOKUP(AS$7,$I$66:$DJ$120,ROWS($A$10:$A56)+2,FALSE)</f>
        <v>383</v>
      </c>
      <c r="AT56" s="25">
        <f>HLOOKUP(AT$7,$I$66:$DJ$120,ROWS($A$10:$A56)+2,FALSE)</f>
        <v>0</v>
      </c>
      <c r="AU56" s="25">
        <f>HLOOKUP(AU$7,$I$66:$DJ$120,ROWS($A$10:$A56)+2,FALSE)</f>
        <v>124</v>
      </c>
      <c r="AV56" s="25">
        <f>HLOOKUP(AV$7,$I$66:$DJ$120,ROWS($A$10:$A56)+2,FALSE)</f>
        <v>389</v>
      </c>
      <c r="AW56" s="25">
        <f>HLOOKUP(AW$7,$I$66:$DJ$120,ROWS($A$10:$A56)+2,FALSE)</f>
        <v>401</v>
      </c>
      <c r="AX56" s="25">
        <f>HLOOKUP(AX$7,$I$66:$DJ$120,ROWS($A$10:$A56)+2,FALSE)</f>
        <v>21</v>
      </c>
      <c r="AY56" s="25">
        <f>HLOOKUP(AY$7,$I$66:$DJ$120,ROWS($A$10:$A56)+2,FALSE)</f>
        <v>0</v>
      </c>
      <c r="AZ56" s="25">
        <f>HLOOKUP(AZ$7,$I$66:$DJ$120,ROWS($A$10:$A56)+2,FALSE)</f>
        <v>327</v>
      </c>
      <c r="BA56" s="25">
        <f>HLOOKUP(BA$7,$I$66:$DJ$120,ROWS($A$10:$A56)+2,FALSE)</f>
        <v>185</v>
      </c>
      <c r="BB56" s="25">
        <f>HLOOKUP(BB$7,$I$66:$DJ$120,ROWS($A$10:$A56)+2,FALSE)</f>
        <v>182</v>
      </c>
      <c r="BC56" s="25" t="str">
        <f>HLOOKUP(BC$7,$I$66:$DJ$120,ROWS($A$10:$A56)+2,FALSE)</f>
        <v>N/A</v>
      </c>
      <c r="BD56" s="25">
        <f>HLOOKUP(BD$7,$I$66:$DJ$120,ROWS($A$10:$A56)+2,FALSE)</f>
        <v>740</v>
      </c>
      <c r="BE56" s="25">
        <f>HLOOKUP(BE$7,$I$66:$DJ$120,ROWS($A$10:$A56)+2,FALSE)</f>
        <v>156</v>
      </c>
      <c r="BF56" s="25">
        <f>HLOOKUP(BF$7,$I$66:$DJ$120,ROWS($A$10:$A56)+2,FALSE)</f>
        <v>53</v>
      </c>
      <c r="BG56" s="25">
        <f>HLOOKUP(BG$7,$I$66:$DJ$120,ROWS($A$10:$A56)+2,FALSE)</f>
        <v>137</v>
      </c>
      <c r="BH56" s="25">
        <f>HLOOKUP(BH$7,$I$66:$DJ$120,ROWS($A$10:$A56)+2,FALSE)</f>
        <v>38</v>
      </c>
      <c r="BI56" s="25">
        <f>HLOOKUP(BI$7,$I$66:$DJ$120,ROWS($A$10:$A56)+2,FALSE)</f>
        <v>19</v>
      </c>
      <c r="BJ56" s="34">
        <f>HLOOKUP(BJ$7+0.5,$I$66:$DJ$120,ROWS($A$10:$A56)+2,FALSE)</f>
        <v>1946</v>
      </c>
      <c r="BK56" s="34">
        <f>HLOOKUP(BK$7+0.5,$I$66:$DJ$120,ROWS($A$10:$A56)+2,FALSE)</f>
        <v>145</v>
      </c>
      <c r="BL56" s="34">
        <f>HLOOKUP(BL$7+0.5,$I$66:$DJ$120,ROWS($A$10:$A56)+2,FALSE)</f>
        <v>441</v>
      </c>
      <c r="BM56" s="34">
        <f>HLOOKUP(BM$7+0.5,$I$66:$DJ$120,ROWS($A$10:$A56)+2,FALSE)</f>
        <v>325</v>
      </c>
      <c r="BN56" s="34">
        <f>HLOOKUP(BN$7+0.5,$I$66:$DJ$120,ROWS($A$10:$A56)+2,FALSE)</f>
        <v>145</v>
      </c>
      <c r="BO56" s="34">
        <f>HLOOKUP(BO$7+0.5,$I$66:$DJ$120,ROWS($A$10:$A56)+2,FALSE)</f>
        <v>508</v>
      </c>
      <c r="BP56" s="34">
        <f>HLOOKUP(BP$7+0.5,$I$66:$DJ$120,ROWS($A$10:$A56)+2,FALSE)</f>
        <v>493</v>
      </c>
      <c r="BQ56" s="34">
        <f>HLOOKUP(BQ$7+0.5,$I$66:$DJ$120,ROWS($A$10:$A56)+2,FALSE)</f>
        <v>608</v>
      </c>
      <c r="BR56" s="34">
        <f>HLOOKUP(BR$7+0.5,$I$66:$DJ$120,ROWS($A$10:$A56)+2,FALSE)</f>
        <v>135</v>
      </c>
      <c r="BS56" s="34">
        <f>HLOOKUP(BS$7+0.5,$I$66:$DJ$120,ROWS($A$10:$A56)+2,FALSE)</f>
        <v>53</v>
      </c>
      <c r="BT56" s="34">
        <f>HLOOKUP(BT$7+0.5,$I$66:$DJ$120,ROWS($A$10:$A56)+2,FALSE)</f>
        <v>199</v>
      </c>
      <c r="BU56" s="34">
        <f>HLOOKUP(BU$7+0.5,$I$66:$DJ$120,ROWS($A$10:$A56)+2,FALSE)</f>
        <v>99</v>
      </c>
      <c r="BV56" s="34">
        <f>HLOOKUP(BV$7+0.5,$I$66:$DJ$120,ROWS($A$10:$A56)+2,FALSE)</f>
        <v>85</v>
      </c>
      <c r="BW56" s="34">
        <f>HLOOKUP(BW$7+0.5,$I$66:$DJ$120,ROWS($A$10:$A56)+2,FALSE)</f>
        <v>145</v>
      </c>
      <c r="BX56" s="34">
        <f>HLOOKUP(BX$7+0.5,$I$66:$DJ$120,ROWS($A$10:$A56)+2,FALSE)</f>
        <v>245</v>
      </c>
      <c r="BY56" s="34">
        <f>HLOOKUP(BY$7+0.5,$I$66:$DJ$120,ROWS($A$10:$A56)+2,FALSE)</f>
        <v>210</v>
      </c>
      <c r="BZ56" s="34">
        <f>HLOOKUP(BZ$7+0.5,$I$66:$DJ$120,ROWS($A$10:$A56)+2,FALSE)</f>
        <v>145</v>
      </c>
      <c r="CA56" s="34">
        <f>HLOOKUP(CA$7+0.5,$I$66:$DJ$120,ROWS($A$10:$A56)+2,FALSE)</f>
        <v>13</v>
      </c>
      <c r="CB56" s="34">
        <f>HLOOKUP(CB$7+0.5,$I$66:$DJ$120,ROWS($A$10:$A56)+2,FALSE)</f>
        <v>660</v>
      </c>
      <c r="CC56" s="34">
        <f>HLOOKUP(CC$7+0.5,$I$66:$DJ$120,ROWS($A$10:$A56)+2,FALSE)</f>
        <v>74</v>
      </c>
      <c r="CD56" s="34">
        <f>HLOOKUP(CD$7+0.5,$I$66:$DJ$120,ROWS($A$10:$A56)+2,FALSE)</f>
        <v>200</v>
      </c>
      <c r="CE56" s="34">
        <f>HLOOKUP(CE$7+0.5,$I$66:$DJ$120,ROWS($A$10:$A56)+2,FALSE)</f>
        <v>233</v>
      </c>
      <c r="CF56" s="34">
        <f>HLOOKUP(CF$7+0.5,$I$66:$DJ$120,ROWS($A$10:$A56)+2,FALSE)</f>
        <v>606</v>
      </c>
      <c r="CG56" s="34">
        <f>HLOOKUP(CG$7+0.5,$I$66:$DJ$120,ROWS($A$10:$A56)+2,FALSE)</f>
        <v>345</v>
      </c>
      <c r="CH56" s="34">
        <f>HLOOKUP(CH$7+0.5,$I$66:$DJ$120,ROWS($A$10:$A56)+2,FALSE)</f>
        <v>255</v>
      </c>
      <c r="CI56" s="34">
        <f>HLOOKUP(CI$7+0.5,$I$66:$DJ$120,ROWS($A$10:$A56)+2,FALSE)</f>
        <v>145</v>
      </c>
      <c r="CJ56" s="34">
        <f>HLOOKUP(CJ$7+0.5,$I$66:$DJ$120,ROWS($A$10:$A56)+2,FALSE)</f>
        <v>86</v>
      </c>
      <c r="CK56" s="34">
        <f>HLOOKUP(CK$7+0.5,$I$66:$DJ$120,ROWS($A$10:$A56)+2,FALSE)</f>
        <v>145</v>
      </c>
      <c r="CL56" s="34">
        <f>HLOOKUP(CL$7+0.5,$I$66:$DJ$120,ROWS($A$10:$A56)+2,FALSE)</f>
        <v>145</v>
      </c>
      <c r="CM56" s="34">
        <f>HLOOKUP(CM$7+0.5,$I$66:$DJ$120,ROWS($A$10:$A56)+2,FALSE)</f>
        <v>26</v>
      </c>
      <c r="CN56" s="34">
        <f>HLOOKUP(CN$7+0.5,$I$66:$DJ$120,ROWS($A$10:$A56)+2,FALSE)</f>
        <v>783</v>
      </c>
      <c r="CO56" s="34">
        <f>HLOOKUP(CO$7+0.5,$I$66:$DJ$120,ROWS($A$10:$A56)+2,FALSE)</f>
        <v>305</v>
      </c>
      <c r="CP56" s="34">
        <f>HLOOKUP(CP$7+0.5,$I$66:$DJ$120,ROWS($A$10:$A56)+2,FALSE)</f>
        <v>105</v>
      </c>
      <c r="CQ56" s="34">
        <f>HLOOKUP(CQ$7+0.5,$I$66:$DJ$120,ROWS($A$10:$A56)+2,FALSE)</f>
        <v>904</v>
      </c>
      <c r="CR56" s="34">
        <f>HLOOKUP(CR$7+0.5,$I$66:$DJ$120,ROWS($A$10:$A56)+2,FALSE)</f>
        <v>193</v>
      </c>
      <c r="CS56" s="34">
        <f>HLOOKUP(CS$7+0.5,$I$66:$DJ$120,ROWS($A$10:$A56)+2,FALSE)</f>
        <v>145</v>
      </c>
      <c r="CT56" s="34">
        <f>HLOOKUP(CT$7+0.5,$I$66:$DJ$120,ROWS($A$10:$A56)+2,FALSE)</f>
        <v>485</v>
      </c>
      <c r="CU56" s="34">
        <f>HLOOKUP(CU$7+0.5,$I$66:$DJ$120,ROWS($A$10:$A56)+2,FALSE)</f>
        <v>145</v>
      </c>
      <c r="CV56" s="34">
        <f>HLOOKUP(CV$7+0.5,$I$66:$DJ$120,ROWS($A$10:$A56)+2,FALSE)</f>
        <v>128</v>
      </c>
      <c r="CW56" s="34">
        <f>HLOOKUP(CW$7+0.5,$I$66:$DJ$120,ROWS($A$10:$A56)+2,FALSE)</f>
        <v>231</v>
      </c>
      <c r="CX56" s="34">
        <f>HLOOKUP(CX$7+0.5,$I$66:$DJ$120,ROWS($A$10:$A56)+2,FALSE)</f>
        <v>411</v>
      </c>
      <c r="CY56" s="34">
        <f>HLOOKUP(CY$7+0.5,$I$66:$DJ$120,ROWS($A$10:$A56)+2,FALSE)</f>
        <v>36</v>
      </c>
      <c r="CZ56" s="34">
        <f>HLOOKUP(CZ$7+0.5,$I$66:$DJ$120,ROWS($A$10:$A56)+2,FALSE)</f>
        <v>145</v>
      </c>
      <c r="DA56" s="34">
        <f>HLOOKUP(DA$7+0.5,$I$66:$DJ$120,ROWS($A$10:$A56)+2,FALSE)</f>
        <v>498</v>
      </c>
      <c r="DB56" s="34">
        <f>HLOOKUP(DB$7+0.5,$I$66:$DJ$120,ROWS($A$10:$A56)+2,FALSE)</f>
        <v>147</v>
      </c>
      <c r="DC56" s="34">
        <f>HLOOKUP(DC$7+0.5,$I$66:$DJ$120,ROWS($A$10:$A56)+2,FALSE)</f>
        <v>212</v>
      </c>
      <c r="DD56" s="34" t="str">
        <f>HLOOKUP(DD$7+0.5,$I$66:$DJ$120,ROWS($A$10:$A56)+2,FALSE)</f>
        <v>N/A</v>
      </c>
      <c r="DE56" s="34">
        <f>HLOOKUP(DE$7+0.5,$I$66:$DJ$120,ROWS($A$10:$A56)+2,FALSE)</f>
        <v>420</v>
      </c>
      <c r="DF56" s="34">
        <f>HLOOKUP(DF$7+0.5,$I$66:$DJ$120,ROWS($A$10:$A56)+2,FALSE)</f>
        <v>159</v>
      </c>
      <c r="DG56" s="34">
        <f>HLOOKUP(DG$7+0.5,$I$66:$DJ$120,ROWS($A$10:$A56)+2,FALSE)</f>
        <v>81</v>
      </c>
      <c r="DH56" s="34">
        <f>HLOOKUP(DH$7+0.5,$I$66:$DJ$120,ROWS($A$10:$A56)+2,FALSE)</f>
        <v>115</v>
      </c>
      <c r="DI56" s="34">
        <f>HLOOKUP(DI$7+0.5,$I$66:$DJ$120,ROWS($A$10:$A56)+2,FALSE)</f>
        <v>62</v>
      </c>
      <c r="DJ56" s="34">
        <f>HLOOKUP(DJ$7+0.5,$I$66:$DJ$120,ROWS($A$10:$A56)+2,FALSE)</f>
        <v>45</v>
      </c>
    </row>
    <row r="57" spans="2:114" x14ac:dyDescent="0.25">
      <c r="B57" s="38" t="s">
        <v>53</v>
      </c>
      <c r="C57" s="15">
        <v>7996552</v>
      </c>
      <c r="D57" s="14">
        <v>5256</v>
      </c>
      <c r="E57" s="15">
        <v>6789620</v>
      </c>
      <c r="F57" s="14">
        <v>30962</v>
      </c>
      <c r="G57" s="15">
        <v>889751</v>
      </c>
      <c r="H57" s="14">
        <v>30111</v>
      </c>
      <c r="I57" s="36">
        <f>HLOOKUP(I$7,$I$66:$DJ$120,ROWS($A$10:$A57)+2,FALSE)</f>
        <v>257130</v>
      </c>
      <c r="J57" s="25">
        <f>HLOOKUP(J$7,$I$66:$DJ$120,ROWS($A$10:$A57)+2,FALSE)</f>
        <v>4930</v>
      </c>
      <c r="K57" s="25">
        <f>HLOOKUP(K$7,$I$66:$DJ$120,ROWS($A$10:$A57)+2,FALSE)</f>
        <v>3202</v>
      </c>
      <c r="L57" s="25">
        <f>HLOOKUP(L$7,$I$66:$DJ$120,ROWS($A$10:$A57)+2,FALSE)</f>
        <v>4679</v>
      </c>
      <c r="M57" s="25">
        <f>HLOOKUP(M$7,$I$66:$DJ$120,ROWS($A$10:$A57)+2,FALSE)</f>
        <v>645</v>
      </c>
      <c r="N57" s="25">
        <f>HLOOKUP(N$7,$I$66:$DJ$120,ROWS($A$10:$A57)+2,FALSE)</f>
        <v>19371</v>
      </c>
      <c r="O57" s="25">
        <f>HLOOKUP(O$7,$I$66:$DJ$120,ROWS($A$10:$A57)+2,FALSE)</f>
        <v>4908</v>
      </c>
      <c r="P57" s="25">
        <f>HLOOKUP(P$7,$I$66:$DJ$120,ROWS($A$10:$A57)+2,FALSE)</f>
        <v>5376</v>
      </c>
      <c r="Q57" s="25">
        <f>HLOOKUP(Q$7,$I$66:$DJ$120,ROWS($A$10:$A57)+2,FALSE)</f>
        <v>961</v>
      </c>
      <c r="R57" s="25">
        <f>HLOOKUP(R$7,$I$66:$DJ$120,ROWS($A$10:$A57)+2,FALSE)</f>
        <v>6854</v>
      </c>
      <c r="S57" s="25">
        <f>HLOOKUP(S$7,$I$66:$DJ$120,ROWS($A$10:$A57)+2,FALSE)</f>
        <v>17773</v>
      </c>
      <c r="T57" s="25">
        <f>HLOOKUP(T$7,$I$66:$DJ$120,ROWS($A$10:$A57)+2,FALSE)</f>
        <v>8715</v>
      </c>
      <c r="U57" s="25">
        <f>HLOOKUP(U$7,$I$66:$DJ$120,ROWS($A$10:$A57)+2,FALSE)</f>
        <v>2917</v>
      </c>
      <c r="V57" s="25">
        <f>HLOOKUP(V$7,$I$66:$DJ$120,ROWS($A$10:$A57)+2,FALSE)</f>
        <v>434</v>
      </c>
      <c r="W57" s="25">
        <f>HLOOKUP(W$7,$I$66:$DJ$120,ROWS($A$10:$A57)+2,FALSE)</f>
        <v>4000</v>
      </c>
      <c r="X57" s="25">
        <f>HLOOKUP(X$7,$I$66:$DJ$120,ROWS($A$10:$A57)+2,FALSE)</f>
        <v>2703</v>
      </c>
      <c r="Y57" s="25">
        <f>HLOOKUP(Y$7,$I$66:$DJ$120,ROWS($A$10:$A57)+2,FALSE)</f>
        <v>1503</v>
      </c>
      <c r="Z57" s="25">
        <f>HLOOKUP(Z$7,$I$66:$DJ$120,ROWS($A$10:$A57)+2,FALSE)</f>
        <v>892</v>
      </c>
      <c r="AA57" s="25">
        <f>HLOOKUP(AA$7,$I$66:$DJ$120,ROWS($A$10:$A57)+2,FALSE)</f>
        <v>3630</v>
      </c>
      <c r="AB57" s="25">
        <f>HLOOKUP(AB$7,$I$66:$DJ$120,ROWS($A$10:$A57)+2,FALSE)</f>
        <v>2496</v>
      </c>
      <c r="AC57" s="25">
        <f>HLOOKUP(AC$7,$I$66:$DJ$120,ROWS($A$10:$A57)+2,FALSE)</f>
        <v>2855</v>
      </c>
      <c r="AD57" s="25">
        <f>HLOOKUP(AD$7,$I$66:$DJ$120,ROWS($A$10:$A57)+2,FALSE)</f>
        <v>22051</v>
      </c>
      <c r="AE57" s="25">
        <f>HLOOKUP(AE$7,$I$66:$DJ$120,ROWS($A$10:$A57)+2,FALSE)</f>
        <v>5386</v>
      </c>
      <c r="AF57" s="25">
        <f>HLOOKUP(AF$7,$I$66:$DJ$120,ROWS($A$10:$A57)+2,FALSE)</f>
        <v>7323</v>
      </c>
      <c r="AG57" s="25">
        <f>HLOOKUP(AG$7,$I$66:$DJ$120,ROWS($A$10:$A57)+2,FALSE)</f>
        <v>834</v>
      </c>
      <c r="AH57" s="25">
        <f>HLOOKUP(AH$7,$I$66:$DJ$120,ROWS($A$10:$A57)+2,FALSE)</f>
        <v>1682</v>
      </c>
      <c r="AI57" s="25">
        <f>HLOOKUP(AI$7,$I$66:$DJ$120,ROWS($A$10:$A57)+2,FALSE)</f>
        <v>2277</v>
      </c>
      <c r="AJ57" s="25">
        <f>HLOOKUP(AJ$7,$I$66:$DJ$120,ROWS($A$10:$A57)+2,FALSE)</f>
        <v>617</v>
      </c>
      <c r="AK57" s="25">
        <f>HLOOKUP(AK$7,$I$66:$DJ$120,ROWS($A$10:$A57)+2,FALSE)</f>
        <v>256</v>
      </c>
      <c r="AL57" s="25">
        <f>HLOOKUP(AL$7,$I$66:$DJ$120,ROWS($A$10:$A57)+2,FALSE)</f>
        <v>1717</v>
      </c>
      <c r="AM57" s="25">
        <f>HLOOKUP(AM$7,$I$66:$DJ$120,ROWS($A$10:$A57)+2,FALSE)</f>
        <v>1344</v>
      </c>
      <c r="AN57" s="25">
        <f>HLOOKUP(AN$7,$I$66:$DJ$120,ROWS($A$10:$A57)+2,FALSE)</f>
        <v>7327</v>
      </c>
      <c r="AO57" s="25">
        <f>HLOOKUP(AO$7,$I$66:$DJ$120,ROWS($A$10:$A57)+2,FALSE)</f>
        <v>1014</v>
      </c>
      <c r="AP57" s="25">
        <f>HLOOKUP(AP$7,$I$66:$DJ$120,ROWS($A$10:$A57)+2,FALSE)</f>
        <v>12455</v>
      </c>
      <c r="AQ57" s="25">
        <f>HLOOKUP(AQ$7,$I$66:$DJ$120,ROWS($A$10:$A57)+2,FALSE)</f>
        <v>22753</v>
      </c>
      <c r="AR57" s="25">
        <f>HLOOKUP(AR$7,$I$66:$DJ$120,ROWS($A$10:$A57)+2,FALSE)</f>
        <v>462</v>
      </c>
      <c r="AS57" s="25">
        <f>HLOOKUP(AS$7,$I$66:$DJ$120,ROWS($A$10:$A57)+2,FALSE)</f>
        <v>9570</v>
      </c>
      <c r="AT57" s="25">
        <f>HLOOKUP(AT$7,$I$66:$DJ$120,ROWS($A$10:$A57)+2,FALSE)</f>
        <v>853</v>
      </c>
      <c r="AU57" s="25">
        <f>HLOOKUP(AU$7,$I$66:$DJ$120,ROWS($A$10:$A57)+2,FALSE)</f>
        <v>3499</v>
      </c>
      <c r="AV57" s="25">
        <f>HLOOKUP(AV$7,$I$66:$DJ$120,ROWS($A$10:$A57)+2,FALSE)</f>
        <v>12009</v>
      </c>
      <c r="AW57" s="25">
        <f>HLOOKUP(AW$7,$I$66:$DJ$120,ROWS($A$10:$A57)+2,FALSE)</f>
        <v>1897</v>
      </c>
      <c r="AX57" s="25">
        <f>HLOOKUP(AX$7,$I$66:$DJ$120,ROWS($A$10:$A57)+2,FALSE)</f>
        <v>6612</v>
      </c>
      <c r="AY57" s="25">
        <f>HLOOKUP(AY$7,$I$66:$DJ$120,ROWS($A$10:$A57)+2,FALSE)</f>
        <v>908</v>
      </c>
      <c r="AZ57" s="25">
        <f>HLOOKUP(AZ$7,$I$66:$DJ$120,ROWS($A$10:$A57)+2,FALSE)</f>
        <v>7482</v>
      </c>
      <c r="BA57" s="25">
        <f>HLOOKUP(BA$7,$I$66:$DJ$120,ROWS($A$10:$A57)+2,FALSE)</f>
        <v>11655</v>
      </c>
      <c r="BB57" s="25">
        <f>HLOOKUP(BB$7,$I$66:$DJ$120,ROWS($A$10:$A57)+2,FALSE)</f>
        <v>1426</v>
      </c>
      <c r="BC57" s="25">
        <f>HLOOKUP(BC$7,$I$66:$DJ$120,ROWS($A$10:$A57)+2,FALSE)</f>
        <v>173</v>
      </c>
      <c r="BD57" s="25" t="str">
        <f>HLOOKUP(BD$7,$I$66:$DJ$120,ROWS($A$10:$A57)+2,FALSE)</f>
        <v>N/A</v>
      </c>
      <c r="BE57" s="25">
        <f>HLOOKUP(BE$7,$I$66:$DJ$120,ROWS($A$10:$A57)+2,FALSE)</f>
        <v>4615</v>
      </c>
      <c r="BF57" s="25">
        <f>HLOOKUP(BF$7,$I$66:$DJ$120,ROWS($A$10:$A57)+2,FALSE)</f>
        <v>9041</v>
      </c>
      <c r="BG57" s="25">
        <f>HLOOKUP(BG$7,$I$66:$DJ$120,ROWS($A$10:$A57)+2,FALSE)</f>
        <v>858</v>
      </c>
      <c r="BH57" s="25">
        <f>HLOOKUP(BH$7,$I$66:$DJ$120,ROWS($A$10:$A57)+2,FALSE)</f>
        <v>190</v>
      </c>
      <c r="BI57" s="25">
        <f>HLOOKUP(BI$7,$I$66:$DJ$120,ROWS($A$10:$A57)+2,FALSE)</f>
        <v>1222</v>
      </c>
      <c r="BJ57" s="34">
        <f>HLOOKUP(BJ$7+0.5,$I$66:$DJ$120,ROWS($A$10:$A57)+2,FALSE)</f>
        <v>14025</v>
      </c>
      <c r="BK57" s="34">
        <f>HLOOKUP(BK$7+0.5,$I$66:$DJ$120,ROWS($A$10:$A57)+2,FALSE)</f>
        <v>2057</v>
      </c>
      <c r="BL57" s="34">
        <f>HLOOKUP(BL$7+0.5,$I$66:$DJ$120,ROWS($A$10:$A57)+2,FALSE)</f>
        <v>1687</v>
      </c>
      <c r="BM57" s="34">
        <f>HLOOKUP(BM$7+0.5,$I$66:$DJ$120,ROWS($A$10:$A57)+2,FALSE)</f>
        <v>2151</v>
      </c>
      <c r="BN57" s="34">
        <f>HLOOKUP(BN$7+0.5,$I$66:$DJ$120,ROWS($A$10:$A57)+2,FALSE)</f>
        <v>606</v>
      </c>
      <c r="BO57" s="34">
        <f>HLOOKUP(BO$7+0.5,$I$66:$DJ$120,ROWS($A$10:$A57)+2,FALSE)</f>
        <v>4241</v>
      </c>
      <c r="BP57" s="34">
        <f>HLOOKUP(BP$7+0.5,$I$66:$DJ$120,ROWS($A$10:$A57)+2,FALSE)</f>
        <v>2334</v>
      </c>
      <c r="BQ57" s="34">
        <f>HLOOKUP(BQ$7+0.5,$I$66:$DJ$120,ROWS($A$10:$A57)+2,FALSE)</f>
        <v>2730</v>
      </c>
      <c r="BR57" s="34">
        <f>HLOOKUP(BR$7+0.5,$I$66:$DJ$120,ROWS($A$10:$A57)+2,FALSE)</f>
        <v>652</v>
      </c>
      <c r="BS57" s="34">
        <f>HLOOKUP(BS$7+0.5,$I$66:$DJ$120,ROWS($A$10:$A57)+2,FALSE)</f>
        <v>1711</v>
      </c>
      <c r="BT57" s="34">
        <f>HLOOKUP(BT$7+0.5,$I$66:$DJ$120,ROWS($A$10:$A57)+2,FALSE)</f>
        <v>3494</v>
      </c>
      <c r="BU57" s="34">
        <f>HLOOKUP(BU$7+0.5,$I$66:$DJ$120,ROWS($A$10:$A57)+2,FALSE)</f>
        <v>1962</v>
      </c>
      <c r="BV57" s="34">
        <f>HLOOKUP(BV$7+0.5,$I$66:$DJ$120,ROWS($A$10:$A57)+2,FALSE)</f>
        <v>1400</v>
      </c>
      <c r="BW57" s="34">
        <f>HLOOKUP(BW$7+0.5,$I$66:$DJ$120,ROWS($A$10:$A57)+2,FALSE)</f>
        <v>430</v>
      </c>
      <c r="BX57" s="34">
        <f>HLOOKUP(BX$7+0.5,$I$66:$DJ$120,ROWS($A$10:$A57)+2,FALSE)</f>
        <v>1213</v>
      </c>
      <c r="BY57" s="34">
        <f>HLOOKUP(BY$7+0.5,$I$66:$DJ$120,ROWS($A$10:$A57)+2,FALSE)</f>
        <v>1067</v>
      </c>
      <c r="BZ57" s="34">
        <f>HLOOKUP(BZ$7+0.5,$I$66:$DJ$120,ROWS($A$10:$A57)+2,FALSE)</f>
        <v>899</v>
      </c>
      <c r="CA57" s="34">
        <f>HLOOKUP(CA$7+0.5,$I$66:$DJ$120,ROWS($A$10:$A57)+2,FALSE)</f>
        <v>645</v>
      </c>
      <c r="CB57" s="34">
        <f>HLOOKUP(CB$7+0.5,$I$66:$DJ$120,ROWS($A$10:$A57)+2,FALSE)</f>
        <v>1551</v>
      </c>
      <c r="CC57" s="34">
        <f>HLOOKUP(CC$7+0.5,$I$66:$DJ$120,ROWS($A$10:$A57)+2,FALSE)</f>
        <v>1642</v>
      </c>
      <c r="CD57" s="34">
        <f>HLOOKUP(CD$7+0.5,$I$66:$DJ$120,ROWS($A$10:$A57)+2,FALSE)</f>
        <v>1930</v>
      </c>
      <c r="CE57" s="34">
        <f>HLOOKUP(CE$7+0.5,$I$66:$DJ$120,ROWS($A$10:$A57)+2,FALSE)</f>
        <v>3143</v>
      </c>
      <c r="CF57" s="34">
        <f>HLOOKUP(CF$7+0.5,$I$66:$DJ$120,ROWS($A$10:$A57)+2,FALSE)</f>
        <v>2316</v>
      </c>
      <c r="CG57" s="34">
        <f>HLOOKUP(CG$7+0.5,$I$66:$DJ$120,ROWS($A$10:$A57)+2,FALSE)</f>
        <v>3026</v>
      </c>
      <c r="CH57" s="34">
        <f>HLOOKUP(CH$7+0.5,$I$66:$DJ$120,ROWS($A$10:$A57)+2,FALSE)</f>
        <v>361</v>
      </c>
      <c r="CI57" s="34">
        <f>HLOOKUP(CI$7+0.5,$I$66:$DJ$120,ROWS($A$10:$A57)+2,FALSE)</f>
        <v>1191</v>
      </c>
      <c r="CJ57" s="34">
        <f>HLOOKUP(CJ$7+0.5,$I$66:$DJ$120,ROWS($A$10:$A57)+2,FALSE)</f>
        <v>1178</v>
      </c>
      <c r="CK57" s="34">
        <f>HLOOKUP(CK$7+0.5,$I$66:$DJ$120,ROWS($A$10:$A57)+2,FALSE)</f>
        <v>714</v>
      </c>
      <c r="CL57" s="34">
        <f>HLOOKUP(CL$7+0.5,$I$66:$DJ$120,ROWS($A$10:$A57)+2,FALSE)</f>
        <v>289</v>
      </c>
      <c r="CM57" s="34">
        <f>HLOOKUP(CM$7+0.5,$I$66:$DJ$120,ROWS($A$10:$A57)+2,FALSE)</f>
        <v>961</v>
      </c>
      <c r="CN57" s="34">
        <f>HLOOKUP(CN$7+0.5,$I$66:$DJ$120,ROWS($A$10:$A57)+2,FALSE)</f>
        <v>798</v>
      </c>
      <c r="CO57" s="34">
        <f>HLOOKUP(CO$7+0.5,$I$66:$DJ$120,ROWS($A$10:$A57)+2,FALSE)</f>
        <v>2046</v>
      </c>
      <c r="CP57" s="34">
        <f>HLOOKUP(CP$7+0.5,$I$66:$DJ$120,ROWS($A$10:$A57)+2,FALSE)</f>
        <v>604</v>
      </c>
      <c r="CQ57" s="34">
        <f>HLOOKUP(CQ$7+0.5,$I$66:$DJ$120,ROWS($A$10:$A57)+2,FALSE)</f>
        <v>2816</v>
      </c>
      <c r="CR57" s="34">
        <f>HLOOKUP(CR$7+0.5,$I$66:$DJ$120,ROWS($A$10:$A57)+2,FALSE)</f>
        <v>4584</v>
      </c>
      <c r="CS57" s="34">
        <f>HLOOKUP(CS$7+0.5,$I$66:$DJ$120,ROWS($A$10:$A57)+2,FALSE)</f>
        <v>729</v>
      </c>
      <c r="CT57" s="34">
        <f>HLOOKUP(CT$7+0.5,$I$66:$DJ$120,ROWS($A$10:$A57)+2,FALSE)</f>
        <v>2217</v>
      </c>
      <c r="CU57" s="34">
        <f>HLOOKUP(CU$7+0.5,$I$66:$DJ$120,ROWS($A$10:$A57)+2,FALSE)</f>
        <v>477</v>
      </c>
      <c r="CV57" s="34">
        <f>HLOOKUP(CV$7+0.5,$I$66:$DJ$120,ROWS($A$10:$A57)+2,FALSE)</f>
        <v>1935</v>
      </c>
      <c r="CW57" s="34">
        <f>HLOOKUP(CW$7+0.5,$I$66:$DJ$120,ROWS($A$10:$A57)+2,FALSE)</f>
        <v>2497</v>
      </c>
      <c r="CX57" s="34">
        <f>HLOOKUP(CX$7+0.5,$I$66:$DJ$120,ROWS($A$10:$A57)+2,FALSE)</f>
        <v>1477</v>
      </c>
      <c r="CY57" s="34">
        <f>HLOOKUP(CY$7+0.5,$I$66:$DJ$120,ROWS($A$10:$A57)+2,FALSE)</f>
        <v>2032</v>
      </c>
      <c r="CZ57" s="34">
        <f>HLOOKUP(CZ$7+0.5,$I$66:$DJ$120,ROWS($A$10:$A57)+2,FALSE)</f>
        <v>841</v>
      </c>
      <c r="DA57" s="34">
        <f>HLOOKUP(DA$7+0.5,$I$66:$DJ$120,ROWS($A$10:$A57)+2,FALSE)</f>
        <v>2452</v>
      </c>
      <c r="DB57" s="34">
        <f>HLOOKUP(DB$7+0.5,$I$66:$DJ$120,ROWS($A$10:$A57)+2,FALSE)</f>
        <v>3004</v>
      </c>
      <c r="DC57" s="34">
        <f>HLOOKUP(DC$7+0.5,$I$66:$DJ$120,ROWS($A$10:$A57)+2,FALSE)</f>
        <v>641</v>
      </c>
      <c r="DD57" s="34">
        <f>HLOOKUP(DD$7+0.5,$I$66:$DJ$120,ROWS($A$10:$A57)+2,FALSE)</f>
        <v>138</v>
      </c>
      <c r="DE57" s="34" t="str">
        <f>HLOOKUP(DE$7+0.5,$I$66:$DJ$120,ROWS($A$10:$A57)+2,FALSE)</f>
        <v>N/A</v>
      </c>
      <c r="DF57" s="34">
        <f>HLOOKUP(DF$7+0.5,$I$66:$DJ$120,ROWS($A$10:$A57)+2,FALSE)</f>
        <v>1717</v>
      </c>
      <c r="DG57" s="34">
        <f>HLOOKUP(DG$7+0.5,$I$66:$DJ$120,ROWS($A$10:$A57)+2,FALSE)</f>
        <v>2596</v>
      </c>
      <c r="DH57" s="34">
        <f>HLOOKUP(DH$7+0.5,$I$66:$DJ$120,ROWS($A$10:$A57)+2,FALSE)</f>
        <v>745</v>
      </c>
      <c r="DI57" s="34">
        <f>HLOOKUP(DI$7+0.5,$I$66:$DJ$120,ROWS($A$10:$A57)+2,FALSE)</f>
        <v>274</v>
      </c>
      <c r="DJ57" s="34">
        <f>HLOOKUP(DJ$7+0.5,$I$66:$DJ$120,ROWS($A$10:$A57)+2,FALSE)</f>
        <v>779</v>
      </c>
    </row>
    <row r="58" spans="2:114" x14ac:dyDescent="0.25">
      <c r="B58" s="38" t="s">
        <v>54</v>
      </c>
      <c r="C58" s="15">
        <v>6748474</v>
      </c>
      <c r="D58" s="14">
        <v>4248</v>
      </c>
      <c r="E58" s="15">
        <v>5565069</v>
      </c>
      <c r="F58" s="14">
        <v>27197</v>
      </c>
      <c r="G58" s="15">
        <v>919925</v>
      </c>
      <c r="H58" s="14">
        <v>27221</v>
      </c>
      <c r="I58" s="36">
        <f>HLOOKUP(I$7,$I$66:$DJ$120,ROWS($A$10:$A58)+2,FALSE)</f>
        <v>208507</v>
      </c>
      <c r="J58" s="25">
        <f>HLOOKUP(J$7,$I$66:$DJ$120,ROWS($A$10:$A58)+2,FALSE)</f>
        <v>1821</v>
      </c>
      <c r="K58" s="25">
        <f>HLOOKUP(K$7,$I$66:$DJ$120,ROWS($A$10:$A58)+2,FALSE)</f>
        <v>5266</v>
      </c>
      <c r="L58" s="25">
        <f>HLOOKUP(L$7,$I$66:$DJ$120,ROWS($A$10:$A58)+2,FALSE)</f>
        <v>12397</v>
      </c>
      <c r="M58" s="25">
        <f>HLOOKUP(M$7,$I$66:$DJ$120,ROWS($A$10:$A58)+2,FALSE)</f>
        <v>756</v>
      </c>
      <c r="N58" s="25">
        <f>HLOOKUP(N$7,$I$66:$DJ$120,ROWS($A$10:$A58)+2,FALSE)</f>
        <v>38421</v>
      </c>
      <c r="O58" s="25">
        <f>HLOOKUP(O$7,$I$66:$DJ$120,ROWS($A$10:$A58)+2,FALSE)</f>
        <v>3938</v>
      </c>
      <c r="P58" s="25">
        <f>HLOOKUP(P$7,$I$66:$DJ$120,ROWS($A$10:$A58)+2,FALSE)</f>
        <v>1026</v>
      </c>
      <c r="Q58" s="25">
        <f>HLOOKUP(Q$7,$I$66:$DJ$120,ROWS($A$10:$A58)+2,FALSE)</f>
        <v>0</v>
      </c>
      <c r="R58" s="25">
        <f>HLOOKUP(R$7,$I$66:$DJ$120,ROWS($A$10:$A58)+2,FALSE)</f>
        <v>358</v>
      </c>
      <c r="S58" s="25">
        <f>HLOOKUP(S$7,$I$66:$DJ$120,ROWS($A$10:$A58)+2,FALSE)</f>
        <v>6094</v>
      </c>
      <c r="T58" s="25">
        <f>HLOOKUP(T$7,$I$66:$DJ$120,ROWS($A$10:$A58)+2,FALSE)</f>
        <v>8705</v>
      </c>
      <c r="U58" s="25">
        <f>HLOOKUP(U$7,$I$66:$DJ$120,ROWS($A$10:$A58)+2,FALSE)</f>
        <v>5940</v>
      </c>
      <c r="V58" s="25">
        <f>HLOOKUP(V$7,$I$66:$DJ$120,ROWS($A$10:$A58)+2,FALSE)</f>
        <v>10895</v>
      </c>
      <c r="W58" s="25">
        <f>HLOOKUP(W$7,$I$66:$DJ$120,ROWS($A$10:$A58)+2,FALSE)</f>
        <v>2062</v>
      </c>
      <c r="X58" s="25">
        <f>HLOOKUP(X$7,$I$66:$DJ$120,ROWS($A$10:$A58)+2,FALSE)</f>
        <v>2303</v>
      </c>
      <c r="Y58" s="25">
        <f>HLOOKUP(Y$7,$I$66:$DJ$120,ROWS($A$10:$A58)+2,FALSE)</f>
        <v>1000</v>
      </c>
      <c r="Z58" s="25">
        <f>HLOOKUP(Z$7,$I$66:$DJ$120,ROWS($A$10:$A58)+2,FALSE)</f>
        <v>2820</v>
      </c>
      <c r="AA58" s="25">
        <f>HLOOKUP(AA$7,$I$66:$DJ$120,ROWS($A$10:$A58)+2,FALSE)</f>
        <v>1271</v>
      </c>
      <c r="AB58" s="25">
        <f>HLOOKUP(AB$7,$I$66:$DJ$120,ROWS($A$10:$A58)+2,FALSE)</f>
        <v>1016</v>
      </c>
      <c r="AC58" s="25">
        <f>HLOOKUP(AC$7,$I$66:$DJ$120,ROWS($A$10:$A58)+2,FALSE)</f>
        <v>1313</v>
      </c>
      <c r="AD58" s="25">
        <f>HLOOKUP(AD$7,$I$66:$DJ$120,ROWS($A$10:$A58)+2,FALSE)</f>
        <v>1899</v>
      </c>
      <c r="AE58" s="25">
        <f>HLOOKUP(AE$7,$I$66:$DJ$120,ROWS($A$10:$A58)+2,FALSE)</f>
        <v>1580</v>
      </c>
      <c r="AF58" s="25">
        <f>HLOOKUP(AF$7,$I$66:$DJ$120,ROWS($A$10:$A58)+2,FALSE)</f>
        <v>3720</v>
      </c>
      <c r="AG58" s="25">
        <f>HLOOKUP(AG$7,$I$66:$DJ$120,ROWS($A$10:$A58)+2,FALSE)</f>
        <v>1543</v>
      </c>
      <c r="AH58" s="25">
        <f>HLOOKUP(AH$7,$I$66:$DJ$120,ROWS($A$10:$A58)+2,FALSE)</f>
        <v>1110</v>
      </c>
      <c r="AI58" s="25">
        <f>HLOOKUP(AI$7,$I$66:$DJ$120,ROWS($A$10:$A58)+2,FALSE)</f>
        <v>3307</v>
      </c>
      <c r="AJ58" s="25">
        <f>HLOOKUP(AJ$7,$I$66:$DJ$120,ROWS($A$10:$A58)+2,FALSE)</f>
        <v>2125</v>
      </c>
      <c r="AK58" s="25">
        <f>HLOOKUP(AK$7,$I$66:$DJ$120,ROWS($A$10:$A58)+2,FALSE)</f>
        <v>673</v>
      </c>
      <c r="AL58" s="25">
        <f>HLOOKUP(AL$7,$I$66:$DJ$120,ROWS($A$10:$A58)+2,FALSE)</f>
        <v>4925</v>
      </c>
      <c r="AM58" s="25">
        <f>HLOOKUP(AM$7,$I$66:$DJ$120,ROWS($A$10:$A58)+2,FALSE)</f>
        <v>824</v>
      </c>
      <c r="AN58" s="25">
        <f>HLOOKUP(AN$7,$I$66:$DJ$120,ROWS($A$10:$A58)+2,FALSE)</f>
        <v>2006</v>
      </c>
      <c r="AO58" s="25">
        <f>HLOOKUP(AO$7,$I$66:$DJ$120,ROWS($A$10:$A58)+2,FALSE)</f>
        <v>1569</v>
      </c>
      <c r="AP58" s="25">
        <f>HLOOKUP(AP$7,$I$66:$DJ$120,ROWS($A$10:$A58)+2,FALSE)</f>
        <v>4512</v>
      </c>
      <c r="AQ58" s="25">
        <f>HLOOKUP(AQ$7,$I$66:$DJ$120,ROWS($A$10:$A58)+2,FALSE)</f>
        <v>3870</v>
      </c>
      <c r="AR58" s="25">
        <f>HLOOKUP(AR$7,$I$66:$DJ$120,ROWS($A$10:$A58)+2,FALSE)</f>
        <v>189</v>
      </c>
      <c r="AS58" s="25">
        <f>HLOOKUP(AS$7,$I$66:$DJ$120,ROWS($A$10:$A58)+2,FALSE)</f>
        <v>2686</v>
      </c>
      <c r="AT58" s="25">
        <f>HLOOKUP(AT$7,$I$66:$DJ$120,ROWS($A$10:$A58)+2,FALSE)</f>
        <v>765</v>
      </c>
      <c r="AU58" s="25">
        <f>HLOOKUP(AU$7,$I$66:$DJ$120,ROWS($A$10:$A58)+2,FALSE)</f>
        <v>29168</v>
      </c>
      <c r="AV58" s="25">
        <f>HLOOKUP(AV$7,$I$66:$DJ$120,ROWS($A$10:$A58)+2,FALSE)</f>
        <v>2296</v>
      </c>
      <c r="AW58" s="25">
        <f>HLOOKUP(AW$7,$I$66:$DJ$120,ROWS($A$10:$A58)+2,FALSE)</f>
        <v>463</v>
      </c>
      <c r="AX58" s="25">
        <f>HLOOKUP(AX$7,$I$66:$DJ$120,ROWS($A$10:$A58)+2,FALSE)</f>
        <v>1519</v>
      </c>
      <c r="AY58" s="25">
        <f>HLOOKUP(AY$7,$I$66:$DJ$120,ROWS($A$10:$A58)+2,FALSE)</f>
        <v>227</v>
      </c>
      <c r="AZ58" s="25">
        <f>HLOOKUP(AZ$7,$I$66:$DJ$120,ROWS($A$10:$A58)+2,FALSE)</f>
        <v>2342</v>
      </c>
      <c r="BA58" s="25">
        <f>HLOOKUP(BA$7,$I$66:$DJ$120,ROWS($A$10:$A58)+2,FALSE)</f>
        <v>15491</v>
      </c>
      <c r="BB58" s="25">
        <f>HLOOKUP(BB$7,$I$66:$DJ$120,ROWS($A$10:$A58)+2,FALSE)</f>
        <v>4789</v>
      </c>
      <c r="BC58" s="25">
        <f>HLOOKUP(BC$7,$I$66:$DJ$120,ROWS($A$10:$A58)+2,FALSE)</f>
        <v>119</v>
      </c>
      <c r="BD58" s="25">
        <f>HLOOKUP(BD$7,$I$66:$DJ$120,ROWS($A$10:$A58)+2,FALSE)</f>
        <v>4233</v>
      </c>
      <c r="BE58" s="25" t="str">
        <f>HLOOKUP(BE$7,$I$66:$DJ$120,ROWS($A$10:$A58)+2,FALSE)</f>
        <v>N/A</v>
      </c>
      <c r="BF58" s="25">
        <f>HLOOKUP(BF$7,$I$66:$DJ$120,ROWS($A$10:$A58)+2,FALSE)</f>
        <v>157</v>
      </c>
      <c r="BG58" s="25">
        <f>HLOOKUP(BG$7,$I$66:$DJ$120,ROWS($A$10:$A58)+2,FALSE)</f>
        <v>1491</v>
      </c>
      <c r="BH58" s="25">
        <f>HLOOKUP(BH$7,$I$66:$DJ$120,ROWS($A$10:$A58)+2,FALSE)</f>
        <v>1507</v>
      </c>
      <c r="BI58" s="25">
        <f>HLOOKUP(BI$7,$I$66:$DJ$120,ROWS($A$10:$A58)+2,FALSE)</f>
        <v>1083</v>
      </c>
      <c r="BJ58" s="34">
        <f>HLOOKUP(BJ$7+0.5,$I$66:$DJ$120,ROWS($A$10:$A58)+2,FALSE)</f>
        <v>13639</v>
      </c>
      <c r="BK58" s="34">
        <f>HLOOKUP(BK$7+0.5,$I$66:$DJ$120,ROWS($A$10:$A58)+2,FALSE)</f>
        <v>1049</v>
      </c>
      <c r="BL58" s="34">
        <f>HLOOKUP(BL$7+0.5,$I$66:$DJ$120,ROWS($A$10:$A58)+2,FALSE)</f>
        <v>2233</v>
      </c>
      <c r="BM58" s="34">
        <f>HLOOKUP(BM$7+0.5,$I$66:$DJ$120,ROWS($A$10:$A58)+2,FALSE)</f>
        <v>3133</v>
      </c>
      <c r="BN58" s="34">
        <f>HLOOKUP(BN$7+0.5,$I$66:$DJ$120,ROWS($A$10:$A58)+2,FALSE)</f>
        <v>565</v>
      </c>
      <c r="BO58" s="34">
        <f>HLOOKUP(BO$7+0.5,$I$66:$DJ$120,ROWS($A$10:$A58)+2,FALSE)</f>
        <v>4474</v>
      </c>
      <c r="BP58" s="34">
        <f>HLOOKUP(BP$7+0.5,$I$66:$DJ$120,ROWS($A$10:$A58)+2,FALSE)</f>
        <v>1215</v>
      </c>
      <c r="BQ58" s="34">
        <f>HLOOKUP(BQ$7+0.5,$I$66:$DJ$120,ROWS($A$10:$A58)+2,FALSE)</f>
        <v>533</v>
      </c>
      <c r="BR58" s="34">
        <f>HLOOKUP(BR$7+0.5,$I$66:$DJ$120,ROWS($A$10:$A58)+2,FALSE)</f>
        <v>201</v>
      </c>
      <c r="BS58" s="34">
        <f>HLOOKUP(BS$7+0.5,$I$66:$DJ$120,ROWS($A$10:$A58)+2,FALSE)</f>
        <v>254</v>
      </c>
      <c r="BT58" s="34">
        <f>HLOOKUP(BT$7+0.5,$I$66:$DJ$120,ROWS($A$10:$A58)+2,FALSE)</f>
        <v>1777</v>
      </c>
      <c r="BU58" s="34">
        <f>HLOOKUP(BU$7+0.5,$I$66:$DJ$120,ROWS($A$10:$A58)+2,FALSE)</f>
        <v>3348</v>
      </c>
      <c r="BV58" s="34">
        <f>HLOOKUP(BV$7+0.5,$I$66:$DJ$120,ROWS($A$10:$A58)+2,FALSE)</f>
        <v>2264</v>
      </c>
      <c r="BW58" s="34">
        <f>HLOOKUP(BW$7+0.5,$I$66:$DJ$120,ROWS($A$10:$A58)+2,FALSE)</f>
        <v>4263</v>
      </c>
      <c r="BX58" s="34">
        <f>HLOOKUP(BX$7+0.5,$I$66:$DJ$120,ROWS($A$10:$A58)+2,FALSE)</f>
        <v>821</v>
      </c>
      <c r="BY58" s="34">
        <f>HLOOKUP(BY$7+0.5,$I$66:$DJ$120,ROWS($A$10:$A58)+2,FALSE)</f>
        <v>1315</v>
      </c>
      <c r="BZ58" s="34">
        <f>HLOOKUP(BZ$7+0.5,$I$66:$DJ$120,ROWS($A$10:$A58)+2,FALSE)</f>
        <v>465</v>
      </c>
      <c r="CA58" s="34">
        <f>HLOOKUP(CA$7+0.5,$I$66:$DJ$120,ROWS($A$10:$A58)+2,FALSE)</f>
        <v>1740</v>
      </c>
      <c r="CB58" s="34">
        <f>HLOOKUP(CB$7+0.5,$I$66:$DJ$120,ROWS($A$10:$A58)+2,FALSE)</f>
        <v>936</v>
      </c>
      <c r="CC58" s="34">
        <f>HLOOKUP(CC$7+0.5,$I$66:$DJ$120,ROWS($A$10:$A58)+2,FALSE)</f>
        <v>1018</v>
      </c>
      <c r="CD58" s="34">
        <f>HLOOKUP(CD$7+0.5,$I$66:$DJ$120,ROWS($A$10:$A58)+2,FALSE)</f>
        <v>1689</v>
      </c>
      <c r="CE58" s="34">
        <f>HLOOKUP(CE$7+0.5,$I$66:$DJ$120,ROWS($A$10:$A58)+2,FALSE)</f>
        <v>808</v>
      </c>
      <c r="CF58" s="34">
        <f>HLOOKUP(CF$7+0.5,$I$66:$DJ$120,ROWS($A$10:$A58)+2,FALSE)</f>
        <v>757</v>
      </c>
      <c r="CG58" s="34">
        <f>HLOOKUP(CG$7+0.5,$I$66:$DJ$120,ROWS($A$10:$A58)+2,FALSE)</f>
        <v>1212</v>
      </c>
      <c r="CH58" s="34">
        <f>HLOOKUP(CH$7+0.5,$I$66:$DJ$120,ROWS($A$10:$A58)+2,FALSE)</f>
        <v>898</v>
      </c>
      <c r="CI58" s="34">
        <f>HLOOKUP(CI$7+0.5,$I$66:$DJ$120,ROWS($A$10:$A58)+2,FALSE)</f>
        <v>762</v>
      </c>
      <c r="CJ58" s="34">
        <f>HLOOKUP(CJ$7+0.5,$I$66:$DJ$120,ROWS($A$10:$A58)+2,FALSE)</f>
        <v>2181</v>
      </c>
      <c r="CK58" s="34">
        <f>HLOOKUP(CK$7+0.5,$I$66:$DJ$120,ROWS($A$10:$A58)+2,FALSE)</f>
        <v>934</v>
      </c>
      <c r="CL58" s="34">
        <f>HLOOKUP(CL$7+0.5,$I$66:$DJ$120,ROWS($A$10:$A58)+2,FALSE)</f>
        <v>441</v>
      </c>
      <c r="CM58" s="34">
        <f>HLOOKUP(CM$7+0.5,$I$66:$DJ$120,ROWS($A$10:$A58)+2,FALSE)</f>
        <v>1696</v>
      </c>
      <c r="CN58" s="34">
        <f>HLOOKUP(CN$7+0.5,$I$66:$DJ$120,ROWS($A$10:$A58)+2,FALSE)</f>
        <v>605</v>
      </c>
      <c r="CO58" s="34">
        <f>HLOOKUP(CO$7+0.5,$I$66:$DJ$120,ROWS($A$10:$A58)+2,FALSE)</f>
        <v>987</v>
      </c>
      <c r="CP58" s="34">
        <f>HLOOKUP(CP$7+0.5,$I$66:$DJ$120,ROWS($A$10:$A58)+2,FALSE)</f>
        <v>1254</v>
      </c>
      <c r="CQ58" s="34">
        <f>HLOOKUP(CQ$7+0.5,$I$66:$DJ$120,ROWS($A$10:$A58)+2,FALSE)</f>
        <v>1322</v>
      </c>
      <c r="CR58" s="34">
        <f>HLOOKUP(CR$7+0.5,$I$66:$DJ$120,ROWS($A$10:$A58)+2,FALSE)</f>
        <v>1452</v>
      </c>
      <c r="CS58" s="34">
        <f>HLOOKUP(CS$7+0.5,$I$66:$DJ$120,ROWS($A$10:$A58)+2,FALSE)</f>
        <v>304</v>
      </c>
      <c r="CT58" s="34">
        <f>HLOOKUP(CT$7+0.5,$I$66:$DJ$120,ROWS($A$10:$A58)+2,FALSE)</f>
        <v>1217</v>
      </c>
      <c r="CU58" s="34">
        <f>HLOOKUP(CU$7+0.5,$I$66:$DJ$120,ROWS($A$10:$A58)+2,FALSE)</f>
        <v>573</v>
      </c>
      <c r="CV58" s="34">
        <f>HLOOKUP(CV$7+0.5,$I$66:$DJ$120,ROWS($A$10:$A58)+2,FALSE)</f>
        <v>5436</v>
      </c>
      <c r="CW58" s="34">
        <f>HLOOKUP(CW$7+0.5,$I$66:$DJ$120,ROWS($A$10:$A58)+2,FALSE)</f>
        <v>1378</v>
      </c>
      <c r="CX58" s="34">
        <f>HLOOKUP(CX$7+0.5,$I$66:$DJ$120,ROWS($A$10:$A58)+2,FALSE)</f>
        <v>319</v>
      </c>
      <c r="CY58" s="34">
        <f>HLOOKUP(CY$7+0.5,$I$66:$DJ$120,ROWS($A$10:$A58)+2,FALSE)</f>
        <v>1267</v>
      </c>
      <c r="CZ58" s="34">
        <f>HLOOKUP(CZ$7+0.5,$I$66:$DJ$120,ROWS($A$10:$A58)+2,FALSE)</f>
        <v>225</v>
      </c>
      <c r="DA58" s="34">
        <f>HLOOKUP(DA$7+0.5,$I$66:$DJ$120,ROWS($A$10:$A58)+2,FALSE)</f>
        <v>1116</v>
      </c>
      <c r="DB58" s="34">
        <f>HLOOKUP(DB$7+0.5,$I$66:$DJ$120,ROWS($A$10:$A58)+2,FALSE)</f>
        <v>4361</v>
      </c>
      <c r="DC58" s="34">
        <f>HLOOKUP(DC$7+0.5,$I$66:$DJ$120,ROWS($A$10:$A58)+2,FALSE)</f>
        <v>1640</v>
      </c>
      <c r="DD58" s="34">
        <f>HLOOKUP(DD$7+0.5,$I$66:$DJ$120,ROWS($A$10:$A58)+2,FALSE)</f>
        <v>196</v>
      </c>
      <c r="DE58" s="34">
        <f>HLOOKUP(DE$7+0.5,$I$66:$DJ$120,ROWS($A$10:$A58)+2,FALSE)</f>
        <v>1698</v>
      </c>
      <c r="DF58" s="34" t="str">
        <f>HLOOKUP(DF$7+0.5,$I$66:$DJ$120,ROWS($A$10:$A58)+2,FALSE)</f>
        <v>N/A</v>
      </c>
      <c r="DG58" s="34">
        <f>HLOOKUP(DG$7+0.5,$I$66:$DJ$120,ROWS($A$10:$A58)+2,FALSE)</f>
        <v>186</v>
      </c>
      <c r="DH58" s="34">
        <f>HLOOKUP(DH$7+0.5,$I$66:$DJ$120,ROWS($A$10:$A58)+2,FALSE)</f>
        <v>892</v>
      </c>
      <c r="DI58" s="34">
        <f>HLOOKUP(DI$7+0.5,$I$66:$DJ$120,ROWS($A$10:$A58)+2,FALSE)</f>
        <v>870</v>
      </c>
      <c r="DJ58" s="34">
        <f>HLOOKUP(DJ$7+0.5,$I$66:$DJ$120,ROWS($A$10:$A58)+2,FALSE)</f>
        <v>1061</v>
      </c>
    </row>
    <row r="59" spans="2:114" x14ac:dyDescent="0.25">
      <c r="B59" s="38" t="s">
        <v>55</v>
      </c>
      <c r="C59" s="15">
        <v>1836614</v>
      </c>
      <c r="D59" s="14">
        <v>1681</v>
      </c>
      <c r="E59" s="15">
        <v>1609110</v>
      </c>
      <c r="F59" s="14">
        <v>9854</v>
      </c>
      <c r="G59" s="15">
        <v>172262</v>
      </c>
      <c r="H59" s="14">
        <v>8430</v>
      </c>
      <c r="I59" s="36">
        <f>HLOOKUP(I$7,$I$66:$DJ$120,ROWS($A$10:$A59)+2,FALSE)</f>
        <v>50068</v>
      </c>
      <c r="J59" s="25">
        <f>HLOOKUP(J$7,$I$66:$DJ$120,ROWS($A$10:$A59)+2,FALSE)</f>
        <v>221</v>
      </c>
      <c r="K59" s="25">
        <f>HLOOKUP(K$7,$I$66:$DJ$120,ROWS($A$10:$A59)+2,FALSE)</f>
        <v>598</v>
      </c>
      <c r="L59" s="25">
        <f>HLOOKUP(L$7,$I$66:$DJ$120,ROWS($A$10:$A59)+2,FALSE)</f>
        <v>50</v>
      </c>
      <c r="M59" s="25">
        <f>HLOOKUP(M$7,$I$66:$DJ$120,ROWS($A$10:$A59)+2,FALSE)</f>
        <v>225</v>
      </c>
      <c r="N59" s="25">
        <f>HLOOKUP(N$7,$I$66:$DJ$120,ROWS($A$10:$A59)+2,FALSE)</f>
        <v>1442</v>
      </c>
      <c r="O59" s="25">
        <f>HLOOKUP(O$7,$I$66:$DJ$120,ROWS($A$10:$A59)+2,FALSE)</f>
        <v>124</v>
      </c>
      <c r="P59" s="25">
        <f>HLOOKUP(P$7,$I$66:$DJ$120,ROWS($A$10:$A59)+2,FALSE)</f>
        <v>594</v>
      </c>
      <c r="Q59" s="25">
        <f>HLOOKUP(Q$7,$I$66:$DJ$120,ROWS($A$10:$A59)+2,FALSE)</f>
        <v>89</v>
      </c>
      <c r="R59" s="25">
        <f>HLOOKUP(R$7,$I$66:$DJ$120,ROWS($A$10:$A59)+2,FALSE)</f>
        <v>300</v>
      </c>
      <c r="S59" s="25">
        <f>HLOOKUP(S$7,$I$66:$DJ$120,ROWS($A$10:$A59)+2,FALSE)</f>
        <v>2949</v>
      </c>
      <c r="T59" s="25">
        <f>HLOOKUP(T$7,$I$66:$DJ$120,ROWS($A$10:$A59)+2,FALSE)</f>
        <v>1296</v>
      </c>
      <c r="U59" s="25">
        <f>HLOOKUP(U$7,$I$66:$DJ$120,ROWS($A$10:$A59)+2,FALSE)</f>
        <v>147</v>
      </c>
      <c r="V59" s="25">
        <f>HLOOKUP(V$7,$I$66:$DJ$120,ROWS($A$10:$A59)+2,FALSE)</f>
        <v>120</v>
      </c>
      <c r="W59" s="25">
        <f>HLOOKUP(W$7,$I$66:$DJ$120,ROWS($A$10:$A59)+2,FALSE)</f>
        <v>1331</v>
      </c>
      <c r="X59" s="25">
        <f>HLOOKUP(X$7,$I$66:$DJ$120,ROWS($A$10:$A59)+2,FALSE)</f>
        <v>210</v>
      </c>
      <c r="Y59" s="25">
        <f>HLOOKUP(Y$7,$I$66:$DJ$120,ROWS($A$10:$A59)+2,FALSE)</f>
        <v>0</v>
      </c>
      <c r="Z59" s="25">
        <f>HLOOKUP(Z$7,$I$66:$DJ$120,ROWS($A$10:$A59)+2,FALSE)</f>
        <v>0</v>
      </c>
      <c r="AA59" s="25">
        <f>HLOOKUP(AA$7,$I$66:$DJ$120,ROWS($A$10:$A59)+2,FALSE)</f>
        <v>515</v>
      </c>
      <c r="AB59" s="25">
        <f>HLOOKUP(AB$7,$I$66:$DJ$120,ROWS($A$10:$A59)+2,FALSE)</f>
        <v>326</v>
      </c>
      <c r="AC59" s="25">
        <f>HLOOKUP(AC$7,$I$66:$DJ$120,ROWS($A$10:$A59)+2,FALSE)</f>
        <v>45</v>
      </c>
      <c r="AD59" s="25">
        <f>HLOOKUP(AD$7,$I$66:$DJ$120,ROWS($A$10:$A59)+2,FALSE)</f>
        <v>7515</v>
      </c>
      <c r="AE59" s="25">
        <f>HLOOKUP(AE$7,$I$66:$DJ$120,ROWS($A$10:$A59)+2,FALSE)</f>
        <v>236</v>
      </c>
      <c r="AF59" s="25">
        <f>HLOOKUP(AF$7,$I$66:$DJ$120,ROWS($A$10:$A59)+2,FALSE)</f>
        <v>459</v>
      </c>
      <c r="AG59" s="25">
        <f>HLOOKUP(AG$7,$I$66:$DJ$120,ROWS($A$10:$A59)+2,FALSE)</f>
        <v>0</v>
      </c>
      <c r="AH59" s="25">
        <f>HLOOKUP(AH$7,$I$66:$DJ$120,ROWS($A$10:$A59)+2,FALSE)</f>
        <v>0</v>
      </c>
      <c r="AI59" s="25">
        <f>HLOOKUP(AI$7,$I$66:$DJ$120,ROWS($A$10:$A59)+2,FALSE)</f>
        <v>309</v>
      </c>
      <c r="AJ59" s="25">
        <f>HLOOKUP(AJ$7,$I$66:$DJ$120,ROWS($A$10:$A59)+2,FALSE)</f>
        <v>60</v>
      </c>
      <c r="AK59" s="25">
        <f>HLOOKUP(AK$7,$I$66:$DJ$120,ROWS($A$10:$A59)+2,FALSE)</f>
        <v>78</v>
      </c>
      <c r="AL59" s="25">
        <f>HLOOKUP(AL$7,$I$66:$DJ$120,ROWS($A$10:$A59)+2,FALSE)</f>
        <v>293</v>
      </c>
      <c r="AM59" s="25">
        <f>HLOOKUP(AM$7,$I$66:$DJ$120,ROWS($A$10:$A59)+2,FALSE)</f>
        <v>160</v>
      </c>
      <c r="AN59" s="25">
        <f>HLOOKUP(AN$7,$I$66:$DJ$120,ROWS($A$10:$A59)+2,FALSE)</f>
        <v>1431</v>
      </c>
      <c r="AO59" s="25">
        <f>HLOOKUP(AO$7,$I$66:$DJ$120,ROWS($A$10:$A59)+2,FALSE)</f>
        <v>0</v>
      </c>
      <c r="AP59" s="25">
        <f>HLOOKUP(AP$7,$I$66:$DJ$120,ROWS($A$10:$A59)+2,FALSE)</f>
        <v>2017</v>
      </c>
      <c r="AQ59" s="25">
        <f>HLOOKUP(AQ$7,$I$66:$DJ$120,ROWS($A$10:$A59)+2,FALSE)</f>
        <v>3865</v>
      </c>
      <c r="AR59" s="25">
        <f>HLOOKUP(AR$7,$I$66:$DJ$120,ROWS($A$10:$A59)+2,FALSE)</f>
        <v>0</v>
      </c>
      <c r="AS59" s="25">
        <f>HLOOKUP(AS$7,$I$66:$DJ$120,ROWS($A$10:$A59)+2,FALSE)</f>
        <v>8545</v>
      </c>
      <c r="AT59" s="25">
        <f>HLOOKUP(AT$7,$I$66:$DJ$120,ROWS($A$10:$A59)+2,FALSE)</f>
        <v>97</v>
      </c>
      <c r="AU59" s="25">
        <f>HLOOKUP(AU$7,$I$66:$DJ$120,ROWS($A$10:$A59)+2,FALSE)</f>
        <v>132</v>
      </c>
      <c r="AV59" s="25">
        <f>HLOOKUP(AV$7,$I$66:$DJ$120,ROWS($A$10:$A59)+2,FALSE)</f>
        <v>4205</v>
      </c>
      <c r="AW59" s="25">
        <f>HLOOKUP(AW$7,$I$66:$DJ$120,ROWS($A$10:$A59)+2,FALSE)</f>
        <v>284</v>
      </c>
      <c r="AX59" s="25">
        <f>HLOOKUP(AX$7,$I$66:$DJ$120,ROWS($A$10:$A59)+2,FALSE)</f>
        <v>1857</v>
      </c>
      <c r="AY59" s="25">
        <f>HLOOKUP(AY$7,$I$66:$DJ$120,ROWS($A$10:$A59)+2,FALSE)</f>
        <v>0</v>
      </c>
      <c r="AZ59" s="25">
        <f>HLOOKUP(AZ$7,$I$66:$DJ$120,ROWS($A$10:$A59)+2,FALSE)</f>
        <v>546</v>
      </c>
      <c r="BA59" s="25">
        <f>HLOOKUP(BA$7,$I$66:$DJ$120,ROWS($A$10:$A59)+2,FALSE)</f>
        <v>1574</v>
      </c>
      <c r="BB59" s="25">
        <f>HLOOKUP(BB$7,$I$66:$DJ$120,ROWS($A$10:$A59)+2,FALSE)</f>
        <v>114</v>
      </c>
      <c r="BC59" s="25">
        <f>HLOOKUP(BC$7,$I$66:$DJ$120,ROWS($A$10:$A59)+2,FALSE)</f>
        <v>23</v>
      </c>
      <c r="BD59" s="25">
        <f>HLOOKUP(BD$7,$I$66:$DJ$120,ROWS($A$10:$A59)+2,FALSE)</f>
        <v>5561</v>
      </c>
      <c r="BE59" s="25">
        <f>HLOOKUP(BE$7,$I$66:$DJ$120,ROWS($A$10:$A59)+2,FALSE)</f>
        <v>83</v>
      </c>
      <c r="BF59" s="25" t="str">
        <f>HLOOKUP(BF$7,$I$66:$DJ$120,ROWS($A$10:$A59)+2,FALSE)</f>
        <v>N/A</v>
      </c>
      <c r="BG59" s="25">
        <f>HLOOKUP(BG$7,$I$66:$DJ$120,ROWS($A$10:$A59)+2,FALSE)</f>
        <v>42</v>
      </c>
      <c r="BH59" s="25">
        <f>HLOOKUP(BH$7,$I$66:$DJ$120,ROWS($A$10:$A59)+2,FALSE)</f>
        <v>0</v>
      </c>
      <c r="BI59" s="25">
        <f>HLOOKUP(BI$7,$I$66:$DJ$120,ROWS($A$10:$A59)+2,FALSE)</f>
        <v>680</v>
      </c>
      <c r="BJ59" s="34">
        <f>HLOOKUP(BJ$7+0.5,$I$66:$DJ$120,ROWS($A$10:$A59)+2,FALSE)</f>
        <v>4934</v>
      </c>
      <c r="BK59" s="34">
        <f>HLOOKUP(BK$7+0.5,$I$66:$DJ$120,ROWS($A$10:$A59)+2,FALSE)</f>
        <v>228</v>
      </c>
      <c r="BL59" s="34">
        <f>HLOOKUP(BL$7+0.5,$I$66:$DJ$120,ROWS($A$10:$A59)+2,FALSE)</f>
        <v>566</v>
      </c>
      <c r="BM59" s="34">
        <f>HLOOKUP(BM$7+0.5,$I$66:$DJ$120,ROWS($A$10:$A59)+2,FALSE)</f>
        <v>95</v>
      </c>
      <c r="BN59" s="34">
        <f>HLOOKUP(BN$7+0.5,$I$66:$DJ$120,ROWS($A$10:$A59)+2,FALSE)</f>
        <v>361</v>
      </c>
      <c r="BO59" s="34">
        <f>HLOOKUP(BO$7+0.5,$I$66:$DJ$120,ROWS($A$10:$A59)+2,FALSE)</f>
        <v>1085</v>
      </c>
      <c r="BP59" s="34">
        <f>HLOOKUP(BP$7+0.5,$I$66:$DJ$120,ROWS($A$10:$A59)+2,FALSE)</f>
        <v>160</v>
      </c>
      <c r="BQ59" s="34">
        <f>HLOOKUP(BQ$7+0.5,$I$66:$DJ$120,ROWS($A$10:$A59)+2,FALSE)</f>
        <v>401</v>
      </c>
      <c r="BR59" s="34">
        <f>HLOOKUP(BR$7+0.5,$I$66:$DJ$120,ROWS($A$10:$A59)+2,FALSE)</f>
        <v>102</v>
      </c>
      <c r="BS59" s="34">
        <f>HLOOKUP(BS$7+0.5,$I$66:$DJ$120,ROWS($A$10:$A59)+2,FALSE)</f>
        <v>231</v>
      </c>
      <c r="BT59" s="34">
        <f>HLOOKUP(BT$7+0.5,$I$66:$DJ$120,ROWS($A$10:$A59)+2,FALSE)</f>
        <v>1076</v>
      </c>
      <c r="BU59" s="34">
        <f>HLOOKUP(BU$7+0.5,$I$66:$DJ$120,ROWS($A$10:$A59)+2,FALSE)</f>
        <v>898</v>
      </c>
      <c r="BV59" s="34">
        <f>HLOOKUP(BV$7+0.5,$I$66:$DJ$120,ROWS($A$10:$A59)+2,FALSE)</f>
        <v>248</v>
      </c>
      <c r="BW59" s="34">
        <f>HLOOKUP(BW$7+0.5,$I$66:$DJ$120,ROWS($A$10:$A59)+2,FALSE)</f>
        <v>127</v>
      </c>
      <c r="BX59" s="34">
        <f>HLOOKUP(BX$7+0.5,$I$66:$DJ$120,ROWS($A$10:$A59)+2,FALSE)</f>
        <v>1134</v>
      </c>
      <c r="BY59" s="34">
        <f>HLOOKUP(BY$7+0.5,$I$66:$DJ$120,ROWS($A$10:$A59)+2,FALSE)</f>
        <v>200</v>
      </c>
      <c r="BZ59" s="34">
        <f>HLOOKUP(BZ$7+0.5,$I$66:$DJ$120,ROWS($A$10:$A59)+2,FALSE)</f>
        <v>184</v>
      </c>
      <c r="CA59" s="34">
        <f>HLOOKUP(CA$7+0.5,$I$66:$DJ$120,ROWS($A$10:$A59)+2,FALSE)</f>
        <v>184</v>
      </c>
      <c r="CB59" s="34">
        <f>HLOOKUP(CB$7+0.5,$I$66:$DJ$120,ROWS($A$10:$A59)+2,FALSE)</f>
        <v>259</v>
      </c>
      <c r="CC59" s="34">
        <f>HLOOKUP(CC$7+0.5,$I$66:$DJ$120,ROWS($A$10:$A59)+2,FALSE)</f>
        <v>313</v>
      </c>
      <c r="CD59" s="34">
        <f>HLOOKUP(CD$7+0.5,$I$66:$DJ$120,ROWS($A$10:$A59)+2,FALSE)</f>
        <v>75</v>
      </c>
      <c r="CE59" s="34">
        <f>HLOOKUP(CE$7+0.5,$I$66:$DJ$120,ROWS($A$10:$A59)+2,FALSE)</f>
        <v>2257</v>
      </c>
      <c r="CF59" s="34">
        <f>HLOOKUP(CF$7+0.5,$I$66:$DJ$120,ROWS($A$10:$A59)+2,FALSE)</f>
        <v>196</v>
      </c>
      <c r="CG59" s="34">
        <f>HLOOKUP(CG$7+0.5,$I$66:$DJ$120,ROWS($A$10:$A59)+2,FALSE)</f>
        <v>263</v>
      </c>
      <c r="CH59" s="34">
        <f>HLOOKUP(CH$7+0.5,$I$66:$DJ$120,ROWS($A$10:$A59)+2,FALSE)</f>
        <v>184</v>
      </c>
      <c r="CI59" s="34">
        <f>HLOOKUP(CI$7+0.5,$I$66:$DJ$120,ROWS($A$10:$A59)+2,FALSE)</f>
        <v>184</v>
      </c>
      <c r="CJ59" s="34">
        <f>HLOOKUP(CJ$7+0.5,$I$66:$DJ$120,ROWS($A$10:$A59)+2,FALSE)</f>
        <v>345</v>
      </c>
      <c r="CK59" s="34">
        <f>HLOOKUP(CK$7+0.5,$I$66:$DJ$120,ROWS($A$10:$A59)+2,FALSE)</f>
        <v>101</v>
      </c>
      <c r="CL59" s="34">
        <f>HLOOKUP(CL$7+0.5,$I$66:$DJ$120,ROWS($A$10:$A59)+2,FALSE)</f>
        <v>140</v>
      </c>
      <c r="CM59" s="34">
        <f>HLOOKUP(CM$7+0.5,$I$66:$DJ$120,ROWS($A$10:$A59)+2,FALSE)</f>
        <v>235</v>
      </c>
      <c r="CN59" s="34">
        <f>HLOOKUP(CN$7+0.5,$I$66:$DJ$120,ROWS($A$10:$A59)+2,FALSE)</f>
        <v>223</v>
      </c>
      <c r="CO59" s="34">
        <f>HLOOKUP(CO$7+0.5,$I$66:$DJ$120,ROWS($A$10:$A59)+2,FALSE)</f>
        <v>611</v>
      </c>
      <c r="CP59" s="34">
        <f>HLOOKUP(CP$7+0.5,$I$66:$DJ$120,ROWS($A$10:$A59)+2,FALSE)</f>
        <v>184</v>
      </c>
      <c r="CQ59" s="34">
        <f>HLOOKUP(CQ$7+0.5,$I$66:$DJ$120,ROWS($A$10:$A59)+2,FALSE)</f>
        <v>866</v>
      </c>
      <c r="CR59" s="34">
        <f>HLOOKUP(CR$7+0.5,$I$66:$DJ$120,ROWS($A$10:$A59)+2,FALSE)</f>
        <v>1241</v>
      </c>
      <c r="CS59" s="34">
        <f>HLOOKUP(CS$7+0.5,$I$66:$DJ$120,ROWS($A$10:$A59)+2,FALSE)</f>
        <v>184</v>
      </c>
      <c r="CT59" s="34">
        <f>HLOOKUP(CT$7+0.5,$I$66:$DJ$120,ROWS($A$10:$A59)+2,FALSE)</f>
        <v>1913</v>
      </c>
      <c r="CU59" s="34">
        <f>HLOOKUP(CU$7+0.5,$I$66:$DJ$120,ROWS($A$10:$A59)+2,FALSE)</f>
        <v>113</v>
      </c>
      <c r="CV59" s="34">
        <f>HLOOKUP(CV$7+0.5,$I$66:$DJ$120,ROWS($A$10:$A59)+2,FALSE)</f>
        <v>203</v>
      </c>
      <c r="CW59" s="34">
        <f>HLOOKUP(CW$7+0.5,$I$66:$DJ$120,ROWS($A$10:$A59)+2,FALSE)</f>
        <v>1569</v>
      </c>
      <c r="CX59" s="34">
        <f>HLOOKUP(CX$7+0.5,$I$66:$DJ$120,ROWS($A$10:$A59)+2,FALSE)</f>
        <v>344</v>
      </c>
      <c r="CY59" s="34">
        <f>HLOOKUP(CY$7+0.5,$I$66:$DJ$120,ROWS($A$10:$A59)+2,FALSE)</f>
        <v>1316</v>
      </c>
      <c r="CZ59" s="34">
        <f>HLOOKUP(CZ$7+0.5,$I$66:$DJ$120,ROWS($A$10:$A59)+2,FALSE)</f>
        <v>184</v>
      </c>
      <c r="DA59" s="34">
        <f>HLOOKUP(DA$7+0.5,$I$66:$DJ$120,ROWS($A$10:$A59)+2,FALSE)</f>
        <v>449</v>
      </c>
      <c r="DB59" s="34">
        <f>HLOOKUP(DB$7+0.5,$I$66:$DJ$120,ROWS($A$10:$A59)+2,FALSE)</f>
        <v>1047</v>
      </c>
      <c r="DC59" s="34">
        <f>HLOOKUP(DC$7+0.5,$I$66:$DJ$120,ROWS($A$10:$A59)+2,FALSE)</f>
        <v>216</v>
      </c>
      <c r="DD59" s="34">
        <f>HLOOKUP(DD$7+0.5,$I$66:$DJ$120,ROWS($A$10:$A59)+2,FALSE)</f>
        <v>33</v>
      </c>
      <c r="DE59" s="34">
        <f>HLOOKUP(DE$7+0.5,$I$66:$DJ$120,ROWS($A$10:$A59)+2,FALSE)</f>
        <v>1534</v>
      </c>
      <c r="DF59" s="34">
        <f>HLOOKUP(DF$7+0.5,$I$66:$DJ$120,ROWS($A$10:$A59)+2,FALSE)</f>
        <v>137</v>
      </c>
      <c r="DG59" s="34" t="str">
        <f>HLOOKUP(DG$7+0.5,$I$66:$DJ$120,ROWS($A$10:$A59)+2,FALSE)</f>
        <v>N/A</v>
      </c>
      <c r="DH59" s="34">
        <f>HLOOKUP(DH$7+0.5,$I$66:$DJ$120,ROWS($A$10:$A59)+2,FALSE)</f>
        <v>69</v>
      </c>
      <c r="DI59" s="34">
        <f>HLOOKUP(DI$7+0.5,$I$66:$DJ$120,ROWS($A$10:$A59)+2,FALSE)</f>
        <v>184</v>
      </c>
      <c r="DJ59" s="34">
        <f>HLOOKUP(DJ$7+0.5,$I$66:$DJ$120,ROWS($A$10:$A59)+2,FALSE)</f>
        <v>450</v>
      </c>
    </row>
    <row r="60" spans="2:114" x14ac:dyDescent="0.25">
      <c r="B60" s="38" t="s">
        <v>56</v>
      </c>
      <c r="C60" s="15">
        <v>5647213</v>
      </c>
      <c r="D60" s="14">
        <v>2653</v>
      </c>
      <c r="E60" s="15">
        <v>4846550</v>
      </c>
      <c r="F60" s="14">
        <v>18735</v>
      </c>
      <c r="G60" s="15">
        <v>675623</v>
      </c>
      <c r="H60" s="14">
        <v>19411</v>
      </c>
      <c r="I60" s="36">
        <f>HLOOKUP(I$7,$I$66:$DJ$120,ROWS($A$10:$A60)+2,FALSE)</f>
        <v>109439</v>
      </c>
      <c r="J60" s="25">
        <f>HLOOKUP(J$7,$I$66:$DJ$120,ROWS($A$10:$A60)+2,FALSE)</f>
        <v>708</v>
      </c>
      <c r="K60" s="25">
        <f>HLOOKUP(K$7,$I$66:$DJ$120,ROWS($A$10:$A60)+2,FALSE)</f>
        <v>432</v>
      </c>
      <c r="L60" s="25">
        <f>HLOOKUP(L$7,$I$66:$DJ$120,ROWS($A$10:$A60)+2,FALSE)</f>
        <v>4045</v>
      </c>
      <c r="M60" s="25">
        <f>HLOOKUP(M$7,$I$66:$DJ$120,ROWS($A$10:$A60)+2,FALSE)</f>
        <v>335</v>
      </c>
      <c r="N60" s="25">
        <f>HLOOKUP(N$7,$I$66:$DJ$120,ROWS($A$10:$A60)+2,FALSE)</f>
        <v>6637</v>
      </c>
      <c r="O60" s="25">
        <f>HLOOKUP(O$7,$I$66:$DJ$120,ROWS($A$10:$A60)+2,FALSE)</f>
        <v>2592</v>
      </c>
      <c r="P60" s="25">
        <f>HLOOKUP(P$7,$I$66:$DJ$120,ROWS($A$10:$A60)+2,FALSE)</f>
        <v>993</v>
      </c>
      <c r="Q60" s="25">
        <f>HLOOKUP(Q$7,$I$66:$DJ$120,ROWS($A$10:$A60)+2,FALSE)</f>
        <v>219</v>
      </c>
      <c r="R60" s="25">
        <f>HLOOKUP(R$7,$I$66:$DJ$120,ROWS($A$10:$A60)+2,FALSE)</f>
        <v>123</v>
      </c>
      <c r="S60" s="25">
        <f>HLOOKUP(S$7,$I$66:$DJ$120,ROWS($A$10:$A60)+2,FALSE)</f>
        <v>4338</v>
      </c>
      <c r="T60" s="25">
        <f>HLOOKUP(T$7,$I$66:$DJ$120,ROWS($A$10:$A60)+2,FALSE)</f>
        <v>1745</v>
      </c>
      <c r="U60" s="25">
        <f>HLOOKUP(U$7,$I$66:$DJ$120,ROWS($A$10:$A60)+2,FALSE)</f>
        <v>1108</v>
      </c>
      <c r="V60" s="25">
        <f>HLOOKUP(V$7,$I$66:$DJ$120,ROWS($A$10:$A60)+2,FALSE)</f>
        <v>566</v>
      </c>
      <c r="W60" s="25">
        <f>HLOOKUP(W$7,$I$66:$DJ$120,ROWS($A$10:$A60)+2,FALSE)</f>
        <v>25521</v>
      </c>
      <c r="X60" s="25">
        <f>HLOOKUP(X$7,$I$66:$DJ$120,ROWS($A$10:$A60)+2,FALSE)</f>
        <v>4017</v>
      </c>
      <c r="Y60" s="25">
        <f>HLOOKUP(Y$7,$I$66:$DJ$120,ROWS($A$10:$A60)+2,FALSE)</f>
        <v>3306</v>
      </c>
      <c r="Z60" s="25">
        <f>HLOOKUP(Z$7,$I$66:$DJ$120,ROWS($A$10:$A60)+2,FALSE)</f>
        <v>418</v>
      </c>
      <c r="AA60" s="25">
        <f>HLOOKUP(AA$7,$I$66:$DJ$120,ROWS($A$10:$A60)+2,FALSE)</f>
        <v>1040</v>
      </c>
      <c r="AB60" s="25">
        <f>HLOOKUP(AB$7,$I$66:$DJ$120,ROWS($A$10:$A60)+2,FALSE)</f>
        <v>850</v>
      </c>
      <c r="AC60" s="25">
        <f>HLOOKUP(AC$7,$I$66:$DJ$120,ROWS($A$10:$A60)+2,FALSE)</f>
        <v>12</v>
      </c>
      <c r="AD60" s="25">
        <f>HLOOKUP(AD$7,$I$66:$DJ$120,ROWS($A$10:$A60)+2,FALSE)</f>
        <v>147</v>
      </c>
      <c r="AE60" s="25">
        <f>HLOOKUP(AE$7,$I$66:$DJ$120,ROWS($A$10:$A60)+2,FALSE)</f>
        <v>733</v>
      </c>
      <c r="AF60" s="25">
        <f>HLOOKUP(AF$7,$I$66:$DJ$120,ROWS($A$10:$A60)+2,FALSE)</f>
        <v>5623</v>
      </c>
      <c r="AG60" s="25">
        <f>HLOOKUP(AG$7,$I$66:$DJ$120,ROWS($A$10:$A60)+2,FALSE)</f>
        <v>17927</v>
      </c>
      <c r="AH60" s="25">
        <f>HLOOKUP(AH$7,$I$66:$DJ$120,ROWS($A$10:$A60)+2,FALSE)</f>
        <v>983</v>
      </c>
      <c r="AI60" s="25">
        <f>HLOOKUP(AI$7,$I$66:$DJ$120,ROWS($A$10:$A60)+2,FALSE)</f>
        <v>2090</v>
      </c>
      <c r="AJ60" s="25">
        <f>HLOOKUP(AJ$7,$I$66:$DJ$120,ROWS($A$10:$A60)+2,FALSE)</f>
        <v>143</v>
      </c>
      <c r="AK60" s="25">
        <f>HLOOKUP(AK$7,$I$66:$DJ$120,ROWS($A$10:$A60)+2,FALSE)</f>
        <v>483</v>
      </c>
      <c r="AL60" s="25">
        <f>HLOOKUP(AL$7,$I$66:$DJ$120,ROWS($A$10:$A60)+2,FALSE)</f>
        <v>663</v>
      </c>
      <c r="AM60" s="25">
        <f>HLOOKUP(AM$7,$I$66:$DJ$120,ROWS($A$10:$A60)+2,FALSE)</f>
        <v>480</v>
      </c>
      <c r="AN60" s="25">
        <f>HLOOKUP(AN$7,$I$66:$DJ$120,ROWS($A$10:$A60)+2,FALSE)</f>
        <v>378</v>
      </c>
      <c r="AO60" s="25">
        <f>HLOOKUP(AO$7,$I$66:$DJ$120,ROWS($A$10:$A60)+2,FALSE)</f>
        <v>714</v>
      </c>
      <c r="AP60" s="25">
        <f>HLOOKUP(AP$7,$I$66:$DJ$120,ROWS($A$10:$A60)+2,FALSE)</f>
        <v>2213</v>
      </c>
      <c r="AQ60" s="25">
        <f>HLOOKUP(AQ$7,$I$66:$DJ$120,ROWS($A$10:$A60)+2,FALSE)</f>
        <v>2120</v>
      </c>
      <c r="AR60" s="25">
        <f>HLOOKUP(AR$7,$I$66:$DJ$120,ROWS($A$10:$A60)+2,FALSE)</f>
        <v>1383</v>
      </c>
      <c r="AS60" s="25">
        <f>HLOOKUP(AS$7,$I$66:$DJ$120,ROWS($A$10:$A60)+2,FALSE)</f>
        <v>1358</v>
      </c>
      <c r="AT60" s="25">
        <f>HLOOKUP(AT$7,$I$66:$DJ$120,ROWS($A$10:$A60)+2,FALSE)</f>
        <v>118</v>
      </c>
      <c r="AU60" s="25">
        <f>HLOOKUP(AU$7,$I$66:$DJ$120,ROWS($A$10:$A60)+2,FALSE)</f>
        <v>1057</v>
      </c>
      <c r="AV60" s="25">
        <f>HLOOKUP(AV$7,$I$66:$DJ$120,ROWS($A$10:$A60)+2,FALSE)</f>
        <v>1294</v>
      </c>
      <c r="AW60" s="25">
        <f>HLOOKUP(AW$7,$I$66:$DJ$120,ROWS($A$10:$A60)+2,FALSE)</f>
        <v>368</v>
      </c>
      <c r="AX60" s="25">
        <f>HLOOKUP(AX$7,$I$66:$DJ$120,ROWS($A$10:$A60)+2,FALSE)</f>
        <v>377</v>
      </c>
      <c r="AY60" s="25">
        <f>HLOOKUP(AY$7,$I$66:$DJ$120,ROWS($A$10:$A60)+2,FALSE)</f>
        <v>590</v>
      </c>
      <c r="AZ60" s="25">
        <f>HLOOKUP(AZ$7,$I$66:$DJ$120,ROWS($A$10:$A60)+2,FALSE)</f>
        <v>744</v>
      </c>
      <c r="BA60" s="25">
        <f>HLOOKUP(BA$7,$I$66:$DJ$120,ROWS($A$10:$A60)+2,FALSE)</f>
        <v>1984</v>
      </c>
      <c r="BB60" s="25">
        <f>HLOOKUP(BB$7,$I$66:$DJ$120,ROWS($A$10:$A60)+2,FALSE)</f>
        <v>890</v>
      </c>
      <c r="BC60" s="25">
        <f>HLOOKUP(BC$7,$I$66:$DJ$120,ROWS($A$10:$A60)+2,FALSE)</f>
        <v>342</v>
      </c>
      <c r="BD60" s="25">
        <f>HLOOKUP(BD$7,$I$66:$DJ$120,ROWS($A$10:$A60)+2,FALSE)</f>
        <v>2573</v>
      </c>
      <c r="BE60" s="25">
        <f>HLOOKUP(BE$7,$I$66:$DJ$120,ROWS($A$10:$A60)+2,FALSE)</f>
        <v>1555</v>
      </c>
      <c r="BF60" s="25">
        <f>HLOOKUP(BF$7,$I$66:$DJ$120,ROWS($A$10:$A60)+2,FALSE)</f>
        <v>1090</v>
      </c>
      <c r="BG60" s="25" t="str">
        <f>HLOOKUP(BG$7,$I$66:$DJ$120,ROWS($A$10:$A60)+2,FALSE)</f>
        <v>N/A</v>
      </c>
      <c r="BH60" s="25">
        <f>HLOOKUP(BH$7,$I$66:$DJ$120,ROWS($A$10:$A60)+2,FALSE)</f>
        <v>14</v>
      </c>
      <c r="BI60" s="25">
        <f>HLOOKUP(BI$7,$I$66:$DJ$120,ROWS($A$10:$A60)+2,FALSE)</f>
        <v>728</v>
      </c>
      <c r="BJ60" s="34">
        <f>HLOOKUP(BJ$7+0.5,$I$66:$DJ$120,ROWS($A$10:$A60)+2,FALSE)</f>
        <v>8715</v>
      </c>
      <c r="BK60" s="34">
        <f>HLOOKUP(BK$7+0.5,$I$66:$DJ$120,ROWS($A$10:$A60)+2,FALSE)</f>
        <v>761</v>
      </c>
      <c r="BL60" s="34">
        <f>HLOOKUP(BL$7+0.5,$I$66:$DJ$120,ROWS($A$10:$A60)+2,FALSE)</f>
        <v>323</v>
      </c>
      <c r="BM60" s="34">
        <f>HLOOKUP(BM$7+0.5,$I$66:$DJ$120,ROWS($A$10:$A60)+2,FALSE)</f>
        <v>1532</v>
      </c>
      <c r="BN60" s="34">
        <f>HLOOKUP(BN$7+0.5,$I$66:$DJ$120,ROWS($A$10:$A60)+2,FALSE)</f>
        <v>285</v>
      </c>
      <c r="BO60" s="34">
        <f>HLOOKUP(BO$7+0.5,$I$66:$DJ$120,ROWS($A$10:$A60)+2,FALSE)</f>
        <v>2054</v>
      </c>
      <c r="BP60" s="34">
        <f>HLOOKUP(BP$7+0.5,$I$66:$DJ$120,ROWS($A$10:$A60)+2,FALSE)</f>
        <v>1457</v>
      </c>
      <c r="BQ60" s="34">
        <f>HLOOKUP(BQ$7+0.5,$I$66:$DJ$120,ROWS($A$10:$A60)+2,FALSE)</f>
        <v>1397</v>
      </c>
      <c r="BR60" s="34">
        <f>HLOOKUP(BR$7+0.5,$I$66:$DJ$120,ROWS($A$10:$A60)+2,FALSE)</f>
        <v>276</v>
      </c>
      <c r="BS60" s="34">
        <f>HLOOKUP(BS$7+0.5,$I$66:$DJ$120,ROWS($A$10:$A60)+2,FALSE)</f>
        <v>170</v>
      </c>
      <c r="BT60" s="34">
        <f>HLOOKUP(BT$7+0.5,$I$66:$DJ$120,ROWS($A$10:$A60)+2,FALSE)</f>
        <v>1103</v>
      </c>
      <c r="BU60" s="34">
        <f>HLOOKUP(BU$7+0.5,$I$66:$DJ$120,ROWS($A$10:$A60)+2,FALSE)</f>
        <v>1106</v>
      </c>
      <c r="BV60" s="34">
        <f>HLOOKUP(BV$7+0.5,$I$66:$DJ$120,ROWS($A$10:$A60)+2,FALSE)</f>
        <v>1597</v>
      </c>
      <c r="BW60" s="34">
        <f>HLOOKUP(BW$7+0.5,$I$66:$DJ$120,ROWS($A$10:$A60)+2,FALSE)</f>
        <v>434</v>
      </c>
      <c r="BX60" s="34">
        <f>HLOOKUP(BX$7+0.5,$I$66:$DJ$120,ROWS($A$10:$A60)+2,FALSE)</f>
        <v>4568</v>
      </c>
      <c r="BY60" s="34">
        <f>HLOOKUP(BY$7+0.5,$I$66:$DJ$120,ROWS($A$10:$A60)+2,FALSE)</f>
        <v>2027</v>
      </c>
      <c r="BZ60" s="34">
        <f>HLOOKUP(BZ$7+0.5,$I$66:$DJ$120,ROWS($A$10:$A60)+2,FALSE)</f>
        <v>1757</v>
      </c>
      <c r="CA60" s="34">
        <f>HLOOKUP(CA$7+0.5,$I$66:$DJ$120,ROWS($A$10:$A60)+2,FALSE)</f>
        <v>446</v>
      </c>
      <c r="CB60" s="34">
        <f>HLOOKUP(CB$7+0.5,$I$66:$DJ$120,ROWS($A$10:$A60)+2,FALSE)</f>
        <v>570</v>
      </c>
      <c r="CC60" s="34">
        <f>HLOOKUP(CC$7+0.5,$I$66:$DJ$120,ROWS($A$10:$A60)+2,FALSE)</f>
        <v>563</v>
      </c>
      <c r="CD60" s="34">
        <f>HLOOKUP(CD$7+0.5,$I$66:$DJ$120,ROWS($A$10:$A60)+2,FALSE)</f>
        <v>21</v>
      </c>
      <c r="CE60" s="34">
        <f>HLOOKUP(CE$7+0.5,$I$66:$DJ$120,ROWS($A$10:$A60)+2,FALSE)</f>
        <v>141</v>
      </c>
      <c r="CF60" s="34">
        <f>HLOOKUP(CF$7+0.5,$I$66:$DJ$120,ROWS($A$10:$A60)+2,FALSE)</f>
        <v>578</v>
      </c>
      <c r="CG60" s="34">
        <f>HLOOKUP(CG$7+0.5,$I$66:$DJ$120,ROWS($A$10:$A60)+2,FALSE)</f>
        <v>1353</v>
      </c>
      <c r="CH60" s="34">
        <f>HLOOKUP(CH$7+0.5,$I$66:$DJ$120,ROWS($A$10:$A60)+2,FALSE)</f>
        <v>2244</v>
      </c>
      <c r="CI60" s="34">
        <f>HLOOKUP(CI$7+0.5,$I$66:$DJ$120,ROWS($A$10:$A60)+2,FALSE)</f>
        <v>924</v>
      </c>
      <c r="CJ60" s="34">
        <f>HLOOKUP(CJ$7+0.5,$I$66:$DJ$120,ROWS($A$10:$A60)+2,FALSE)</f>
        <v>1117</v>
      </c>
      <c r="CK60" s="34">
        <f>HLOOKUP(CK$7+0.5,$I$66:$DJ$120,ROWS($A$10:$A60)+2,FALSE)</f>
        <v>93</v>
      </c>
      <c r="CL60" s="34">
        <f>HLOOKUP(CL$7+0.5,$I$66:$DJ$120,ROWS($A$10:$A60)+2,FALSE)</f>
        <v>405</v>
      </c>
      <c r="CM60" s="34">
        <f>HLOOKUP(CM$7+0.5,$I$66:$DJ$120,ROWS($A$10:$A60)+2,FALSE)</f>
        <v>345</v>
      </c>
      <c r="CN60" s="34">
        <f>HLOOKUP(CN$7+0.5,$I$66:$DJ$120,ROWS($A$10:$A60)+2,FALSE)</f>
        <v>364</v>
      </c>
      <c r="CO60" s="34">
        <f>HLOOKUP(CO$7+0.5,$I$66:$DJ$120,ROWS($A$10:$A60)+2,FALSE)</f>
        <v>352</v>
      </c>
      <c r="CP60" s="34">
        <f>HLOOKUP(CP$7+0.5,$I$66:$DJ$120,ROWS($A$10:$A60)+2,FALSE)</f>
        <v>502</v>
      </c>
      <c r="CQ60" s="34">
        <f>HLOOKUP(CQ$7+0.5,$I$66:$DJ$120,ROWS($A$10:$A60)+2,FALSE)</f>
        <v>835</v>
      </c>
      <c r="CR60" s="34">
        <f>HLOOKUP(CR$7+0.5,$I$66:$DJ$120,ROWS($A$10:$A60)+2,FALSE)</f>
        <v>967</v>
      </c>
      <c r="CS60" s="34">
        <f>HLOOKUP(CS$7+0.5,$I$66:$DJ$120,ROWS($A$10:$A60)+2,FALSE)</f>
        <v>1273</v>
      </c>
      <c r="CT60" s="34">
        <f>HLOOKUP(CT$7+0.5,$I$66:$DJ$120,ROWS($A$10:$A60)+2,FALSE)</f>
        <v>628</v>
      </c>
      <c r="CU60" s="34">
        <f>HLOOKUP(CU$7+0.5,$I$66:$DJ$120,ROWS($A$10:$A60)+2,FALSE)</f>
        <v>119</v>
      </c>
      <c r="CV60" s="34">
        <f>HLOOKUP(CV$7+0.5,$I$66:$DJ$120,ROWS($A$10:$A60)+2,FALSE)</f>
        <v>680</v>
      </c>
      <c r="CW60" s="34">
        <f>HLOOKUP(CW$7+0.5,$I$66:$DJ$120,ROWS($A$10:$A60)+2,FALSE)</f>
        <v>781</v>
      </c>
      <c r="CX60" s="34">
        <f>HLOOKUP(CX$7+0.5,$I$66:$DJ$120,ROWS($A$10:$A60)+2,FALSE)</f>
        <v>407</v>
      </c>
      <c r="CY60" s="34">
        <f>HLOOKUP(CY$7+0.5,$I$66:$DJ$120,ROWS($A$10:$A60)+2,FALSE)</f>
        <v>312</v>
      </c>
      <c r="CZ60" s="34">
        <f>HLOOKUP(CZ$7+0.5,$I$66:$DJ$120,ROWS($A$10:$A60)+2,FALSE)</f>
        <v>487</v>
      </c>
      <c r="DA60" s="34">
        <f>HLOOKUP(DA$7+0.5,$I$66:$DJ$120,ROWS($A$10:$A60)+2,FALSE)</f>
        <v>527</v>
      </c>
      <c r="DB60" s="34">
        <f>HLOOKUP(DB$7+0.5,$I$66:$DJ$120,ROWS($A$10:$A60)+2,FALSE)</f>
        <v>836</v>
      </c>
      <c r="DC60" s="34">
        <f>HLOOKUP(DC$7+0.5,$I$66:$DJ$120,ROWS($A$10:$A60)+2,FALSE)</f>
        <v>652</v>
      </c>
      <c r="DD60" s="34">
        <f>HLOOKUP(DD$7+0.5,$I$66:$DJ$120,ROWS($A$10:$A60)+2,FALSE)</f>
        <v>311</v>
      </c>
      <c r="DE60" s="34">
        <f>HLOOKUP(DE$7+0.5,$I$66:$DJ$120,ROWS($A$10:$A60)+2,FALSE)</f>
        <v>1465</v>
      </c>
      <c r="DF60" s="34">
        <f>HLOOKUP(DF$7+0.5,$I$66:$DJ$120,ROWS($A$10:$A60)+2,FALSE)</f>
        <v>1071</v>
      </c>
      <c r="DG60" s="34">
        <f>HLOOKUP(DG$7+0.5,$I$66:$DJ$120,ROWS($A$10:$A60)+2,FALSE)</f>
        <v>1630</v>
      </c>
      <c r="DH60" s="34" t="str">
        <f>HLOOKUP(DH$7+0.5,$I$66:$DJ$120,ROWS($A$10:$A60)+2,FALSE)</f>
        <v>N/A</v>
      </c>
      <c r="DI60" s="34">
        <f>HLOOKUP(DI$7+0.5,$I$66:$DJ$120,ROWS($A$10:$A60)+2,FALSE)</f>
        <v>23</v>
      </c>
      <c r="DJ60" s="34">
        <f>HLOOKUP(DJ$7+0.5,$I$66:$DJ$120,ROWS($A$10:$A60)+2,FALSE)</f>
        <v>715</v>
      </c>
    </row>
    <row r="61" spans="2:114" x14ac:dyDescent="0.25">
      <c r="B61" s="38" t="s">
        <v>57</v>
      </c>
      <c r="C61" s="15">
        <v>561389</v>
      </c>
      <c r="D61" s="14">
        <v>1021</v>
      </c>
      <c r="E61" s="15">
        <v>462808</v>
      </c>
      <c r="F61" s="14">
        <v>7194</v>
      </c>
      <c r="G61" s="15">
        <v>66648</v>
      </c>
      <c r="H61" s="14">
        <v>5771</v>
      </c>
      <c r="I61" s="36">
        <f>HLOOKUP(I$7,$I$66:$DJ$120,ROWS($A$10:$A61)+2,FALSE)</f>
        <v>30651</v>
      </c>
      <c r="J61" s="25">
        <f>HLOOKUP(J$7,$I$66:$DJ$120,ROWS($A$10:$A61)+2,FALSE)</f>
        <v>51</v>
      </c>
      <c r="K61" s="25">
        <f>HLOOKUP(K$7,$I$66:$DJ$120,ROWS($A$10:$A61)+2,FALSE)</f>
        <v>761</v>
      </c>
      <c r="L61" s="25">
        <f>HLOOKUP(L$7,$I$66:$DJ$120,ROWS($A$10:$A61)+2,FALSE)</f>
        <v>369</v>
      </c>
      <c r="M61" s="25">
        <f>HLOOKUP(M$7,$I$66:$DJ$120,ROWS($A$10:$A61)+2,FALSE)</f>
        <v>174</v>
      </c>
      <c r="N61" s="25">
        <f>HLOOKUP(N$7,$I$66:$DJ$120,ROWS($A$10:$A61)+2,FALSE)</f>
        <v>2539</v>
      </c>
      <c r="O61" s="25">
        <f>HLOOKUP(O$7,$I$66:$DJ$120,ROWS($A$10:$A61)+2,FALSE)</f>
        <v>6905</v>
      </c>
      <c r="P61" s="25">
        <f>HLOOKUP(P$7,$I$66:$DJ$120,ROWS($A$10:$A61)+2,FALSE)</f>
        <v>11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1525</v>
      </c>
      <c r="T61" s="25">
        <f>HLOOKUP(T$7,$I$66:$DJ$120,ROWS($A$10:$A61)+2,FALSE)</f>
        <v>46</v>
      </c>
      <c r="U61" s="25">
        <f>HLOOKUP(U$7,$I$66:$DJ$120,ROWS($A$10:$A61)+2,FALSE)</f>
        <v>0</v>
      </c>
      <c r="V61" s="25">
        <f>HLOOKUP(V$7,$I$66:$DJ$120,ROWS($A$10:$A61)+2,FALSE)</f>
        <v>2140</v>
      </c>
      <c r="W61" s="25">
        <f>HLOOKUP(W$7,$I$66:$DJ$120,ROWS($A$10:$A61)+2,FALSE)</f>
        <v>450</v>
      </c>
      <c r="X61" s="25">
        <f>HLOOKUP(X$7,$I$66:$DJ$120,ROWS($A$10:$A61)+2,FALSE)</f>
        <v>6</v>
      </c>
      <c r="Y61" s="25">
        <f>HLOOKUP(Y$7,$I$66:$DJ$120,ROWS($A$10:$A61)+2,FALSE)</f>
        <v>342</v>
      </c>
      <c r="Z61" s="25">
        <f>HLOOKUP(Z$7,$I$66:$DJ$120,ROWS($A$10:$A61)+2,FALSE)</f>
        <v>286</v>
      </c>
      <c r="AA61" s="25">
        <f>HLOOKUP(AA$7,$I$66:$DJ$120,ROWS($A$10:$A61)+2,FALSE)</f>
        <v>83</v>
      </c>
      <c r="AB61" s="25">
        <f>HLOOKUP(AB$7,$I$66:$DJ$120,ROWS($A$10:$A61)+2,FALSE)</f>
        <v>114</v>
      </c>
      <c r="AC61" s="25">
        <f>HLOOKUP(AC$7,$I$66:$DJ$120,ROWS($A$10:$A61)+2,FALSE)</f>
        <v>0</v>
      </c>
      <c r="AD61" s="25">
        <f>HLOOKUP(AD$7,$I$66:$DJ$120,ROWS($A$10:$A61)+2,FALSE)</f>
        <v>0</v>
      </c>
      <c r="AE61" s="25">
        <f>HLOOKUP(AE$7,$I$66:$DJ$120,ROWS($A$10:$A61)+2,FALSE)</f>
        <v>152</v>
      </c>
      <c r="AF61" s="25">
        <f>HLOOKUP(AF$7,$I$66:$DJ$120,ROWS($A$10:$A61)+2,FALSE)</f>
        <v>849</v>
      </c>
      <c r="AG61" s="25">
        <f>HLOOKUP(AG$7,$I$66:$DJ$120,ROWS($A$10:$A61)+2,FALSE)</f>
        <v>357</v>
      </c>
      <c r="AH61" s="25">
        <f>HLOOKUP(AH$7,$I$66:$DJ$120,ROWS($A$10:$A61)+2,FALSE)</f>
        <v>70</v>
      </c>
      <c r="AI61" s="25">
        <f>HLOOKUP(AI$7,$I$66:$DJ$120,ROWS($A$10:$A61)+2,FALSE)</f>
        <v>241</v>
      </c>
      <c r="AJ61" s="25">
        <f>HLOOKUP(AJ$7,$I$66:$DJ$120,ROWS($A$10:$A61)+2,FALSE)</f>
        <v>1105</v>
      </c>
      <c r="AK61" s="25">
        <f>HLOOKUP(AK$7,$I$66:$DJ$120,ROWS($A$10:$A61)+2,FALSE)</f>
        <v>1784</v>
      </c>
      <c r="AL61" s="25">
        <f>HLOOKUP(AL$7,$I$66:$DJ$120,ROWS($A$10:$A61)+2,FALSE)</f>
        <v>427</v>
      </c>
      <c r="AM61" s="25">
        <f>HLOOKUP(AM$7,$I$66:$DJ$120,ROWS($A$10:$A61)+2,FALSE)</f>
        <v>0</v>
      </c>
      <c r="AN61" s="25">
        <f>HLOOKUP(AN$7,$I$66:$DJ$120,ROWS($A$10:$A61)+2,FALSE)</f>
        <v>7</v>
      </c>
      <c r="AO61" s="25">
        <f>HLOOKUP(AO$7,$I$66:$DJ$120,ROWS($A$10:$A61)+2,FALSE)</f>
        <v>76</v>
      </c>
      <c r="AP61" s="25">
        <f>HLOOKUP(AP$7,$I$66:$DJ$120,ROWS($A$10:$A61)+2,FALSE)</f>
        <v>113</v>
      </c>
      <c r="AQ61" s="25">
        <f>HLOOKUP(AQ$7,$I$66:$DJ$120,ROWS($A$10:$A61)+2,FALSE)</f>
        <v>395</v>
      </c>
      <c r="AR61" s="25">
        <f>HLOOKUP(AR$7,$I$66:$DJ$120,ROWS($A$10:$A61)+2,FALSE)</f>
        <v>237</v>
      </c>
      <c r="AS61" s="25">
        <f>HLOOKUP(AS$7,$I$66:$DJ$120,ROWS($A$10:$A61)+2,FALSE)</f>
        <v>22</v>
      </c>
      <c r="AT61" s="25">
        <f>HLOOKUP(AT$7,$I$66:$DJ$120,ROWS($A$10:$A61)+2,FALSE)</f>
        <v>462</v>
      </c>
      <c r="AU61" s="25">
        <f>HLOOKUP(AU$7,$I$66:$DJ$120,ROWS($A$10:$A61)+2,FALSE)</f>
        <v>960</v>
      </c>
      <c r="AV61" s="25">
        <f>HLOOKUP(AV$7,$I$66:$DJ$120,ROWS($A$10:$A61)+2,FALSE)</f>
        <v>284</v>
      </c>
      <c r="AW61" s="25">
        <f>HLOOKUP(AW$7,$I$66:$DJ$120,ROWS($A$10:$A61)+2,FALSE)</f>
        <v>13</v>
      </c>
      <c r="AX61" s="25">
        <f>HLOOKUP(AX$7,$I$66:$DJ$120,ROWS($A$10:$A61)+2,FALSE)</f>
        <v>219</v>
      </c>
      <c r="AY61" s="25">
        <f>HLOOKUP(AY$7,$I$66:$DJ$120,ROWS($A$10:$A61)+2,FALSE)</f>
        <v>1043</v>
      </c>
      <c r="AZ61" s="25">
        <f>HLOOKUP(AZ$7,$I$66:$DJ$120,ROWS($A$10:$A61)+2,FALSE)</f>
        <v>69</v>
      </c>
      <c r="BA61" s="25">
        <f>HLOOKUP(BA$7,$I$66:$DJ$120,ROWS($A$10:$A61)+2,FALSE)</f>
        <v>1398</v>
      </c>
      <c r="BB61" s="25">
        <f>HLOOKUP(BB$7,$I$66:$DJ$120,ROWS($A$10:$A61)+2,FALSE)</f>
        <v>2140</v>
      </c>
      <c r="BC61" s="25">
        <f>HLOOKUP(BC$7,$I$66:$DJ$120,ROWS($A$10:$A61)+2,FALSE)</f>
        <v>4</v>
      </c>
      <c r="BD61" s="25">
        <f>HLOOKUP(BD$7,$I$66:$DJ$120,ROWS($A$10:$A61)+2,FALSE)</f>
        <v>451</v>
      </c>
      <c r="BE61" s="25">
        <f>HLOOKUP(BE$7,$I$66:$DJ$120,ROWS($A$10:$A61)+2,FALSE)</f>
        <v>1803</v>
      </c>
      <c r="BF61" s="25">
        <f>HLOOKUP(BF$7,$I$66:$DJ$120,ROWS($A$10:$A61)+2,FALSE)</f>
        <v>0</v>
      </c>
      <c r="BG61" s="25">
        <f>HLOOKUP(BG$7,$I$66:$DJ$120,ROWS($A$10:$A61)+2,FALSE)</f>
        <v>168</v>
      </c>
      <c r="BH61" s="25" t="str">
        <f>HLOOKUP(BH$7,$I$66:$DJ$120,ROWS($A$10:$A61)+2,FALSE)</f>
        <v>N/A</v>
      </c>
      <c r="BI61" s="25">
        <f>HLOOKUP(BI$7,$I$66:$DJ$120,ROWS($A$10:$A61)+2,FALSE)</f>
        <v>0</v>
      </c>
      <c r="BJ61" s="34">
        <f>HLOOKUP(BJ$7+0.5,$I$66:$DJ$120,ROWS($A$10:$A61)+2,FALSE)</f>
        <v>4428</v>
      </c>
      <c r="BK61" s="34">
        <f>HLOOKUP(BK$7+0.5,$I$66:$DJ$120,ROWS($A$10:$A61)+2,FALSE)</f>
        <v>62</v>
      </c>
      <c r="BL61" s="34">
        <f>HLOOKUP(BL$7+0.5,$I$66:$DJ$120,ROWS($A$10:$A61)+2,FALSE)</f>
        <v>597</v>
      </c>
      <c r="BM61" s="34">
        <f>HLOOKUP(BM$7+0.5,$I$66:$DJ$120,ROWS($A$10:$A61)+2,FALSE)</f>
        <v>276</v>
      </c>
      <c r="BN61" s="34">
        <f>HLOOKUP(BN$7+0.5,$I$66:$DJ$120,ROWS($A$10:$A61)+2,FALSE)</f>
        <v>191</v>
      </c>
      <c r="BO61" s="34">
        <f>HLOOKUP(BO$7+0.5,$I$66:$DJ$120,ROWS($A$10:$A61)+2,FALSE)</f>
        <v>1151</v>
      </c>
      <c r="BP61" s="34">
        <f>HLOOKUP(BP$7+0.5,$I$66:$DJ$120,ROWS($A$10:$A61)+2,FALSE)</f>
        <v>2099</v>
      </c>
      <c r="BQ61" s="34">
        <f>HLOOKUP(BQ$7+0.5,$I$66:$DJ$120,ROWS($A$10:$A61)+2,FALSE)</f>
        <v>22</v>
      </c>
      <c r="BR61" s="34">
        <f>HLOOKUP(BR$7+0.5,$I$66:$DJ$120,ROWS($A$10:$A61)+2,FALSE)</f>
        <v>189</v>
      </c>
      <c r="BS61" s="34">
        <f>HLOOKUP(BS$7+0.5,$I$66:$DJ$120,ROWS($A$10:$A61)+2,FALSE)</f>
        <v>189</v>
      </c>
      <c r="BT61" s="34">
        <f>HLOOKUP(BT$7+0.5,$I$66:$DJ$120,ROWS($A$10:$A61)+2,FALSE)</f>
        <v>1206</v>
      </c>
      <c r="BU61" s="34">
        <f>HLOOKUP(BU$7+0.5,$I$66:$DJ$120,ROWS($A$10:$A61)+2,FALSE)</f>
        <v>80</v>
      </c>
      <c r="BV61" s="34">
        <f>HLOOKUP(BV$7+0.5,$I$66:$DJ$120,ROWS($A$10:$A61)+2,FALSE)</f>
        <v>189</v>
      </c>
      <c r="BW61" s="34">
        <f>HLOOKUP(BW$7+0.5,$I$66:$DJ$120,ROWS($A$10:$A61)+2,FALSE)</f>
        <v>1161</v>
      </c>
      <c r="BX61" s="34">
        <f>HLOOKUP(BX$7+0.5,$I$66:$DJ$120,ROWS($A$10:$A61)+2,FALSE)</f>
        <v>409</v>
      </c>
      <c r="BY61" s="34">
        <f>HLOOKUP(BY$7+0.5,$I$66:$DJ$120,ROWS($A$10:$A61)+2,FALSE)</f>
        <v>14</v>
      </c>
      <c r="BZ61" s="34">
        <f>HLOOKUP(BZ$7+0.5,$I$66:$DJ$120,ROWS($A$10:$A61)+2,FALSE)</f>
        <v>323</v>
      </c>
      <c r="CA61" s="34">
        <f>HLOOKUP(CA$7+0.5,$I$66:$DJ$120,ROWS($A$10:$A61)+2,FALSE)</f>
        <v>364</v>
      </c>
      <c r="CB61" s="34">
        <f>HLOOKUP(CB$7+0.5,$I$66:$DJ$120,ROWS($A$10:$A61)+2,FALSE)</f>
        <v>140</v>
      </c>
      <c r="CC61" s="34">
        <f>HLOOKUP(CC$7+0.5,$I$66:$DJ$120,ROWS($A$10:$A61)+2,FALSE)</f>
        <v>204</v>
      </c>
      <c r="CD61" s="34">
        <f>HLOOKUP(CD$7+0.5,$I$66:$DJ$120,ROWS($A$10:$A61)+2,FALSE)</f>
        <v>189</v>
      </c>
      <c r="CE61" s="34">
        <f>HLOOKUP(CE$7+0.5,$I$66:$DJ$120,ROWS($A$10:$A61)+2,FALSE)</f>
        <v>189</v>
      </c>
      <c r="CF61" s="34">
        <f>HLOOKUP(CF$7+0.5,$I$66:$DJ$120,ROWS($A$10:$A61)+2,FALSE)</f>
        <v>226</v>
      </c>
      <c r="CG61" s="34">
        <f>HLOOKUP(CG$7+0.5,$I$66:$DJ$120,ROWS($A$10:$A61)+2,FALSE)</f>
        <v>545</v>
      </c>
      <c r="CH61" s="34">
        <f>HLOOKUP(CH$7+0.5,$I$66:$DJ$120,ROWS($A$10:$A61)+2,FALSE)</f>
        <v>355</v>
      </c>
      <c r="CI61" s="34">
        <f>HLOOKUP(CI$7+0.5,$I$66:$DJ$120,ROWS($A$10:$A61)+2,FALSE)</f>
        <v>117</v>
      </c>
      <c r="CJ61" s="34">
        <f>HLOOKUP(CJ$7+0.5,$I$66:$DJ$120,ROWS($A$10:$A61)+2,FALSE)</f>
        <v>274</v>
      </c>
      <c r="CK61" s="34">
        <f>HLOOKUP(CK$7+0.5,$I$66:$DJ$120,ROWS($A$10:$A61)+2,FALSE)</f>
        <v>531</v>
      </c>
      <c r="CL61" s="34">
        <f>HLOOKUP(CL$7+0.5,$I$66:$DJ$120,ROWS($A$10:$A61)+2,FALSE)</f>
        <v>957</v>
      </c>
      <c r="CM61" s="34">
        <f>HLOOKUP(CM$7+0.5,$I$66:$DJ$120,ROWS($A$10:$A61)+2,FALSE)</f>
        <v>656</v>
      </c>
      <c r="CN61" s="34">
        <f>HLOOKUP(CN$7+0.5,$I$66:$DJ$120,ROWS($A$10:$A61)+2,FALSE)</f>
        <v>189</v>
      </c>
      <c r="CO61" s="34">
        <f>HLOOKUP(CO$7+0.5,$I$66:$DJ$120,ROWS($A$10:$A61)+2,FALSE)</f>
        <v>16</v>
      </c>
      <c r="CP61" s="34">
        <f>HLOOKUP(CP$7+0.5,$I$66:$DJ$120,ROWS($A$10:$A61)+2,FALSE)</f>
        <v>101</v>
      </c>
      <c r="CQ61" s="34">
        <f>HLOOKUP(CQ$7+0.5,$I$66:$DJ$120,ROWS($A$10:$A61)+2,FALSE)</f>
        <v>149</v>
      </c>
      <c r="CR61" s="34">
        <f>HLOOKUP(CR$7+0.5,$I$66:$DJ$120,ROWS($A$10:$A61)+2,FALSE)</f>
        <v>457</v>
      </c>
      <c r="CS61" s="34">
        <f>HLOOKUP(CS$7+0.5,$I$66:$DJ$120,ROWS($A$10:$A61)+2,FALSE)</f>
        <v>313</v>
      </c>
      <c r="CT61" s="34">
        <f>HLOOKUP(CT$7+0.5,$I$66:$DJ$120,ROWS($A$10:$A61)+2,FALSE)</f>
        <v>40</v>
      </c>
      <c r="CU61" s="34">
        <f>HLOOKUP(CU$7+0.5,$I$66:$DJ$120,ROWS($A$10:$A61)+2,FALSE)</f>
        <v>555</v>
      </c>
      <c r="CV61" s="34">
        <f>HLOOKUP(CV$7+0.5,$I$66:$DJ$120,ROWS($A$10:$A61)+2,FALSE)</f>
        <v>851</v>
      </c>
      <c r="CW61" s="34">
        <f>HLOOKUP(CW$7+0.5,$I$66:$DJ$120,ROWS($A$10:$A61)+2,FALSE)</f>
        <v>254</v>
      </c>
      <c r="CX61" s="34">
        <f>HLOOKUP(CX$7+0.5,$I$66:$DJ$120,ROWS($A$10:$A61)+2,FALSE)</f>
        <v>28</v>
      </c>
      <c r="CY61" s="34">
        <f>HLOOKUP(CY$7+0.5,$I$66:$DJ$120,ROWS($A$10:$A61)+2,FALSE)</f>
        <v>307</v>
      </c>
      <c r="CZ61" s="34">
        <f>HLOOKUP(CZ$7+0.5,$I$66:$DJ$120,ROWS($A$10:$A61)+2,FALSE)</f>
        <v>1077</v>
      </c>
      <c r="DA61" s="34">
        <f>HLOOKUP(DA$7+0.5,$I$66:$DJ$120,ROWS($A$10:$A61)+2,FALSE)</f>
        <v>66</v>
      </c>
      <c r="DB61" s="34">
        <f>HLOOKUP(DB$7+0.5,$I$66:$DJ$120,ROWS($A$10:$A61)+2,FALSE)</f>
        <v>927</v>
      </c>
      <c r="DC61" s="34">
        <f>HLOOKUP(DC$7+0.5,$I$66:$DJ$120,ROWS($A$10:$A61)+2,FALSE)</f>
        <v>1003</v>
      </c>
      <c r="DD61" s="34">
        <f>HLOOKUP(DD$7+0.5,$I$66:$DJ$120,ROWS($A$10:$A61)+2,FALSE)</f>
        <v>8</v>
      </c>
      <c r="DE61" s="34">
        <f>HLOOKUP(DE$7+0.5,$I$66:$DJ$120,ROWS($A$10:$A61)+2,FALSE)</f>
        <v>634</v>
      </c>
      <c r="DF61" s="34">
        <f>HLOOKUP(DF$7+0.5,$I$66:$DJ$120,ROWS($A$10:$A61)+2,FALSE)</f>
        <v>1343</v>
      </c>
      <c r="DG61" s="34">
        <f>HLOOKUP(DG$7+0.5,$I$66:$DJ$120,ROWS($A$10:$A61)+2,FALSE)</f>
        <v>189</v>
      </c>
      <c r="DH61" s="34">
        <f>HLOOKUP(DH$7+0.5,$I$66:$DJ$120,ROWS($A$10:$A61)+2,FALSE)</f>
        <v>260</v>
      </c>
      <c r="DI61" s="34" t="str">
        <f>HLOOKUP(DI$7+0.5,$I$66:$DJ$120,ROWS($A$10:$A61)+2,FALSE)</f>
        <v>N/A</v>
      </c>
      <c r="DJ61" s="34">
        <f>HLOOKUP(DJ$7+0.5,$I$66:$DJ$120,ROWS($A$10:$A61)+2,FALSE)</f>
        <v>189</v>
      </c>
    </row>
    <row r="62" spans="2:114" x14ac:dyDescent="0.25">
      <c r="B62" s="38" t="s">
        <v>61</v>
      </c>
      <c r="C62" s="15">
        <v>3669195</v>
      </c>
      <c r="D62" s="14">
        <v>3034</v>
      </c>
      <c r="E62" s="15">
        <v>3403602</v>
      </c>
      <c r="F62" s="14">
        <v>12450</v>
      </c>
      <c r="G62" s="15">
        <v>238263</v>
      </c>
      <c r="H62" s="14">
        <v>11889</v>
      </c>
      <c r="I62" s="36">
        <f>HLOOKUP(I$7,$I$66:$DJ$120,ROWS($A$10:$A62)+2,FALSE)</f>
        <v>22649</v>
      </c>
      <c r="J62" s="25">
        <f>HLOOKUP(J$7,$I$66:$DJ$120,ROWS($A$10:$A62)+2,FALSE)</f>
        <v>35</v>
      </c>
      <c r="K62" s="25">
        <f>HLOOKUP(K$7,$I$66:$DJ$120,ROWS($A$10:$A62)+2,FALSE)</f>
        <v>378</v>
      </c>
      <c r="L62" s="25">
        <f>HLOOKUP(L$7,$I$66:$DJ$120,ROWS($A$10:$A62)+2,FALSE)</f>
        <v>229</v>
      </c>
      <c r="M62" s="25">
        <f>HLOOKUP(M$7,$I$66:$DJ$120,ROWS($A$10:$A62)+2,FALSE)</f>
        <v>0</v>
      </c>
      <c r="N62" s="25">
        <f>HLOOKUP(N$7,$I$66:$DJ$120,ROWS($A$10:$A62)+2,FALSE)</f>
        <v>207</v>
      </c>
      <c r="O62" s="25">
        <f>HLOOKUP(O$7,$I$66:$DJ$120,ROWS($A$10:$A62)+2,FALSE)</f>
        <v>0</v>
      </c>
      <c r="P62" s="25">
        <f>HLOOKUP(P$7,$I$66:$DJ$120,ROWS($A$10:$A62)+2,FALSE)</f>
        <v>1849</v>
      </c>
      <c r="Q62" s="25">
        <f>HLOOKUP(Q$7,$I$66:$DJ$120,ROWS($A$10:$A62)+2,FALSE)</f>
        <v>13</v>
      </c>
      <c r="R62" s="25">
        <f>HLOOKUP(R$7,$I$66:$DJ$120,ROWS($A$10:$A62)+2,FALSE)</f>
        <v>212</v>
      </c>
      <c r="S62" s="25">
        <f>HLOOKUP(S$7,$I$66:$DJ$120,ROWS($A$10:$A62)+2,FALSE)</f>
        <v>6614</v>
      </c>
      <c r="T62" s="25">
        <f>HLOOKUP(T$7,$I$66:$DJ$120,ROWS($A$10:$A62)+2,FALSE)</f>
        <v>247</v>
      </c>
      <c r="U62" s="25">
        <f>HLOOKUP(U$7,$I$66:$DJ$120,ROWS($A$10:$A62)+2,FALSE)</f>
        <v>0</v>
      </c>
      <c r="V62" s="25">
        <f>HLOOKUP(V$7,$I$66:$DJ$120,ROWS($A$10:$A62)+2,FALSE)</f>
        <v>13</v>
      </c>
      <c r="W62" s="25">
        <f>HLOOKUP(W$7,$I$66:$DJ$120,ROWS($A$10:$A62)+2,FALSE)</f>
        <v>624</v>
      </c>
      <c r="X62" s="25">
        <f>HLOOKUP(X$7,$I$66:$DJ$120,ROWS($A$10:$A62)+2,FALSE)</f>
        <v>784</v>
      </c>
      <c r="Y62" s="25">
        <f>HLOOKUP(Y$7,$I$66:$DJ$120,ROWS($A$10:$A62)+2,FALSE)</f>
        <v>0</v>
      </c>
      <c r="Z62" s="25">
        <f>HLOOKUP(Z$7,$I$66:$DJ$120,ROWS($A$10:$A62)+2,FALSE)</f>
        <v>38</v>
      </c>
      <c r="AA62" s="25">
        <f>HLOOKUP(AA$7,$I$66:$DJ$120,ROWS($A$10:$A62)+2,FALSE)</f>
        <v>0</v>
      </c>
      <c r="AB62" s="25">
        <f>HLOOKUP(AB$7,$I$66:$DJ$120,ROWS($A$10:$A62)+2,FALSE)</f>
        <v>0</v>
      </c>
      <c r="AC62" s="25">
        <f>HLOOKUP(AC$7,$I$66:$DJ$120,ROWS($A$10:$A62)+2,FALSE)</f>
        <v>0</v>
      </c>
      <c r="AD62" s="25">
        <f>HLOOKUP(AD$7,$I$66:$DJ$120,ROWS($A$10:$A62)+2,FALSE)</f>
        <v>70</v>
      </c>
      <c r="AE62" s="25">
        <f>HLOOKUP(AE$7,$I$66:$DJ$120,ROWS($A$10:$A62)+2,FALSE)</f>
        <v>1412</v>
      </c>
      <c r="AF62" s="25">
        <f>HLOOKUP(AF$7,$I$66:$DJ$120,ROWS($A$10:$A62)+2,FALSE)</f>
        <v>88</v>
      </c>
      <c r="AG62" s="25">
        <f>HLOOKUP(AG$7,$I$66:$DJ$120,ROWS($A$10:$A62)+2,FALSE)</f>
        <v>0</v>
      </c>
      <c r="AH62" s="25">
        <f>HLOOKUP(AH$7,$I$66:$DJ$120,ROWS($A$10:$A62)+2,FALSE)</f>
        <v>27</v>
      </c>
      <c r="AI62" s="25">
        <f>HLOOKUP(AI$7,$I$66:$DJ$120,ROWS($A$10:$A62)+2,FALSE)</f>
        <v>101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2150</v>
      </c>
      <c r="AO62" s="25">
        <f>HLOOKUP(AO$7,$I$66:$DJ$120,ROWS($A$10:$A62)+2,FALSE)</f>
        <v>51</v>
      </c>
      <c r="AP62" s="25">
        <f>HLOOKUP(AP$7,$I$66:$DJ$120,ROWS($A$10:$A62)+2,FALSE)</f>
        <v>2615</v>
      </c>
      <c r="AQ62" s="25">
        <f>HLOOKUP(AQ$7,$I$66:$DJ$120,ROWS($A$10:$A62)+2,FALSE)</f>
        <v>200</v>
      </c>
      <c r="AR62" s="25">
        <f>HLOOKUP(AR$7,$I$66:$DJ$120,ROWS($A$10:$A62)+2,FALSE)</f>
        <v>0</v>
      </c>
      <c r="AS62" s="25">
        <f>HLOOKUP(AS$7,$I$66:$DJ$120,ROWS($A$10:$A62)+2,FALSE)</f>
        <v>0</v>
      </c>
      <c r="AT62" s="25">
        <f>HLOOKUP(AT$7,$I$66:$DJ$120,ROWS($A$10:$A62)+2,FALSE)</f>
        <v>79</v>
      </c>
      <c r="AU62" s="25">
        <f>HLOOKUP(AU$7,$I$66:$DJ$120,ROWS($A$10:$A62)+2,FALSE)</f>
        <v>0</v>
      </c>
      <c r="AV62" s="25">
        <f>HLOOKUP(AV$7,$I$66:$DJ$120,ROWS($A$10:$A62)+2,FALSE)</f>
        <v>1978</v>
      </c>
      <c r="AW62" s="25">
        <f>HLOOKUP(AW$7,$I$66:$DJ$120,ROWS($A$10:$A62)+2,FALSE)</f>
        <v>490</v>
      </c>
      <c r="AX62" s="25">
        <f>HLOOKUP(AX$7,$I$66:$DJ$120,ROWS($A$10:$A62)+2,FALSE)</f>
        <v>3</v>
      </c>
      <c r="AY62" s="25">
        <f>HLOOKUP(AY$7,$I$66:$DJ$120,ROWS($A$10:$A62)+2,FALSE)</f>
        <v>113</v>
      </c>
      <c r="AZ62" s="25">
        <f>HLOOKUP(AZ$7,$I$66:$DJ$120,ROWS($A$10:$A62)+2,FALSE)</f>
        <v>224</v>
      </c>
      <c r="BA62" s="25">
        <f>HLOOKUP(BA$7,$I$66:$DJ$120,ROWS($A$10:$A62)+2,FALSE)</f>
        <v>444</v>
      </c>
      <c r="BB62" s="25">
        <f>HLOOKUP(BB$7,$I$66:$DJ$120,ROWS($A$10:$A62)+2,FALSE)</f>
        <v>0</v>
      </c>
      <c r="BC62" s="25">
        <f>HLOOKUP(BC$7,$I$66:$DJ$120,ROWS($A$10:$A62)+2,FALSE)</f>
        <v>0</v>
      </c>
      <c r="BD62" s="25">
        <f>HLOOKUP(BD$7,$I$66:$DJ$120,ROWS($A$10:$A62)+2,FALSE)</f>
        <v>1077</v>
      </c>
      <c r="BE62" s="25">
        <f>HLOOKUP(BE$7,$I$66:$DJ$120,ROWS($A$10:$A62)+2,FALSE)</f>
        <v>41</v>
      </c>
      <c r="BF62" s="25">
        <f>HLOOKUP(BF$7,$I$66:$DJ$120,ROWS($A$10:$A62)+2,FALSE)</f>
        <v>14</v>
      </c>
      <c r="BG62" s="25">
        <f>HLOOKUP(BG$7,$I$66:$DJ$120,ROWS($A$10:$A62)+2,FALSE)</f>
        <v>229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3662</v>
      </c>
      <c r="BK62" s="34">
        <f>HLOOKUP(BK$7+0.5,$I$66:$DJ$120,ROWS($A$10:$A62)+2,FALSE)</f>
        <v>59</v>
      </c>
      <c r="BL62" s="34">
        <f>HLOOKUP(BL$7+0.5,$I$66:$DJ$120,ROWS($A$10:$A62)+2,FALSE)</f>
        <v>457</v>
      </c>
      <c r="BM62" s="34">
        <f>HLOOKUP(BM$7+0.5,$I$66:$DJ$120,ROWS($A$10:$A62)+2,FALSE)</f>
        <v>363</v>
      </c>
      <c r="BN62" s="34">
        <f>HLOOKUP(BN$7+0.5,$I$66:$DJ$120,ROWS($A$10:$A62)+2,FALSE)</f>
        <v>210</v>
      </c>
      <c r="BO62" s="34">
        <f>HLOOKUP(BO$7+0.5,$I$66:$DJ$120,ROWS($A$10:$A62)+2,FALSE)</f>
        <v>222</v>
      </c>
      <c r="BP62" s="34">
        <f>HLOOKUP(BP$7+0.5,$I$66:$DJ$120,ROWS($A$10:$A62)+2,FALSE)</f>
        <v>210</v>
      </c>
      <c r="BQ62" s="34">
        <f>HLOOKUP(BQ$7+0.5,$I$66:$DJ$120,ROWS($A$10:$A62)+2,FALSE)</f>
        <v>928</v>
      </c>
      <c r="BR62" s="34">
        <f>HLOOKUP(BR$7+0.5,$I$66:$DJ$120,ROWS($A$10:$A62)+2,FALSE)</f>
        <v>25</v>
      </c>
      <c r="BS62" s="34">
        <f>HLOOKUP(BS$7+0.5,$I$66:$DJ$120,ROWS($A$10:$A62)+2,FALSE)</f>
        <v>315</v>
      </c>
      <c r="BT62" s="34">
        <f>HLOOKUP(BT$7+0.5,$I$66:$DJ$120,ROWS($A$10:$A62)+2,FALSE)</f>
        <v>2336</v>
      </c>
      <c r="BU62" s="34">
        <f>HLOOKUP(BU$7+0.5,$I$66:$DJ$120,ROWS($A$10:$A62)+2,FALSE)</f>
        <v>195</v>
      </c>
      <c r="BV62" s="34">
        <f>HLOOKUP(BV$7+0.5,$I$66:$DJ$120,ROWS($A$10:$A62)+2,FALSE)</f>
        <v>210</v>
      </c>
      <c r="BW62" s="34">
        <f>HLOOKUP(BW$7+0.5,$I$66:$DJ$120,ROWS($A$10:$A62)+2,FALSE)</f>
        <v>24</v>
      </c>
      <c r="BX62" s="34">
        <f>HLOOKUP(BX$7+0.5,$I$66:$DJ$120,ROWS($A$10:$A62)+2,FALSE)</f>
        <v>537</v>
      </c>
      <c r="BY62" s="34">
        <f>HLOOKUP(BY$7+0.5,$I$66:$DJ$120,ROWS($A$10:$A62)+2,FALSE)</f>
        <v>895</v>
      </c>
      <c r="BZ62" s="34">
        <f>HLOOKUP(BZ$7+0.5,$I$66:$DJ$120,ROWS($A$10:$A62)+2,FALSE)</f>
        <v>210</v>
      </c>
      <c r="CA62" s="34">
        <f>HLOOKUP(CA$7+0.5,$I$66:$DJ$120,ROWS($A$10:$A62)+2,FALSE)</f>
        <v>62</v>
      </c>
      <c r="CB62" s="34">
        <f>HLOOKUP(CB$7+0.5,$I$66:$DJ$120,ROWS($A$10:$A62)+2,FALSE)</f>
        <v>210</v>
      </c>
      <c r="CC62" s="34">
        <f>HLOOKUP(CC$7+0.5,$I$66:$DJ$120,ROWS($A$10:$A62)+2,FALSE)</f>
        <v>210</v>
      </c>
      <c r="CD62" s="34">
        <f>HLOOKUP(CD$7+0.5,$I$66:$DJ$120,ROWS($A$10:$A62)+2,FALSE)</f>
        <v>210</v>
      </c>
      <c r="CE62" s="34">
        <f>HLOOKUP(CE$7+0.5,$I$66:$DJ$120,ROWS($A$10:$A62)+2,FALSE)</f>
        <v>124</v>
      </c>
      <c r="CF62" s="34">
        <f>HLOOKUP(CF$7+0.5,$I$66:$DJ$120,ROWS($A$10:$A62)+2,FALSE)</f>
        <v>904</v>
      </c>
      <c r="CG62" s="34">
        <f>HLOOKUP(CG$7+0.5,$I$66:$DJ$120,ROWS($A$10:$A62)+2,FALSE)</f>
        <v>127</v>
      </c>
      <c r="CH62" s="34">
        <f>HLOOKUP(CH$7+0.5,$I$66:$DJ$120,ROWS($A$10:$A62)+2,FALSE)</f>
        <v>210</v>
      </c>
      <c r="CI62" s="34">
        <f>HLOOKUP(CI$7+0.5,$I$66:$DJ$120,ROWS($A$10:$A62)+2,FALSE)</f>
        <v>35</v>
      </c>
      <c r="CJ62" s="34">
        <f>HLOOKUP(CJ$7+0.5,$I$66:$DJ$120,ROWS($A$10:$A62)+2,FALSE)</f>
        <v>165</v>
      </c>
      <c r="CK62" s="34">
        <f>HLOOKUP(CK$7+0.5,$I$66:$DJ$120,ROWS($A$10:$A62)+2,FALSE)</f>
        <v>210</v>
      </c>
      <c r="CL62" s="34">
        <f>HLOOKUP(CL$7+0.5,$I$66:$DJ$120,ROWS($A$10:$A62)+2,FALSE)</f>
        <v>210</v>
      </c>
      <c r="CM62" s="34">
        <f>HLOOKUP(CM$7+0.5,$I$66:$DJ$120,ROWS($A$10:$A62)+2,FALSE)</f>
        <v>210</v>
      </c>
      <c r="CN62" s="34">
        <f>HLOOKUP(CN$7+0.5,$I$66:$DJ$120,ROWS($A$10:$A62)+2,FALSE)</f>
        <v>210</v>
      </c>
      <c r="CO62" s="34">
        <f>HLOOKUP(CO$7+0.5,$I$66:$DJ$120,ROWS($A$10:$A62)+2,FALSE)</f>
        <v>1149</v>
      </c>
      <c r="CP62" s="34">
        <f>HLOOKUP(CP$7+0.5,$I$66:$DJ$120,ROWS($A$10:$A62)+2,FALSE)</f>
        <v>94</v>
      </c>
      <c r="CQ62" s="34">
        <f>HLOOKUP(CQ$7+0.5,$I$66:$DJ$120,ROWS($A$10:$A62)+2,FALSE)</f>
        <v>1171</v>
      </c>
      <c r="CR62" s="34">
        <f>HLOOKUP(CR$7+0.5,$I$66:$DJ$120,ROWS($A$10:$A62)+2,FALSE)</f>
        <v>195</v>
      </c>
      <c r="CS62" s="34">
        <f>HLOOKUP(CS$7+0.5,$I$66:$DJ$120,ROWS($A$10:$A62)+2,FALSE)</f>
        <v>210</v>
      </c>
      <c r="CT62" s="34">
        <f>HLOOKUP(CT$7+0.5,$I$66:$DJ$120,ROWS($A$10:$A62)+2,FALSE)</f>
        <v>210</v>
      </c>
      <c r="CU62" s="34">
        <f>HLOOKUP(CU$7+0.5,$I$66:$DJ$120,ROWS($A$10:$A62)+2,FALSE)</f>
        <v>117</v>
      </c>
      <c r="CV62" s="34">
        <f>HLOOKUP(CV$7+0.5,$I$66:$DJ$120,ROWS($A$10:$A62)+2,FALSE)</f>
        <v>210</v>
      </c>
      <c r="CW62" s="34">
        <f>HLOOKUP(CW$7+0.5,$I$66:$DJ$120,ROWS($A$10:$A62)+2,FALSE)</f>
        <v>1059</v>
      </c>
      <c r="CX62" s="34">
        <f>HLOOKUP(CX$7+0.5,$I$66:$DJ$120,ROWS($A$10:$A62)+2,FALSE)</f>
        <v>718</v>
      </c>
      <c r="CY62" s="34">
        <f>HLOOKUP(CY$7+0.5,$I$66:$DJ$120,ROWS($A$10:$A62)+2,FALSE)</f>
        <v>6</v>
      </c>
      <c r="CZ62" s="34">
        <f>HLOOKUP(CZ$7+0.5,$I$66:$DJ$120,ROWS($A$10:$A62)+2,FALSE)</f>
        <v>139</v>
      </c>
      <c r="DA62" s="34">
        <f>HLOOKUP(DA$7+0.5,$I$66:$DJ$120,ROWS($A$10:$A62)+2,FALSE)</f>
        <v>368</v>
      </c>
      <c r="DB62" s="34">
        <f>HLOOKUP(DB$7+0.5,$I$66:$DJ$120,ROWS($A$10:$A62)+2,FALSE)</f>
        <v>334</v>
      </c>
      <c r="DC62" s="34">
        <f>HLOOKUP(DC$7+0.5,$I$66:$DJ$120,ROWS($A$10:$A62)+2,FALSE)</f>
        <v>210</v>
      </c>
      <c r="DD62" s="34">
        <f>HLOOKUP(DD$7+0.5,$I$66:$DJ$120,ROWS($A$10:$A62)+2,FALSE)</f>
        <v>210</v>
      </c>
      <c r="DE62" s="34">
        <f>HLOOKUP(DE$7+0.5,$I$66:$DJ$120,ROWS($A$10:$A62)+2,FALSE)</f>
        <v>1097</v>
      </c>
      <c r="DF62" s="34">
        <f>HLOOKUP(DF$7+0.5,$I$66:$DJ$120,ROWS($A$10:$A62)+2,FALSE)</f>
        <v>42</v>
      </c>
      <c r="DG62" s="34">
        <f>HLOOKUP(DG$7+0.5,$I$66:$DJ$120,ROWS($A$10:$A62)+2,FALSE)</f>
        <v>25</v>
      </c>
      <c r="DH62" s="34">
        <f>HLOOKUP(DH$7+0.5,$I$66:$DJ$120,ROWS($A$10:$A62)+2,FALSE)</f>
        <v>373</v>
      </c>
      <c r="DI62" s="34">
        <f>HLOOKUP(DI$7+0.5,$I$66:$DJ$120,ROWS($A$10:$A62)+2,FALSE)</f>
        <v>210</v>
      </c>
      <c r="DJ62" s="34" t="str">
        <f>HLOOKUP(DJ$7+0.5,$I$66:$DJ$120,ROWS($A$10:$A62)+2,FALSE)</f>
        <v>N/A</v>
      </c>
    </row>
    <row r="66" spans="9:120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20" x14ac:dyDescent="0.25">
      <c r="I67" s="21" t="s">
        <v>58</v>
      </c>
      <c r="J67" s="20" t="s">
        <v>59</v>
      </c>
      <c r="K67" s="22" t="s">
        <v>58</v>
      </c>
      <c r="L67" s="23" t="s">
        <v>59</v>
      </c>
      <c r="M67" s="24" t="s">
        <v>58</v>
      </c>
      <c r="N67" s="23" t="s">
        <v>59</v>
      </c>
      <c r="O67" s="24" t="s">
        <v>58</v>
      </c>
      <c r="P67" s="23" t="s">
        <v>59</v>
      </c>
      <c r="Q67" s="24" t="s">
        <v>58</v>
      </c>
      <c r="R67" s="23" t="s">
        <v>59</v>
      </c>
      <c r="S67" s="24" t="s">
        <v>58</v>
      </c>
      <c r="T67" s="23" t="s">
        <v>59</v>
      </c>
      <c r="U67" s="24" t="s">
        <v>58</v>
      </c>
      <c r="V67" s="23" t="s">
        <v>59</v>
      </c>
      <c r="W67" s="24" t="s">
        <v>58</v>
      </c>
      <c r="X67" s="23" t="s">
        <v>59</v>
      </c>
      <c r="Y67" s="24" t="s">
        <v>58</v>
      </c>
      <c r="Z67" s="23" t="s">
        <v>59</v>
      </c>
      <c r="AA67" s="24" t="s">
        <v>58</v>
      </c>
      <c r="AB67" s="23" t="s">
        <v>59</v>
      </c>
      <c r="AC67" s="24" t="s">
        <v>58</v>
      </c>
      <c r="AD67" s="23" t="s">
        <v>59</v>
      </c>
      <c r="AE67" s="24" t="s">
        <v>58</v>
      </c>
      <c r="AF67" s="23" t="s">
        <v>59</v>
      </c>
      <c r="AG67" s="24" t="s">
        <v>58</v>
      </c>
      <c r="AH67" s="23" t="s">
        <v>59</v>
      </c>
      <c r="AI67" s="24" t="s">
        <v>58</v>
      </c>
      <c r="AJ67" s="23" t="s">
        <v>59</v>
      </c>
      <c r="AK67" s="24" t="s">
        <v>58</v>
      </c>
      <c r="AL67" s="23" t="s">
        <v>59</v>
      </c>
      <c r="AM67" s="24" t="s">
        <v>58</v>
      </c>
      <c r="AN67" s="23" t="s">
        <v>59</v>
      </c>
      <c r="AO67" s="24" t="s">
        <v>58</v>
      </c>
      <c r="AP67" s="23" t="s">
        <v>59</v>
      </c>
      <c r="AQ67" s="24" t="s">
        <v>58</v>
      </c>
      <c r="AR67" s="23" t="s">
        <v>59</v>
      </c>
      <c r="AS67" s="24" t="s">
        <v>58</v>
      </c>
      <c r="AT67" s="23" t="s">
        <v>59</v>
      </c>
      <c r="AU67" s="24" t="s">
        <v>58</v>
      </c>
      <c r="AV67" s="23" t="s">
        <v>59</v>
      </c>
      <c r="AW67" s="24" t="s">
        <v>58</v>
      </c>
      <c r="AX67" s="23" t="s">
        <v>59</v>
      </c>
      <c r="AY67" s="24" t="s">
        <v>58</v>
      </c>
      <c r="AZ67" s="23" t="s">
        <v>59</v>
      </c>
      <c r="BA67" s="24" t="s">
        <v>58</v>
      </c>
      <c r="BB67" s="23" t="s">
        <v>59</v>
      </c>
      <c r="BC67" s="24" t="s">
        <v>58</v>
      </c>
      <c r="BD67" s="23" t="s">
        <v>59</v>
      </c>
      <c r="BE67" s="24" t="s">
        <v>58</v>
      </c>
      <c r="BF67" s="23" t="s">
        <v>59</v>
      </c>
      <c r="BG67" s="24" t="s">
        <v>58</v>
      </c>
      <c r="BH67" s="23" t="s">
        <v>59</v>
      </c>
      <c r="BI67" s="24" t="s">
        <v>58</v>
      </c>
      <c r="BJ67" s="23" t="s">
        <v>59</v>
      </c>
      <c r="BK67" s="24" t="s">
        <v>58</v>
      </c>
      <c r="BL67" s="23" t="s">
        <v>59</v>
      </c>
      <c r="BM67" s="24" t="s">
        <v>58</v>
      </c>
      <c r="BN67" s="23" t="s">
        <v>59</v>
      </c>
      <c r="BO67" s="24" t="s">
        <v>58</v>
      </c>
      <c r="BP67" s="23" t="s">
        <v>59</v>
      </c>
      <c r="BQ67" s="24" t="s">
        <v>58</v>
      </c>
      <c r="BR67" s="23" t="s">
        <v>59</v>
      </c>
      <c r="BS67" s="24" t="s">
        <v>58</v>
      </c>
      <c r="BT67" s="23" t="s">
        <v>59</v>
      </c>
      <c r="BU67" s="24" t="s">
        <v>58</v>
      </c>
      <c r="BV67" s="23" t="s">
        <v>59</v>
      </c>
      <c r="BW67" s="24" t="s">
        <v>58</v>
      </c>
      <c r="BX67" s="23" t="s">
        <v>59</v>
      </c>
      <c r="BY67" s="24" t="s">
        <v>58</v>
      </c>
      <c r="BZ67" s="23" t="s">
        <v>59</v>
      </c>
      <c r="CA67" s="24" t="s">
        <v>58</v>
      </c>
      <c r="CB67" s="23" t="s">
        <v>59</v>
      </c>
      <c r="CC67" s="24" t="s">
        <v>58</v>
      </c>
      <c r="CD67" s="23" t="s">
        <v>59</v>
      </c>
      <c r="CE67" s="24" t="s">
        <v>58</v>
      </c>
      <c r="CF67" s="23" t="s">
        <v>59</v>
      </c>
      <c r="CG67" s="24" t="s">
        <v>58</v>
      </c>
      <c r="CH67" s="23" t="s">
        <v>59</v>
      </c>
      <c r="CI67" s="24" t="s">
        <v>58</v>
      </c>
      <c r="CJ67" s="23" t="s">
        <v>59</v>
      </c>
      <c r="CK67" s="24" t="s">
        <v>58</v>
      </c>
      <c r="CL67" s="23" t="s">
        <v>59</v>
      </c>
      <c r="CM67" s="24" t="s">
        <v>58</v>
      </c>
      <c r="CN67" s="23" t="s">
        <v>59</v>
      </c>
      <c r="CO67" s="24" t="s">
        <v>58</v>
      </c>
      <c r="CP67" s="23" t="s">
        <v>59</v>
      </c>
      <c r="CQ67" s="24" t="s">
        <v>58</v>
      </c>
      <c r="CR67" s="23" t="s">
        <v>59</v>
      </c>
      <c r="CS67" s="24" t="s">
        <v>58</v>
      </c>
      <c r="CT67" s="23" t="s">
        <v>59</v>
      </c>
      <c r="CU67" s="24" t="s">
        <v>58</v>
      </c>
      <c r="CV67" s="23" t="s">
        <v>59</v>
      </c>
      <c r="CW67" s="24" t="s">
        <v>58</v>
      </c>
      <c r="CX67" s="23" t="s">
        <v>59</v>
      </c>
      <c r="CY67" s="24" t="s">
        <v>58</v>
      </c>
      <c r="CZ67" s="23" t="s">
        <v>59</v>
      </c>
      <c r="DA67" s="24" t="s">
        <v>58</v>
      </c>
      <c r="DB67" s="23" t="s">
        <v>59</v>
      </c>
      <c r="DC67" s="24" t="s">
        <v>58</v>
      </c>
      <c r="DD67" s="23" t="s">
        <v>59</v>
      </c>
      <c r="DE67" s="24" t="s">
        <v>58</v>
      </c>
      <c r="DF67" s="23" t="s">
        <v>59</v>
      </c>
      <c r="DG67" s="24" t="s">
        <v>58</v>
      </c>
      <c r="DH67" s="23" t="s">
        <v>59</v>
      </c>
      <c r="DI67" s="24" t="s">
        <v>58</v>
      </c>
      <c r="DJ67" s="23" t="s">
        <v>59</v>
      </c>
      <c r="DM67"/>
      <c r="DN67"/>
      <c r="DO67"/>
      <c r="DP67"/>
    </row>
    <row r="68" spans="9:120" x14ac:dyDescent="0.25">
      <c r="I68" s="1">
        <v>6987416</v>
      </c>
      <c r="J68" s="2">
        <v>77858</v>
      </c>
      <c r="K68" s="1">
        <v>106806</v>
      </c>
      <c r="L68" s="2">
        <v>10575</v>
      </c>
      <c r="M68" s="3">
        <v>88850</v>
      </c>
      <c r="N68" s="4">
        <v>10161</v>
      </c>
      <c r="O68" s="5">
        <v>211816</v>
      </c>
      <c r="P68" s="4">
        <v>17644</v>
      </c>
      <c r="Q68" s="5">
        <v>77226</v>
      </c>
      <c r="R68" s="4">
        <v>6899</v>
      </c>
      <c r="S68" s="5">
        <v>562343</v>
      </c>
      <c r="T68" s="4">
        <v>20646</v>
      </c>
      <c r="U68" s="5">
        <v>160623</v>
      </c>
      <c r="V68" s="4">
        <v>10427</v>
      </c>
      <c r="W68" s="5">
        <v>91295</v>
      </c>
      <c r="X68" s="4">
        <v>7653</v>
      </c>
      <c r="Y68" s="5">
        <v>26631</v>
      </c>
      <c r="Z68" s="4">
        <v>3629</v>
      </c>
      <c r="AA68" s="5">
        <v>49732</v>
      </c>
      <c r="AB68" s="4">
        <v>4949</v>
      </c>
      <c r="AC68" s="5">
        <v>437202</v>
      </c>
      <c r="AD68" s="4">
        <v>19015</v>
      </c>
      <c r="AE68" s="5">
        <v>248892</v>
      </c>
      <c r="AF68" s="4">
        <v>13318</v>
      </c>
      <c r="AG68" s="5">
        <v>61940</v>
      </c>
      <c r="AH68" s="4">
        <v>7295</v>
      </c>
      <c r="AI68" s="5">
        <v>57831</v>
      </c>
      <c r="AJ68" s="4">
        <v>7401</v>
      </c>
      <c r="AK68" s="5">
        <v>269008</v>
      </c>
      <c r="AL68" s="4">
        <v>13750</v>
      </c>
      <c r="AM68" s="5">
        <v>143228</v>
      </c>
      <c r="AN68" s="4">
        <v>10568</v>
      </c>
      <c r="AO68" s="5">
        <v>74516</v>
      </c>
      <c r="AP68" s="4">
        <v>6398</v>
      </c>
      <c r="AQ68" s="5">
        <v>94180</v>
      </c>
      <c r="AR68" s="4">
        <v>10699</v>
      </c>
      <c r="AS68" s="5">
        <v>99256</v>
      </c>
      <c r="AT68" s="4">
        <v>7329</v>
      </c>
      <c r="AU68" s="5">
        <v>86593</v>
      </c>
      <c r="AV68" s="4">
        <v>8952</v>
      </c>
      <c r="AW68" s="5">
        <v>33729</v>
      </c>
      <c r="AX68" s="4">
        <v>4154</v>
      </c>
      <c r="AY68" s="5">
        <v>165041</v>
      </c>
      <c r="AZ68" s="4">
        <v>11278</v>
      </c>
      <c r="BA68" s="5">
        <v>145869</v>
      </c>
      <c r="BB68" s="4">
        <v>10414</v>
      </c>
      <c r="BC68" s="5">
        <v>186505</v>
      </c>
      <c r="BD68" s="4">
        <v>13304</v>
      </c>
      <c r="BE68" s="5">
        <v>103253</v>
      </c>
      <c r="BF68" s="4">
        <v>6978</v>
      </c>
      <c r="BG68" s="5">
        <v>68597</v>
      </c>
      <c r="BH68" s="4">
        <v>7559</v>
      </c>
      <c r="BI68" s="5">
        <v>138404</v>
      </c>
      <c r="BJ68" s="4">
        <v>11145</v>
      </c>
      <c r="BK68" s="5">
        <v>31204</v>
      </c>
      <c r="BL68" s="4">
        <v>4179</v>
      </c>
      <c r="BM68" s="5">
        <v>52809</v>
      </c>
      <c r="BN68" s="4">
        <v>6362</v>
      </c>
      <c r="BO68" s="5">
        <v>115943</v>
      </c>
      <c r="BP68" s="4">
        <v>8686</v>
      </c>
      <c r="BQ68" s="5">
        <v>43277</v>
      </c>
      <c r="BR68" s="4">
        <v>4875</v>
      </c>
      <c r="BS68" s="5">
        <v>216369</v>
      </c>
      <c r="BT68" s="4">
        <v>12474</v>
      </c>
      <c r="BU68" s="5">
        <v>61431</v>
      </c>
      <c r="BV68" s="4">
        <v>5579</v>
      </c>
      <c r="BW68" s="5">
        <v>377800</v>
      </c>
      <c r="BX68" s="4">
        <v>15333</v>
      </c>
      <c r="BY68" s="5">
        <v>225147</v>
      </c>
      <c r="BZ68" s="4">
        <v>14191</v>
      </c>
      <c r="CA68" s="5">
        <v>26563</v>
      </c>
      <c r="CB68" s="4">
        <v>3090</v>
      </c>
      <c r="CC68" s="5">
        <v>206049</v>
      </c>
      <c r="CD68" s="4">
        <v>11406</v>
      </c>
      <c r="CE68" s="5">
        <v>81009</v>
      </c>
      <c r="CF68" s="4">
        <v>8616</v>
      </c>
      <c r="CG68" s="5">
        <v>109795</v>
      </c>
      <c r="CH68" s="4">
        <v>8590</v>
      </c>
      <c r="CI68" s="5">
        <v>215127</v>
      </c>
      <c r="CJ68" s="4">
        <v>11482</v>
      </c>
      <c r="CK68" s="5">
        <v>31065</v>
      </c>
      <c r="CL68" s="4">
        <v>4192</v>
      </c>
      <c r="CM68" s="5">
        <v>121426</v>
      </c>
      <c r="CN68" s="4">
        <v>9952</v>
      </c>
      <c r="CO68" s="5">
        <v>29383</v>
      </c>
      <c r="CP68" s="4">
        <v>4358</v>
      </c>
      <c r="CQ68" s="5">
        <v>154243</v>
      </c>
      <c r="CR68" s="4">
        <v>9679</v>
      </c>
      <c r="CS68" s="5">
        <v>404839</v>
      </c>
      <c r="CT68" s="4">
        <v>17998</v>
      </c>
      <c r="CU68" s="5">
        <v>73211</v>
      </c>
      <c r="CV68" s="4">
        <v>7130</v>
      </c>
      <c r="CW68" s="5">
        <v>18172</v>
      </c>
      <c r="CX68" s="4">
        <v>2845</v>
      </c>
      <c r="CY68" s="5">
        <v>229227</v>
      </c>
      <c r="CZ68" s="4">
        <v>11582</v>
      </c>
      <c r="DA68" s="5">
        <v>190644</v>
      </c>
      <c r="DB68" s="4">
        <v>11567</v>
      </c>
      <c r="DC68" s="5">
        <v>45956</v>
      </c>
      <c r="DD68" s="4">
        <v>5684</v>
      </c>
      <c r="DE68" s="5">
        <v>105370</v>
      </c>
      <c r="DF68" s="4">
        <v>8011</v>
      </c>
      <c r="DG68" s="5">
        <v>31991</v>
      </c>
      <c r="DH68" s="4">
        <v>4631</v>
      </c>
      <c r="DI68" s="5">
        <v>76218</v>
      </c>
      <c r="DJ68" s="4">
        <v>8799</v>
      </c>
      <c r="DM68"/>
      <c r="DN68"/>
      <c r="DO68"/>
      <c r="DP68"/>
    </row>
    <row r="69" spans="9:120" x14ac:dyDescent="0.25">
      <c r="I69" s="6">
        <v>117726</v>
      </c>
      <c r="J69" s="7">
        <v>9414</v>
      </c>
      <c r="K69" s="8" t="s">
        <v>60</v>
      </c>
      <c r="L69" s="4" t="s">
        <v>60</v>
      </c>
      <c r="M69" s="3">
        <v>1771</v>
      </c>
      <c r="N69" s="4">
        <v>1098</v>
      </c>
      <c r="O69" s="5">
        <v>1677</v>
      </c>
      <c r="P69" s="4">
        <v>1060</v>
      </c>
      <c r="Q69" s="5">
        <v>1642</v>
      </c>
      <c r="R69" s="4">
        <v>1063</v>
      </c>
      <c r="S69" s="5">
        <v>3389</v>
      </c>
      <c r="T69" s="4">
        <v>1286</v>
      </c>
      <c r="U69" s="5">
        <v>348</v>
      </c>
      <c r="V69" s="4">
        <v>295</v>
      </c>
      <c r="W69" s="5">
        <v>2921</v>
      </c>
      <c r="X69" s="4">
        <v>3231</v>
      </c>
      <c r="Y69" s="5">
        <v>232</v>
      </c>
      <c r="Z69" s="4">
        <v>301</v>
      </c>
      <c r="AA69" s="5">
        <v>399</v>
      </c>
      <c r="AB69" s="4">
        <v>359</v>
      </c>
      <c r="AC69" s="5">
        <v>20063</v>
      </c>
      <c r="AD69" s="4">
        <v>4141</v>
      </c>
      <c r="AE69" s="5">
        <v>19346</v>
      </c>
      <c r="AF69" s="4">
        <v>3711</v>
      </c>
      <c r="AG69" s="5">
        <v>1259</v>
      </c>
      <c r="AH69" s="4">
        <v>1292</v>
      </c>
      <c r="AI69" s="5">
        <v>137</v>
      </c>
      <c r="AJ69" s="4">
        <v>173</v>
      </c>
      <c r="AK69" s="5">
        <v>6991</v>
      </c>
      <c r="AL69" s="4">
        <v>3376</v>
      </c>
      <c r="AM69" s="5">
        <v>1434</v>
      </c>
      <c r="AN69" s="4">
        <v>634</v>
      </c>
      <c r="AO69" s="5">
        <v>30</v>
      </c>
      <c r="AP69" s="4">
        <v>52</v>
      </c>
      <c r="AQ69" s="5">
        <v>842</v>
      </c>
      <c r="AR69" s="4">
        <v>632</v>
      </c>
      <c r="AS69" s="5">
        <v>2686</v>
      </c>
      <c r="AT69" s="4">
        <v>856</v>
      </c>
      <c r="AU69" s="5">
        <v>2413</v>
      </c>
      <c r="AV69" s="4">
        <v>972</v>
      </c>
      <c r="AW69" s="5">
        <v>626</v>
      </c>
      <c r="AX69" s="4">
        <v>378</v>
      </c>
      <c r="AY69" s="5">
        <v>1606</v>
      </c>
      <c r="AZ69" s="4">
        <v>987</v>
      </c>
      <c r="BA69" s="5">
        <v>112</v>
      </c>
      <c r="BB69" s="4">
        <v>146</v>
      </c>
      <c r="BC69" s="5">
        <v>2797</v>
      </c>
      <c r="BD69" s="4">
        <v>1250</v>
      </c>
      <c r="BE69" s="5">
        <v>327</v>
      </c>
      <c r="BF69" s="4">
        <v>342</v>
      </c>
      <c r="BG69" s="5">
        <v>3945</v>
      </c>
      <c r="BH69" s="4">
        <v>1492</v>
      </c>
      <c r="BI69" s="5">
        <v>1086</v>
      </c>
      <c r="BJ69" s="4">
        <v>536</v>
      </c>
      <c r="BK69" s="5">
        <v>317</v>
      </c>
      <c r="BL69" s="4">
        <v>463</v>
      </c>
      <c r="BM69" s="5">
        <v>770</v>
      </c>
      <c r="BN69" s="4">
        <v>638</v>
      </c>
      <c r="BO69" s="5">
        <v>257</v>
      </c>
      <c r="BP69" s="4">
        <v>333</v>
      </c>
      <c r="BQ69" s="5">
        <v>64</v>
      </c>
      <c r="BR69" s="4">
        <v>109</v>
      </c>
      <c r="BS69" s="5">
        <v>1996</v>
      </c>
      <c r="BT69" s="4">
        <v>2284</v>
      </c>
      <c r="BU69" s="5">
        <v>119</v>
      </c>
      <c r="BV69" s="4">
        <v>184</v>
      </c>
      <c r="BW69" s="5">
        <v>1108</v>
      </c>
      <c r="BX69" s="4">
        <v>442</v>
      </c>
      <c r="BY69" s="5">
        <v>2697</v>
      </c>
      <c r="BZ69" s="4">
        <v>1820</v>
      </c>
      <c r="CA69" s="5">
        <v>284</v>
      </c>
      <c r="CB69" s="4">
        <v>333</v>
      </c>
      <c r="CC69" s="5">
        <v>2596</v>
      </c>
      <c r="CD69" s="4">
        <v>958</v>
      </c>
      <c r="CE69" s="5">
        <v>973</v>
      </c>
      <c r="CF69" s="4">
        <v>840</v>
      </c>
      <c r="CG69" s="5">
        <v>169</v>
      </c>
      <c r="CH69" s="4">
        <v>182</v>
      </c>
      <c r="CI69" s="5">
        <v>1075</v>
      </c>
      <c r="CJ69" s="4">
        <v>474</v>
      </c>
      <c r="CK69" s="5">
        <v>0</v>
      </c>
      <c r="CL69" s="4">
        <v>190</v>
      </c>
      <c r="CM69" s="5">
        <v>2036</v>
      </c>
      <c r="CN69" s="4">
        <v>973</v>
      </c>
      <c r="CO69" s="5">
        <v>90</v>
      </c>
      <c r="CP69" s="4">
        <v>98</v>
      </c>
      <c r="CQ69" s="5">
        <v>8710</v>
      </c>
      <c r="CR69" s="4">
        <v>2300</v>
      </c>
      <c r="CS69" s="5">
        <v>7973</v>
      </c>
      <c r="CT69" s="4">
        <v>2240</v>
      </c>
      <c r="CU69" s="5">
        <v>300</v>
      </c>
      <c r="CV69" s="4">
        <v>390</v>
      </c>
      <c r="CW69" s="5">
        <v>66</v>
      </c>
      <c r="CX69" s="4">
        <v>108</v>
      </c>
      <c r="CY69" s="5">
        <v>4935</v>
      </c>
      <c r="CZ69" s="4">
        <v>2151</v>
      </c>
      <c r="DA69" s="5">
        <v>2621</v>
      </c>
      <c r="DB69" s="4">
        <v>1272</v>
      </c>
      <c r="DC69" s="5">
        <v>65</v>
      </c>
      <c r="DD69" s="4">
        <v>110</v>
      </c>
      <c r="DE69" s="5">
        <v>417</v>
      </c>
      <c r="DF69" s="4">
        <v>457</v>
      </c>
      <c r="DG69" s="5">
        <v>9</v>
      </c>
      <c r="DH69" s="4">
        <v>15</v>
      </c>
      <c r="DI69" s="5">
        <v>569</v>
      </c>
      <c r="DJ69" s="4">
        <v>601</v>
      </c>
      <c r="DM69"/>
      <c r="DN69"/>
      <c r="DO69"/>
      <c r="DP69"/>
    </row>
    <row r="70" spans="9:120" x14ac:dyDescent="0.25">
      <c r="I70" s="6">
        <v>35084</v>
      </c>
      <c r="J70" s="7">
        <v>4168</v>
      </c>
      <c r="K70" s="5">
        <v>93</v>
      </c>
      <c r="L70" s="4">
        <v>113</v>
      </c>
      <c r="M70" s="8" t="s">
        <v>60</v>
      </c>
      <c r="N70" s="4" t="s">
        <v>60</v>
      </c>
      <c r="O70" s="3">
        <v>2467</v>
      </c>
      <c r="P70" s="4">
        <v>1902</v>
      </c>
      <c r="Q70" s="5">
        <v>190</v>
      </c>
      <c r="R70" s="4">
        <v>258</v>
      </c>
      <c r="S70" s="5">
        <v>3098</v>
      </c>
      <c r="T70" s="4">
        <v>1921</v>
      </c>
      <c r="U70" s="5">
        <v>1583</v>
      </c>
      <c r="V70" s="4">
        <v>727</v>
      </c>
      <c r="W70" s="5">
        <v>138</v>
      </c>
      <c r="X70" s="4">
        <v>167</v>
      </c>
      <c r="Y70" s="5">
        <v>11</v>
      </c>
      <c r="Z70" s="4">
        <v>24</v>
      </c>
      <c r="AA70" s="5">
        <v>140</v>
      </c>
      <c r="AB70" s="4">
        <v>220</v>
      </c>
      <c r="AC70" s="5">
        <v>1188</v>
      </c>
      <c r="AD70" s="4">
        <v>476</v>
      </c>
      <c r="AE70" s="5">
        <v>556</v>
      </c>
      <c r="AF70" s="4">
        <v>419</v>
      </c>
      <c r="AG70" s="5">
        <v>1366</v>
      </c>
      <c r="AH70" s="4">
        <v>703</v>
      </c>
      <c r="AI70" s="5">
        <v>475</v>
      </c>
      <c r="AJ70" s="4">
        <v>253</v>
      </c>
      <c r="AK70" s="5">
        <v>985</v>
      </c>
      <c r="AL70" s="4">
        <v>686</v>
      </c>
      <c r="AM70" s="5">
        <v>181</v>
      </c>
      <c r="AN70" s="4">
        <v>156</v>
      </c>
      <c r="AO70" s="5">
        <v>319</v>
      </c>
      <c r="AP70" s="4">
        <v>374</v>
      </c>
      <c r="AQ70" s="5">
        <v>750</v>
      </c>
      <c r="AR70" s="4">
        <v>741</v>
      </c>
      <c r="AS70" s="5">
        <v>237</v>
      </c>
      <c r="AT70" s="4">
        <v>354</v>
      </c>
      <c r="AU70" s="5">
        <v>1077</v>
      </c>
      <c r="AV70" s="4">
        <v>1276</v>
      </c>
      <c r="AW70" s="5">
        <v>0</v>
      </c>
      <c r="AX70" s="4">
        <v>149</v>
      </c>
      <c r="AY70" s="5">
        <v>216</v>
      </c>
      <c r="AZ70" s="4">
        <v>155</v>
      </c>
      <c r="BA70" s="5">
        <v>141</v>
      </c>
      <c r="BB70" s="4">
        <v>120</v>
      </c>
      <c r="BC70" s="5">
        <v>771</v>
      </c>
      <c r="BD70" s="4">
        <v>435</v>
      </c>
      <c r="BE70" s="5">
        <v>593</v>
      </c>
      <c r="BF70" s="4">
        <v>568</v>
      </c>
      <c r="BG70" s="5">
        <v>554</v>
      </c>
      <c r="BH70" s="4">
        <v>904</v>
      </c>
      <c r="BI70" s="5">
        <v>921</v>
      </c>
      <c r="BJ70" s="4">
        <v>1014</v>
      </c>
      <c r="BK70" s="5">
        <v>248</v>
      </c>
      <c r="BL70" s="4">
        <v>185</v>
      </c>
      <c r="BM70" s="5">
        <v>5</v>
      </c>
      <c r="BN70" s="4">
        <v>12</v>
      </c>
      <c r="BO70" s="5">
        <v>532</v>
      </c>
      <c r="BP70" s="4">
        <v>485</v>
      </c>
      <c r="BQ70" s="5">
        <v>520</v>
      </c>
      <c r="BR70" s="4">
        <v>744</v>
      </c>
      <c r="BS70" s="5">
        <v>128</v>
      </c>
      <c r="BT70" s="4">
        <v>136</v>
      </c>
      <c r="BU70" s="5">
        <v>226</v>
      </c>
      <c r="BV70" s="4">
        <v>188</v>
      </c>
      <c r="BW70" s="5">
        <v>940</v>
      </c>
      <c r="BX70" s="4">
        <v>613</v>
      </c>
      <c r="BY70" s="5">
        <v>470</v>
      </c>
      <c r="BZ70" s="4">
        <v>404</v>
      </c>
      <c r="CA70" s="5">
        <v>0</v>
      </c>
      <c r="CB70" s="4">
        <v>149</v>
      </c>
      <c r="CC70" s="5">
        <v>319</v>
      </c>
      <c r="CD70" s="4">
        <v>286</v>
      </c>
      <c r="CE70" s="5">
        <v>616</v>
      </c>
      <c r="CF70" s="4">
        <v>733</v>
      </c>
      <c r="CG70" s="5">
        <v>2161</v>
      </c>
      <c r="CH70" s="4">
        <v>841</v>
      </c>
      <c r="CI70" s="5">
        <v>378</v>
      </c>
      <c r="CJ70" s="4">
        <v>371</v>
      </c>
      <c r="CK70" s="5">
        <v>0</v>
      </c>
      <c r="CL70" s="4">
        <v>149</v>
      </c>
      <c r="CM70" s="5">
        <v>186</v>
      </c>
      <c r="CN70" s="4">
        <v>182</v>
      </c>
      <c r="CO70" s="5">
        <v>301</v>
      </c>
      <c r="CP70" s="4">
        <v>343</v>
      </c>
      <c r="CQ70" s="5">
        <v>388</v>
      </c>
      <c r="CR70" s="4">
        <v>308</v>
      </c>
      <c r="CS70" s="5">
        <v>2492</v>
      </c>
      <c r="CT70" s="4">
        <v>1105</v>
      </c>
      <c r="CU70" s="5">
        <v>662</v>
      </c>
      <c r="CV70" s="4">
        <v>731</v>
      </c>
      <c r="CW70" s="5">
        <v>68</v>
      </c>
      <c r="CX70" s="4">
        <v>105</v>
      </c>
      <c r="CY70" s="5">
        <v>1488</v>
      </c>
      <c r="CZ70" s="4">
        <v>1112</v>
      </c>
      <c r="DA70" s="5">
        <v>4548</v>
      </c>
      <c r="DB70" s="4">
        <v>1520</v>
      </c>
      <c r="DC70" s="5">
        <v>89</v>
      </c>
      <c r="DD70" s="4">
        <v>75</v>
      </c>
      <c r="DE70" s="5">
        <v>23</v>
      </c>
      <c r="DF70" s="4">
        <v>35</v>
      </c>
      <c r="DG70" s="5">
        <v>246</v>
      </c>
      <c r="DH70" s="4">
        <v>272</v>
      </c>
      <c r="DI70" s="5">
        <v>1044</v>
      </c>
      <c r="DJ70" s="4">
        <v>962</v>
      </c>
      <c r="DM70"/>
      <c r="DN70"/>
      <c r="DO70"/>
      <c r="DP70"/>
    </row>
    <row r="71" spans="9:120" x14ac:dyDescent="0.25">
      <c r="I71" s="6">
        <v>222877</v>
      </c>
      <c r="J71" s="7">
        <v>14358</v>
      </c>
      <c r="K71" s="5">
        <v>833</v>
      </c>
      <c r="L71" s="4">
        <v>587</v>
      </c>
      <c r="M71" s="3">
        <v>5001</v>
      </c>
      <c r="N71" s="4">
        <v>2214</v>
      </c>
      <c r="O71" s="8" t="s">
        <v>60</v>
      </c>
      <c r="P71" s="4" t="s">
        <v>60</v>
      </c>
      <c r="Q71" s="3">
        <v>1066</v>
      </c>
      <c r="R71" s="4">
        <v>740</v>
      </c>
      <c r="S71" s="5">
        <v>49635</v>
      </c>
      <c r="T71" s="4">
        <v>8755</v>
      </c>
      <c r="U71" s="5">
        <v>10189</v>
      </c>
      <c r="V71" s="4">
        <v>2958</v>
      </c>
      <c r="W71" s="5">
        <v>1875</v>
      </c>
      <c r="X71" s="4">
        <v>1213</v>
      </c>
      <c r="Y71" s="5">
        <v>0</v>
      </c>
      <c r="Z71" s="4">
        <v>229</v>
      </c>
      <c r="AA71" s="5">
        <v>389</v>
      </c>
      <c r="AB71" s="4">
        <v>389</v>
      </c>
      <c r="AC71" s="5">
        <v>3732</v>
      </c>
      <c r="AD71" s="4">
        <v>1842</v>
      </c>
      <c r="AE71" s="5">
        <v>2206</v>
      </c>
      <c r="AF71" s="4">
        <v>1147</v>
      </c>
      <c r="AG71" s="5">
        <v>2199</v>
      </c>
      <c r="AH71" s="4">
        <v>1109</v>
      </c>
      <c r="AI71" s="5">
        <v>2190</v>
      </c>
      <c r="AJ71" s="4">
        <v>1183</v>
      </c>
      <c r="AK71" s="5">
        <v>10035</v>
      </c>
      <c r="AL71" s="4">
        <v>4129</v>
      </c>
      <c r="AM71" s="5">
        <v>5855</v>
      </c>
      <c r="AN71" s="4">
        <v>1956</v>
      </c>
      <c r="AO71" s="5">
        <v>4526</v>
      </c>
      <c r="AP71" s="4">
        <v>1745</v>
      </c>
      <c r="AQ71" s="5">
        <v>1708</v>
      </c>
      <c r="AR71" s="4">
        <v>883</v>
      </c>
      <c r="AS71" s="5">
        <v>2134</v>
      </c>
      <c r="AT71" s="4">
        <v>1257</v>
      </c>
      <c r="AU71" s="5">
        <v>844</v>
      </c>
      <c r="AV71" s="4">
        <v>867</v>
      </c>
      <c r="AW71" s="5">
        <v>0</v>
      </c>
      <c r="AX71" s="4">
        <v>229</v>
      </c>
      <c r="AY71" s="5">
        <v>1918</v>
      </c>
      <c r="AZ71" s="4">
        <v>1096</v>
      </c>
      <c r="BA71" s="5">
        <v>743</v>
      </c>
      <c r="BB71" s="4">
        <v>430</v>
      </c>
      <c r="BC71" s="5">
        <v>9396</v>
      </c>
      <c r="BD71" s="4">
        <v>5283</v>
      </c>
      <c r="BE71" s="5">
        <v>3297</v>
      </c>
      <c r="BF71" s="4">
        <v>1064</v>
      </c>
      <c r="BG71" s="5">
        <v>1226</v>
      </c>
      <c r="BH71" s="4">
        <v>1492</v>
      </c>
      <c r="BI71" s="5">
        <v>3872</v>
      </c>
      <c r="BJ71" s="4">
        <v>1689</v>
      </c>
      <c r="BK71" s="5">
        <v>2431</v>
      </c>
      <c r="BL71" s="4">
        <v>1191</v>
      </c>
      <c r="BM71" s="5">
        <v>1393</v>
      </c>
      <c r="BN71" s="4">
        <v>798</v>
      </c>
      <c r="BO71" s="5">
        <v>8756</v>
      </c>
      <c r="BP71" s="4">
        <v>3417</v>
      </c>
      <c r="BQ71" s="5">
        <v>228</v>
      </c>
      <c r="BR71" s="4">
        <v>229</v>
      </c>
      <c r="BS71" s="5">
        <v>3379</v>
      </c>
      <c r="BT71" s="4">
        <v>1757</v>
      </c>
      <c r="BU71" s="5">
        <v>4610</v>
      </c>
      <c r="BV71" s="4">
        <v>1448</v>
      </c>
      <c r="BW71" s="5">
        <v>3880</v>
      </c>
      <c r="BX71" s="4">
        <v>1363</v>
      </c>
      <c r="BY71" s="5">
        <v>2548</v>
      </c>
      <c r="BZ71" s="4">
        <v>1269</v>
      </c>
      <c r="CA71" s="5">
        <v>1159</v>
      </c>
      <c r="CB71" s="4">
        <v>891</v>
      </c>
      <c r="CC71" s="5">
        <v>4682</v>
      </c>
      <c r="CD71" s="4">
        <v>2116</v>
      </c>
      <c r="CE71" s="5">
        <v>3219</v>
      </c>
      <c r="CF71" s="4">
        <v>1761</v>
      </c>
      <c r="CG71" s="5">
        <v>4613</v>
      </c>
      <c r="CH71" s="4">
        <v>1465</v>
      </c>
      <c r="CI71" s="5">
        <v>3436</v>
      </c>
      <c r="CJ71" s="4">
        <v>1476</v>
      </c>
      <c r="CK71" s="5">
        <v>72</v>
      </c>
      <c r="CL71" s="4">
        <v>131</v>
      </c>
      <c r="CM71" s="5">
        <v>1774</v>
      </c>
      <c r="CN71" s="4">
        <v>1932</v>
      </c>
      <c r="CO71" s="5">
        <v>1657</v>
      </c>
      <c r="CP71" s="4">
        <v>1589</v>
      </c>
      <c r="CQ71" s="5">
        <v>1680</v>
      </c>
      <c r="CR71" s="4">
        <v>647</v>
      </c>
      <c r="CS71" s="5">
        <v>12688</v>
      </c>
      <c r="CT71" s="4">
        <v>2976</v>
      </c>
      <c r="CU71" s="5">
        <v>10577</v>
      </c>
      <c r="CV71" s="4">
        <v>3336</v>
      </c>
      <c r="CW71" s="5">
        <v>0</v>
      </c>
      <c r="CX71" s="4">
        <v>229</v>
      </c>
      <c r="CY71" s="5">
        <v>2233</v>
      </c>
      <c r="CZ71" s="4">
        <v>1094</v>
      </c>
      <c r="DA71" s="5">
        <v>13940</v>
      </c>
      <c r="DB71" s="4">
        <v>5479</v>
      </c>
      <c r="DC71" s="5">
        <v>70</v>
      </c>
      <c r="DD71" s="4">
        <v>118</v>
      </c>
      <c r="DE71" s="5">
        <v>6473</v>
      </c>
      <c r="DF71" s="4">
        <v>2066</v>
      </c>
      <c r="DG71" s="5">
        <v>2510</v>
      </c>
      <c r="DH71" s="4">
        <v>1288</v>
      </c>
      <c r="DI71" s="5">
        <v>871</v>
      </c>
      <c r="DJ71" s="4">
        <v>639</v>
      </c>
      <c r="DM71"/>
      <c r="DN71"/>
      <c r="DO71"/>
      <c r="DP71"/>
    </row>
    <row r="72" spans="9:120" x14ac:dyDescent="0.25">
      <c r="I72" s="6">
        <v>69845</v>
      </c>
      <c r="J72" s="7">
        <v>7292</v>
      </c>
      <c r="K72" s="5">
        <v>691</v>
      </c>
      <c r="L72" s="4">
        <v>573</v>
      </c>
      <c r="M72" s="3">
        <v>560</v>
      </c>
      <c r="N72" s="4">
        <v>669</v>
      </c>
      <c r="O72" s="5">
        <v>439</v>
      </c>
      <c r="P72" s="4">
        <v>381</v>
      </c>
      <c r="Q72" s="8" t="s">
        <v>60</v>
      </c>
      <c r="R72" s="4" t="s">
        <v>60</v>
      </c>
      <c r="S72" s="3">
        <v>4077</v>
      </c>
      <c r="T72" s="4">
        <v>2327</v>
      </c>
      <c r="U72" s="5">
        <v>746</v>
      </c>
      <c r="V72" s="4">
        <v>451</v>
      </c>
      <c r="W72" s="5">
        <v>519</v>
      </c>
      <c r="X72" s="4">
        <v>654</v>
      </c>
      <c r="Y72" s="5">
        <v>79</v>
      </c>
      <c r="Z72" s="4">
        <v>141</v>
      </c>
      <c r="AA72" s="5">
        <v>0</v>
      </c>
      <c r="AB72" s="4">
        <v>192</v>
      </c>
      <c r="AC72" s="5">
        <v>3067</v>
      </c>
      <c r="AD72" s="4">
        <v>1273</v>
      </c>
      <c r="AE72" s="5">
        <v>1446</v>
      </c>
      <c r="AF72" s="4">
        <v>759</v>
      </c>
      <c r="AG72" s="5">
        <v>13</v>
      </c>
      <c r="AH72" s="4">
        <v>27</v>
      </c>
      <c r="AI72" s="5">
        <v>179</v>
      </c>
      <c r="AJ72" s="4">
        <v>271</v>
      </c>
      <c r="AK72" s="5">
        <v>3684</v>
      </c>
      <c r="AL72" s="4">
        <v>2143</v>
      </c>
      <c r="AM72" s="5">
        <v>1362</v>
      </c>
      <c r="AN72" s="4">
        <v>1007</v>
      </c>
      <c r="AO72" s="5">
        <v>851</v>
      </c>
      <c r="AP72" s="4">
        <v>773</v>
      </c>
      <c r="AQ72" s="5">
        <v>2008</v>
      </c>
      <c r="AR72" s="4">
        <v>1142</v>
      </c>
      <c r="AS72" s="5">
        <v>213</v>
      </c>
      <c r="AT72" s="4">
        <v>311</v>
      </c>
      <c r="AU72" s="5">
        <v>2120</v>
      </c>
      <c r="AV72" s="4">
        <v>1015</v>
      </c>
      <c r="AW72" s="5">
        <v>30</v>
      </c>
      <c r="AX72" s="4">
        <v>53</v>
      </c>
      <c r="AY72" s="5">
        <v>133</v>
      </c>
      <c r="AZ72" s="4">
        <v>176</v>
      </c>
      <c r="BA72" s="5">
        <v>781</v>
      </c>
      <c r="BB72" s="4">
        <v>901</v>
      </c>
      <c r="BC72" s="5">
        <v>1881</v>
      </c>
      <c r="BD72" s="4">
        <v>1130</v>
      </c>
      <c r="BE72" s="5">
        <v>232</v>
      </c>
      <c r="BF72" s="4">
        <v>396</v>
      </c>
      <c r="BG72" s="5">
        <v>1731</v>
      </c>
      <c r="BH72" s="4">
        <v>864</v>
      </c>
      <c r="BI72" s="5">
        <v>7314</v>
      </c>
      <c r="BJ72" s="4">
        <v>2602</v>
      </c>
      <c r="BK72" s="5">
        <v>713</v>
      </c>
      <c r="BL72" s="4">
        <v>858</v>
      </c>
      <c r="BM72" s="5">
        <v>332</v>
      </c>
      <c r="BN72" s="4">
        <v>417</v>
      </c>
      <c r="BO72" s="5">
        <v>641</v>
      </c>
      <c r="BP72" s="4">
        <v>525</v>
      </c>
      <c r="BQ72" s="5">
        <v>52</v>
      </c>
      <c r="BR72" s="4">
        <v>69</v>
      </c>
      <c r="BS72" s="5">
        <v>341</v>
      </c>
      <c r="BT72" s="4">
        <v>220</v>
      </c>
      <c r="BU72" s="5">
        <v>775</v>
      </c>
      <c r="BV72" s="4">
        <v>680</v>
      </c>
      <c r="BW72" s="5">
        <v>674</v>
      </c>
      <c r="BX72" s="4">
        <v>362</v>
      </c>
      <c r="BY72" s="5">
        <v>1664</v>
      </c>
      <c r="BZ72" s="4">
        <v>1220</v>
      </c>
      <c r="CA72" s="5">
        <v>214</v>
      </c>
      <c r="CB72" s="4">
        <v>248</v>
      </c>
      <c r="CC72" s="5">
        <v>174</v>
      </c>
      <c r="CD72" s="4">
        <v>176</v>
      </c>
      <c r="CE72" s="5">
        <v>3761</v>
      </c>
      <c r="CF72" s="4">
        <v>1456</v>
      </c>
      <c r="CG72" s="5">
        <v>632</v>
      </c>
      <c r="CH72" s="4">
        <v>587</v>
      </c>
      <c r="CI72" s="5">
        <v>567</v>
      </c>
      <c r="CJ72" s="4">
        <v>628</v>
      </c>
      <c r="CK72" s="5">
        <v>0</v>
      </c>
      <c r="CL72" s="4">
        <v>192</v>
      </c>
      <c r="CM72" s="5">
        <v>235</v>
      </c>
      <c r="CN72" s="4">
        <v>269</v>
      </c>
      <c r="CO72" s="5">
        <v>0</v>
      </c>
      <c r="CP72" s="4">
        <v>192</v>
      </c>
      <c r="CQ72" s="5">
        <v>6462</v>
      </c>
      <c r="CR72" s="4">
        <v>2269</v>
      </c>
      <c r="CS72" s="5">
        <v>14767</v>
      </c>
      <c r="CT72" s="4">
        <v>2746</v>
      </c>
      <c r="CU72" s="5">
        <v>0</v>
      </c>
      <c r="CV72" s="4">
        <v>192</v>
      </c>
      <c r="CW72" s="5">
        <v>0</v>
      </c>
      <c r="CX72" s="4">
        <v>192</v>
      </c>
      <c r="CY72" s="5">
        <v>1245</v>
      </c>
      <c r="CZ72" s="4">
        <v>769</v>
      </c>
      <c r="DA72" s="5">
        <v>1477</v>
      </c>
      <c r="DB72" s="4">
        <v>636</v>
      </c>
      <c r="DC72" s="5">
        <v>24</v>
      </c>
      <c r="DD72" s="4">
        <v>45</v>
      </c>
      <c r="DE72" s="5">
        <v>687</v>
      </c>
      <c r="DF72" s="4">
        <v>632</v>
      </c>
      <c r="DG72" s="5">
        <v>252</v>
      </c>
      <c r="DH72" s="4">
        <v>399</v>
      </c>
      <c r="DI72" s="5">
        <v>529</v>
      </c>
      <c r="DJ72" s="4">
        <v>507</v>
      </c>
      <c r="DM72"/>
      <c r="DN72"/>
      <c r="DO72"/>
      <c r="DP72"/>
    </row>
    <row r="73" spans="9:120" x14ac:dyDescent="0.25">
      <c r="I73" s="6">
        <v>468428</v>
      </c>
      <c r="J73" s="7">
        <v>17921</v>
      </c>
      <c r="K73" s="5">
        <v>2087</v>
      </c>
      <c r="L73" s="4">
        <v>927</v>
      </c>
      <c r="M73" s="3">
        <v>7358</v>
      </c>
      <c r="N73" s="4">
        <v>2501</v>
      </c>
      <c r="O73" s="5">
        <v>35650</v>
      </c>
      <c r="P73" s="4">
        <v>4362</v>
      </c>
      <c r="Q73" s="5">
        <v>2648</v>
      </c>
      <c r="R73" s="4">
        <v>1019</v>
      </c>
      <c r="S73" s="8" t="s">
        <v>60</v>
      </c>
      <c r="T73" s="4" t="s">
        <v>60</v>
      </c>
      <c r="U73" s="3">
        <v>21245</v>
      </c>
      <c r="V73" s="4">
        <v>3867</v>
      </c>
      <c r="W73" s="5">
        <v>3073</v>
      </c>
      <c r="X73" s="4">
        <v>1222</v>
      </c>
      <c r="Y73" s="5">
        <v>1302</v>
      </c>
      <c r="Z73" s="4">
        <v>1343</v>
      </c>
      <c r="AA73" s="5">
        <v>3240</v>
      </c>
      <c r="AB73" s="4">
        <v>1457</v>
      </c>
      <c r="AC73" s="5">
        <v>22094</v>
      </c>
      <c r="AD73" s="4">
        <v>4333</v>
      </c>
      <c r="AE73" s="5">
        <v>13303</v>
      </c>
      <c r="AF73" s="4">
        <v>3042</v>
      </c>
      <c r="AG73" s="5">
        <v>9864</v>
      </c>
      <c r="AH73" s="4">
        <v>2683</v>
      </c>
      <c r="AI73" s="5">
        <v>4796</v>
      </c>
      <c r="AJ73" s="4">
        <v>1560</v>
      </c>
      <c r="AK73" s="5">
        <v>20834</v>
      </c>
      <c r="AL73" s="4">
        <v>3496</v>
      </c>
      <c r="AM73" s="5">
        <v>4673</v>
      </c>
      <c r="AN73" s="4">
        <v>1297</v>
      </c>
      <c r="AO73" s="5">
        <v>3324</v>
      </c>
      <c r="AP73" s="4">
        <v>1701</v>
      </c>
      <c r="AQ73" s="5">
        <v>2810</v>
      </c>
      <c r="AR73" s="4">
        <v>1256</v>
      </c>
      <c r="AS73" s="5">
        <v>1201</v>
      </c>
      <c r="AT73" s="4">
        <v>507</v>
      </c>
      <c r="AU73" s="5">
        <v>3600</v>
      </c>
      <c r="AV73" s="4">
        <v>1751</v>
      </c>
      <c r="AW73" s="5">
        <v>1658</v>
      </c>
      <c r="AX73" s="4">
        <v>1175</v>
      </c>
      <c r="AY73" s="5">
        <v>7793</v>
      </c>
      <c r="AZ73" s="4">
        <v>1924</v>
      </c>
      <c r="BA73" s="5">
        <v>10244</v>
      </c>
      <c r="BB73" s="4">
        <v>2069</v>
      </c>
      <c r="BC73" s="5">
        <v>12069</v>
      </c>
      <c r="BD73" s="4">
        <v>4117</v>
      </c>
      <c r="BE73" s="5">
        <v>5687</v>
      </c>
      <c r="BF73" s="4">
        <v>1375</v>
      </c>
      <c r="BG73" s="5">
        <v>2092</v>
      </c>
      <c r="BH73" s="4">
        <v>896</v>
      </c>
      <c r="BI73" s="5">
        <v>7677</v>
      </c>
      <c r="BJ73" s="4">
        <v>1995</v>
      </c>
      <c r="BK73" s="5">
        <v>2599</v>
      </c>
      <c r="BL73" s="4">
        <v>1492</v>
      </c>
      <c r="BM73" s="5">
        <v>1955</v>
      </c>
      <c r="BN73" s="4">
        <v>821</v>
      </c>
      <c r="BO73" s="5">
        <v>36159</v>
      </c>
      <c r="BP73" s="4">
        <v>5100</v>
      </c>
      <c r="BQ73" s="5">
        <v>1222</v>
      </c>
      <c r="BR73" s="4">
        <v>869</v>
      </c>
      <c r="BS73" s="5">
        <v>8053</v>
      </c>
      <c r="BT73" s="4">
        <v>2169</v>
      </c>
      <c r="BU73" s="5">
        <v>5904</v>
      </c>
      <c r="BV73" s="4">
        <v>2207</v>
      </c>
      <c r="BW73" s="5">
        <v>25629</v>
      </c>
      <c r="BX73" s="4">
        <v>3287</v>
      </c>
      <c r="BY73" s="5">
        <v>8708</v>
      </c>
      <c r="BZ73" s="4">
        <v>2611</v>
      </c>
      <c r="CA73" s="5">
        <v>1392</v>
      </c>
      <c r="CB73" s="4">
        <v>898</v>
      </c>
      <c r="CC73" s="5">
        <v>10474</v>
      </c>
      <c r="CD73" s="4">
        <v>3555</v>
      </c>
      <c r="CE73" s="5">
        <v>5113</v>
      </c>
      <c r="CF73" s="4">
        <v>1763</v>
      </c>
      <c r="CG73" s="5">
        <v>18165</v>
      </c>
      <c r="CH73" s="4">
        <v>2845</v>
      </c>
      <c r="CI73" s="5">
        <v>8550</v>
      </c>
      <c r="CJ73" s="4">
        <v>2017</v>
      </c>
      <c r="CK73" s="5">
        <v>1103</v>
      </c>
      <c r="CL73" s="4">
        <v>545</v>
      </c>
      <c r="CM73" s="5">
        <v>5758</v>
      </c>
      <c r="CN73" s="4">
        <v>2383</v>
      </c>
      <c r="CO73" s="5">
        <v>1004</v>
      </c>
      <c r="CP73" s="4">
        <v>686</v>
      </c>
      <c r="CQ73" s="5">
        <v>8761</v>
      </c>
      <c r="CR73" s="4">
        <v>2325</v>
      </c>
      <c r="CS73" s="5">
        <v>37087</v>
      </c>
      <c r="CT73" s="4">
        <v>5877</v>
      </c>
      <c r="CU73" s="5">
        <v>8944</v>
      </c>
      <c r="CV73" s="4">
        <v>2725</v>
      </c>
      <c r="CW73" s="5">
        <v>745</v>
      </c>
      <c r="CX73" s="4">
        <v>504</v>
      </c>
      <c r="CY73" s="5">
        <v>15753</v>
      </c>
      <c r="CZ73" s="4">
        <v>2373</v>
      </c>
      <c r="DA73" s="5">
        <v>36481</v>
      </c>
      <c r="DB73" s="4">
        <v>6266</v>
      </c>
      <c r="DC73" s="5">
        <v>832</v>
      </c>
      <c r="DD73" s="4">
        <v>463</v>
      </c>
      <c r="DE73" s="5">
        <v>5668</v>
      </c>
      <c r="DF73" s="4">
        <v>1495</v>
      </c>
      <c r="DG73" s="5">
        <v>2047</v>
      </c>
      <c r="DH73" s="4">
        <v>1810</v>
      </c>
      <c r="DI73" s="5">
        <v>1344</v>
      </c>
      <c r="DJ73" s="4">
        <v>635</v>
      </c>
      <c r="DM73"/>
      <c r="DN73"/>
      <c r="DO73"/>
      <c r="DP73"/>
    </row>
    <row r="74" spans="9:120" x14ac:dyDescent="0.25">
      <c r="I74" s="6">
        <v>202124</v>
      </c>
      <c r="J74" s="7">
        <v>11431</v>
      </c>
      <c r="K74" s="5">
        <v>2340</v>
      </c>
      <c r="L74" s="4">
        <v>1681</v>
      </c>
      <c r="M74" s="3">
        <v>3191</v>
      </c>
      <c r="N74" s="4">
        <v>1622</v>
      </c>
      <c r="O74" s="5">
        <v>12338</v>
      </c>
      <c r="P74" s="4">
        <v>3704</v>
      </c>
      <c r="Q74" s="5">
        <v>1615</v>
      </c>
      <c r="R74" s="4">
        <v>1191</v>
      </c>
      <c r="S74" s="5">
        <v>23234</v>
      </c>
      <c r="T74" s="4">
        <v>3742</v>
      </c>
      <c r="U74" s="8" t="s">
        <v>60</v>
      </c>
      <c r="V74" s="4" t="s">
        <v>60</v>
      </c>
      <c r="W74" s="3">
        <v>1567</v>
      </c>
      <c r="X74" s="4">
        <v>838</v>
      </c>
      <c r="Y74" s="5">
        <v>501</v>
      </c>
      <c r="Z74" s="4">
        <v>556</v>
      </c>
      <c r="AA74" s="5">
        <v>298</v>
      </c>
      <c r="AB74" s="4">
        <v>301</v>
      </c>
      <c r="AC74" s="5">
        <v>8075</v>
      </c>
      <c r="AD74" s="4">
        <v>2090</v>
      </c>
      <c r="AE74" s="5">
        <v>3250</v>
      </c>
      <c r="AF74" s="4">
        <v>1254</v>
      </c>
      <c r="AG74" s="5">
        <v>1852</v>
      </c>
      <c r="AH74" s="4">
        <v>832</v>
      </c>
      <c r="AI74" s="5">
        <v>1578</v>
      </c>
      <c r="AJ74" s="4">
        <v>766</v>
      </c>
      <c r="AK74" s="5">
        <v>6027</v>
      </c>
      <c r="AL74" s="4">
        <v>1536</v>
      </c>
      <c r="AM74" s="5">
        <v>2116</v>
      </c>
      <c r="AN74" s="4">
        <v>1289</v>
      </c>
      <c r="AO74" s="5">
        <v>3510</v>
      </c>
      <c r="AP74" s="4">
        <v>1495</v>
      </c>
      <c r="AQ74" s="5">
        <v>3718</v>
      </c>
      <c r="AR74" s="4">
        <v>1495</v>
      </c>
      <c r="AS74" s="5">
        <v>1361</v>
      </c>
      <c r="AT74" s="4">
        <v>1028</v>
      </c>
      <c r="AU74" s="5">
        <v>908</v>
      </c>
      <c r="AV74" s="4">
        <v>550</v>
      </c>
      <c r="AW74" s="5">
        <v>1358</v>
      </c>
      <c r="AX74" s="4">
        <v>1235</v>
      </c>
      <c r="AY74" s="5">
        <v>3303</v>
      </c>
      <c r="AZ74" s="4">
        <v>1416</v>
      </c>
      <c r="BA74" s="5">
        <v>2157</v>
      </c>
      <c r="BB74" s="4">
        <v>1085</v>
      </c>
      <c r="BC74" s="5">
        <v>3225</v>
      </c>
      <c r="BD74" s="4">
        <v>1061</v>
      </c>
      <c r="BE74" s="5">
        <v>3055</v>
      </c>
      <c r="BF74" s="4">
        <v>1092</v>
      </c>
      <c r="BG74" s="5">
        <v>879</v>
      </c>
      <c r="BH74" s="4">
        <v>621</v>
      </c>
      <c r="BI74" s="5">
        <v>4552</v>
      </c>
      <c r="BJ74" s="4">
        <v>1382</v>
      </c>
      <c r="BK74" s="5">
        <v>4079</v>
      </c>
      <c r="BL74" s="4">
        <v>1579</v>
      </c>
      <c r="BM74" s="5">
        <v>4582</v>
      </c>
      <c r="BN74" s="4">
        <v>1961</v>
      </c>
      <c r="BO74" s="5">
        <v>4061</v>
      </c>
      <c r="BP74" s="4">
        <v>1432</v>
      </c>
      <c r="BQ74" s="5">
        <v>489</v>
      </c>
      <c r="BR74" s="4">
        <v>396</v>
      </c>
      <c r="BS74" s="5">
        <v>2863</v>
      </c>
      <c r="BT74" s="4">
        <v>1788</v>
      </c>
      <c r="BU74" s="5">
        <v>8797</v>
      </c>
      <c r="BV74" s="4">
        <v>2308</v>
      </c>
      <c r="BW74" s="5">
        <v>3998</v>
      </c>
      <c r="BX74" s="4">
        <v>1621</v>
      </c>
      <c r="BY74" s="5">
        <v>4756</v>
      </c>
      <c r="BZ74" s="4">
        <v>1686</v>
      </c>
      <c r="CA74" s="5">
        <v>2249</v>
      </c>
      <c r="CB74" s="4">
        <v>1245</v>
      </c>
      <c r="CC74" s="5">
        <v>5527</v>
      </c>
      <c r="CD74" s="4">
        <v>2388</v>
      </c>
      <c r="CE74" s="5">
        <v>3824</v>
      </c>
      <c r="CF74" s="4">
        <v>2137</v>
      </c>
      <c r="CG74" s="5">
        <v>5543</v>
      </c>
      <c r="CH74" s="4">
        <v>2105</v>
      </c>
      <c r="CI74" s="5">
        <v>3348</v>
      </c>
      <c r="CJ74" s="4">
        <v>1302</v>
      </c>
      <c r="CK74" s="5">
        <v>435</v>
      </c>
      <c r="CL74" s="4">
        <v>560</v>
      </c>
      <c r="CM74" s="5">
        <v>718</v>
      </c>
      <c r="CN74" s="4">
        <v>480</v>
      </c>
      <c r="CO74" s="5">
        <v>1340</v>
      </c>
      <c r="CP74" s="4">
        <v>1037</v>
      </c>
      <c r="CQ74" s="5">
        <v>3193</v>
      </c>
      <c r="CR74" s="4">
        <v>1472</v>
      </c>
      <c r="CS74" s="5">
        <v>22390</v>
      </c>
      <c r="CT74" s="4">
        <v>4287</v>
      </c>
      <c r="CU74" s="5">
        <v>3856</v>
      </c>
      <c r="CV74" s="4">
        <v>1446</v>
      </c>
      <c r="CW74" s="5">
        <v>914</v>
      </c>
      <c r="CX74" s="4">
        <v>772</v>
      </c>
      <c r="CY74" s="5">
        <v>6281</v>
      </c>
      <c r="CZ74" s="4">
        <v>2671</v>
      </c>
      <c r="DA74" s="5">
        <v>5524</v>
      </c>
      <c r="DB74" s="4">
        <v>2092</v>
      </c>
      <c r="DC74" s="5">
        <v>412</v>
      </c>
      <c r="DD74" s="4">
        <v>490</v>
      </c>
      <c r="DE74" s="5">
        <v>3995</v>
      </c>
      <c r="DF74" s="4">
        <v>1774</v>
      </c>
      <c r="DG74" s="5">
        <v>2942</v>
      </c>
      <c r="DH74" s="4">
        <v>923</v>
      </c>
      <c r="DI74" s="5">
        <v>476</v>
      </c>
      <c r="DJ74" s="4">
        <v>556</v>
      </c>
      <c r="DM74"/>
      <c r="DN74"/>
      <c r="DO74"/>
      <c r="DP74"/>
    </row>
    <row r="75" spans="9:120" x14ac:dyDescent="0.25">
      <c r="I75" s="6">
        <v>71502</v>
      </c>
      <c r="J75" s="7">
        <v>6552</v>
      </c>
      <c r="K75" s="5">
        <v>101</v>
      </c>
      <c r="L75" s="4">
        <v>120</v>
      </c>
      <c r="M75" s="3">
        <v>180</v>
      </c>
      <c r="N75" s="4">
        <v>299</v>
      </c>
      <c r="O75" s="5">
        <v>1387</v>
      </c>
      <c r="P75" s="4">
        <v>939</v>
      </c>
      <c r="Q75" s="5">
        <v>84</v>
      </c>
      <c r="R75" s="4">
        <v>178</v>
      </c>
      <c r="S75" s="5">
        <v>3699</v>
      </c>
      <c r="T75" s="4">
        <v>1455</v>
      </c>
      <c r="U75" s="5">
        <v>1502</v>
      </c>
      <c r="V75" s="4">
        <v>618</v>
      </c>
      <c r="W75" s="8" t="s">
        <v>60</v>
      </c>
      <c r="X75" s="4" t="s">
        <v>60</v>
      </c>
      <c r="Y75" s="3">
        <v>62</v>
      </c>
      <c r="Z75" s="4">
        <v>132</v>
      </c>
      <c r="AA75" s="5">
        <v>607</v>
      </c>
      <c r="AB75" s="4">
        <v>373</v>
      </c>
      <c r="AC75" s="5">
        <v>4771</v>
      </c>
      <c r="AD75" s="4">
        <v>1275</v>
      </c>
      <c r="AE75" s="5">
        <v>2000</v>
      </c>
      <c r="AF75" s="4">
        <v>988</v>
      </c>
      <c r="AG75" s="5">
        <v>587</v>
      </c>
      <c r="AH75" s="4">
        <v>523</v>
      </c>
      <c r="AI75" s="5">
        <v>133</v>
      </c>
      <c r="AJ75" s="4">
        <v>224</v>
      </c>
      <c r="AK75" s="5">
        <v>1843</v>
      </c>
      <c r="AL75" s="4">
        <v>965</v>
      </c>
      <c r="AM75" s="5">
        <v>168</v>
      </c>
      <c r="AN75" s="4">
        <v>214</v>
      </c>
      <c r="AO75" s="5">
        <v>67</v>
      </c>
      <c r="AP75" s="4">
        <v>120</v>
      </c>
      <c r="AQ75" s="5">
        <v>16</v>
      </c>
      <c r="AR75" s="4">
        <v>36</v>
      </c>
      <c r="AS75" s="5">
        <v>0</v>
      </c>
      <c r="AT75" s="4">
        <v>198</v>
      </c>
      <c r="AU75" s="5">
        <v>315</v>
      </c>
      <c r="AV75" s="4">
        <v>238</v>
      </c>
      <c r="AW75" s="5">
        <v>259</v>
      </c>
      <c r="AX75" s="4">
        <v>193</v>
      </c>
      <c r="AY75" s="5">
        <v>1267</v>
      </c>
      <c r="AZ75" s="4">
        <v>744</v>
      </c>
      <c r="BA75" s="5">
        <v>8691</v>
      </c>
      <c r="BB75" s="4">
        <v>1998</v>
      </c>
      <c r="BC75" s="5">
        <v>692</v>
      </c>
      <c r="BD75" s="4">
        <v>736</v>
      </c>
      <c r="BE75" s="5">
        <v>76</v>
      </c>
      <c r="BF75" s="4">
        <v>120</v>
      </c>
      <c r="BG75" s="5">
        <v>69</v>
      </c>
      <c r="BH75" s="4">
        <v>116</v>
      </c>
      <c r="BI75" s="5">
        <v>365</v>
      </c>
      <c r="BJ75" s="4">
        <v>297</v>
      </c>
      <c r="BK75" s="5">
        <v>206</v>
      </c>
      <c r="BL75" s="4">
        <v>277</v>
      </c>
      <c r="BM75" s="5">
        <v>62</v>
      </c>
      <c r="BN75" s="4">
        <v>103</v>
      </c>
      <c r="BO75" s="5">
        <v>160</v>
      </c>
      <c r="BP75" s="4">
        <v>189</v>
      </c>
      <c r="BQ75" s="5">
        <v>1221</v>
      </c>
      <c r="BR75" s="4">
        <v>803</v>
      </c>
      <c r="BS75" s="5">
        <v>3809</v>
      </c>
      <c r="BT75" s="4">
        <v>1324</v>
      </c>
      <c r="BU75" s="5">
        <v>265</v>
      </c>
      <c r="BV75" s="4">
        <v>225</v>
      </c>
      <c r="BW75" s="5">
        <v>20015</v>
      </c>
      <c r="BX75" s="4">
        <v>4005</v>
      </c>
      <c r="BY75" s="5">
        <v>1029</v>
      </c>
      <c r="BZ75" s="4">
        <v>593</v>
      </c>
      <c r="CA75" s="5">
        <v>0</v>
      </c>
      <c r="CB75" s="4">
        <v>198</v>
      </c>
      <c r="CC75" s="5">
        <v>1383</v>
      </c>
      <c r="CD75" s="4">
        <v>791</v>
      </c>
      <c r="CE75" s="5">
        <v>217</v>
      </c>
      <c r="CF75" s="4">
        <v>211</v>
      </c>
      <c r="CG75" s="5">
        <v>117</v>
      </c>
      <c r="CH75" s="4">
        <v>161</v>
      </c>
      <c r="CI75" s="5">
        <v>3668</v>
      </c>
      <c r="CJ75" s="4">
        <v>1639</v>
      </c>
      <c r="CK75" s="5">
        <v>1488</v>
      </c>
      <c r="CL75" s="4">
        <v>645</v>
      </c>
      <c r="CM75" s="5">
        <v>997</v>
      </c>
      <c r="CN75" s="4">
        <v>476</v>
      </c>
      <c r="CO75" s="5">
        <v>0</v>
      </c>
      <c r="CP75" s="4">
        <v>198</v>
      </c>
      <c r="CQ75" s="5">
        <v>123</v>
      </c>
      <c r="CR75" s="4">
        <v>141</v>
      </c>
      <c r="CS75" s="5">
        <v>1214</v>
      </c>
      <c r="CT75" s="4">
        <v>646</v>
      </c>
      <c r="CU75" s="5">
        <v>398</v>
      </c>
      <c r="CV75" s="4">
        <v>359</v>
      </c>
      <c r="CW75" s="5">
        <v>608</v>
      </c>
      <c r="CX75" s="4">
        <v>354</v>
      </c>
      <c r="CY75" s="5">
        <v>2555</v>
      </c>
      <c r="CZ75" s="4">
        <v>1053</v>
      </c>
      <c r="DA75" s="5">
        <v>2255</v>
      </c>
      <c r="DB75" s="4">
        <v>1469</v>
      </c>
      <c r="DC75" s="5">
        <v>46</v>
      </c>
      <c r="DD75" s="4">
        <v>77</v>
      </c>
      <c r="DE75" s="5">
        <v>660</v>
      </c>
      <c r="DF75" s="4">
        <v>898</v>
      </c>
      <c r="DG75" s="5">
        <v>65</v>
      </c>
      <c r="DH75" s="4">
        <v>110</v>
      </c>
      <c r="DI75" s="5">
        <v>2105</v>
      </c>
      <c r="DJ75" s="4">
        <v>1756</v>
      </c>
      <c r="DM75"/>
      <c r="DN75"/>
      <c r="DO75"/>
      <c r="DP75"/>
    </row>
    <row r="76" spans="9:120" x14ac:dyDescent="0.25">
      <c r="I76" s="6">
        <v>33912</v>
      </c>
      <c r="J76" s="7">
        <v>3955</v>
      </c>
      <c r="K76" s="5">
        <v>81</v>
      </c>
      <c r="L76" s="4">
        <v>135</v>
      </c>
      <c r="M76" s="3">
        <v>329</v>
      </c>
      <c r="N76" s="4">
        <v>544</v>
      </c>
      <c r="O76" s="5">
        <v>541</v>
      </c>
      <c r="P76" s="4">
        <v>728</v>
      </c>
      <c r="Q76" s="5">
        <v>0</v>
      </c>
      <c r="R76" s="4">
        <v>192</v>
      </c>
      <c r="S76" s="5">
        <v>699</v>
      </c>
      <c r="T76" s="4">
        <v>594</v>
      </c>
      <c r="U76" s="5">
        <v>169</v>
      </c>
      <c r="V76" s="4">
        <v>218</v>
      </c>
      <c r="W76" s="5">
        <v>66</v>
      </c>
      <c r="X76" s="4">
        <v>94</v>
      </c>
      <c r="Y76" s="8" t="s">
        <v>60</v>
      </c>
      <c r="Z76" s="4" t="s">
        <v>60</v>
      </c>
      <c r="AA76" s="3">
        <v>154</v>
      </c>
      <c r="AB76" s="4">
        <v>144</v>
      </c>
      <c r="AC76" s="5">
        <v>810</v>
      </c>
      <c r="AD76" s="4">
        <v>449</v>
      </c>
      <c r="AE76" s="5">
        <v>639</v>
      </c>
      <c r="AF76" s="4">
        <v>422</v>
      </c>
      <c r="AG76" s="5">
        <v>201</v>
      </c>
      <c r="AH76" s="4">
        <v>171</v>
      </c>
      <c r="AI76" s="5">
        <v>441</v>
      </c>
      <c r="AJ76" s="4">
        <v>347</v>
      </c>
      <c r="AK76" s="5">
        <v>34</v>
      </c>
      <c r="AL76" s="4">
        <v>35</v>
      </c>
      <c r="AM76" s="5">
        <v>210</v>
      </c>
      <c r="AN76" s="4">
        <v>235</v>
      </c>
      <c r="AO76" s="5">
        <v>0</v>
      </c>
      <c r="AP76" s="4">
        <v>192</v>
      </c>
      <c r="AQ76" s="5">
        <v>7</v>
      </c>
      <c r="AR76" s="4">
        <v>17</v>
      </c>
      <c r="AS76" s="5">
        <v>305</v>
      </c>
      <c r="AT76" s="4">
        <v>391</v>
      </c>
      <c r="AU76" s="5">
        <v>0</v>
      </c>
      <c r="AV76" s="4">
        <v>192</v>
      </c>
      <c r="AW76" s="5">
        <v>0</v>
      </c>
      <c r="AX76" s="4">
        <v>192</v>
      </c>
      <c r="AY76" s="5">
        <v>4238</v>
      </c>
      <c r="AZ76" s="4">
        <v>1274</v>
      </c>
      <c r="BA76" s="5">
        <v>806</v>
      </c>
      <c r="BB76" s="4">
        <v>558</v>
      </c>
      <c r="BC76" s="5">
        <v>43</v>
      </c>
      <c r="BD76" s="4">
        <v>71</v>
      </c>
      <c r="BE76" s="5">
        <v>201</v>
      </c>
      <c r="BF76" s="4">
        <v>299</v>
      </c>
      <c r="BG76" s="5">
        <v>0</v>
      </c>
      <c r="BH76" s="4">
        <v>192</v>
      </c>
      <c r="BI76" s="5">
        <v>713</v>
      </c>
      <c r="BJ76" s="4">
        <v>684</v>
      </c>
      <c r="BK76" s="5">
        <v>0</v>
      </c>
      <c r="BL76" s="4">
        <v>192</v>
      </c>
      <c r="BM76" s="5">
        <v>12</v>
      </c>
      <c r="BN76" s="4">
        <v>28</v>
      </c>
      <c r="BO76" s="5">
        <v>0</v>
      </c>
      <c r="BP76" s="4">
        <v>192</v>
      </c>
      <c r="BQ76" s="5">
        <v>0</v>
      </c>
      <c r="BR76" s="4">
        <v>192</v>
      </c>
      <c r="BS76" s="5">
        <v>6297</v>
      </c>
      <c r="BT76" s="4">
        <v>1765</v>
      </c>
      <c r="BU76" s="5">
        <v>0</v>
      </c>
      <c r="BV76" s="4">
        <v>192</v>
      </c>
      <c r="BW76" s="5">
        <v>3141</v>
      </c>
      <c r="BX76" s="4">
        <v>1083</v>
      </c>
      <c r="BY76" s="5">
        <v>388</v>
      </c>
      <c r="BZ76" s="4">
        <v>256</v>
      </c>
      <c r="CA76" s="5">
        <v>0</v>
      </c>
      <c r="CB76" s="4">
        <v>192</v>
      </c>
      <c r="CC76" s="5">
        <v>664</v>
      </c>
      <c r="CD76" s="4">
        <v>608</v>
      </c>
      <c r="CE76" s="5">
        <v>27</v>
      </c>
      <c r="CF76" s="4">
        <v>45</v>
      </c>
      <c r="CG76" s="5">
        <v>0</v>
      </c>
      <c r="CH76" s="4">
        <v>192</v>
      </c>
      <c r="CI76" s="5">
        <v>8571</v>
      </c>
      <c r="CJ76" s="4">
        <v>1728</v>
      </c>
      <c r="CK76" s="5">
        <v>131</v>
      </c>
      <c r="CL76" s="4">
        <v>217</v>
      </c>
      <c r="CM76" s="5">
        <v>153</v>
      </c>
      <c r="CN76" s="4">
        <v>179</v>
      </c>
      <c r="CO76" s="5">
        <v>0</v>
      </c>
      <c r="CP76" s="4">
        <v>192</v>
      </c>
      <c r="CQ76" s="5">
        <v>221</v>
      </c>
      <c r="CR76" s="4">
        <v>259</v>
      </c>
      <c r="CS76" s="5">
        <v>883</v>
      </c>
      <c r="CT76" s="4">
        <v>755</v>
      </c>
      <c r="CU76" s="5">
        <v>475</v>
      </c>
      <c r="CV76" s="4">
        <v>738</v>
      </c>
      <c r="CW76" s="5">
        <v>0</v>
      </c>
      <c r="CX76" s="4">
        <v>192</v>
      </c>
      <c r="CY76" s="5">
        <v>1064</v>
      </c>
      <c r="CZ76" s="4">
        <v>512</v>
      </c>
      <c r="DA76" s="5">
        <v>482</v>
      </c>
      <c r="DB76" s="4">
        <v>530</v>
      </c>
      <c r="DC76" s="5">
        <v>198</v>
      </c>
      <c r="DD76" s="4">
        <v>174</v>
      </c>
      <c r="DE76" s="5">
        <v>55</v>
      </c>
      <c r="DF76" s="4">
        <v>96</v>
      </c>
      <c r="DG76" s="5">
        <v>463</v>
      </c>
      <c r="DH76" s="4">
        <v>527</v>
      </c>
      <c r="DI76" s="5">
        <v>1008</v>
      </c>
      <c r="DJ76" s="4">
        <v>971</v>
      </c>
      <c r="DM76"/>
      <c r="DN76"/>
      <c r="DO76"/>
      <c r="DP76"/>
    </row>
    <row r="77" spans="9:120" x14ac:dyDescent="0.25">
      <c r="I77" s="6">
        <v>48066</v>
      </c>
      <c r="J77" s="7">
        <v>4295</v>
      </c>
      <c r="K77" s="5">
        <v>13</v>
      </c>
      <c r="L77" s="4">
        <v>29</v>
      </c>
      <c r="M77" s="3">
        <v>135</v>
      </c>
      <c r="N77" s="4">
        <v>217</v>
      </c>
      <c r="O77" s="5">
        <v>43</v>
      </c>
      <c r="P77" s="4">
        <v>71</v>
      </c>
      <c r="Q77" s="5">
        <v>81</v>
      </c>
      <c r="R77" s="4">
        <v>93</v>
      </c>
      <c r="S77" s="5">
        <v>3797</v>
      </c>
      <c r="T77" s="4">
        <v>1233</v>
      </c>
      <c r="U77" s="5">
        <v>452</v>
      </c>
      <c r="V77" s="4">
        <v>321</v>
      </c>
      <c r="W77" s="5">
        <v>981</v>
      </c>
      <c r="X77" s="4">
        <v>472</v>
      </c>
      <c r="Y77" s="5">
        <v>128</v>
      </c>
      <c r="Z77" s="4">
        <v>125</v>
      </c>
      <c r="AA77" s="8" t="s">
        <v>60</v>
      </c>
      <c r="AB77" s="4" t="s">
        <v>60</v>
      </c>
      <c r="AC77" s="3">
        <v>1254</v>
      </c>
      <c r="AD77" s="4">
        <v>651</v>
      </c>
      <c r="AE77" s="5">
        <v>937</v>
      </c>
      <c r="AF77" s="4">
        <v>572</v>
      </c>
      <c r="AG77" s="5">
        <v>372</v>
      </c>
      <c r="AH77" s="4">
        <v>396</v>
      </c>
      <c r="AI77" s="5">
        <v>68</v>
      </c>
      <c r="AJ77" s="4">
        <v>113</v>
      </c>
      <c r="AK77" s="5">
        <v>1397</v>
      </c>
      <c r="AL77" s="4">
        <v>814</v>
      </c>
      <c r="AM77" s="5">
        <v>128</v>
      </c>
      <c r="AN77" s="4">
        <v>147</v>
      </c>
      <c r="AO77" s="5">
        <v>241</v>
      </c>
      <c r="AP77" s="4">
        <v>284</v>
      </c>
      <c r="AQ77" s="5">
        <v>6</v>
      </c>
      <c r="AR77" s="4">
        <v>19</v>
      </c>
      <c r="AS77" s="5">
        <v>297</v>
      </c>
      <c r="AT77" s="4">
        <v>260</v>
      </c>
      <c r="AU77" s="5">
        <v>0</v>
      </c>
      <c r="AV77" s="4">
        <v>200</v>
      </c>
      <c r="AW77" s="5">
        <v>0</v>
      </c>
      <c r="AX77" s="4">
        <v>200</v>
      </c>
      <c r="AY77" s="5">
        <v>14129</v>
      </c>
      <c r="AZ77" s="4">
        <v>2971</v>
      </c>
      <c r="BA77" s="5">
        <v>2048</v>
      </c>
      <c r="BB77" s="4">
        <v>789</v>
      </c>
      <c r="BC77" s="5">
        <v>1108</v>
      </c>
      <c r="BD77" s="4">
        <v>554</v>
      </c>
      <c r="BE77" s="5">
        <v>409</v>
      </c>
      <c r="BF77" s="4">
        <v>457</v>
      </c>
      <c r="BG77" s="5">
        <v>83</v>
      </c>
      <c r="BH77" s="4">
        <v>99</v>
      </c>
      <c r="BI77" s="5">
        <v>112</v>
      </c>
      <c r="BJ77" s="4">
        <v>184</v>
      </c>
      <c r="BK77" s="5">
        <v>38</v>
      </c>
      <c r="BL77" s="4">
        <v>64</v>
      </c>
      <c r="BM77" s="5">
        <v>79</v>
      </c>
      <c r="BN77" s="4">
        <v>110</v>
      </c>
      <c r="BO77" s="5">
        <v>238</v>
      </c>
      <c r="BP77" s="4">
        <v>282</v>
      </c>
      <c r="BQ77" s="5">
        <v>145</v>
      </c>
      <c r="BR77" s="4">
        <v>139</v>
      </c>
      <c r="BS77" s="5">
        <v>1035</v>
      </c>
      <c r="BT77" s="4">
        <v>605</v>
      </c>
      <c r="BU77" s="5">
        <v>0</v>
      </c>
      <c r="BV77" s="4">
        <v>200</v>
      </c>
      <c r="BW77" s="5">
        <v>2313</v>
      </c>
      <c r="BX77" s="4">
        <v>697</v>
      </c>
      <c r="BY77" s="5">
        <v>1716</v>
      </c>
      <c r="BZ77" s="4">
        <v>760</v>
      </c>
      <c r="CA77" s="5">
        <v>285</v>
      </c>
      <c r="CB77" s="4">
        <v>360</v>
      </c>
      <c r="CC77" s="5">
        <v>306</v>
      </c>
      <c r="CD77" s="4">
        <v>224</v>
      </c>
      <c r="CE77" s="5">
        <v>0</v>
      </c>
      <c r="CF77" s="4">
        <v>200</v>
      </c>
      <c r="CG77" s="5">
        <v>51</v>
      </c>
      <c r="CH77" s="4">
        <v>64</v>
      </c>
      <c r="CI77" s="5">
        <v>1589</v>
      </c>
      <c r="CJ77" s="4">
        <v>757</v>
      </c>
      <c r="CK77" s="5">
        <v>50</v>
      </c>
      <c r="CL77" s="4">
        <v>63</v>
      </c>
      <c r="CM77" s="5">
        <v>357</v>
      </c>
      <c r="CN77" s="4">
        <v>329</v>
      </c>
      <c r="CO77" s="5">
        <v>104</v>
      </c>
      <c r="CP77" s="4">
        <v>129</v>
      </c>
      <c r="CQ77" s="5">
        <v>421</v>
      </c>
      <c r="CR77" s="4">
        <v>358</v>
      </c>
      <c r="CS77" s="5">
        <v>1083</v>
      </c>
      <c r="CT77" s="4">
        <v>491</v>
      </c>
      <c r="CU77" s="5">
        <v>75</v>
      </c>
      <c r="CV77" s="4">
        <v>118</v>
      </c>
      <c r="CW77" s="5">
        <v>445</v>
      </c>
      <c r="CX77" s="4">
        <v>489</v>
      </c>
      <c r="CY77" s="5">
        <v>7975</v>
      </c>
      <c r="CZ77" s="4">
        <v>1285</v>
      </c>
      <c r="DA77" s="5">
        <v>476</v>
      </c>
      <c r="DB77" s="4">
        <v>300</v>
      </c>
      <c r="DC77" s="5">
        <v>120</v>
      </c>
      <c r="DD77" s="4">
        <v>138</v>
      </c>
      <c r="DE77" s="5">
        <v>946</v>
      </c>
      <c r="DF77" s="4">
        <v>668</v>
      </c>
      <c r="DG77" s="5">
        <v>0</v>
      </c>
      <c r="DH77" s="4">
        <v>200</v>
      </c>
      <c r="DI77" s="5">
        <v>0</v>
      </c>
      <c r="DJ77" s="4">
        <v>200</v>
      </c>
      <c r="DM77"/>
      <c r="DN77"/>
      <c r="DO77"/>
      <c r="DP77"/>
    </row>
    <row r="78" spans="9:120" x14ac:dyDescent="0.25">
      <c r="I78" s="6">
        <v>498597</v>
      </c>
      <c r="J78" s="7">
        <v>22483</v>
      </c>
      <c r="K78" s="5">
        <v>12635</v>
      </c>
      <c r="L78" s="4">
        <v>3566</v>
      </c>
      <c r="M78" s="3">
        <v>7405</v>
      </c>
      <c r="N78" s="4">
        <v>3412</v>
      </c>
      <c r="O78" s="5">
        <v>8451</v>
      </c>
      <c r="P78" s="4">
        <v>3258</v>
      </c>
      <c r="Q78" s="5">
        <v>3025</v>
      </c>
      <c r="R78" s="4">
        <v>1241</v>
      </c>
      <c r="S78" s="5">
        <v>22420</v>
      </c>
      <c r="T78" s="4">
        <v>4065</v>
      </c>
      <c r="U78" s="5">
        <v>9383</v>
      </c>
      <c r="V78" s="4">
        <v>2988</v>
      </c>
      <c r="W78" s="5">
        <v>11704</v>
      </c>
      <c r="X78" s="4">
        <v>3121</v>
      </c>
      <c r="Y78" s="5">
        <v>1264</v>
      </c>
      <c r="Z78" s="4">
        <v>949</v>
      </c>
      <c r="AA78" s="5">
        <v>891</v>
      </c>
      <c r="AB78" s="4">
        <v>495</v>
      </c>
      <c r="AC78" s="8" t="s">
        <v>60</v>
      </c>
      <c r="AD78" s="4" t="s">
        <v>60</v>
      </c>
      <c r="AE78" s="3">
        <v>38658</v>
      </c>
      <c r="AF78" s="4">
        <v>6270</v>
      </c>
      <c r="AG78" s="5">
        <v>3639</v>
      </c>
      <c r="AH78" s="4">
        <v>2081</v>
      </c>
      <c r="AI78" s="5">
        <v>312</v>
      </c>
      <c r="AJ78" s="4">
        <v>268</v>
      </c>
      <c r="AK78" s="5">
        <v>19152</v>
      </c>
      <c r="AL78" s="4">
        <v>3962</v>
      </c>
      <c r="AM78" s="5">
        <v>11472</v>
      </c>
      <c r="AN78" s="4">
        <v>3254</v>
      </c>
      <c r="AO78" s="5">
        <v>1846</v>
      </c>
      <c r="AP78" s="4">
        <v>1137</v>
      </c>
      <c r="AQ78" s="5">
        <v>2661</v>
      </c>
      <c r="AR78" s="4">
        <v>1410</v>
      </c>
      <c r="AS78" s="5">
        <v>5441</v>
      </c>
      <c r="AT78" s="4">
        <v>1674</v>
      </c>
      <c r="AU78" s="5">
        <v>6094</v>
      </c>
      <c r="AV78" s="4">
        <v>2316</v>
      </c>
      <c r="AW78" s="5">
        <v>4689</v>
      </c>
      <c r="AX78" s="4">
        <v>2049</v>
      </c>
      <c r="AY78" s="5">
        <v>15410</v>
      </c>
      <c r="AZ78" s="4">
        <v>3515</v>
      </c>
      <c r="BA78" s="5">
        <v>13701</v>
      </c>
      <c r="BB78" s="4">
        <v>3380</v>
      </c>
      <c r="BC78" s="5">
        <v>19640</v>
      </c>
      <c r="BD78" s="4">
        <v>3920</v>
      </c>
      <c r="BE78" s="5">
        <v>4663</v>
      </c>
      <c r="BF78" s="4">
        <v>1888</v>
      </c>
      <c r="BG78" s="5">
        <v>5175</v>
      </c>
      <c r="BH78" s="4">
        <v>1968</v>
      </c>
      <c r="BI78" s="5">
        <v>7114</v>
      </c>
      <c r="BJ78" s="4">
        <v>2753</v>
      </c>
      <c r="BK78" s="5">
        <v>559</v>
      </c>
      <c r="BL78" s="4">
        <v>424</v>
      </c>
      <c r="BM78" s="5">
        <v>3857</v>
      </c>
      <c r="BN78" s="4">
        <v>2208</v>
      </c>
      <c r="BO78" s="5">
        <v>3527</v>
      </c>
      <c r="BP78" s="4">
        <v>1810</v>
      </c>
      <c r="BQ78" s="5">
        <v>4324</v>
      </c>
      <c r="BR78" s="4">
        <v>1798</v>
      </c>
      <c r="BS78" s="5">
        <v>25206</v>
      </c>
      <c r="BT78" s="4">
        <v>6219</v>
      </c>
      <c r="BU78" s="5">
        <v>1376</v>
      </c>
      <c r="BV78" s="4">
        <v>781</v>
      </c>
      <c r="BW78" s="5">
        <v>59288</v>
      </c>
      <c r="BX78" s="4">
        <v>7171</v>
      </c>
      <c r="BY78" s="5">
        <v>23983</v>
      </c>
      <c r="BZ78" s="4">
        <v>5251</v>
      </c>
      <c r="CA78" s="5">
        <v>514</v>
      </c>
      <c r="CB78" s="4">
        <v>600</v>
      </c>
      <c r="CC78" s="5">
        <v>18191</v>
      </c>
      <c r="CD78" s="4">
        <v>3264</v>
      </c>
      <c r="CE78" s="5">
        <v>2600</v>
      </c>
      <c r="CF78" s="4">
        <v>1168</v>
      </c>
      <c r="CG78" s="5">
        <v>3315</v>
      </c>
      <c r="CH78" s="4">
        <v>2046</v>
      </c>
      <c r="CI78" s="5">
        <v>20821</v>
      </c>
      <c r="CJ78" s="4">
        <v>4267</v>
      </c>
      <c r="CK78" s="5">
        <v>5002</v>
      </c>
      <c r="CL78" s="4">
        <v>2668</v>
      </c>
      <c r="CM78" s="5">
        <v>11953</v>
      </c>
      <c r="CN78" s="4">
        <v>2956</v>
      </c>
      <c r="CO78" s="5">
        <v>716</v>
      </c>
      <c r="CP78" s="4">
        <v>1027</v>
      </c>
      <c r="CQ78" s="5">
        <v>10451</v>
      </c>
      <c r="CR78" s="4">
        <v>4102</v>
      </c>
      <c r="CS78" s="5">
        <v>25532</v>
      </c>
      <c r="CT78" s="4">
        <v>4638</v>
      </c>
      <c r="CU78" s="5">
        <v>2343</v>
      </c>
      <c r="CV78" s="4">
        <v>1891</v>
      </c>
      <c r="CW78" s="5">
        <v>2019</v>
      </c>
      <c r="CX78" s="4">
        <v>1616</v>
      </c>
      <c r="CY78" s="5">
        <v>16614</v>
      </c>
      <c r="CZ78" s="4">
        <v>3087</v>
      </c>
      <c r="DA78" s="5">
        <v>6339</v>
      </c>
      <c r="DB78" s="4">
        <v>2687</v>
      </c>
      <c r="DC78" s="5">
        <v>4964</v>
      </c>
      <c r="DD78" s="4">
        <v>2202</v>
      </c>
      <c r="DE78" s="5">
        <v>7412</v>
      </c>
      <c r="DF78" s="4">
        <v>2467</v>
      </c>
      <c r="DG78" s="5">
        <v>846</v>
      </c>
      <c r="DH78" s="4">
        <v>725</v>
      </c>
      <c r="DI78" s="5">
        <v>21611</v>
      </c>
      <c r="DJ78" s="4">
        <v>5621</v>
      </c>
      <c r="DM78"/>
      <c r="DN78"/>
      <c r="DO78"/>
      <c r="DP78"/>
    </row>
    <row r="79" spans="9:120" x14ac:dyDescent="0.25">
      <c r="I79" s="6">
        <v>271077</v>
      </c>
      <c r="J79" s="7">
        <v>15123</v>
      </c>
      <c r="K79" s="5">
        <v>18799</v>
      </c>
      <c r="L79" s="4">
        <v>5015</v>
      </c>
      <c r="M79" s="3">
        <v>1079</v>
      </c>
      <c r="N79" s="4">
        <v>765</v>
      </c>
      <c r="O79" s="5">
        <v>4292</v>
      </c>
      <c r="P79" s="4">
        <v>1849</v>
      </c>
      <c r="Q79" s="5">
        <v>2112</v>
      </c>
      <c r="R79" s="4">
        <v>1366</v>
      </c>
      <c r="S79" s="5">
        <v>14949</v>
      </c>
      <c r="T79" s="4">
        <v>3387</v>
      </c>
      <c r="U79" s="5">
        <v>2325</v>
      </c>
      <c r="V79" s="4">
        <v>1399</v>
      </c>
      <c r="W79" s="5">
        <v>709</v>
      </c>
      <c r="X79" s="4">
        <v>455</v>
      </c>
      <c r="Y79" s="5">
        <v>619</v>
      </c>
      <c r="Z79" s="4">
        <v>606</v>
      </c>
      <c r="AA79" s="5">
        <v>364</v>
      </c>
      <c r="AB79" s="4">
        <v>283</v>
      </c>
      <c r="AC79" s="5">
        <v>42666</v>
      </c>
      <c r="AD79" s="4">
        <v>5232</v>
      </c>
      <c r="AE79" s="8" t="s">
        <v>60</v>
      </c>
      <c r="AF79" s="4" t="s">
        <v>60</v>
      </c>
      <c r="AG79" s="3">
        <v>1006</v>
      </c>
      <c r="AH79" s="4">
        <v>883</v>
      </c>
      <c r="AI79" s="5">
        <v>126</v>
      </c>
      <c r="AJ79" s="4">
        <v>139</v>
      </c>
      <c r="AK79" s="5">
        <v>6080</v>
      </c>
      <c r="AL79" s="4">
        <v>1774</v>
      </c>
      <c r="AM79" s="5">
        <v>2442</v>
      </c>
      <c r="AN79" s="4">
        <v>1297</v>
      </c>
      <c r="AO79" s="5">
        <v>950</v>
      </c>
      <c r="AP79" s="4">
        <v>528</v>
      </c>
      <c r="AQ79" s="5">
        <v>4513</v>
      </c>
      <c r="AR79" s="4">
        <v>2909</v>
      </c>
      <c r="AS79" s="5">
        <v>3686</v>
      </c>
      <c r="AT79" s="4">
        <v>1708</v>
      </c>
      <c r="AU79" s="5">
        <v>6541</v>
      </c>
      <c r="AV79" s="4">
        <v>3121</v>
      </c>
      <c r="AW79" s="5">
        <v>408</v>
      </c>
      <c r="AX79" s="4">
        <v>269</v>
      </c>
      <c r="AY79" s="5">
        <v>3708</v>
      </c>
      <c r="AZ79" s="4">
        <v>1807</v>
      </c>
      <c r="BA79" s="5">
        <v>4436</v>
      </c>
      <c r="BB79" s="4">
        <v>1979</v>
      </c>
      <c r="BC79" s="5">
        <v>6992</v>
      </c>
      <c r="BD79" s="4">
        <v>2441</v>
      </c>
      <c r="BE79" s="5">
        <v>1808</v>
      </c>
      <c r="BF79" s="4">
        <v>1416</v>
      </c>
      <c r="BG79" s="5">
        <v>5380</v>
      </c>
      <c r="BH79" s="4">
        <v>3077</v>
      </c>
      <c r="BI79" s="5">
        <v>2514</v>
      </c>
      <c r="BJ79" s="4">
        <v>989</v>
      </c>
      <c r="BK79" s="5">
        <v>246</v>
      </c>
      <c r="BL79" s="4">
        <v>211</v>
      </c>
      <c r="BM79" s="5">
        <v>4144</v>
      </c>
      <c r="BN79" s="4">
        <v>3300</v>
      </c>
      <c r="BO79" s="5">
        <v>774</v>
      </c>
      <c r="BP79" s="4">
        <v>559</v>
      </c>
      <c r="BQ79" s="5">
        <v>132</v>
      </c>
      <c r="BR79" s="4">
        <v>150</v>
      </c>
      <c r="BS79" s="5">
        <v>8371</v>
      </c>
      <c r="BT79" s="4">
        <v>3016</v>
      </c>
      <c r="BU79" s="5">
        <v>791</v>
      </c>
      <c r="BV79" s="4">
        <v>421</v>
      </c>
      <c r="BW79" s="5">
        <v>14454</v>
      </c>
      <c r="BX79" s="4">
        <v>4681</v>
      </c>
      <c r="BY79" s="5">
        <v>19138</v>
      </c>
      <c r="BZ79" s="4">
        <v>3931</v>
      </c>
      <c r="CA79" s="5">
        <v>201</v>
      </c>
      <c r="CB79" s="4">
        <v>221</v>
      </c>
      <c r="CC79" s="5">
        <v>6863</v>
      </c>
      <c r="CD79" s="4">
        <v>1986</v>
      </c>
      <c r="CE79" s="5">
        <v>1632</v>
      </c>
      <c r="CF79" s="4">
        <v>1107</v>
      </c>
      <c r="CG79" s="5">
        <v>727</v>
      </c>
      <c r="CH79" s="4">
        <v>472</v>
      </c>
      <c r="CI79" s="5">
        <v>5791</v>
      </c>
      <c r="CJ79" s="4">
        <v>1896</v>
      </c>
      <c r="CK79" s="5">
        <v>337</v>
      </c>
      <c r="CL79" s="4">
        <v>504</v>
      </c>
      <c r="CM79" s="5">
        <v>16914</v>
      </c>
      <c r="CN79" s="4">
        <v>5257</v>
      </c>
      <c r="CO79" s="5">
        <v>536</v>
      </c>
      <c r="CP79" s="4">
        <v>730</v>
      </c>
      <c r="CQ79" s="5">
        <v>16898</v>
      </c>
      <c r="CR79" s="4">
        <v>3610</v>
      </c>
      <c r="CS79" s="5">
        <v>15760</v>
      </c>
      <c r="CT79" s="4">
        <v>3421</v>
      </c>
      <c r="CU79" s="5">
        <v>793</v>
      </c>
      <c r="CV79" s="4">
        <v>1061</v>
      </c>
      <c r="CW79" s="5">
        <v>361</v>
      </c>
      <c r="CX79" s="4">
        <v>334</v>
      </c>
      <c r="CY79" s="5">
        <v>9438</v>
      </c>
      <c r="CZ79" s="4">
        <v>3336</v>
      </c>
      <c r="DA79" s="5">
        <v>3701</v>
      </c>
      <c r="DB79" s="4">
        <v>1532</v>
      </c>
      <c r="DC79" s="5">
        <v>1340</v>
      </c>
      <c r="DD79" s="4">
        <v>778</v>
      </c>
      <c r="DE79" s="5">
        <v>2727</v>
      </c>
      <c r="DF79" s="4">
        <v>1401</v>
      </c>
      <c r="DG79" s="5">
        <v>504</v>
      </c>
      <c r="DH79" s="4">
        <v>775</v>
      </c>
      <c r="DI79" s="5">
        <v>1635</v>
      </c>
      <c r="DJ79" s="4">
        <v>841</v>
      </c>
      <c r="DM79"/>
      <c r="DN79"/>
      <c r="DO79"/>
      <c r="DP79"/>
    </row>
    <row r="80" spans="9:120" x14ac:dyDescent="0.25">
      <c r="I80" s="6">
        <v>57542</v>
      </c>
      <c r="J80" s="7">
        <v>5083</v>
      </c>
      <c r="K80" s="5">
        <v>1268</v>
      </c>
      <c r="L80" s="4">
        <v>846</v>
      </c>
      <c r="M80" s="3">
        <v>844</v>
      </c>
      <c r="N80" s="4">
        <v>670</v>
      </c>
      <c r="O80" s="5">
        <v>2900</v>
      </c>
      <c r="P80" s="4">
        <v>1208</v>
      </c>
      <c r="Q80" s="5">
        <v>242</v>
      </c>
      <c r="R80" s="4">
        <v>260</v>
      </c>
      <c r="S80" s="5">
        <v>10173</v>
      </c>
      <c r="T80" s="4">
        <v>2201</v>
      </c>
      <c r="U80" s="5">
        <v>950</v>
      </c>
      <c r="V80" s="4">
        <v>493</v>
      </c>
      <c r="W80" s="5">
        <v>731</v>
      </c>
      <c r="X80" s="4">
        <v>739</v>
      </c>
      <c r="Y80" s="5">
        <v>784</v>
      </c>
      <c r="Z80" s="4">
        <v>877</v>
      </c>
      <c r="AA80" s="5">
        <v>222</v>
      </c>
      <c r="AB80" s="4">
        <v>275</v>
      </c>
      <c r="AC80" s="5">
        <v>3160</v>
      </c>
      <c r="AD80" s="4">
        <v>1311</v>
      </c>
      <c r="AE80" s="5">
        <v>2519</v>
      </c>
      <c r="AF80" s="4">
        <v>956</v>
      </c>
      <c r="AG80" s="8" t="s">
        <v>60</v>
      </c>
      <c r="AH80" s="4" t="s">
        <v>60</v>
      </c>
      <c r="AI80" s="3">
        <v>112</v>
      </c>
      <c r="AJ80" s="4">
        <v>199</v>
      </c>
      <c r="AK80" s="5">
        <v>1884</v>
      </c>
      <c r="AL80" s="4">
        <v>728</v>
      </c>
      <c r="AM80" s="5">
        <v>402</v>
      </c>
      <c r="AN80" s="4">
        <v>280</v>
      </c>
      <c r="AO80" s="5">
        <v>478</v>
      </c>
      <c r="AP80" s="4">
        <v>504</v>
      </c>
      <c r="AQ80" s="5">
        <v>125</v>
      </c>
      <c r="AR80" s="4">
        <v>154</v>
      </c>
      <c r="AS80" s="5">
        <v>18</v>
      </c>
      <c r="AT80" s="4">
        <v>36</v>
      </c>
      <c r="AU80" s="5">
        <v>179</v>
      </c>
      <c r="AV80" s="4">
        <v>270</v>
      </c>
      <c r="AW80" s="5">
        <v>106</v>
      </c>
      <c r="AX80" s="4">
        <v>161</v>
      </c>
      <c r="AY80" s="5">
        <v>341</v>
      </c>
      <c r="AZ80" s="4">
        <v>212</v>
      </c>
      <c r="BA80" s="5">
        <v>92</v>
      </c>
      <c r="BB80" s="4">
        <v>123</v>
      </c>
      <c r="BC80" s="5">
        <v>1303</v>
      </c>
      <c r="BD80" s="4">
        <v>1067</v>
      </c>
      <c r="BE80" s="5">
        <v>933</v>
      </c>
      <c r="BF80" s="4">
        <v>750</v>
      </c>
      <c r="BG80" s="5">
        <v>371</v>
      </c>
      <c r="BH80" s="4">
        <v>391</v>
      </c>
      <c r="BI80" s="5">
        <v>308</v>
      </c>
      <c r="BJ80" s="4">
        <v>219</v>
      </c>
      <c r="BK80" s="5">
        <v>85</v>
      </c>
      <c r="BL80" s="4">
        <v>140</v>
      </c>
      <c r="BM80" s="5">
        <v>91</v>
      </c>
      <c r="BN80" s="4">
        <v>95</v>
      </c>
      <c r="BO80" s="5">
        <v>1548</v>
      </c>
      <c r="BP80" s="4">
        <v>795</v>
      </c>
      <c r="BQ80" s="5">
        <v>107</v>
      </c>
      <c r="BR80" s="4">
        <v>141</v>
      </c>
      <c r="BS80" s="5">
        <v>564</v>
      </c>
      <c r="BT80" s="4">
        <v>697</v>
      </c>
      <c r="BU80" s="5">
        <v>354</v>
      </c>
      <c r="BV80" s="4">
        <v>366</v>
      </c>
      <c r="BW80" s="5">
        <v>4246</v>
      </c>
      <c r="BX80" s="4">
        <v>2556</v>
      </c>
      <c r="BY80" s="5">
        <v>2307</v>
      </c>
      <c r="BZ80" s="4">
        <v>1256</v>
      </c>
      <c r="CA80" s="5">
        <v>32</v>
      </c>
      <c r="CB80" s="4">
        <v>54</v>
      </c>
      <c r="CC80" s="5">
        <v>970</v>
      </c>
      <c r="CD80" s="4">
        <v>677</v>
      </c>
      <c r="CE80" s="5">
        <v>685</v>
      </c>
      <c r="CF80" s="4">
        <v>502</v>
      </c>
      <c r="CG80" s="5">
        <v>2030</v>
      </c>
      <c r="CH80" s="4">
        <v>1378</v>
      </c>
      <c r="CI80" s="5">
        <v>870</v>
      </c>
      <c r="CJ80" s="4">
        <v>468</v>
      </c>
      <c r="CK80" s="5">
        <v>58</v>
      </c>
      <c r="CL80" s="4">
        <v>70</v>
      </c>
      <c r="CM80" s="5">
        <v>1681</v>
      </c>
      <c r="CN80" s="4">
        <v>919</v>
      </c>
      <c r="CO80" s="5">
        <v>0</v>
      </c>
      <c r="CP80" s="4">
        <v>187</v>
      </c>
      <c r="CQ80" s="5">
        <v>636</v>
      </c>
      <c r="CR80" s="4">
        <v>1018</v>
      </c>
      <c r="CS80" s="5">
        <v>3007</v>
      </c>
      <c r="CT80" s="4">
        <v>1122</v>
      </c>
      <c r="CU80" s="5">
        <v>1040</v>
      </c>
      <c r="CV80" s="4">
        <v>872</v>
      </c>
      <c r="CW80" s="5">
        <v>0</v>
      </c>
      <c r="CX80" s="4">
        <v>187</v>
      </c>
      <c r="CY80" s="5">
        <v>2523</v>
      </c>
      <c r="CZ80" s="4">
        <v>1318</v>
      </c>
      <c r="DA80" s="5">
        <v>3790</v>
      </c>
      <c r="DB80" s="4">
        <v>1075</v>
      </c>
      <c r="DC80" s="5">
        <v>312</v>
      </c>
      <c r="DD80" s="4">
        <v>306</v>
      </c>
      <c r="DE80" s="5">
        <v>147</v>
      </c>
      <c r="DF80" s="4">
        <v>159</v>
      </c>
      <c r="DG80" s="5">
        <v>14</v>
      </c>
      <c r="DH80" s="4">
        <v>23</v>
      </c>
      <c r="DI80" s="5">
        <v>238</v>
      </c>
      <c r="DJ80" s="4">
        <v>398</v>
      </c>
      <c r="DM80"/>
      <c r="DN80"/>
      <c r="DO80"/>
      <c r="DP80"/>
    </row>
    <row r="81" spans="9:120" x14ac:dyDescent="0.25">
      <c r="I81" s="6">
        <v>60336</v>
      </c>
      <c r="J81" s="7">
        <v>6293</v>
      </c>
      <c r="K81" s="5">
        <v>263</v>
      </c>
      <c r="L81" s="4">
        <v>259</v>
      </c>
      <c r="M81" s="3">
        <v>4510</v>
      </c>
      <c r="N81" s="4">
        <v>2938</v>
      </c>
      <c r="O81" s="5">
        <v>3543</v>
      </c>
      <c r="P81" s="4">
        <v>1771</v>
      </c>
      <c r="Q81" s="5">
        <v>224</v>
      </c>
      <c r="R81" s="4">
        <v>188</v>
      </c>
      <c r="S81" s="5">
        <v>9021</v>
      </c>
      <c r="T81" s="4">
        <v>2484</v>
      </c>
      <c r="U81" s="5">
        <v>1813</v>
      </c>
      <c r="V81" s="4">
        <v>1022</v>
      </c>
      <c r="W81" s="5">
        <v>0</v>
      </c>
      <c r="X81" s="4">
        <v>195</v>
      </c>
      <c r="Y81" s="5">
        <v>0</v>
      </c>
      <c r="Z81" s="4">
        <v>195</v>
      </c>
      <c r="AA81" s="5">
        <v>0</v>
      </c>
      <c r="AB81" s="4">
        <v>195</v>
      </c>
      <c r="AC81" s="5">
        <v>1733</v>
      </c>
      <c r="AD81" s="4">
        <v>1210</v>
      </c>
      <c r="AE81" s="5">
        <v>275</v>
      </c>
      <c r="AF81" s="4">
        <v>234</v>
      </c>
      <c r="AG81" s="5">
        <v>254</v>
      </c>
      <c r="AH81" s="4">
        <v>314</v>
      </c>
      <c r="AI81" s="8" t="s">
        <v>60</v>
      </c>
      <c r="AJ81" s="4" t="s">
        <v>60</v>
      </c>
      <c r="AK81" s="3">
        <v>390</v>
      </c>
      <c r="AL81" s="4">
        <v>342</v>
      </c>
      <c r="AM81" s="5">
        <v>296</v>
      </c>
      <c r="AN81" s="4">
        <v>352</v>
      </c>
      <c r="AO81" s="5">
        <v>318</v>
      </c>
      <c r="AP81" s="4">
        <v>424</v>
      </c>
      <c r="AQ81" s="5">
        <v>479</v>
      </c>
      <c r="AR81" s="4">
        <v>503</v>
      </c>
      <c r="AS81" s="5">
        <v>120</v>
      </c>
      <c r="AT81" s="4">
        <v>170</v>
      </c>
      <c r="AU81" s="5">
        <v>51</v>
      </c>
      <c r="AV81" s="4">
        <v>110</v>
      </c>
      <c r="AW81" s="5">
        <v>0</v>
      </c>
      <c r="AX81" s="4">
        <v>195</v>
      </c>
      <c r="AY81" s="5">
        <v>0</v>
      </c>
      <c r="AZ81" s="4">
        <v>195</v>
      </c>
      <c r="BA81" s="5">
        <v>396</v>
      </c>
      <c r="BB81" s="4">
        <v>625</v>
      </c>
      <c r="BC81" s="5">
        <v>615</v>
      </c>
      <c r="BD81" s="4">
        <v>524</v>
      </c>
      <c r="BE81" s="5">
        <v>566</v>
      </c>
      <c r="BF81" s="4">
        <v>352</v>
      </c>
      <c r="BG81" s="5">
        <v>62</v>
      </c>
      <c r="BH81" s="4">
        <v>106</v>
      </c>
      <c r="BI81" s="5">
        <v>384</v>
      </c>
      <c r="BJ81" s="4">
        <v>304</v>
      </c>
      <c r="BK81" s="5">
        <v>1602</v>
      </c>
      <c r="BL81" s="4">
        <v>828</v>
      </c>
      <c r="BM81" s="5">
        <v>439</v>
      </c>
      <c r="BN81" s="4">
        <v>591</v>
      </c>
      <c r="BO81" s="5">
        <v>3581</v>
      </c>
      <c r="BP81" s="4">
        <v>1400</v>
      </c>
      <c r="BQ81" s="5">
        <v>129</v>
      </c>
      <c r="BR81" s="4">
        <v>123</v>
      </c>
      <c r="BS81" s="5">
        <v>84</v>
      </c>
      <c r="BT81" s="4">
        <v>78</v>
      </c>
      <c r="BU81" s="5">
        <v>141</v>
      </c>
      <c r="BV81" s="4">
        <v>229</v>
      </c>
      <c r="BW81" s="5">
        <v>419</v>
      </c>
      <c r="BX81" s="4">
        <v>399</v>
      </c>
      <c r="BY81" s="5">
        <v>263</v>
      </c>
      <c r="BZ81" s="4">
        <v>435</v>
      </c>
      <c r="CA81" s="5">
        <v>1201</v>
      </c>
      <c r="CB81" s="4">
        <v>1099</v>
      </c>
      <c r="CC81" s="5">
        <v>260</v>
      </c>
      <c r="CD81" s="4">
        <v>212</v>
      </c>
      <c r="CE81" s="5">
        <v>288</v>
      </c>
      <c r="CF81" s="4">
        <v>243</v>
      </c>
      <c r="CG81" s="5">
        <v>7170</v>
      </c>
      <c r="CH81" s="4">
        <v>1894</v>
      </c>
      <c r="CI81" s="5">
        <v>343</v>
      </c>
      <c r="CJ81" s="4">
        <v>265</v>
      </c>
      <c r="CK81" s="5">
        <v>0</v>
      </c>
      <c r="CL81" s="4">
        <v>195</v>
      </c>
      <c r="CM81" s="5">
        <v>55</v>
      </c>
      <c r="CN81" s="4">
        <v>90</v>
      </c>
      <c r="CO81" s="5">
        <v>842</v>
      </c>
      <c r="CP81" s="4">
        <v>1132</v>
      </c>
      <c r="CQ81" s="5">
        <v>296</v>
      </c>
      <c r="CR81" s="4">
        <v>356</v>
      </c>
      <c r="CS81" s="5">
        <v>1303</v>
      </c>
      <c r="CT81" s="4">
        <v>952</v>
      </c>
      <c r="CU81" s="5">
        <v>6059</v>
      </c>
      <c r="CV81" s="4">
        <v>2187</v>
      </c>
      <c r="CW81" s="5">
        <v>0</v>
      </c>
      <c r="CX81" s="4">
        <v>195</v>
      </c>
      <c r="CY81" s="5">
        <v>905</v>
      </c>
      <c r="CZ81" s="4">
        <v>707</v>
      </c>
      <c r="DA81" s="5">
        <v>8991</v>
      </c>
      <c r="DB81" s="4">
        <v>2313</v>
      </c>
      <c r="DC81" s="5">
        <v>0</v>
      </c>
      <c r="DD81" s="4">
        <v>195</v>
      </c>
      <c r="DE81" s="5">
        <v>165</v>
      </c>
      <c r="DF81" s="4">
        <v>174</v>
      </c>
      <c r="DG81" s="5">
        <v>487</v>
      </c>
      <c r="DH81" s="4">
        <v>340</v>
      </c>
      <c r="DI81" s="5">
        <v>249</v>
      </c>
      <c r="DJ81" s="4">
        <v>412</v>
      </c>
      <c r="DM81"/>
      <c r="DN81"/>
      <c r="DO81"/>
      <c r="DP81"/>
    </row>
    <row r="82" spans="9:120" x14ac:dyDescent="0.25">
      <c r="I82" s="6">
        <v>216204</v>
      </c>
      <c r="J82" s="7">
        <v>11862</v>
      </c>
      <c r="K82" s="5">
        <v>2823</v>
      </c>
      <c r="L82" s="4">
        <v>1526</v>
      </c>
      <c r="M82" s="3">
        <v>4119</v>
      </c>
      <c r="N82" s="4">
        <v>3153</v>
      </c>
      <c r="O82" s="5">
        <v>7657</v>
      </c>
      <c r="P82" s="4">
        <v>1987</v>
      </c>
      <c r="Q82" s="5">
        <v>3185</v>
      </c>
      <c r="R82" s="4">
        <v>1513</v>
      </c>
      <c r="S82" s="5">
        <v>13930</v>
      </c>
      <c r="T82" s="4">
        <v>2863</v>
      </c>
      <c r="U82" s="5">
        <v>3271</v>
      </c>
      <c r="V82" s="4">
        <v>1390</v>
      </c>
      <c r="W82" s="5">
        <v>1819</v>
      </c>
      <c r="X82" s="4">
        <v>959</v>
      </c>
      <c r="Y82" s="5">
        <v>277</v>
      </c>
      <c r="Z82" s="4">
        <v>303</v>
      </c>
      <c r="AA82" s="5">
        <v>1440</v>
      </c>
      <c r="AB82" s="4">
        <v>708</v>
      </c>
      <c r="AC82" s="5">
        <v>17548</v>
      </c>
      <c r="AD82" s="4">
        <v>3370</v>
      </c>
      <c r="AE82" s="5">
        <v>6042</v>
      </c>
      <c r="AF82" s="4">
        <v>2192</v>
      </c>
      <c r="AG82" s="5">
        <v>1269</v>
      </c>
      <c r="AH82" s="4">
        <v>735</v>
      </c>
      <c r="AI82" s="5">
        <v>393</v>
      </c>
      <c r="AJ82" s="4">
        <v>356</v>
      </c>
      <c r="AK82" s="8" t="s">
        <v>60</v>
      </c>
      <c r="AL82" s="4" t="s">
        <v>60</v>
      </c>
      <c r="AM82" s="3">
        <v>23491</v>
      </c>
      <c r="AN82" s="4">
        <v>5269</v>
      </c>
      <c r="AO82" s="5">
        <v>8420</v>
      </c>
      <c r="AP82" s="4">
        <v>1581</v>
      </c>
      <c r="AQ82" s="5">
        <v>2533</v>
      </c>
      <c r="AR82" s="4">
        <v>1130</v>
      </c>
      <c r="AS82" s="5">
        <v>5569</v>
      </c>
      <c r="AT82" s="4">
        <v>1718</v>
      </c>
      <c r="AU82" s="5">
        <v>1315</v>
      </c>
      <c r="AV82" s="4">
        <v>761</v>
      </c>
      <c r="AW82" s="5">
        <v>693</v>
      </c>
      <c r="AX82" s="4">
        <v>510</v>
      </c>
      <c r="AY82" s="5">
        <v>2565</v>
      </c>
      <c r="AZ82" s="4">
        <v>916</v>
      </c>
      <c r="BA82" s="5">
        <v>3507</v>
      </c>
      <c r="BB82" s="4">
        <v>1540</v>
      </c>
      <c r="BC82" s="5">
        <v>10274</v>
      </c>
      <c r="BD82" s="4">
        <v>2032</v>
      </c>
      <c r="BE82" s="5">
        <v>4496</v>
      </c>
      <c r="BF82" s="4">
        <v>1177</v>
      </c>
      <c r="BG82" s="5">
        <v>1521</v>
      </c>
      <c r="BH82" s="4">
        <v>581</v>
      </c>
      <c r="BI82" s="5">
        <v>13889</v>
      </c>
      <c r="BJ82" s="4">
        <v>2736</v>
      </c>
      <c r="BK82" s="5">
        <v>304</v>
      </c>
      <c r="BL82" s="4">
        <v>275</v>
      </c>
      <c r="BM82" s="5">
        <v>827</v>
      </c>
      <c r="BN82" s="4">
        <v>520</v>
      </c>
      <c r="BO82" s="5">
        <v>2454</v>
      </c>
      <c r="BP82" s="4">
        <v>1187</v>
      </c>
      <c r="BQ82" s="5">
        <v>590</v>
      </c>
      <c r="BR82" s="4">
        <v>334</v>
      </c>
      <c r="BS82" s="5">
        <v>3009</v>
      </c>
      <c r="BT82" s="4">
        <v>1033</v>
      </c>
      <c r="BU82" s="5">
        <v>1573</v>
      </c>
      <c r="BV82" s="4">
        <v>1619</v>
      </c>
      <c r="BW82" s="5">
        <v>6412</v>
      </c>
      <c r="BX82" s="4">
        <v>1874</v>
      </c>
      <c r="BY82" s="5">
        <v>4057</v>
      </c>
      <c r="BZ82" s="4">
        <v>1663</v>
      </c>
      <c r="CA82" s="5">
        <v>105</v>
      </c>
      <c r="CB82" s="4">
        <v>115</v>
      </c>
      <c r="CC82" s="5">
        <v>8384</v>
      </c>
      <c r="CD82" s="4">
        <v>1627</v>
      </c>
      <c r="CE82" s="5">
        <v>1002</v>
      </c>
      <c r="CF82" s="4">
        <v>552</v>
      </c>
      <c r="CG82" s="5">
        <v>792</v>
      </c>
      <c r="CH82" s="4">
        <v>426</v>
      </c>
      <c r="CI82" s="5">
        <v>3012</v>
      </c>
      <c r="CJ82" s="4">
        <v>1197</v>
      </c>
      <c r="CK82" s="5">
        <v>278</v>
      </c>
      <c r="CL82" s="4">
        <v>266</v>
      </c>
      <c r="CM82" s="5">
        <v>1582</v>
      </c>
      <c r="CN82" s="4">
        <v>783</v>
      </c>
      <c r="CO82" s="5">
        <v>1318</v>
      </c>
      <c r="CP82" s="4">
        <v>1474</v>
      </c>
      <c r="CQ82" s="5">
        <v>3223</v>
      </c>
      <c r="CR82" s="4">
        <v>1222</v>
      </c>
      <c r="CS82" s="5">
        <v>11011</v>
      </c>
      <c r="CT82" s="4">
        <v>2803</v>
      </c>
      <c r="CU82" s="5">
        <v>951</v>
      </c>
      <c r="CV82" s="4">
        <v>595</v>
      </c>
      <c r="CW82" s="5">
        <v>49</v>
      </c>
      <c r="CX82" s="4">
        <v>81</v>
      </c>
      <c r="CY82" s="5">
        <v>5233</v>
      </c>
      <c r="CZ82" s="4">
        <v>2524</v>
      </c>
      <c r="DA82" s="5">
        <v>3075</v>
      </c>
      <c r="DB82" s="4">
        <v>1254</v>
      </c>
      <c r="DC82" s="5">
        <v>352</v>
      </c>
      <c r="DD82" s="4">
        <v>288</v>
      </c>
      <c r="DE82" s="5">
        <v>14507</v>
      </c>
      <c r="DF82" s="4">
        <v>2936</v>
      </c>
      <c r="DG82" s="5">
        <v>58</v>
      </c>
      <c r="DH82" s="4">
        <v>76</v>
      </c>
      <c r="DI82" s="5">
        <v>2387</v>
      </c>
      <c r="DJ82" s="4">
        <v>715</v>
      </c>
      <c r="DM82"/>
      <c r="DN82"/>
      <c r="DO82"/>
      <c r="DP82"/>
    </row>
    <row r="83" spans="9:120" x14ac:dyDescent="0.25">
      <c r="I83" s="6">
        <v>127874</v>
      </c>
      <c r="J83" s="7">
        <v>8918</v>
      </c>
      <c r="K83" s="5">
        <v>1562</v>
      </c>
      <c r="L83" s="4">
        <v>1293</v>
      </c>
      <c r="M83" s="3">
        <v>371</v>
      </c>
      <c r="N83" s="4">
        <v>324</v>
      </c>
      <c r="O83" s="5">
        <v>3975</v>
      </c>
      <c r="P83" s="4">
        <v>1427</v>
      </c>
      <c r="Q83" s="5">
        <v>2016</v>
      </c>
      <c r="R83" s="4">
        <v>1321</v>
      </c>
      <c r="S83" s="5">
        <v>7649</v>
      </c>
      <c r="T83" s="4">
        <v>2229</v>
      </c>
      <c r="U83" s="5">
        <v>1930</v>
      </c>
      <c r="V83" s="4">
        <v>759</v>
      </c>
      <c r="W83" s="5">
        <v>1227</v>
      </c>
      <c r="X83" s="4">
        <v>698</v>
      </c>
      <c r="Y83" s="5">
        <v>79</v>
      </c>
      <c r="Z83" s="4">
        <v>134</v>
      </c>
      <c r="AA83" s="5">
        <v>0</v>
      </c>
      <c r="AB83" s="4">
        <v>190</v>
      </c>
      <c r="AC83" s="5">
        <v>8595</v>
      </c>
      <c r="AD83" s="4">
        <v>3053</v>
      </c>
      <c r="AE83" s="5">
        <v>2543</v>
      </c>
      <c r="AF83" s="4">
        <v>1176</v>
      </c>
      <c r="AG83" s="5">
        <v>1057</v>
      </c>
      <c r="AH83" s="4">
        <v>717</v>
      </c>
      <c r="AI83" s="5">
        <v>1368</v>
      </c>
      <c r="AJ83" s="4">
        <v>1278</v>
      </c>
      <c r="AK83" s="5">
        <v>23071</v>
      </c>
      <c r="AL83" s="4">
        <v>4221</v>
      </c>
      <c r="AM83" s="8" t="s">
        <v>60</v>
      </c>
      <c r="AN83" s="4" t="s">
        <v>60</v>
      </c>
      <c r="AO83" s="3">
        <v>916</v>
      </c>
      <c r="AP83" s="4">
        <v>468</v>
      </c>
      <c r="AQ83" s="5">
        <v>1321</v>
      </c>
      <c r="AR83" s="4">
        <v>946</v>
      </c>
      <c r="AS83" s="5">
        <v>10177</v>
      </c>
      <c r="AT83" s="4">
        <v>2220</v>
      </c>
      <c r="AU83" s="5">
        <v>2241</v>
      </c>
      <c r="AV83" s="4">
        <v>1537</v>
      </c>
      <c r="AW83" s="5">
        <v>275</v>
      </c>
      <c r="AX83" s="4">
        <v>388</v>
      </c>
      <c r="AY83" s="5">
        <v>480</v>
      </c>
      <c r="AZ83" s="4">
        <v>256</v>
      </c>
      <c r="BA83" s="5">
        <v>952</v>
      </c>
      <c r="BB83" s="4">
        <v>703</v>
      </c>
      <c r="BC83" s="5">
        <v>7896</v>
      </c>
      <c r="BD83" s="4">
        <v>1777</v>
      </c>
      <c r="BE83" s="5">
        <v>1168</v>
      </c>
      <c r="BF83" s="4">
        <v>568</v>
      </c>
      <c r="BG83" s="5">
        <v>469</v>
      </c>
      <c r="BH83" s="4">
        <v>366</v>
      </c>
      <c r="BI83" s="5">
        <v>1824</v>
      </c>
      <c r="BJ83" s="4">
        <v>1033</v>
      </c>
      <c r="BK83" s="5">
        <v>34</v>
      </c>
      <c r="BL83" s="4">
        <v>62</v>
      </c>
      <c r="BM83" s="5">
        <v>622</v>
      </c>
      <c r="BN83" s="4">
        <v>491</v>
      </c>
      <c r="BO83" s="5">
        <v>511</v>
      </c>
      <c r="BP83" s="4">
        <v>338</v>
      </c>
      <c r="BQ83" s="5">
        <v>90</v>
      </c>
      <c r="BR83" s="4">
        <v>152</v>
      </c>
      <c r="BS83" s="5">
        <v>651</v>
      </c>
      <c r="BT83" s="4">
        <v>348</v>
      </c>
      <c r="BU83" s="5">
        <v>504</v>
      </c>
      <c r="BV83" s="4">
        <v>410</v>
      </c>
      <c r="BW83" s="5">
        <v>2518</v>
      </c>
      <c r="BX83" s="4">
        <v>816</v>
      </c>
      <c r="BY83" s="5">
        <v>3038</v>
      </c>
      <c r="BZ83" s="4">
        <v>1840</v>
      </c>
      <c r="CA83" s="5">
        <v>70</v>
      </c>
      <c r="CB83" s="4">
        <v>94</v>
      </c>
      <c r="CC83" s="5">
        <v>11109</v>
      </c>
      <c r="CD83" s="4">
        <v>2141</v>
      </c>
      <c r="CE83" s="5">
        <v>844</v>
      </c>
      <c r="CF83" s="4">
        <v>522</v>
      </c>
      <c r="CG83" s="5">
        <v>505</v>
      </c>
      <c r="CH83" s="4">
        <v>617</v>
      </c>
      <c r="CI83" s="5">
        <v>3998</v>
      </c>
      <c r="CJ83" s="4">
        <v>1871</v>
      </c>
      <c r="CK83" s="5">
        <v>49</v>
      </c>
      <c r="CL83" s="4">
        <v>84</v>
      </c>
      <c r="CM83" s="5">
        <v>3306</v>
      </c>
      <c r="CN83" s="4">
        <v>1917</v>
      </c>
      <c r="CO83" s="5">
        <v>235</v>
      </c>
      <c r="CP83" s="4">
        <v>231</v>
      </c>
      <c r="CQ83" s="5">
        <v>3879</v>
      </c>
      <c r="CR83" s="4">
        <v>1292</v>
      </c>
      <c r="CS83" s="5">
        <v>6326</v>
      </c>
      <c r="CT83" s="4">
        <v>2074</v>
      </c>
      <c r="CU83" s="5">
        <v>123</v>
      </c>
      <c r="CV83" s="4">
        <v>127</v>
      </c>
      <c r="CW83" s="5">
        <v>530</v>
      </c>
      <c r="CX83" s="4">
        <v>349</v>
      </c>
      <c r="CY83" s="5">
        <v>1486</v>
      </c>
      <c r="CZ83" s="4">
        <v>853</v>
      </c>
      <c r="DA83" s="5">
        <v>1028</v>
      </c>
      <c r="DB83" s="4">
        <v>744</v>
      </c>
      <c r="DC83" s="5">
        <v>216</v>
      </c>
      <c r="DD83" s="4">
        <v>194</v>
      </c>
      <c r="DE83" s="5">
        <v>2923</v>
      </c>
      <c r="DF83" s="4">
        <v>1307</v>
      </c>
      <c r="DG83" s="5">
        <v>117</v>
      </c>
      <c r="DH83" s="4">
        <v>170</v>
      </c>
      <c r="DI83" s="5">
        <v>132</v>
      </c>
      <c r="DJ83" s="4">
        <v>220</v>
      </c>
      <c r="DM83"/>
      <c r="DN83"/>
      <c r="DO83"/>
      <c r="DP83"/>
    </row>
    <row r="84" spans="9:120" x14ac:dyDescent="0.25">
      <c r="I84" s="6">
        <v>70405</v>
      </c>
      <c r="J84" s="7">
        <v>5539</v>
      </c>
      <c r="K84" s="5">
        <v>207</v>
      </c>
      <c r="L84" s="4">
        <v>259</v>
      </c>
      <c r="M84" s="3">
        <v>967</v>
      </c>
      <c r="N84" s="4">
        <v>651</v>
      </c>
      <c r="O84" s="5">
        <v>1411</v>
      </c>
      <c r="P84" s="4">
        <v>726</v>
      </c>
      <c r="Q84" s="5">
        <v>433</v>
      </c>
      <c r="R84" s="4">
        <v>317</v>
      </c>
      <c r="S84" s="5">
        <v>3297</v>
      </c>
      <c r="T84" s="4">
        <v>1022</v>
      </c>
      <c r="U84" s="5">
        <v>2891</v>
      </c>
      <c r="V84" s="4">
        <v>1129</v>
      </c>
      <c r="W84" s="5">
        <v>424</v>
      </c>
      <c r="X84" s="4">
        <v>628</v>
      </c>
      <c r="Y84" s="5">
        <v>0</v>
      </c>
      <c r="Z84" s="4">
        <v>155</v>
      </c>
      <c r="AA84" s="5">
        <v>0</v>
      </c>
      <c r="AB84" s="4">
        <v>155</v>
      </c>
      <c r="AC84" s="5">
        <v>707</v>
      </c>
      <c r="AD84" s="4">
        <v>455</v>
      </c>
      <c r="AE84" s="5">
        <v>1938</v>
      </c>
      <c r="AF84" s="4">
        <v>1485</v>
      </c>
      <c r="AG84" s="5">
        <v>299</v>
      </c>
      <c r="AH84" s="4">
        <v>454</v>
      </c>
      <c r="AI84" s="5">
        <v>161</v>
      </c>
      <c r="AJ84" s="4">
        <v>175</v>
      </c>
      <c r="AK84" s="5">
        <v>13725</v>
      </c>
      <c r="AL84" s="4">
        <v>2238</v>
      </c>
      <c r="AM84" s="5">
        <v>349</v>
      </c>
      <c r="AN84" s="4">
        <v>204</v>
      </c>
      <c r="AO84" s="8" t="s">
        <v>60</v>
      </c>
      <c r="AP84" s="4" t="s">
        <v>60</v>
      </c>
      <c r="AQ84" s="3">
        <v>1776</v>
      </c>
      <c r="AR84" s="4">
        <v>819</v>
      </c>
      <c r="AS84" s="5">
        <v>387</v>
      </c>
      <c r="AT84" s="4">
        <v>303</v>
      </c>
      <c r="AU84" s="5">
        <v>228</v>
      </c>
      <c r="AV84" s="4">
        <v>223</v>
      </c>
      <c r="AW84" s="5">
        <v>26</v>
      </c>
      <c r="AX84" s="4">
        <v>43</v>
      </c>
      <c r="AY84" s="5">
        <v>487</v>
      </c>
      <c r="AZ84" s="4">
        <v>319</v>
      </c>
      <c r="BA84" s="5">
        <v>466</v>
      </c>
      <c r="BB84" s="4">
        <v>632</v>
      </c>
      <c r="BC84" s="5">
        <v>1687</v>
      </c>
      <c r="BD84" s="4">
        <v>954</v>
      </c>
      <c r="BE84" s="5">
        <v>5634</v>
      </c>
      <c r="BF84" s="4">
        <v>1117</v>
      </c>
      <c r="BG84" s="5">
        <v>408</v>
      </c>
      <c r="BH84" s="4">
        <v>306</v>
      </c>
      <c r="BI84" s="5">
        <v>3649</v>
      </c>
      <c r="BJ84" s="4">
        <v>1188</v>
      </c>
      <c r="BK84" s="5">
        <v>370</v>
      </c>
      <c r="BL84" s="4">
        <v>338</v>
      </c>
      <c r="BM84" s="5">
        <v>6490</v>
      </c>
      <c r="BN84" s="4">
        <v>1780</v>
      </c>
      <c r="BO84" s="5">
        <v>2009</v>
      </c>
      <c r="BP84" s="4">
        <v>1634</v>
      </c>
      <c r="BQ84" s="5">
        <v>0</v>
      </c>
      <c r="BR84" s="4">
        <v>155</v>
      </c>
      <c r="BS84" s="5">
        <v>185</v>
      </c>
      <c r="BT84" s="4">
        <v>209</v>
      </c>
      <c r="BU84" s="5">
        <v>421</v>
      </c>
      <c r="BV84" s="4">
        <v>347</v>
      </c>
      <c r="BW84" s="5">
        <v>2361</v>
      </c>
      <c r="BX84" s="4">
        <v>1104</v>
      </c>
      <c r="BY84" s="5">
        <v>1760</v>
      </c>
      <c r="BZ84" s="4">
        <v>1268</v>
      </c>
      <c r="CA84" s="5">
        <v>604</v>
      </c>
      <c r="CB84" s="4">
        <v>377</v>
      </c>
      <c r="CC84" s="5">
        <v>993</v>
      </c>
      <c r="CD84" s="4">
        <v>482</v>
      </c>
      <c r="CE84" s="5">
        <v>532</v>
      </c>
      <c r="CF84" s="4">
        <v>417</v>
      </c>
      <c r="CG84" s="5">
        <v>811</v>
      </c>
      <c r="CH84" s="4">
        <v>476</v>
      </c>
      <c r="CI84" s="5">
        <v>388</v>
      </c>
      <c r="CJ84" s="4">
        <v>292</v>
      </c>
      <c r="CK84" s="5">
        <v>65</v>
      </c>
      <c r="CL84" s="4">
        <v>108</v>
      </c>
      <c r="CM84" s="5">
        <v>172</v>
      </c>
      <c r="CN84" s="4">
        <v>200</v>
      </c>
      <c r="CO84" s="5">
        <v>2842</v>
      </c>
      <c r="CP84" s="4">
        <v>965</v>
      </c>
      <c r="CQ84" s="5">
        <v>623</v>
      </c>
      <c r="CR84" s="4">
        <v>529</v>
      </c>
      <c r="CS84" s="5">
        <v>2334</v>
      </c>
      <c r="CT84" s="4">
        <v>1235</v>
      </c>
      <c r="CU84" s="5">
        <v>1482</v>
      </c>
      <c r="CV84" s="4">
        <v>940</v>
      </c>
      <c r="CW84" s="5">
        <v>38</v>
      </c>
      <c r="CX84" s="4">
        <v>71</v>
      </c>
      <c r="CY84" s="5">
        <v>720</v>
      </c>
      <c r="CZ84" s="4">
        <v>854</v>
      </c>
      <c r="DA84" s="5">
        <v>856</v>
      </c>
      <c r="DB84" s="4">
        <v>577</v>
      </c>
      <c r="DC84" s="5">
        <v>115</v>
      </c>
      <c r="DD84" s="4">
        <v>181</v>
      </c>
      <c r="DE84" s="5">
        <v>2537</v>
      </c>
      <c r="DF84" s="4">
        <v>850</v>
      </c>
      <c r="DG84" s="5">
        <v>140</v>
      </c>
      <c r="DH84" s="4">
        <v>117</v>
      </c>
      <c r="DI84" s="5">
        <v>57</v>
      </c>
      <c r="DJ84" s="4">
        <v>115</v>
      </c>
      <c r="DM84"/>
      <c r="DN84"/>
      <c r="DO84"/>
      <c r="DP84"/>
    </row>
    <row r="85" spans="9:120" x14ac:dyDescent="0.25">
      <c r="I85" s="6">
        <v>83640</v>
      </c>
      <c r="J85" s="7">
        <v>7144</v>
      </c>
      <c r="K85" s="5">
        <v>434</v>
      </c>
      <c r="L85" s="4">
        <v>310</v>
      </c>
      <c r="M85" s="3">
        <v>108</v>
      </c>
      <c r="N85" s="4">
        <v>84</v>
      </c>
      <c r="O85" s="5">
        <v>2028</v>
      </c>
      <c r="P85" s="4">
        <v>858</v>
      </c>
      <c r="Q85" s="5">
        <v>998</v>
      </c>
      <c r="R85" s="4">
        <v>697</v>
      </c>
      <c r="S85" s="5">
        <v>4743</v>
      </c>
      <c r="T85" s="4">
        <v>2121</v>
      </c>
      <c r="U85" s="5">
        <v>5030</v>
      </c>
      <c r="V85" s="4">
        <v>1611</v>
      </c>
      <c r="W85" s="5">
        <v>412</v>
      </c>
      <c r="X85" s="4">
        <v>519</v>
      </c>
      <c r="Y85" s="5">
        <v>74</v>
      </c>
      <c r="Z85" s="4">
        <v>85</v>
      </c>
      <c r="AA85" s="5">
        <v>128</v>
      </c>
      <c r="AB85" s="4">
        <v>141</v>
      </c>
      <c r="AC85" s="5">
        <v>1581</v>
      </c>
      <c r="AD85" s="4">
        <v>790</v>
      </c>
      <c r="AE85" s="5">
        <v>1146</v>
      </c>
      <c r="AF85" s="4">
        <v>666</v>
      </c>
      <c r="AG85" s="5">
        <v>287</v>
      </c>
      <c r="AH85" s="4">
        <v>282</v>
      </c>
      <c r="AI85" s="5">
        <v>264</v>
      </c>
      <c r="AJ85" s="4">
        <v>358</v>
      </c>
      <c r="AK85" s="5">
        <v>2760</v>
      </c>
      <c r="AL85" s="4">
        <v>1019</v>
      </c>
      <c r="AM85" s="5">
        <v>863</v>
      </c>
      <c r="AN85" s="4">
        <v>458</v>
      </c>
      <c r="AO85" s="5">
        <v>1715</v>
      </c>
      <c r="AP85" s="4">
        <v>888</v>
      </c>
      <c r="AQ85" s="8" t="s">
        <v>60</v>
      </c>
      <c r="AR85" s="4" t="s">
        <v>60</v>
      </c>
      <c r="AS85" s="3">
        <v>1167</v>
      </c>
      <c r="AT85" s="4">
        <v>770</v>
      </c>
      <c r="AU85" s="5">
        <v>519</v>
      </c>
      <c r="AV85" s="4">
        <v>338</v>
      </c>
      <c r="AW85" s="5">
        <v>481</v>
      </c>
      <c r="AX85" s="4">
        <v>527</v>
      </c>
      <c r="AY85" s="5">
        <v>3180</v>
      </c>
      <c r="AZ85" s="4">
        <v>2454</v>
      </c>
      <c r="BA85" s="5">
        <v>28</v>
      </c>
      <c r="BB85" s="4">
        <v>49</v>
      </c>
      <c r="BC85" s="5">
        <v>1947</v>
      </c>
      <c r="BD85" s="4">
        <v>1003</v>
      </c>
      <c r="BE85" s="5">
        <v>679</v>
      </c>
      <c r="BF85" s="4">
        <v>418</v>
      </c>
      <c r="BG85" s="5">
        <v>1517</v>
      </c>
      <c r="BH85" s="4">
        <v>1370</v>
      </c>
      <c r="BI85" s="5">
        <v>22033</v>
      </c>
      <c r="BJ85" s="4">
        <v>4568</v>
      </c>
      <c r="BK85" s="5">
        <v>270</v>
      </c>
      <c r="BL85" s="4">
        <v>255</v>
      </c>
      <c r="BM85" s="5">
        <v>1648</v>
      </c>
      <c r="BN85" s="4">
        <v>701</v>
      </c>
      <c r="BO85" s="5">
        <v>657</v>
      </c>
      <c r="BP85" s="4">
        <v>359</v>
      </c>
      <c r="BQ85" s="5">
        <v>27</v>
      </c>
      <c r="BR85" s="4">
        <v>37</v>
      </c>
      <c r="BS85" s="5">
        <v>1189</v>
      </c>
      <c r="BT85" s="4">
        <v>724</v>
      </c>
      <c r="BU85" s="5">
        <v>769</v>
      </c>
      <c r="BV85" s="4">
        <v>810</v>
      </c>
      <c r="BW85" s="5">
        <v>780</v>
      </c>
      <c r="BX85" s="4">
        <v>411</v>
      </c>
      <c r="BY85" s="5">
        <v>1223</v>
      </c>
      <c r="BZ85" s="4">
        <v>840</v>
      </c>
      <c r="CA85" s="5">
        <v>379</v>
      </c>
      <c r="CB85" s="4">
        <v>558</v>
      </c>
      <c r="CC85" s="5">
        <v>1616</v>
      </c>
      <c r="CD85" s="4">
        <v>901</v>
      </c>
      <c r="CE85" s="5">
        <v>5022</v>
      </c>
      <c r="CF85" s="4">
        <v>1204</v>
      </c>
      <c r="CG85" s="5">
        <v>285</v>
      </c>
      <c r="CH85" s="4">
        <v>284</v>
      </c>
      <c r="CI85" s="5">
        <v>1494</v>
      </c>
      <c r="CJ85" s="4">
        <v>1815</v>
      </c>
      <c r="CK85" s="5">
        <v>180</v>
      </c>
      <c r="CL85" s="4">
        <v>261</v>
      </c>
      <c r="CM85" s="5">
        <v>1102</v>
      </c>
      <c r="CN85" s="4">
        <v>670</v>
      </c>
      <c r="CO85" s="5">
        <v>104</v>
      </c>
      <c r="CP85" s="4">
        <v>147</v>
      </c>
      <c r="CQ85" s="5">
        <v>1066</v>
      </c>
      <c r="CR85" s="4">
        <v>496</v>
      </c>
      <c r="CS85" s="5">
        <v>6575</v>
      </c>
      <c r="CT85" s="4">
        <v>1436</v>
      </c>
      <c r="CU85" s="5">
        <v>196</v>
      </c>
      <c r="CV85" s="4">
        <v>265</v>
      </c>
      <c r="CW85" s="5">
        <v>0</v>
      </c>
      <c r="CX85" s="4">
        <v>168</v>
      </c>
      <c r="CY85" s="5">
        <v>1986</v>
      </c>
      <c r="CZ85" s="4">
        <v>1018</v>
      </c>
      <c r="DA85" s="5">
        <v>772</v>
      </c>
      <c r="DB85" s="4">
        <v>459</v>
      </c>
      <c r="DC85" s="5">
        <v>0</v>
      </c>
      <c r="DD85" s="4">
        <v>168</v>
      </c>
      <c r="DE85" s="5">
        <v>893</v>
      </c>
      <c r="DF85" s="4">
        <v>575</v>
      </c>
      <c r="DG85" s="5">
        <v>1285</v>
      </c>
      <c r="DH85" s="4">
        <v>791</v>
      </c>
      <c r="DI85" s="5">
        <v>775</v>
      </c>
      <c r="DJ85" s="4">
        <v>1013</v>
      </c>
      <c r="DM85"/>
      <c r="DN85"/>
      <c r="DO85"/>
      <c r="DP85"/>
    </row>
    <row r="86" spans="9:120" x14ac:dyDescent="0.25">
      <c r="I86" s="6">
        <v>110031</v>
      </c>
      <c r="J86" s="7">
        <v>9177</v>
      </c>
      <c r="K86" s="5">
        <v>925</v>
      </c>
      <c r="L86" s="4">
        <v>441</v>
      </c>
      <c r="M86" s="3">
        <v>0</v>
      </c>
      <c r="N86" s="4">
        <v>189</v>
      </c>
      <c r="O86" s="5">
        <v>1818</v>
      </c>
      <c r="P86" s="4">
        <v>916</v>
      </c>
      <c r="Q86" s="5">
        <v>1058</v>
      </c>
      <c r="R86" s="4">
        <v>778</v>
      </c>
      <c r="S86" s="5">
        <v>2130</v>
      </c>
      <c r="T86" s="4">
        <v>1154</v>
      </c>
      <c r="U86" s="5">
        <v>221</v>
      </c>
      <c r="V86" s="4">
        <v>197</v>
      </c>
      <c r="W86" s="5">
        <v>176</v>
      </c>
      <c r="X86" s="4">
        <v>251</v>
      </c>
      <c r="Y86" s="5">
        <v>0</v>
      </c>
      <c r="Z86" s="4">
        <v>189</v>
      </c>
      <c r="AA86" s="5">
        <v>201</v>
      </c>
      <c r="AB86" s="4">
        <v>248</v>
      </c>
      <c r="AC86" s="5">
        <v>7400</v>
      </c>
      <c r="AD86" s="4">
        <v>1965</v>
      </c>
      <c r="AE86" s="5">
        <v>2725</v>
      </c>
      <c r="AF86" s="4">
        <v>892</v>
      </c>
      <c r="AG86" s="5">
        <v>63</v>
      </c>
      <c r="AH86" s="4">
        <v>80</v>
      </c>
      <c r="AI86" s="5">
        <v>36</v>
      </c>
      <c r="AJ86" s="4">
        <v>69</v>
      </c>
      <c r="AK86" s="5">
        <v>4273</v>
      </c>
      <c r="AL86" s="4">
        <v>1415</v>
      </c>
      <c r="AM86" s="5">
        <v>11071</v>
      </c>
      <c r="AN86" s="4">
        <v>2846</v>
      </c>
      <c r="AO86" s="5">
        <v>536</v>
      </c>
      <c r="AP86" s="4">
        <v>410</v>
      </c>
      <c r="AQ86" s="5">
        <v>253</v>
      </c>
      <c r="AR86" s="4">
        <v>212</v>
      </c>
      <c r="AS86" s="8" t="s">
        <v>60</v>
      </c>
      <c r="AT86" s="4" t="s">
        <v>60</v>
      </c>
      <c r="AU86" s="3">
        <v>1399</v>
      </c>
      <c r="AV86" s="4">
        <v>906</v>
      </c>
      <c r="AW86" s="5">
        <v>71</v>
      </c>
      <c r="AX86" s="4">
        <v>137</v>
      </c>
      <c r="AY86" s="5">
        <v>2076</v>
      </c>
      <c r="AZ86" s="4">
        <v>1444</v>
      </c>
      <c r="BA86" s="5">
        <v>1019</v>
      </c>
      <c r="BB86" s="4">
        <v>885</v>
      </c>
      <c r="BC86" s="5">
        <v>3178</v>
      </c>
      <c r="BD86" s="4">
        <v>1248</v>
      </c>
      <c r="BE86" s="5">
        <v>475</v>
      </c>
      <c r="BF86" s="4">
        <v>415</v>
      </c>
      <c r="BG86" s="5">
        <v>1248</v>
      </c>
      <c r="BH86" s="4">
        <v>868</v>
      </c>
      <c r="BI86" s="5">
        <v>2793</v>
      </c>
      <c r="BJ86" s="4">
        <v>1158</v>
      </c>
      <c r="BK86" s="5">
        <v>216</v>
      </c>
      <c r="BL86" s="4">
        <v>238</v>
      </c>
      <c r="BM86" s="5">
        <v>471</v>
      </c>
      <c r="BN86" s="4">
        <v>517</v>
      </c>
      <c r="BO86" s="5">
        <v>1358</v>
      </c>
      <c r="BP86" s="4">
        <v>976</v>
      </c>
      <c r="BQ86" s="5">
        <v>52</v>
      </c>
      <c r="BR86" s="4">
        <v>84</v>
      </c>
      <c r="BS86" s="5">
        <v>1289</v>
      </c>
      <c r="BT86" s="4">
        <v>1472</v>
      </c>
      <c r="BU86" s="5">
        <v>553</v>
      </c>
      <c r="BV86" s="4">
        <v>370</v>
      </c>
      <c r="BW86" s="5">
        <v>2174</v>
      </c>
      <c r="BX86" s="4">
        <v>1660</v>
      </c>
      <c r="BY86" s="5">
        <v>3916</v>
      </c>
      <c r="BZ86" s="4">
        <v>1965</v>
      </c>
      <c r="CA86" s="5">
        <v>117</v>
      </c>
      <c r="CB86" s="4">
        <v>195</v>
      </c>
      <c r="CC86" s="5">
        <v>19617</v>
      </c>
      <c r="CD86" s="4">
        <v>3115</v>
      </c>
      <c r="CE86" s="5">
        <v>1256</v>
      </c>
      <c r="CF86" s="4">
        <v>853</v>
      </c>
      <c r="CG86" s="5">
        <v>459</v>
      </c>
      <c r="CH86" s="4">
        <v>328</v>
      </c>
      <c r="CI86" s="5">
        <v>1490</v>
      </c>
      <c r="CJ86" s="4">
        <v>598</v>
      </c>
      <c r="CK86" s="5">
        <v>640</v>
      </c>
      <c r="CL86" s="4">
        <v>876</v>
      </c>
      <c r="CM86" s="5">
        <v>1387</v>
      </c>
      <c r="CN86" s="4">
        <v>814</v>
      </c>
      <c r="CO86" s="5">
        <v>0</v>
      </c>
      <c r="CP86" s="4">
        <v>189</v>
      </c>
      <c r="CQ86" s="5">
        <v>16852</v>
      </c>
      <c r="CR86" s="4">
        <v>3762</v>
      </c>
      <c r="CS86" s="5">
        <v>4661</v>
      </c>
      <c r="CT86" s="4">
        <v>1468</v>
      </c>
      <c r="CU86" s="5">
        <v>140</v>
      </c>
      <c r="CV86" s="4">
        <v>202</v>
      </c>
      <c r="CW86" s="5">
        <v>151</v>
      </c>
      <c r="CX86" s="4">
        <v>152</v>
      </c>
      <c r="CY86" s="5">
        <v>5154</v>
      </c>
      <c r="CZ86" s="4">
        <v>1719</v>
      </c>
      <c r="DA86" s="5">
        <v>1121</v>
      </c>
      <c r="DB86" s="4">
        <v>614</v>
      </c>
      <c r="DC86" s="5">
        <v>1174</v>
      </c>
      <c r="DD86" s="4">
        <v>566</v>
      </c>
      <c r="DE86" s="5">
        <v>581</v>
      </c>
      <c r="DF86" s="4">
        <v>414</v>
      </c>
      <c r="DG86" s="5">
        <v>57</v>
      </c>
      <c r="DH86" s="4">
        <v>93</v>
      </c>
      <c r="DI86" s="5">
        <v>192</v>
      </c>
      <c r="DJ86" s="4">
        <v>262</v>
      </c>
      <c r="DM86"/>
      <c r="DN86"/>
      <c r="DO86"/>
      <c r="DP86"/>
    </row>
    <row r="87" spans="9:120" x14ac:dyDescent="0.25">
      <c r="I87" s="6">
        <v>99138</v>
      </c>
      <c r="J87" s="7">
        <v>7082</v>
      </c>
      <c r="K87" s="5">
        <v>3065</v>
      </c>
      <c r="L87" s="4">
        <v>1401</v>
      </c>
      <c r="M87" s="3">
        <v>288</v>
      </c>
      <c r="N87" s="4">
        <v>266</v>
      </c>
      <c r="O87" s="5">
        <v>2010</v>
      </c>
      <c r="P87" s="4">
        <v>1529</v>
      </c>
      <c r="Q87" s="5">
        <v>2774</v>
      </c>
      <c r="R87" s="4">
        <v>1144</v>
      </c>
      <c r="S87" s="5">
        <v>3957</v>
      </c>
      <c r="T87" s="4">
        <v>898</v>
      </c>
      <c r="U87" s="5">
        <v>1202</v>
      </c>
      <c r="V87" s="4">
        <v>983</v>
      </c>
      <c r="W87" s="5">
        <v>358</v>
      </c>
      <c r="X87" s="4">
        <v>264</v>
      </c>
      <c r="Y87" s="5">
        <v>0</v>
      </c>
      <c r="Z87" s="4">
        <v>198</v>
      </c>
      <c r="AA87" s="5">
        <v>195</v>
      </c>
      <c r="AB87" s="4">
        <v>168</v>
      </c>
      <c r="AC87" s="5">
        <v>5193</v>
      </c>
      <c r="AD87" s="4">
        <v>2120</v>
      </c>
      <c r="AE87" s="5">
        <v>4425</v>
      </c>
      <c r="AF87" s="4">
        <v>1541</v>
      </c>
      <c r="AG87" s="5">
        <v>688</v>
      </c>
      <c r="AH87" s="4">
        <v>808</v>
      </c>
      <c r="AI87" s="5">
        <v>230</v>
      </c>
      <c r="AJ87" s="4">
        <v>269</v>
      </c>
      <c r="AK87" s="5">
        <v>1189</v>
      </c>
      <c r="AL87" s="4">
        <v>417</v>
      </c>
      <c r="AM87" s="5">
        <v>1549</v>
      </c>
      <c r="AN87" s="4">
        <v>827</v>
      </c>
      <c r="AO87" s="5">
        <v>468</v>
      </c>
      <c r="AP87" s="4">
        <v>441</v>
      </c>
      <c r="AQ87" s="5">
        <v>312</v>
      </c>
      <c r="AR87" s="4">
        <v>466</v>
      </c>
      <c r="AS87" s="5">
        <v>1520</v>
      </c>
      <c r="AT87" s="4">
        <v>1286</v>
      </c>
      <c r="AU87" s="8" t="s">
        <v>60</v>
      </c>
      <c r="AV87" s="4" t="s">
        <v>60</v>
      </c>
      <c r="AW87" s="3">
        <v>120</v>
      </c>
      <c r="AX87" s="4">
        <v>163</v>
      </c>
      <c r="AY87" s="5">
        <v>1221</v>
      </c>
      <c r="AZ87" s="4">
        <v>1058</v>
      </c>
      <c r="BA87" s="5">
        <v>439</v>
      </c>
      <c r="BB87" s="4">
        <v>255</v>
      </c>
      <c r="BC87" s="5">
        <v>1163</v>
      </c>
      <c r="BD87" s="4">
        <v>875</v>
      </c>
      <c r="BE87" s="5">
        <v>698</v>
      </c>
      <c r="BF87" s="4">
        <v>445</v>
      </c>
      <c r="BG87" s="5">
        <v>10255</v>
      </c>
      <c r="BH87" s="4">
        <v>2829</v>
      </c>
      <c r="BI87" s="5">
        <v>1375</v>
      </c>
      <c r="BJ87" s="4">
        <v>565</v>
      </c>
      <c r="BK87" s="5">
        <v>278</v>
      </c>
      <c r="BL87" s="4">
        <v>364</v>
      </c>
      <c r="BM87" s="5">
        <v>176</v>
      </c>
      <c r="BN87" s="4">
        <v>198</v>
      </c>
      <c r="BO87" s="5">
        <v>994</v>
      </c>
      <c r="BP87" s="4">
        <v>623</v>
      </c>
      <c r="BQ87" s="5">
        <v>15</v>
      </c>
      <c r="BR87" s="4">
        <v>26</v>
      </c>
      <c r="BS87" s="5">
        <v>453</v>
      </c>
      <c r="BT87" s="4">
        <v>269</v>
      </c>
      <c r="BU87" s="5">
        <v>1028</v>
      </c>
      <c r="BV87" s="4">
        <v>867</v>
      </c>
      <c r="BW87" s="5">
        <v>1360</v>
      </c>
      <c r="BX87" s="4">
        <v>849</v>
      </c>
      <c r="BY87" s="5">
        <v>2134</v>
      </c>
      <c r="BZ87" s="4">
        <v>1242</v>
      </c>
      <c r="CA87" s="5">
        <v>277</v>
      </c>
      <c r="CB87" s="4">
        <v>359</v>
      </c>
      <c r="CC87" s="5">
        <v>2641</v>
      </c>
      <c r="CD87" s="4">
        <v>2281</v>
      </c>
      <c r="CE87" s="5">
        <v>4235</v>
      </c>
      <c r="CF87" s="4">
        <v>3044</v>
      </c>
      <c r="CG87" s="5">
        <v>1531</v>
      </c>
      <c r="CH87" s="4">
        <v>1577</v>
      </c>
      <c r="CI87" s="5">
        <v>455</v>
      </c>
      <c r="CJ87" s="4">
        <v>473</v>
      </c>
      <c r="CK87" s="5">
        <v>268</v>
      </c>
      <c r="CL87" s="4">
        <v>395</v>
      </c>
      <c r="CM87" s="5">
        <v>1573</v>
      </c>
      <c r="CN87" s="4">
        <v>1149</v>
      </c>
      <c r="CO87" s="5">
        <v>37</v>
      </c>
      <c r="CP87" s="4">
        <v>47</v>
      </c>
      <c r="CQ87" s="5">
        <v>2495</v>
      </c>
      <c r="CR87" s="4">
        <v>938</v>
      </c>
      <c r="CS87" s="5">
        <v>30292</v>
      </c>
      <c r="CT87" s="4">
        <v>5028</v>
      </c>
      <c r="CU87" s="5">
        <v>179</v>
      </c>
      <c r="CV87" s="4">
        <v>275</v>
      </c>
      <c r="CW87" s="5">
        <v>87</v>
      </c>
      <c r="CX87" s="4">
        <v>149</v>
      </c>
      <c r="CY87" s="5">
        <v>2055</v>
      </c>
      <c r="CZ87" s="4">
        <v>1060</v>
      </c>
      <c r="DA87" s="5">
        <v>1075</v>
      </c>
      <c r="DB87" s="4">
        <v>504</v>
      </c>
      <c r="DC87" s="5">
        <v>110</v>
      </c>
      <c r="DD87" s="4">
        <v>123</v>
      </c>
      <c r="DE87" s="5">
        <v>339</v>
      </c>
      <c r="DF87" s="4">
        <v>372</v>
      </c>
      <c r="DG87" s="5">
        <v>357</v>
      </c>
      <c r="DH87" s="4">
        <v>541</v>
      </c>
      <c r="DI87" s="5">
        <v>393</v>
      </c>
      <c r="DJ87" s="4">
        <v>384</v>
      </c>
      <c r="DM87"/>
      <c r="DN87"/>
      <c r="DO87"/>
      <c r="DP87"/>
    </row>
    <row r="88" spans="9:120" x14ac:dyDescent="0.25">
      <c r="I88" s="6">
        <v>33818</v>
      </c>
      <c r="J88" s="7">
        <v>4248</v>
      </c>
      <c r="K88" s="5">
        <v>634</v>
      </c>
      <c r="L88" s="4">
        <v>541</v>
      </c>
      <c r="M88" s="3">
        <v>37</v>
      </c>
      <c r="N88" s="4">
        <v>43</v>
      </c>
      <c r="O88" s="5">
        <v>325</v>
      </c>
      <c r="P88" s="4">
        <v>301</v>
      </c>
      <c r="Q88" s="5">
        <v>38</v>
      </c>
      <c r="R88" s="4">
        <v>67</v>
      </c>
      <c r="S88" s="5">
        <v>829</v>
      </c>
      <c r="T88" s="4">
        <v>428</v>
      </c>
      <c r="U88" s="5">
        <v>290</v>
      </c>
      <c r="V88" s="4">
        <v>222</v>
      </c>
      <c r="W88" s="5">
        <v>2481</v>
      </c>
      <c r="X88" s="4">
        <v>668</v>
      </c>
      <c r="Y88" s="5">
        <v>238</v>
      </c>
      <c r="Z88" s="4">
        <v>228</v>
      </c>
      <c r="AA88" s="5">
        <v>239</v>
      </c>
      <c r="AB88" s="4">
        <v>177</v>
      </c>
      <c r="AC88" s="5">
        <v>4304</v>
      </c>
      <c r="AD88" s="4">
        <v>1908</v>
      </c>
      <c r="AE88" s="5">
        <v>507</v>
      </c>
      <c r="AF88" s="4">
        <v>415</v>
      </c>
      <c r="AG88" s="5">
        <v>177</v>
      </c>
      <c r="AH88" s="4">
        <v>214</v>
      </c>
      <c r="AI88" s="5">
        <v>0</v>
      </c>
      <c r="AJ88" s="4">
        <v>157</v>
      </c>
      <c r="AK88" s="5">
        <v>675</v>
      </c>
      <c r="AL88" s="4">
        <v>358</v>
      </c>
      <c r="AM88" s="5">
        <v>164</v>
      </c>
      <c r="AN88" s="4">
        <v>157</v>
      </c>
      <c r="AO88" s="5">
        <v>275</v>
      </c>
      <c r="AP88" s="4">
        <v>452</v>
      </c>
      <c r="AQ88" s="5">
        <v>523</v>
      </c>
      <c r="AR88" s="4">
        <v>641</v>
      </c>
      <c r="AS88" s="5">
        <v>158</v>
      </c>
      <c r="AT88" s="4">
        <v>217</v>
      </c>
      <c r="AU88" s="5">
        <v>138</v>
      </c>
      <c r="AV88" s="4">
        <v>218</v>
      </c>
      <c r="AW88" s="8" t="s">
        <v>60</v>
      </c>
      <c r="AX88" s="4" t="s">
        <v>60</v>
      </c>
      <c r="AY88" s="3">
        <v>52</v>
      </c>
      <c r="AZ88" s="4">
        <v>105</v>
      </c>
      <c r="BA88" s="5">
        <v>4439</v>
      </c>
      <c r="BB88" s="4">
        <v>1293</v>
      </c>
      <c r="BC88" s="5">
        <v>702</v>
      </c>
      <c r="BD88" s="4">
        <v>703</v>
      </c>
      <c r="BE88" s="5">
        <v>296</v>
      </c>
      <c r="BF88" s="4">
        <v>307</v>
      </c>
      <c r="BG88" s="5">
        <v>0</v>
      </c>
      <c r="BH88" s="4">
        <v>157</v>
      </c>
      <c r="BI88" s="5">
        <v>325</v>
      </c>
      <c r="BJ88" s="4">
        <v>228</v>
      </c>
      <c r="BK88" s="5">
        <v>10</v>
      </c>
      <c r="BL88" s="4">
        <v>18</v>
      </c>
      <c r="BM88" s="5">
        <v>0</v>
      </c>
      <c r="BN88" s="4">
        <v>157</v>
      </c>
      <c r="BO88" s="5">
        <v>150</v>
      </c>
      <c r="BP88" s="4">
        <v>250</v>
      </c>
      <c r="BQ88" s="5">
        <v>4302</v>
      </c>
      <c r="BR88" s="4">
        <v>1394</v>
      </c>
      <c r="BS88" s="5">
        <v>694</v>
      </c>
      <c r="BT88" s="4">
        <v>498</v>
      </c>
      <c r="BU88" s="5">
        <v>144</v>
      </c>
      <c r="BV88" s="4">
        <v>191</v>
      </c>
      <c r="BW88" s="5">
        <v>2589</v>
      </c>
      <c r="BX88" s="4">
        <v>1633</v>
      </c>
      <c r="BY88" s="5">
        <v>1439</v>
      </c>
      <c r="BZ88" s="4">
        <v>1059</v>
      </c>
      <c r="CA88" s="5">
        <v>19</v>
      </c>
      <c r="CB88" s="4">
        <v>31</v>
      </c>
      <c r="CC88" s="5">
        <v>483</v>
      </c>
      <c r="CD88" s="4">
        <v>530</v>
      </c>
      <c r="CE88" s="5">
        <v>25</v>
      </c>
      <c r="CF88" s="4">
        <v>48</v>
      </c>
      <c r="CG88" s="5">
        <v>471</v>
      </c>
      <c r="CH88" s="4">
        <v>406</v>
      </c>
      <c r="CI88" s="5">
        <v>915</v>
      </c>
      <c r="CJ88" s="4">
        <v>418</v>
      </c>
      <c r="CK88" s="5">
        <v>234</v>
      </c>
      <c r="CL88" s="4">
        <v>282</v>
      </c>
      <c r="CM88" s="5">
        <v>587</v>
      </c>
      <c r="CN88" s="4">
        <v>429</v>
      </c>
      <c r="CO88" s="5">
        <v>42</v>
      </c>
      <c r="CP88" s="4">
        <v>89</v>
      </c>
      <c r="CQ88" s="5">
        <v>394</v>
      </c>
      <c r="CR88" s="4">
        <v>513</v>
      </c>
      <c r="CS88" s="5">
        <v>1637</v>
      </c>
      <c r="CT88" s="4">
        <v>1115</v>
      </c>
      <c r="CU88" s="5">
        <v>182</v>
      </c>
      <c r="CV88" s="4">
        <v>202</v>
      </c>
      <c r="CW88" s="5">
        <v>612</v>
      </c>
      <c r="CX88" s="4">
        <v>341</v>
      </c>
      <c r="CY88" s="5">
        <v>570</v>
      </c>
      <c r="CZ88" s="4">
        <v>337</v>
      </c>
      <c r="DA88" s="5">
        <v>88</v>
      </c>
      <c r="DB88" s="4">
        <v>131</v>
      </c>
      <c r="DC88" s="5">
        <v>43</v>
      </c>
      <c r="DD88" s="4">
        <v>73</v>
      </c>
      <c r="DE88" s="5">
        <v>321</v>
      </c>
      <c r="DF88" s="4">
        <v>408</v>
      </c>
      <c r="DG88" s="5">
        <v>21</v>
      </c>
      <c r="DH88" s="4">
        <v>37</v>
      </c>
      <c r="DI88" s="5">
        <v>65</v>
      </c>
      <c r="DJ88" s="4">
        <v>64</v>
      </c>
      <c r="DM88"/>
      <c r="DN88"/>
      <c r="DO88"/>
      <c r="DP88"/>
    </row>
    <row r="89" spans="9:120" x14ac:dyDescent="0.25">
      <c r="I89" s="6">
        <v>153979</v>
      </c>
      <c r="J89" s="7">
        <v>9033</v>
      </c>
      <c r="K89" s="5">
        <v>228</v>
      </c>
      <c r="L89" s="4">
        <v>128</v>
      </c>
      <c r="M89" s="3">
        <v>671</v>
      </c>
      <c r="N89" s="4">
        <v>493</v>
      </c>
      <c r="O89" s="5">
        <v>945</v>
      </c>
      <c r="P89" s="4">
        <v>604</v>
      </c>
      <c r="Q89" s="5">
        <v>423</v>
      </c>
      <c r="R89" s="4">
        <v>528</v>
      </c>
      <c r="S89" s="5">
        <v>8595</v>
      </c>
      <c r="T89" s="4">
        <v>1773</v>
      </c>
      <c r="U89" s="5">
        <v>1796</v>
      </c>
      <c r="V89" s="4">
        <v>837</v>
      </c>
      <c r="W89" s="5">
        <v>1608</v>
      </c>
      <c r="X89" s="4">
        <v>903</v>
      </c>
      <c r="Y89" s="5">
        <v>6652</v>
      </c>
      <c r="Z89" s="4">
        <v>1916</v>
      </c>
      <c r="AA89" s="5">
        <v>18492</v>
      </c>
      <c r="AB89" s="4">
        <v>3025</v>
      </c>
      <c r="AC89" s="5">
        <v>7825</v>
      </c>
      <c r="AD89" s="4">
        <v>1691</v>
      </c>
      <c r="AE89" s="5">
        <v>7113</v>
      </c>
      <c r="AF89" s="4">
        <v>1789</v>
      </c>
      <c r="AG89" s="5">
        <v>1170</v>
      </c>
      <c r="AH89" s="4">
        <v>815</v>
      </c>
      <c r="AI89" s="5">
        <v>389</v>
      </c>
      <c r="AJ89" s="4">
        <v>366</v>
      </c>
      <c r="AK89" s="5">
        <v>2392</v>
      </c>
      <c r="AL89" s="4">
        <v>1052</v>
      </c>
      <c r="AM89" s="5">
        <v>1318</v>
      </c>
      <c r="AN89" s="4">
        <v>791</v>
      </c>
      <c r="AO89" s="5">
        <v>110</v>
      </c>
      <c r="AP89" s="4">
        <v>146</v>
      </c>
      <c r="AQ89" s="5">
        <v>689</v>
      </c>
      <c r="AR89" s="4">
        <v>551</v>
      </c>
      <c r="AS89" s="5">
        <v>848</v>
      </c>
      <c r="AT89" s="4">
        <v>671</v>
      </c>
      <c r="AU89" s="5">
        <v>860</v>
      </c>
      <c r="AV89" s="4">
        <v>484</v>
      </c>
      <c r="AW89" s="5">
        <v>1526</v>
      </c>
      <c r="AX89" s="4">
        <v>1245</v>
      </c>
      <c r="AY89" s="8" t="s">
        <v>60</v>
      </c>
      <c r="AZ89" s="4" t="s">
        <v>60</v>
      </c>
      <c r="BA89" s="3">
        <v>3470</v>
      </c>
      <c r="BB89" s="4">
        <v>1341</v>
      </c>
      <c r="BC89" s="5">
        <v>2077</v>
      </c>
      <c r="BD89" s="4">
        <v>1273</v>
      </c>
      <c r="BE89" s="5">
        <v>810</v>
      </c>
      <c r="BF89" s="4">
        <v>503</v>
      </c>
      <c r="BG89" s="5">
        <v>1109</v>
      </c>
      <c r="BH89" s="4">
        <v>825</v>
      </c>
      <c r="BI89" s="5">
        <v>1469</v>
      </c>
      <c r="BJ89" s="4">
        <v>944</v>
      </c>
      <c r="BK89" s="5">
        <v>73</v>
      </c>
      <c r="BL89" s="4">
        <v>103</v>
      </c>
      <c r="BM89" s="5">
        <v>0</v>
      </c>
      <c r="BN89" s="4">
        <v>204</v>
      </c>
      <c r="BO89" s="5">
        <v>1105</v>
      </c>
      <c r="BP89" s="4">
        <v>1033</v>
      </c>
      <c r="BQ89" s="5">
        <v>232</v>
      </c>
      <c r="BR89" s="4">
        <v>160</v>
      </c>
      <c r="BS89" s="5">
        <v>9627</v>
      </c>
      <c r="BT89" s="4">
        <v>1880</v>
      </c>
      <c r="BU89" s="5">
        <v>797</v>
      </c>
      <c r="BV89" s="4">
        <v>676</v>
      </c>
      <c r="BW89" s="5">
        <v>9222</v>
      </c>
      <c r="BX89" s="4">
        <v>2041</v>
      </c>
      <c r="BY89" s="5">
        <v>6686</v>
      </c>
      <c r="BZ89" s="4">
        <v>2008</v>
      </c>
      <c r="CA89" s="5">
        <v>0</v>
      </c>
      <c r="CB89" s="4">
        <v>204</v>
      </c>
      <c r="CC89" s="5">
        <v>3396</v>
      </c>
      <c r="CD89" s="4">
        <v>1110</v>
      </c>
      <c r="CE89" s="5">
        <v>845</v>
      </c>
      <c r="CF89" s="4">
        <v>592</v>
      </c>
      <c r="CG89" s="5">
        <v>276</v>
      </c>
      <c r="CH89" s="4">
        <v>247</v>
      </c>
      <c r="CI89" s="5">
        <v>14158</v>
      </c>
      <c r="CJ89" s="4">
        <v>3380</v>
      </c>
      <c r="CK89" s="5">
        <v>197</v>
      </c>
      <c r="CL89" s="4">
        <v>162</v>
      </c>
      <c r="CM89" s="5">
        <v>2882</v>
      </c>
      <c r="CN89" s="4">
        <v>1696</v>
      </c>
      <c r="CO89" s="5">
        <v>0</v>
      </c>
      <c r="CP89" s="4">
        <v>204</v>
      </c>
      <c r="CQ89" s="5">
        <v>1942</v>
      </c>
      <c r="CR89" s="4">
        <v>1093</v>
      </c>
      <c r="CS89" s="5">
        <v>3619</v>
      </c>
      <c r="CT89" s="4">
        <v>1102</v>
      </c>
      <c r="CU89" s="5">
        <v>223</v>
      </c>
      <c r="CV89" s="4">
        <v>230</v>
      </c>
      <c r="CW89" s="5">
        <v>40</v>
      </c>
      <c r="CX89" s="4">
        <v>69</v>
      </c>
      <c r="CY89" s="5">
        <v>22089</v>
      </c>
      <c r="CZ89" s="4">
        <v>3805</v>
      </c>
      <c r="DA89" s="5">
        <v>1525</v>
      </c>
      <c r="DB89" s="4">
        <v>611</v>
      </c>
      <c r="DC89" s="5">
        <v>2027</v>
      </c>
      <c r="DD89" s="4">
        <v>859</v>
      </c>
      <c r="DE89" s="5">
        <v>353</v>
      </c>
      <c r="DF89" s="4">
        <v>514</v>
      </c>
      <c r="DG89" s="5">
        <v>80</v>
      </c>
      <c r="DH89" s="4">
        <v>132</v>
      </c>
      <c r="DI89" s="5">
        <v>779</v>
      </c>
      <c r="DJ89" s="4">
        <v>654</v>
      </c>
      <c r="DM89"/>
      <c r="DN89"/>
      <c r="DO89"/>
      <c r="DP89"/>
    </row>
    <row r="90" spans="9:120" x14ac:dyDescent="0.25">
      <c r="I90" s="6">
        <v>139830</v>
      </c>
      <c r="J90" s="7">
        <v>8282</v>
      </c>
      <c r="K90" s="5">
        <v>1201</v>
      </c>
      <c r="L90" s="4">
        <v>1083</v>
      </c>
      <c r="M90" s="3">
        <v>225</v>
      </c>
      <c r="N90" s="4">
        <v>345</v>
      </c>
      <c r="O90" s="5">
        <v>1017</v>
      </c>
      <c r="P90" s="4">
        <v>518</v>
      </c>
      <c r="Q90" s="5">
        <v>167</v>
      </c>
      <c r="R90" s="4">
        <v>201</v>
      </c>
      <c r="S90" s="5">
        <v>11556</v>
      </c>
      <c r="T90" s="4">
        <v>2290</v>
      </c>
      <c r="U90" s="5">
        <v>1388</v>
      </c>
      <c r="V90" s="4">
        <v>972</v>
      </c>
      <c r="W90" s="5">
        <v>9445</v>
      </c>
      <c r="X90" s="4">
        <v>1884</v>
      </c>
      <c r="Y90" s="5">
        <v>399</v>
      </c>
      <c r="Z90" s="4">
        <v>579</v>
      </c>
      <c r="AA90" s="5">
        <v>676</v>
      </c>
      <c r="AB90" s="4">
        <v>358</v>
      </c>
      <c r="AC90" s="5">
        <v>11396</v>
      </c>
      <c r="AD90" s="4">
        <v>2715</v>
      </c>
      <c r="AE90" s="5">
        <v>3264</v>
      </c>
      <c r="AF90" s="4">
        <v>1666</v>
      </c>
      <c r="AG90" s="5">
        <v>733</v>
      </c>
      <c r="AH90" s="4">
        <v>860</v>
      </c>
      <c r="AI90" s="5">
        <v>412</v>
      </c>
      <c r="AJ90" s="4">
        <v>695</v>
      </c>
      <c r="AK90" s="5">
        <v>2991</v>
      </c>
      <c r="AL90" s="4">
        <v>899</v>
      </c>
      <c r="AM90" s="5">
        <v>640</v>
      </c>
      <c r="AN90" s="4">
        <v>456</v>
      </c>
      <c r="AO90" s="5">
        <v>138</v>
      </c>
      <c r="AP90" s="4">
        <v>136</v>
      </c>
      <c r="AQ90" s="5">
        <v>969</v>
      </c>
      <c r="AR90" s="4">
        <v>867</v>
      </c>
      <c r="AS90" s="5">
        <v>180</v>
      </c>
      <c r="AT90" s="4">
        <v>203</v>
      </c>
      <c r="AU90" s="5">
        <v>977</v>
      </c>
      <c r="AV90" s="4">
        <v>1200</v>
      </c>
      <c r="AW90" s="5">
        <v>4006</v>
      </c>
      <c r="AX90" s="4">
        <v>1526</v>
      </c>
      <c r="AY90" s="5">
        <v>2762</v>
      </c>
      <c r="AZ90" s="4">
        <v>2048</v>
      </c>
      <c r="BA90" s="8" t="s">
        <v>60</v>
      </c>
      <c r="BB90" s="4" t="s">
        <v>60</v>
      </c>
      <c r="BC90" s="3">
        <v>2629</v>
      </c>
      <c r="BD90" s="4">
        <v>1245</v>
      </c>
      <c r="BE90" s="5">
        <v>862</v>
      </c>
      <c r="BF90" s="4">
        <v>537</v>
      </c>
      <c r="BG90" s="5">
        <v>356</v>
      </c>
      <c r="BH90" s="4">
        <v>567</v>
      </c>
      <c r="BI90" s="5">
        <v>1261</v>
      </c>
      <c r="BJ90" s="4">
        <v>654</v>
      </c>
      <c r="BK90" s="5">
        <v>596</v>
      </c>
      <c r="BL90" s="4">
        <v>719</v>
      </c>
      <c r="BM90" s="5">
        <v>637</v>
      </c>
      <c r="BN90" s="4">
        <v>727</v>
      </c>
      <c r="BO90" s="5">
        <v>163</v>
      </c>
      <c r="BP90" s="4">
        <v>158</v>
      </c>
      <c r="BQ90" s="5">
        <v>12010</v>
      </c>
      <c r="BR90" s="4">
        <v>2630</v>
      </c>
      <c r="BS90" s="5">
        <v>8332</v>
      </c>
      <c r="BT90" s="4">
        <v>1949</v>
      </c>
      <c r="BU90" s="5">
        <v>199</v>
      </c>
      <c r="BV90" s="4">
        <v>276</v>
      </c>
      <c r="BW90" s="5">
        <v>19431</v>
      </c>
      <c r="BX90" s="4">
        <v>3914</v>
      </c>
      <c r="BY90" s="5">
        <v>3964</v>
      </c>
      <c r="BZ90" s="4">
        <v>1384</v>
      </c>
      <c r="CA90" s="5">
        <v>61</v>
      </c>
      <c r="CB90" s="4">
        <v>111</v>
      </c>
      <c r="CC90" s="5">
        <v>1757</v>
      </c>
      <c r="CD90" s="4">
        <v>681</v>
      </c>
      <c r="CE90" s="5">
        <v>90</v>
      </c>
      <c r="CF90" s="4">
        <v>123</v>
      </c>
      <c r="CG90" s="5">
        <v>178</v>
      </c>
      <c r="CH90" s="4">
        <v>220</v>
      </c>
      <c r="CI90" s="5">
        <v>6538</v>
      </c>
      <c r="CJ90" s="4">
        <v>1883</v>
      </c>
      <c r="CK90" s="5">
        <v>10182</v>
      </c>
      <c r="CL90" s="4">
        <v>2144</v>
      </c>
      <c r="CM90" s="5">
        <v>1621</v>
      </c>
      <c r="CN90" s="4">
        <v>989</v>
      </c>
      <c r="CO90" s="5">
        <v>44</v>
      </c>
      <c r="CP90" s="4">
        <v>72</v>
      </c>
      <c r="CQ90" s="5">
        <v>371</v>
      </c>
      <c r="CR90" s="4">
        <v>355</v>
      </c>
      <c r="CS90" s="5">
        <v>5203</v>
      </c>
      <c r="CT90" s="4">
        <v>1491</v>
      </c>
      <c r="CU90" s="5">
        <v>548</v>
      </c>
      <c r="CV90" s="4">
        <v>411</v>
      </c>
      <c r="CW90" s="5">
        <v>2246</v>
      </c>
      <c r="CX90" s="4">
        <v>944</v>
      </c>
      <c r="CY90" s="5">
        <v>2984</v>
      </c>
      <c r="CZ90" s="4">
        <v>1241</v>
      </c>
      <c r="DA90" s="5">
        <v>1673</v>
      </c>
      <c r="DB90" s="4">
        <v>741</v>
      </c>
      <c r="DC90" s="5">
        <v>911</v>
      </c>
      <c r="DD90" s="4">
        <v>855</v>
      </c>
      <c r="DE90" s="5">
        <v>441</v>
      </c>
      <c r="DF90" s="4">
        <v>311</v>
      </c>
      <c r="DG90" s="5">
        <v>0</v>
      </c>
      <c r="DH90" s="4">
        <v>204</v>
      </c>
      <c r="DI90" s="5">
        <v>4413</v>
      </c>
      <c r="DJ90" s="4">
        <v>1542</v>
      </c>
      <c r="DM90"/>
      <c r="DN90"/>
      <c r="DO90"/>
      <c r="DP90"/>
    </row>
    <row r="91" spans="9:120" x14ac:dyDescent="0.25">
      <c r="I91" s="6">
        <v>139158</v>
      </c>
      <c r="J91" s="7">
        <v>8465</v>
      </c>
      <c r="K91" s="5">
        <v>3527</v>
      </c>
      <c r="L91" s="4">
        <v>2060</v>
      </c>
      <c r="M91" s="3">
        <v>3456</v>
      </c>
      <c r="N91" s="4">
        <v>1793</v>
      </c>
      <c r="O91" s="5">
        <v>3840</v>
      </c>
      <c r="P91" s="4">
        <v>1382</v>
      </c>
      <c r="Q91" s="5">
        <v>2054</v>
      </c>
      <c r="R91" s="4">
        <v>1024</v>
      </c>
      <c r="S91" s="5">
        <v>7793</v>
      </c>
      <c r="T91" s="4">
        <v>1752</v>
      </c>
      <c r="U91" s="5">
        <v>3425</v>
      </c>
      <c r="V91" s="4">
        <v>1462</v>
      </c>
      <c r="W91" s="5">
        <v>1656</v>
      </c>
      <c r="X91" s="4">
        <v>1087</v>
      </c>
      <c r="Y91" s="5">
        <v>0</v>
      </c>
      <c r="Z91" s="4">
        <v>167</v>
      </c>
      <c r="AA91" s="5">
        <v>256</v>
      </c>
      <c r="AB91" s="4">
        <v>259</v>
      </c>
      <c r="AC91" s="5">
        <v>17712</v>
      </c>
      <c r="AD91" s="4">
        <v>3844</v>
      </c>
      <c r="AE91" s="5">
        <v>4254</v>
      </c>
      <c r="AF91" s="4">
        <v>1566</v>
      </c>
      <c r="AG91" s="5">
        <v>630</v>
      </c>
      <c r="AH91" s="4">
        <v>469</v>
      </c>
      <c r="AI91" s="5">
        <v>882</v>
      </c>
      <c r="AJ91" s="4">
        <v>675</v>
      </c>
      <c r="AK91" s="5">
        <v>9897</v>
      </c>
      <c r="AL91" s="4">
        <v>1863</v>
      </c>
      <c r="AM91" s="5">
        <v>7668</v>
      </c>
      <c r="AN91" s="4">
        <v>1841</v>
      </c>
      <c r="AO91" s="5">
        <v>1709</v>
      </c>
      <c r="AP91" s="4">
        <v>1026</v>
      </c>
      <c r="AQ91" s="5">
        <v>1148</v>
      </c>
      <c r="AR91" s="4">
        <v>867</v>
      </c>
      <c r="AS91" s="5">
        <v>2578</v>
      </c>
      <c r="AT91" s="4">
        <v>1158</v>
      </c>
      <c r="AU91" s="5">
        <v>955</v>
      </c>
      <c r="AV91" s="4">
        <v>556</v>
      </c>
      <c r="AW91" s="5">
        <v>599</v>
      </c>
      <c r="AX91" s="4">
        <v>735</v>
      </c>
      <c r="AY91" s="5">
        <v>1035</v>
      </c>
      <c r="AZ91" s="4">
        <v>431</v>
      </c>
      <c r="BA91" s="5">
        <v>2861</v>
      </c>
      <c r="BB91" s="4">
        <v>1135</v>
      </c>
      <c r="BC91" s="8" t="s">
        <v>60</v>
      </c>
      <c r="BD91" s="4" t="s">
        <v>60</v>
      </c>
      <c r="BE91" s="3">
        <v>2671</v>
      </c>
      <c r="BF91" s="4">
        <v>1085</v>
      </c>
      <c r="BG91" s="5">
        <v>715</v>
      </c>
      <c r="BH91" s="4">
        <v>558</v>
      </c>
      <c r="BI91" s="5">
        <v>2509</v>
      </c>
      <c r="BJ91" s="4">
        <v>1200</v>
      </c>
      <c r="BK91" s="5">
        <v>84</v>
      </c>
      <c r="BL91" s="4">
        <v>105</v>
      </c>
      <c r="BM91" s="5">
        <v>439</v>
      </c>
      <c r="BN91" s="4">
        <v>312</v>
      </c>
      <c r="BO91" s="5">
        <v>1215</v>
      </c>
      <c r="BP91" s="4">
        <v>610</v>
      </c>
      <c r="BQ91" s="5">
        <v>73</v>
      </c>
      <c r="BR91" s="4">
        <v>120</v>
      </c>
      <c r="BS91" s="5">
        <v>1849</v>
      </c>
      <c r="BT91" s="4">
        <v>779</v>
      </c>
      <c r="BU91" s="5">
        <v>508</v>
      </c>
      <c r="BV91" s="4">
        <v>367</v>
      </c>
      <c r="BW91" s="5">
        <v>6087</v>
      </c>
      <c r="BX91" s="4">
        <v>2170</v>
      </c>
      <c r="BY91" s="5">
        <v>3405</v>
      </c>
      <c r="BZ91" s="4">
        <v>1427</v>
      </c>
      <c r="CA91" s="5">
        <v>159</v>
      </c>
      <c r="CB91" s="4">
        <v>164</v>
      </c>
      <c r="CC91" s="5">
        <v>11224</v>
      </c>
      <c r="CD91" s="4">
        <v>2069</v>
      </c>
      <c r="CE91" s="5">
        <v>917</v>
      </c>
      <c r="CF91" s="4">
        <v>570</v>
      </c>
      <c r="CG91" s="5">
        <v>647</v>
      </c>
      <c r="CH91" s="4">
        <v>324</v>
      </c>
      <c r="CI91" s="5">
        <v>2864</v>
      </c>
      <c r="CJ91" s="4">
        <v>1095</v>
      </c>
      <c r="CK91" s="5">
        <v>385</v>
      </c>
      <c r="CL91" s="4">
        <v>377</v>
      </c>
      <c r="CM91" s="5">
        <v>2185</v>
      </c>
      <c r="CN91" s="4">
        <v>1094</v>
      </c>
      <c r="CO91" s="5">
        <v>571</v>
      </c>
      <c r="CP91" s="4">
        <v>599</v>
      </c>
      <c r="CQ91" s="5">
        <v>3106</v>
      </c>
      <c r="CR91" s="4">
        <v>973</v>
      </c>
      <c r="CS91" s="5">
        <v>9935</v>
      </c>
      <c r="CT91" s="4">
        <v>2208</v>
      </c>
      <c r="CU91" s="5">
        <v>642</v>
      </c>
      <c r="CV91" s="4">
        <v>582</v>
      </c>
      <c r="CW91" s="5">
        <v>0</v>
      </c>
      <c r="CX91" s="4">
        <v>167</v>
      </c>
      <c r="CY91" s="5">
        <v>2327</v>
      </c>
      <c r="CZ91" s="4">
        <v>834</v>
      </c>
      <c r="DA91" s="5">
        <v>1430</v>
      </c>
      <c r="DB91" s="4">
        <v>669</v>
      </c>
      <c r="DC91" s="5">
        <v>417</v>
      </c>
      <c r="DD91" s="4">
        <v>301</v>
      </c>
      <c r="DE91" s="5">
        <v>4018</v>
      </c>
      <c r="DF91" s="4">
        <v>1002</v>
      </c>
      <c r="DG91" s="5">
        <v>841</v>
      </c>
      <c r="DH91" s="4">
        <v>655</v>
      </c>
      <c r="DI91" s="5">
        <v>908</v>
      </c>
      <c r="DJ91" s="4">
        <v>857</v>
      </c>
      <c r="DM91"/>
      <c r="DN91"/>
      <c r="DO91"/>
      <c r="DP91"/>
    </row>
    <row r="92" spans="9:120" x14ac:dyDescent="0.25">
      <c r="I92" s="6">
        <v>101029</v>
      </c>
      <c r="J92" s="7">
        <v>7052</v>
      </c>
      <c r="K92" s="5">
        <v>123</v>
      </c>
      <c r="L92" s="4">
        <v>150</v>
      </c>
      <c r="M92" s="3">
        <v>893</v>
      </c>
      <c r="N92" s="4">
        <v>619</v>
      </c>
      <c r="O92" s="5">
        <v>2314</v>
      </c>
      <c r="P92" s="4">
        <v>1071</v>
      </c>
      <c r="Q92" s="5">
        <v>951</v>
      </c>
      <c r="R92" s="4">
        <v>599</v>
      </c>
      <c r="S92" s="5">
        <v>6638</v>
      </c>
      <c r="T92" s="4">
        <v>2072</v>
      </c>
      <c r="U92" s="5">
        <v>2662</v>
      </c>
      <c r="V92" s="4">
        <v>1023</v>
      </c>
      <c r="W92" s="5">
        <v>74</v>
      </c>
      <c r="X92" s="4">
        <v>131</v>
      </c>
      <c r="Y92" s="5">
        <v>86</v>
      </c>
      <c r="Z92" s="4">
        <v>143</v>
      </c>
      <c r="AA92" s="5">
        <v>367</v>
      </c>
      <c r="AB92" s="4">
        <v>391</v>
      </c>
      <c r="AC92" s="5">
        <v>2820</v>
      </c>
      <c r="AD92" s="4">
        <v>806</v>
      </c>
      <c r="AE92" s="5">
        <v>840</v>
      </c>
      <c r="AF92" s="4">
        <v>467</v>
      </c>
      <c r="AG92" s="5">
        <v>901</v>
      </c>
      <c r="AH92" s="4">
        <v>634</v>
      </c>
      <c r="AI92" s="5">
        <v>402</v>
      </c>
      <c r="AJ92" s="4">
        <v>328</v>
      </c>
      <c r="AK92" s="5">
        <v>8209</v>
      </c>
      <c r="AL92" s="4">
        <v>2632</v>
      </c>
      <c r="AM92" s="5">
        <v>786</v>
      </c>
      <c r="AN92" s="4">
        <v>470</v>
      </c>
      <c r="AO92" s="5">
        <v>6175</v>
      </c>
      <c r="AP92" s="4">
        <v>1326</v>
      </c>
      <c r="AQ92" s="5">
        <v>606</v>
      </c>
      <c r="AR92" s="4">
        <v>324</v>
      </c>
      <c r="AS92" s="5">
        <v>755</v>
      </c>
      <c r="AT92" s="4">
        <v>580</v>
      </c>
      <c r="AU92" s="5">
        <v>573</v>
      </c>
      <c r="AV92" s="4">
        <v>599</v>
      </c>
      <c r="AW92" s="5">
        <v>321</v>
      </c>
      <c r="AX92" s="4">
        <v>343</v>
      </c>
      <c r="AY92" s="5">
        <v>424</v>
      </c>
      <c r="AZ92" s="4">
        <v>382</v>
      </c>
      <c r="BA92" s="5">
        <v>970</v>
      </c>
      <c r="BB92" s="4">
        <v>422</v>
      </c>
      <c r="BC92" s="5">
        <v>5164</v>
      </c>
      <c r="BD92" s="4">
        <v>2149</v>
      </c>
      <c r="BE92" s="8" t="s">
        <v>60</v>
      </c>
      <c r="BF92" s="4" t="s">
        <v>60</v>
      </c>
      <c r="BG92" s="3">
        <v>549</v>
      </c>
      <c r="BH92" s="4">
        <v>593</v>
      </c>
      <c r="BI92" s="5">
        <v>1345</v>
      </c>
      <c r="BJ92" s="4">
        <v>712</v>
      </c>
      <c r="BK92" s="5">
        <v>1457</v>
      </c>
      <c r="BL92" s="4">
        <v>859</v>
      </c>
      <c r="BM92" s="5">
        <v>1936</v>
      </c>
      <c r="BN92" s="4">
        <v>821</v>
      </c>
      <c r="BO92" s="5">
        <v>2682</v>
      </c>
      <c r="BP92" s="4">
        <v>1858</v>
      </c>
      <c r="BQ92" s="5">
        <v>21</v>
      </c>
      <c r="BR92" s="4">
        <v>26</v>
      </c>
      <c r="BS92" s="5">
        <v>631</v>
      </c>
      <c r="BT92" s="4">
        <v>522</v>
      </c>
      <c r="BU92" s="5">
        <v>540</v>
      </c>
      <c r="BV92" s="4">
        <v>319</v>
      </c>
      <c r="BW92" s="5">
        <v>2416</v>
      </c>
      <c r="BX92" s="4">
        <v>913</v>
      </c>
      <c r="BY92" s="5">
        <v>845</v>
      </c>
      <c r="BZ92" s="4">
        <v>520</v>
      </c>
      <c r="CA92" s="5">
        <v>7574</v>
      </c>
      <c r="CB92" s="4">
        <v>1390</v>
      </c>
      <c r="CC92" s="5">
        <v>1961</v>
      </c>
      <c r="CD92" s="4">
        <v>1059</v>
      </c>
      <c r="CE92" s="5">
        <v>546</v>
      </c>
      <c r="CF92" s="4">
        <v>399</v>
      </c>
      <c r="CG92" s="5">
        <v>1800</v>
      </c>
      <c r="CH92" s="4">
        <v>1169</v>
      </c>
      <c r="CI92" s="5">
        <v>870</v>
      </c>
      <c r="CJ92" s="4">
        <v>509</v>
      </c>
      <c r="CK92" s="5">
        <v>0</v>
      </c>
      <c r="CL92" s="4">
        <v>143</v>
      </c>
      <c r="CM92" s="5">
        <v>447</v>
      </c>
      <c r="CN92" s="4">
        <v>428</v>
      </c>
      <c r="CO92" s="5">
        <v>5305</v>
      </c>
      <c r="CP92" s="4">
        <v>1596</v>
      </c>
      <c r="CQ92" s="5">
        <v>874</v>
      </c>
      <c r="CR92" s="4">
        <v>489</v>
      </c>
      <c r="CS92" s="5">
        <v>3062</v>
      </c>
      <c r="CT92" s="4">
        <v>1108</v>
      </c>
      <c r="CU92" s="5">
        <v>919</v>
      </c>
      <c r="CV92" s="4">
        <v>742</v>
      </c>
      <c r="CW92" s="5">
        <v>177</v>
      </c>
      <c r="CX92" s="4">
        <v>161</v>
      </c>
      <c r="CY92" s="5">
        <v>1034</v>
      </c>
      <c r="CZ92" s="4">
        <v>420</v>
      </c>
      <c r="DA92" s="5">
        <v>1413</v>
      </c>
      <c r="DB92" s="4">
        <v>656</v>
      </c>
      <c r="DC92" s="5">
        <v>92</v>
      </c>
      <c r="DD92" s="4">
        <v>98</v>
      </c>
      <c r="DE92" s="5">
        <v>19255</v>
      </c>
      <c r="DF92" s="4">
        <v>2960</v>
      </c>
      <c r="DG92" s="5">
        <v>224</v>
      </c>
      <c r="DH92" s="4">
        <v>178</v>
      </c>
      <c r="DI92" s="5">
        <v>54</v>
      </c>
      <c r="DJ92" s="4">
        <v>91</v>
      </c>
      <c r="DM92"/>
      <c r="DN92"/>
      <c r="DO92"/>
      <c r="DP92"/>
    </row>
    <row r="93" spans="9:120" x14ac:dyDescent="0.25">
      <c r="I93" s="6">
        <v>68511</v>
      </c>
      <c r="J93" s="7">
        <v>5606</v>
      </c>
      <c r="K93" s="5">
        <v>8922</v>
      </c>
      <c r="L93" s="4">
        <v>2639</v>
      </c>
      <c r="M93" s="3">
        <v>117</v>
      </c>
      <c r="N93" s="4">
        <v>102</v>
      </c>
      <c r="O93" s="5">
        <v>556</v>
      </c>
      <c r="P93" s="4">
        <v>405</v>
      </c>
      <c r="Q93" s="5">
        <v>2315</v>
      </c>
      <c r="R93" s="4">
        <v>1360</v>
      </c>
      <c r="S93" s="5">
        <v>4723</v>
      </c>
      <c r="T93" s="4">
        <v>1290</v>
      </c>
      <c r="U93" s="5">
        <v>484</v>
      </c>
      <c r="V93" s="4">
        <v>453</v>
      </c>
      <c r="W93" s="5">
        <v>54</v>
      </c>
      <c r="X93" s="4">
        <v>74</v>
      </c>
      <c r="Y93" s="5">
        <v>0</v>
      </c>
      <c r="Z93" s="4">
        <v>206</v>
      </c>
      <c r="AA93" s="5">
        <v>415</v>
      </c>
      <c r="AB93" s="4">
        <v>434</v>
      </c>
      <c r="AC93" s="5">
        <v>6152</v>
      </c>
      <c r="AD93" s="4">
        <v>2463</v>
      </c>
      <c r="AE93" s="5">
        <v>3136</v>
      </c>
      <c r="AF93" s="4">
        <v>1397</v>
      </c>
      <c r="AG93" s="5">
        <v>369</v>
      </c>
      <c r="AH93" s="4">
        <v>429</v>
      </c>
      <c r="AI93" s="5">
        <v>55</v>
      </c>
      <c r="AJ93" s="4">
        <v>82</v>
      </c>
      <c r="AK93" s="5">
        <v>2068</v>
      </c>
      <c r="AL93" s="4">
        <v>853</v>
      </c>
      <c r="AM93" s="5">
        <v>611</v>
      </c>
      <c r="AN93" s="4">
        <v>411</v>
      </c>
      <c r="AO93" s="5">
        <v>650</v>
      </c>
      <c r="AP93" s="4">
        <v>603</v>
      </c>
      <c r="AQ93" s="5">
        <v>66</v>
      </c>
      <c r="AR93" s="4">
        <v>90</v>
      </c>
      <c r="AS93" s="5">
        <v>1626</v>
      </c>
      <c r="AT93" s="4">
        <v>841</v>
      </c>
      <c r="AU93" s="5">
        <v>7139</v>
      </c>
      <c r="AV93" s="4">
        <v>1767</v>
      </c>
      <c r="AW93" s="5">
        <v>0</v>
      </c>
      <c r="AX93" s="4">
        <v>206</v>
      </c>
      <c r="AY93" s="5">
        <v>265</v>
      </c>
      <c r="AZ93" s="4">
        <v>239</v>
      </c>
      <c r="BA93" s="5">
        <v>1445</v>
      </c>
      <c r="BB93" s="4">
        <v>1561</v>
      </c>
      <c r="BC93" s="5">
        <v>1610</v>
      </c>
      <c r="BD93" s="4">
        <v>900</v>
      </c>
      <c r="BE93" s="5">
        <v>614</v>
      </c>
      <c r="BF93" s="4">
        <v>615</v>
      </c>
      <c r="BG93" s="8" t="s">
        <v>60</v>
      </c>
      <c r="BH93" s="4" t="s">
        <v>60</v>
      </c>
      <c r="BI93" s="3">
        <v>1581</v>
      </c>
      <c r="BJ93" s="4">
        <v>973</v>
      </c>
      <c r="BK93" s="5">
        <v>0</v>
      </c>
      <c r="BL93" s="4">
        <v>206</v>
      </c>
      <c r="BM93" s="5">
        <v>118</v>
      </c>
      <c r="BN93" s="4">
        <v>198</v>
      </c>
      <c r="BO93" s="5">
        <v>84</v>
      </c>
      <c r="BP93" s="4">
        <v>141</v>
      </c>
      <c r="BQ93" s="5">
        <v>65</v>
      </c>
      <c r="BR93" s="4">
        <v>135</v>
      </c>
      <c r="BS93" s="5">
        <v>269</v>
      </c>
      <c r="BT93" s="4">
        <v>293</v>
      </c>
      <c r="BU93" s="5">
        <v>1075</v>
      </c>
      <c r="BV93" s="4">
        <v>1040</v>
      </c>
      <c r="BW93" s="5">
        <v>364</v>
      </c>
      <c r="BX93" s="4">
        <v>449</v>
      </c>
      <c r="BY93" s="5">
        <v>483</v>
      </c>
      <c r="BZ93" s="4">
        <v>299</v>
      </c>
      <c r="CA93" s="5">
        <v>0</v>
      </c>
      <c r="CB93" s="4">
        <v>206</v>
      </c>
      <c r="CC93" s="5">
        <v>991</v>
      </c>
      <c r="CD93" s="4">
        <v>536</v>
      </c>
      <c r="CE93" s="5">
        <v>566</v>
      </c>
      <c r="CF93" s="4">
        <v>362</v>
      </c>
      <c r="CG93" s="5">
        <v>74</v>
      </c>
      <c r="CH93" s="4">
        <v>107</v>
      </c>
      <c r="CI93" s="5">
        <v>2568</v>
      </c>
      <c r="CJ93" s="4">
        <v>1700</v>
      </c>
      <c r="CK93" s="5">
        <v>41</v>
      </c>
      <c r="CL93" s="4">
        <v>89</v>
      </c>
      <c r="CM93" s="5">
        <v>398</v>
      </c>
      <c r="CN93" s="4">
        <v>320</v>
      </c>
      <c r="CO93" s="5">
        <v>6</v>
      </c>
      <c r="CP93" s="4">
        <v>15</v>
      </c>
      <c r="CQ93" s="5">
        <v>7683</v>
      </c>
      <c r="CR93" s="4">
        <v>2248</v>
      </c>
      <c r="CS93" s="5">
        <v>5243</v>
      </c>
      <c r="CT93" s="4">
        <v>1807</v>
      </c>
      <c r="CU93" s="5">
        <v>332</v>
      </c>
      <c r="CV93" s="4">
        <v>520</v>
      </c>
      <c r="CW93" s="5">
        <v>0</v>
      </c>
      <c r="CX93" s="4">
        <v>206</v>
      </c>
      <c r="CY93" s="5">
        <v>1453</v>
      </c>
      <c r="CZ93" s="4">
        <v>805</v>
      </c>
      <c r="DA93" s="5">
        <v>286</v>
      </c>
      <c r="DB93" s="4">
        <v>252</v>
      </c>
      <c r="DC93" s="5">
        <v>303</v>
      </c>
      <c r="DD93" s="4">
        <v>411</v>
      </c>
      <c r="DE93" s="5">
        <v>1136</v>
      </c>
      <c r="DF93" s="4">
        <v>1061</v>
      </c>
      <c r="DG93" s="5">
        <v>0</v>
      </c>
      <c r="DH93" s="4">
        <v>206</v>
      </c>
      <c r="DI93" s="5">
        <v>318</v>
      </c>
      <c r="DJ93" s="4">
        <v>411</v>
      </c>
      <c r="DM93"/>
      <c r="DN93"/>
      <c r="DO93"/>
      <c r="DP93"/>
    </row>
    <row r="94" spans="9:120" x14ac:dyDescent="0.25">
      <c r="I94" s="6">
        <v>149439</v>
      </c>
      <c r="J94" s="7">
        <v>9288</v>
      </c>
      <c r="K94" s="5">
        <v>1395</v>
      </c>
      <c r="L94" s="4">
        <v>654</v>
      </c>
      <c r="M94" s="3">
        <v>2043</v>
      </c>
      <c r="N94" s="4">
        <v>2471</v>
      </c>
      <c r="O94" s="5">
        <v>2356</v>
      </c>
      <c r="P94" s="4">
        <v>1028</v>
      </c>
      <c r="Q94" s="5">
        <v>6168</v>
      </c>
      <c r="R94" s="4">
        <v>1528</v>
      </c>
      <c r="S94" s="5">
        <v>8386</v>
      </c>
      <c r="T94" s="4">
        <v>1909</v>
      </c>
      <c r="U94" s="5">
        <v>3144</v>
      </c>
      <c r="V94" s="4">
        <v>1163</v>
      </c>
      <c r="W94" s="5">
        <v>1516</v>
      </c>
      <c r="X94" s="4">
        <v>1078</v>
      </c>
      <c r="Y94" s="5">
        <v>0</v>
      </c>
      <c r="Z94" s="4">
        <v>184</v>
      </c>
      <c r="AA94" s="5">
        <v>215</v>
      </c>
      <c r="AB94" s="4">
        <v>254</v>
      </c>
      <c r="AC94" s="5">
        <v>4513</v>
      </c>
      <c r="AD94" s="4">
        <v>1398</v>
      </c>
      <c r="AE94" s="5">
        <v>2964</v>
      </c>
      <c r="AF94" s="4">
        <v>972</v>
      </c>
      <c r="AG94" s="5">
        <v>871</v>
      </c>
      <c r="AH94" s="4">
        <v>517</v>
      </c>
      <c r="AI94" s="5">
        <v>560</v>
      </c>
      <c r="AJ94" s="4">
        <v>439</v>
      </c>
      <c r="AK94" s="5">
        <v>20161</v>
      </c>
      <c r="AL94" s="4">
        <v>3086</v>
      </c>
      <c r="AM94" s="5">
        <v>4404</v>
      </c>
      <c r="AN94" s="4">
        <v>1588</v>
      </c>
      <c r="AO94" s="5">
        <v>4811</v>
      </c>
      <c r="AP94" s="4">
        <v>1405</v>
      </c>
      <c r="AQ94" s="5">
        <v>20884</v>
      </c>
      <c r="AR94" s="4">
        <v>4170</v>
      </c>
      <c r="AS94" s="5">
        <v>1993</v>
      </c>
      <c r="AT94" s="4">
        <v>803</v>
      </c>
      <c r="AU94" s="5">
        <v>1728</v>
      </c>
      <c r="AV94" s="4">
        <v>905</v>
      </c>
      <c r="AW94" s="5">
        <v>291</v>
      </c>
      <c r="AX94" s="4">
        <v>295</v>
      </c>
      <c r="AY94" s="5">
        <v>716</v>
      </c>
      <c r="AZ94" s="4">
        <v>317</v>
      </c>
      <c r="BA94" s="5">
        <v>463</v>
      </c>
      <c r="BB94" s="4">
        <v>306</v>
      </c>
      <c r="BC94" s="5">
        <v>2830</v>
      </c>
      <c r="BD94" s="4">
        <v>1176</v>
      </c>
      <c r="BE94" s="5">
        <v>2026</v>
      </c>
      <c r="BF94" s="4">
        <v>809</v>
      </c>
      <c r="BG94" s="5">
        <v>1641</v>
      </c>
      <c r="BH94" s="4">
        <v>884</v>
      </c>
      <c r="BI94" s="8" t="s">
        <v>60</v>
      </c>
      <c r="BJ94" s="4" t="s">
        <v>60</v>
      </c>
      <c r="BK94" s="3">
        <v>845</v>
      </c>
      <c r="BL94" s="4">
        <v>541</v>
      </c>
      <c r="BM94" s="5">
        <v>4860</v>
      </c>
      <c r="BN94" s="4">
        <v>1645</v>
      </c>
      <c r="BO94" s="5">
        <v>1544</v>
      </c>
      <c r="BP94" s="4">
        <v>830</v>
      </c>
      <c r="BQ94" s="5">
        <v>769</v>
      </c>
      <c r="BR94" s="4">
        <v>750</v>
      </c>
      <c r="BS94" s="5">
        <v>1114</v>
      </c>
      <c r="BT94" s="4">
        <v>755</v>
      </c>
      <c r="BU94" s="5">
        <v>1016</v>
      </c>
      <c r="BV94" s="4">
        <v>718</v>
      </c>
      <c r="BW94" s="5">
        <v>2904</v>
      </c>
      <c r="BX94" s="4">
        <v>1260</v>
      </c>
      <c r="BY94" s="5">
        <v>3669</v>
      </c>
      <c r="BZ94" s="4">
        <v>1527</v>
      </c>
      <c r="CA94" s="5">
        <v>977</v>
      </c>
      <c r="CB94" s="4">
        <v>446</v>
      </c>
      <c r="CC94" s="5">
        <v>3240</v>
      </c>
      <c r="CD94" s="4">
        <v>1684</v>
      </c>
      <c r="CE94" s="5">
        <v>6073</v>
      </c>
      <c r="CF94" s="4">
        <v>2312</v>
      </c>
      <c r="CG94" s="5">
        <v>777</v>
      </c>
      <c r="CH94" s="4">
        <v>538</v>
      </c>
      <c r="CI94" s="5">
        <v>1810</v>
      </c>
      <c r="CJ94" s="4">
        <v>1085</v>
      </c>
      <c r="CK94" s="5">
        <v>359</v>
      </c>
      <c r="CL94" s="4">
        <v>424</v>
      </c>
      <c r="CM94" s="5">
        <v>267</v>
      </c>
      <c r="CN94" s="4">
        <v>237</v>
      </c>
      <c r="CO94" s="5">
        <v>361</v>
      </c>
      <c r="CP94" s="4">
        <v>296</v>
      </c>
      <c r="CQ94" s="5">
        <v>2676</v>
      </c>
      <c r="CR94" s="4">
        <v>1056</v>
      </c>
      <c r="CS94" s="5">
        <v>10293</v>
      </c>
      <c r="CT94" s="4">
        <v>2994</v>
      </c>
      <c r="CU94" s="5">
        <v>1697</v>
      </c>
      <c r="CV94" s="4">
        <v>946</v>
      </c>
      <c r="CW94" s="5">
        <v>88</v>
      </c>
      <c r="CX94" s="4">
        <v>195</v>
      </c>
      <c r="CY94" s="5">
        <v>2684</v>
      </c>
      <c r="CZ94" s="4">
        <v>1493</v>
      </c>
      <c r="DA94" s="5">
        <v>2518</v>
      </c>
      <c r="DB94" s="4">
        <v>843</v>
      </c>
      <c r="DC94" s="5">
        <v>196</v>
      </c>
      <c r="DD94" s="4">
        <v>214</v>
      </c>
      <c r="DE94" s="5">
        <v>1503</v>
      </c>
      <c r="DF94" s="4">
        <v>671</v>
      </c>
      <c r="DG94" s="5">
        <v>1120</v>
      </c>
      <c r="DH94" s="4">
        <v>900</v>
      </c>
      <c r="DI94" s="5">
        <v>709</v>
      </c>
      <c r="DJ94" s="4">
        <v>463</v>
      </c>
      <c r="DM94"/>
      <c r="DN94"/>
      <c r="DO94"/>
      <c r="DP94"/>
    </row>
    <row r="95" spans="9:120" x14ac:dyDescent="0.25">
      <c r="I95" s="6">
        <v>33553</v>
      </c>
      <c r="J95" s="7">
        <v>4015</v>
      </c>
      <c r="K95" s="5">
        <v>449</v>
      </c>
      <c r="L95" s="4">
        <v>318</v>
      </c>
      <c r="M95" s="3">
        <v>1118</v>
      </c>
      <c r="N95" s="4">
        <v>921</v>
      </c>
      <c r="O95" s="5">
        <v>1971</v>
      </c>
      <c r="P95" s="4">
        <v>1358</v>
      </c>
      <c r="Q95" s="5">
        <v>49</v>
      </c>
      <c r="R95" s="4">
        <v>70</v>
      </c>
      <c r="S95" s="5">
        <v>3033</v>
      </c>
      <c r="T95" s="4">
        <v>1110</v>
      </c>
      <c r="U95" s="5">
        <v>2856</v>
      </c>
      <c r="V95" s="4">
        <v>1265</v>
      </c>
      <c r="W95" s="5">
        <v>58</v>
      </c>
      <c r="X95" s="4">
        <v>72</v>
      </c>
      <c r="Y95" s="5">
        <v>365</v>
      </c>
      <c r="Z95" s="4">
        <v>392</v>
      </c>
      <c r="AA95" s="5">
        <v>0</v>
      </c>
      <c r="AB95" s="4">
        <v>165</v>
      </c>
      <c r="AC95" s="5">
        <v>291</v>
      </c>
      <c r="AD95" s="4">
        <v>235</v>
      </c>
      <c r="AE95" s="5">
        <v>231</v>
      </c>
      <c r="AF95" s="4">
        <v>193</v>
      </c>
      <c r="AG95" s="5">
        <v>32</v>
      </c>
      <c r="AH95" s="4">
        <v>35</v>
      </c>
      <c r="AI95" s="5">
        <v>1543</v>
      </c>
      <c r="AJ95" s="4">
        <v>1005</v>
      </c>
      <c r="AK95" s="5">
        <v>765</v>
      </c>
      <c r="AL95" s="4">
        <v>526</v>
      </c>
      <c r="AM95" s="5">
        <v>646</v>
      </c>
      <c r="AN95" s="4">
        <v>646</v>
      </c>
      <c r="AO95" s="5">
        <v>417</v>
      </c>
      <c r="AP95" s="4">
        <v>307</v>
      </c>
      <c r="AQ95" s="5">
        <v>845</v>
      </c>
      <c r="AR95" s="4">
        <v>492</v>
      </c>
      <c r="AS95" s="5">
        <v>0</v>
      </c>
      <c r="AT95" s="4">
        <v>165</v>
      </c>
      <c r="AU95" s="5">
        <v>0</v>
      </c>
      <c r="AV95" s="4">
        <v>165</v>
      </c>
      <c r="AW95" s="5">
        <v>71</v>
      </c>
      <c r="AX95" s="4">
        <v>127</v>
      </c>
      <c r="AY95" s="5">
        <v>57</v>
      </c>
      <c r="AZ95" s="4">
        <v>71</v>
      </c>
      <c r="BA95" s="5">
        <v>10</v>
      </c>
      <c r="BB95" s="4">
        <v>18</v>
      </c>
      <c r="BC95" s="5">
        <v>353</v>
      </c>
      <c r="BD95" s="4">
        <v>295</v>
      </c>
      <c r="BE95" s="5">
        <v>969</v>
      </c>
      <c r="BF95" s="4">
        <v>634</v>
      </c>
      <c r="BG95" s="5">
        <v>0</v>
      </c>
      <c r="BH95" s="4">
        <v>165</v>
      </c>
      <c r="BI95" s="5">
        <v>158</v>
      </c>
      <c r="BJ95" s="4">
        <v>220</v>
      </c>
      <c r="BK95" s="8" t="s">
        <v>60</v>
      </c>
      <c r="BL95" s="4" t="s">
        <v>60</v>
      </c>
      <c r="BM95" s="3">
        <v>384</v>
      </c>
      <c r="BN95" s="4">
        <v>392</v>
      </c>
      <c r="BO95" s="5">
        <v>688</v>
      </c>
      <c r="BP95" s="4">
        <v>543</v>
      </c>
      <c r="BQ95" s="5">
        <v>0</v>
      </c>
      <c r="BR95" s="4">
        <v>165</v>
      </c>
      <c r="BS95" s="5">
        <v>889</v>
      </c>
      <c r="BT95" s="4">
        <v>589</v>
      </c>
      <c r="BU95" s="5">
        <v>264</v>
      </c>
      <c r="BV95" s="4">
        <v>389</v>
      </c>
      <c r="BW95" s="5">
        <v>422</v>
      </c>
      <c r="BX95" s="4">
        <v>377</v>
      </c>
      <c r="BY95" s="5">
        <v>1173</v>
      </c>
      <c r="BZ95" s="4">
        <v>982</v>
      </c>
      <c r="CA95" s="5">
        <v>360</v>
      </c>
      <c r="CB95" s="4">
        <v>250</v>
      </c>
      <c r="CC95" s="5">
        <v>321</v>
      </c>
      <c r="CD95" s="4">
        <v>409</v>
      </c>
      <c r="CE95" s="5">
        <v>96</v>
      </c>
      <c r="CF95" s="4">
        <v>127</v>
      </c>
      <c r="CG95" s="5">
        <v>1959</v>
      </c>
      <c r="CH95" s="4">
        <v>914</v>
      </c>
      <c r="CI95" s="5">
        <v>840</v>
      </c>
      <c r="CJ95" s="4">
        <v>640</v>
      </c>
      <c r="CK95" s="5">
        <v>0</v>
      </c>
      <c r="CL95" s="4">
        <v>165</v>
      </c>
      <c r="CM95" s="5">
        <v>77</v>
      </c>
      <c r="CN95" s="4">
        <v>92</v>
      </c>
      <c r="CO95" s="5">
        <v>227</v>
      </c>
      <c r="CP95" s="4">
        <v>233</v>
      </c>
      <c r="CQ95" s="5">
        <v>266</v>
      </c>
      <c r="CR95" s="4">
        <v>237</v>
      </c>
      <c r="CS95" s="5">
        <v>1329</v>
      </c>
      <c r="CT95" s="4">
        <v>643</v>
      </c>
      <c r="CU95" s="5">
        <v>1232</v>
      </c>
      <c r="CV95" s="4">
        <v>623</v>
      </c>
      <c r="CW95" s="5">
        <v>53</v>
      </c>
      <c r="CX95" s="4">
        <v>71</v>
      </c>
      <c r="CY95" s="5">
        <v>278</v>
      </c>
      <c r="CZ95" s="4">
        <v>288</v>
      </c>
      <c r="DA95" s="5">
        <v>3835</v>
      </c>
      <c r="DB95" s="4">
        <v>1160</v>
      </c>
      <c r="DC95" s="5">
        <v>14</v>
      </c>
      <c r="DD95" s="4">
        <v>28</v>
      </c>
      <c r="DE95" s="5">
        <v>146</v>
      </c>
      <c r="DF95" s="4">
        <v>184</v>
      </c>
      <c r="DG95" s="5">
        <v>2413</v>
      </c>
      <c r="DH95" s="4">
        <v>1709</v>
      </c>
      <c r="DI95" s="5">
        <v>353</v>
      </c>
      <c r="DJ95" s="4">
        <v>522</v>
      </c>
      <c r="DM95"/>
      <c r="DN95"/>
      <c r="DO95"/>
      <c r="DP95"/>
    </row>
    <row r="96" spans="9:120" x14ac:dyDescent="0.25">
      <c r="I96" s="6">
        <v>52070</v>
      </c>
      <c r="J96" s="7">
        <v>5507</v>
      </c>
      <c r="K96" s="5">
        <v>169</v>
      </c>
      <c r="L96" s="4">
        <v>271</v>
      </c>
      <c r="M96" s="5">
        <v>721</v>
      </c>
      <c r="N96" s="4">
        <v>785</v>
      </c>
      <c r="O96" s="5">
        <v>1646</v>
      </c>
      <c r="P96" s="4">
        <v>898</v>
      </c>
      <c r="Q96" s="5">
        <v>161</v>
      </c>
      <c r="R96" s="4">
        <v>146</v>
      </c>
      <c r="S96" s="5">
        <v>5124</v>
      </c>
      <c r="T96" s="4">
        <v>1727</v>
      </c>
      <c r="U96" s="5">
        <v>3245</v>
      </c>
      <c r="V96" s="4">
        <v>962</v>
      </c>
      <c r="W96" s="5">
        <v>381</v>
      </c>
      <c r="X96" s="4">
        <v>372</v>
      </c>
      <c r="Y96" s="5">
        <v>0</v>
      </c>
      <c r="Z96" s="4">
        <v>155</v>
      </c>
      <c r="AA96" s="5">
        <v>29</v>
      </c>
      <c r="AB96" s="4">
        <v>48</v>
      </c>
      <c r="AC96" s="5">
        <v>1105</v>
      </c>
      <c r="AD96" s="4">
        <v>499</v>
      </c>
      <c r="AE96" s="5">
        <v>434</v>
      </c>
      <c r="AF96" s="4">
        <v>358</v>
      </c>
      <c r="AG96" s="5">
        <v>275</v>
      </c>
      <c r="AH96" s="4">
        <v>215</v>
      </c>
      <c r="AI96" s="5">
        <v>506</v>
      </c>
      <c r="AJ96" s="4">
        <v>464</v>
      </c>
      <c r="AK96" s="5">
        <v>1415</v>
      </c>
      <c r="AL96" s="4">
        <v>777</v>
      </c>
      <c r="AM96" s="5">
        <v>615</v>
      </c>
      <c r="AN96" s="4">
        <v>541</v>
      </c>
      <c r="AO96" s="5">
        <v>9575</v>
      </c>
      <c r="AP96" s="4">
        <v>2602</v>
      </c>
      <c r="AQ96" s="5">
        <v>3040</v>
      </c>
      <c r="AR96" s="4">
        <v>1210</v>
      </c>
      <c r="AS96" s="5">
        <v>352</v>
      </c>
      <c r="AT96" s="4">
        <v>457</v>
      </c>
      <c r="AU96" s="5">
        <v>222</v>
      </c>
      <c r="AV96" s="4">
        <v>253</v>
      </c>
      <c r="AW96" s="5">
        <v>122</v>
      </c>
      <c r="AX96" s="4">
        <v>127</v>
      </c>
      <c r="AY96" s="5">
        <v>318</v>
      </c>
      <c r="AZ96" s="4">
        <v>344</v>
      </c>
      <c r="BA96" s="5">
        <v>0</v>
      </c>
      <c r="BB96" s="4">
        <v>155</v>
      </c>
      <c r="BC96" s="5">
        <v>683</v>
      </c>
      <c r="BD96" s="4">
        <v>435</v>
      </c>
      <c r="BE96" s="5">
        <v>1455</v>
      </c>
      <c r="BF96" s="4">
        <v>1009</v>
      </c>
      <c r="BG96" s="5">
        <v>424</v>
      </c>
      <c r="BH96" s="4">
        <v>430</v>
      </c>
      <c r="BI96" s="5">
        <v>1848</v>
      </c>
      <c r="BJ96" s="4">
        <v>771</v>
      </c>
      <c r="BK96" s="5">
        <v>64</v>
      </c>
      <c r="BL96" s="4">
        <v>88</v>
      </c>
      <c r="BM96" s="8" t="s">
        <v>60</v>
      </c>
      <c r="BN96" s="4" t="s">
        <v>60</v>
      </c>
      <c r="BO96" s="3">
        <v>240</v>
      </c>
      <c r="BP96" s="4">
        <v>165</v>
      </c>
      <c r="BQ96" s="5">
        <v>0</v>
      </c>
      <c r="BR96" s="4">
        <v>155</v>
      </c>
      <c r="BS96" s="5">
        <v>119</v>
      </c>
      <c r="BT96" s="4">
        <v>101</v>
      </c>
      <c r="BU96" s="5">
        <v>242</v>
      </c>
      <c r="BV96" s="4">
        <v>326</v>
      </c>
      <c r="BW96" s="5">
        <v>544</v>
      </c>
      <c r="BX96" s="4">
        <v>349</v>
      </c>
      <c r="BY96" s="5">
        <v>829</v>
      </c>
      <c r="BZ96" s="4">
        <v>872</v>
      </c>
      <c r="CA96" s="5">
        <v>292</v>
      </c>
      <c r="CB96" s="4">
        <v>213</v>
      </c>
      <c r="CC96" s="5">
        <v>268</v>
      </c>
      <c r="CD96" s="4">
        <v>250</v>
      </c>
      <c r="CE96" s="5">
        <v>1255</v>
      </c>
      <c r="CF96" s="4">
        <v>884</v>
      </c>
      <c r="CG96" s="5">
        <v>1556</v>
      </c>
      <c r="CH96" s="4">
        <v>1249</v>
      </c>
      <c r="CI96" s="5">
        <v>252</v>
      </c>
      <c r="CJ96" s="4">
        <v>179</v>
      </c>
      <c r="CK96" s="5">
        <v>0</v>
      </c>
      <c r="CL96" s="4">
        <v>155</v>
      </c>
      <c r="CM96" s="5">
        <v>243</v>
      </c>
      <c r="CN96" s="4">
        <v>285</v>
      </c>
      <c r="CO96" s="5">
        <v>2999</v>
      </c>
      <c r="CP96" s="4">
        <v>1280</v>
      </c>
      <c r="CQ96" s="5">
        <v>226</v>
      </c>
      <c r="CR96" s="4">
        <v>244</v>
      </c>
      <c r="CS96" s="5">
        <v>5343</v>
      </c>
      <c r="CT96" s="4">
        <v>2737</v>
      </c>
      <c r="CU96" s="5">
        <v>734</v>
      </c>
      <c r="CV96" s="4">
        <v>507</v>
      </c>
      <c r="CW96" s="5">
        <v>0</v>
      </c>
      <c r="CX96" s="4">
        <v>155</v>
      </c>
      <c r="CY96" s="5">
        <v>615</v>
      </c>
      <c r="CZ96" s="4">
        <v>478</v>
      </c>
      <c r="DA96" s="5">
        <v>835</v>
      </c>
      <c r="DB96" s="4">
        <v>593</v>
      </c>
      <c r="DC96" s="5">
        <v>24</v>
      </c>
      <c r="DD96" s="4">
        <v>40</v>
      </c>
      <c r="DE96" s="5">
        <v>560</v>
      </c>
      <c r="DF96" s="4">
        <v>427</v>
      </c>
      <c r="DG96" s="5">
        <v>965</v>
      </c>
      <c r="DH96" s="4">
        <v>421</v>
      </c>
      <c r="DI96" s="5">
        <v>0</v>
      </c>
      <c r="DJ96" s="4">
        <v>155</v>
      </c>
      <c r="DM96"/>
      <c r="DN96"/>
      <c r="DO96"/>
      <c r="DP96"/>
    </row>
    <row r="97" spans="9:120" x14ac:dyDescent="0.25">
      <c r="I97" s="6">
        <v>110345</v>
      </c>
      <c r="J97" s="7">
        <v>9419</v>
      </c>
      <c r="K97" s="5">
        <v>280</v>
      </c>
      <c r="L97" s="4">
        <v>330</v>
      </c>
      <c r="M97" s="5">
        <v>597</v>
      </c>
      <c r="N97" s="4">
        <v>525</v>
      </c>
      <c r="O97" s="5">
        <v>10142</v>
      </c>
      <c r="P97" s="4">
        <v>4338</v>
      </c>
      <c r="Q97" s="5">
        <v>310</v>
      </c>
      <c r="R97" s="4">
        <v>358</v>
      </c>
      <c r="S97" s="5">
        <v>40114</v>
      </c>
      <c r="T97" s="4">
        <v>5354</v>
      </c>
      <c r="U97" s="5">
        <v>2714</v>
      </c>
      <c r="V97" s="4">
        <v>1470</v>
      </c>
      <c r="W97" s="5">
        <v>189</v>
      </c>
      <c r="X97" s="4">
        <v>163</v>
      </c>
      <c r="Y97" s="5">
        <v>184</v>
      </c>
      <c r="Z97" s="4">
        <v>226</v>
      </c>
      <c r="AA97" s="5">
        <v>983</v>
      </c>
      <c r="AB97" s="4">
        <v>1261</v>
      </c>
      <c r="AC97" s="5">
        <v>2923</v>
      </c>
      <c r="AD97" s="4">
        <v>1608</v>
      </c>
      <c r="AE97" s="5">
        <v>1731</v>
      </c>
      <c r="AF97" s="4">
        <v>909</v>
      </c>
      <c r="AG97" s="5">
        <v>4093</v>
      </c>
      <c r="AH97" s="4">
        <v>2643</v>
      </c>
      <c r="AI97" s="5">
        <v>3929</v>
      </c>
      <c r="AJ97" s="4">
        <v>1734</v>
      </c>
      <c r="AK97" s="5">
        <v>1668</v>
      </c>
      <c r="AL97" s="4">
        <v>1031</v>
      </c>
      <c r="AM97" s="5">
        <v>855</v>
      </c>
      <c r="AN97" s="4">
        <v>781</v>
      </c>
      <c r="AO97" s="5">
        <v>114</v>
      </c>
      <c r="AP97" s="4">
        <v>188</v>
      </c>
      <c r="AQ97" s="5">
        <v>602</v>
      </c>
      <c r="AR97" s="4">
        <v>734</v>
      </c>
      <c r="AS97" s="5">
        <v>628</v>
      </c>
      <c r="AT97" s="4">
        <v>620</v>
      </c>
      <c r="AU97" s="5">
        <v>78</v>
      </c>
      <c r="AV97" s="4">
        <v>128</v>
      </c>
      <c r="AW97" s="5">
        <v>49</v>
      </c>
      <c r="AX97" s="4">
        <v>80</v>
      </c>
      <c r="AY97" s="5">
        <v>931</v>
      </c>
      <c r="AZ97" s="4">
        <v>701</v>
      </c>
      <c r="BA97" s="5">
        <v>256</v>
      </c>
      <c r="BB97" s="4">
        <v>255</v>
      </c>
      <c r="BC97" s="5">
        <v>1663</v>
      </c>
      <c r="BD97" s="4">
        <v>831</v>
      </c>
      <c r="BE97" s="5">
        <v>1055</v>
      </c>
      <c r="BF97" s="4">
        <v>1329</v>
      </c>
      <c r="BG97" s="5">
        <v>203</v>
      </c>
      <c r="BH97" s="4">
        <v>279</v>
      </c>
      <c r="BI97" s="5">
        <v>335</v>
      </c>
      <c r="BJ97" s="4">
        <v>237</v>
      </c>
      <c r="BK97" s="5">
        <v>1137</v>
      </c>
      <c r="BL97" s="4">
        <v>740</v>
      </c>
      <c r="BM97" s="5">
        <v>32</v>
      </c>
      <c r="BN97" s="4">
        <v>37</v>
      </c>
      <c r="BO97" s="8" t="s">
        <v>60</v>
      </c>
      <c r="BP97" s="4" t="s">
        <v>60</v>
      </c>
      <c r="BQ97" s="3">
        <v>0</v>
      </c>
      <c r="BR97" s="4">
        <v>234</v>
      </c>
      <c r="BS97" s="5">
        <v>2118</v>
      </c>
      <c r="BT97" s="4">
        <v>1709</v>
      </c>
      <c r="BU97" s="5">
        <v>2136</v>
      </c>
      <c r="BV97" s="4">
        <v>1429</v>
      </c>
      <c r="BW97" s="5">
        <v>1516</v>
      </c>
      <c r="BX97" s="4">
        <v>819</v>
      </c>
      <c r="BY97" s="5">
        <v>1333</v>
      </c>
      <c r="BZ97" s="4">
        <v>895</v>
      </c>
      <c r="CA97" s="5">
        <v>0</v>
      </c>
      <c r="CB97" s="4">
        <v>234</v>
      </c>
      <c r="CC97" s="5">
        <v>1354</v>
      </c>
      <c r="CD97" s="4">
        <v>894</v>
      </c>
      <c r="CE97" s="5">
        <v>258</v>
      </c>
      <c r="CF97" s="4">
        <v>254</v>
      </c>
      <c r="CG97" s="5">
        <v>1691</v>
      </c>
      <c r="CH97" s="4">
        <v>695</v>
      </c>
      <c r="CI97" s="5">
        <v>570</v>
      </c>
      <c r="CJ97" s="4">
        <v>581</v>
      </c>
      <c r="CK97" s="5">
        <v>86</v>
      </c>
      <c r="CL97" s="4">
        <v>148</v>
      </c>
      <c r="CM97" s="5">
        <v>165</v>
      </c>
      <c r="CN97" s="4">
        <v>273</v>
      </c>
      <c r="CO97" s="5">
        <v>588</v>
      </c>
      <c r="CP97" s="4">
        <v>557</v>
      </c>
      <c r="CQ97" s="5">
        <v>96</v>
      </c>
      <c r="CR97" s="4">
        <v>150</v>
      </c>
      <c r="CS97" s="5">
        <v>7249</v>
      </c>
      <c r="CT97" s="4">
        <v>3923</v>
      </c>
      <c r="CU97" s="5">
        <v>3365</v>
      </c>
      <c r="CV97" s="4">
        <v>2105</v>
      </c>
      <c r="CW97" s="5">
        <v>0</v>
      </c>
      <c r="CX97" s="4">
        <v>234</v>
      </c>
      <c r="CY97" s="5">
        <v>1740</v>
      </c>
      <c r="CZ97" s="4">
        <v>1369</v>
      </c>
      <c r="DA97" s="5">
        <v>4680</v>
      </c>
      <c r="DB97" s="4">
        <v>1646</v>
      </c>
      <c r="DC97" s="5">
        <v>0</v>
      </c>
      <c r="DD97" s="4">
        <v>234</v>
      </c>
      <c r="DE97" s="5">
        <v>2672</v>
      </c>
      <c r="DF97" s="4">
        <v>2369</v>
      </c>
      <c r="DG97" s="5">
        <v>933</v>
      </c>
      <c r="DH97" s="4">
        <v>702</v>
      </c>
      <c r="DI97" s="5">
        <v>153</v>
      </c>
      <c r="DJ97" s="4">
        <v>258</v>
      </c>
      <c r="DM97"/>
      <c r="DN97"/>
      <c r="DO97"/>
      <c r="DP97"/>
    </row>
    <row r="98" spans="9:120" x14ac:dyDescent="0.25">
      <c r="I98" s="6">
        <v>37000</v>
      </c>
      <c r="J98" s="7">
        <v>3717</v>
      </c>
      <c r="K98" s="5">
        <v>193</v>
      </c>
      <c r="L98" s="4">
        <v>237</v>
      </c>
      <c r="M98" s="5">
        <v>0</v>
      </c>
      <c r="N98" s="4">
        <v>184</v>
      </c>
      <c r="O98" s="5">
        <v>246</v>
      </c>
      <c r="P98" s="4">
        <v>210</v>
      </c>
      <c r="Q98" s="5">
        <v>22</v>
      </c>
      <c r="R98" s="4">
        <v>37</v>
      </c>
      <c r="S98" s="5">
        <v>547</v>
      </c>
      <c r="T98" s="4">
        <v>334</v>
      </c>
      <c r="U98" s="5">
        <v>403</v>
      </c>
      <c r="V98" s="4">
        <v>313</v>
      </c>
      <c r="W98" s="5">
        <v>1617</v>
      </c>
      <c r="X98" s="4">
        <v>519</v>
      </c>
      <c r="Y98" s="5">
        <v>20</v>
      </c>
      <c r="Z98" s="4">
        <v>32</v>
      </c>
      <c r="AA98" s="5">
        <v>68</v>
      </c>
      <c r="AB98" s="4">
        <v>112</v>
      </c>
      <c r="AC98" s="5">
        <v>1970</v>
      </c>
      <c r="AD98" s="4">
        <v>813</v>
      </c>
      <c r="AE98" s="5">
        <v>535</v>
      </c>
      <c r="AF98" s="4">
        <v>449</v>
      </c>
      <c r="AG98" s="5">
        <v>0</v>
      </c>
      <c r="AH98" s="4">
        <v>184</v>
      </c>
      <c r="AI98" s="5">
        <v>0</v>
      </c>
      <c r="AJ98" s="4">
        <v>184</v>
      </c>
      <c r="AK98" s="5">
        <v>478</v>
      </c>
      <c r="AL98" s="4">
        <v>402</v>
      </c>
      <c r="AM98" s="5">
        <v>470</v>
      </c>
      <c r="AN98" s="4">
        <v>394</v>
      </c>
      <c r="AO98" s="5">
        <v>47</v>
      </c>
      <c r="AP98" s="4">
        <v>78</v>
      </c>
      <c r="AQ98" s="5">
        <v>0</v>
      </c>
      <c r="AR98" s="4">
        <v>184</v>
      </c>
      <c r="AS98" s="5">
        <v>0</v>
      </c>
      <c r="AT98" s="4">
        <v>184</v>
      </c>
      <c r="AU98" s="5">
        <v>0</v>
      </c>
      <c r="AV98" s="4">
        <v>184</v>
      </c>
      <c r="AW98" s="5">
        <v>3080</v>
      </c>
      <c r="AX98" s="4">
        <v>1064</v>
      </c>
      <c r="AY98" s="5">
        <v>222</v>
      </c>
      <c r="AZ98" s="4">
        <v>177</v>
      </c>
      <c r="BA98" s="5">
        <v>15526</v>
      </c>
      <c r="BB98" s="4">
        <v>2811</v>
      </c>
      <c r="BC98" s="5">
        <v>155</v>
      </c>
      <c r="BD98" s="4">
        <v>165</v>
      </c>
      <c r="BE98" s="5">
        <v>104</v>
      </c>
      <c r="BF98" s="4">
        <v>145</v>
      </c>
      <c r="BG98" s="5">
        <v>160</v>
      </c>
      <c r="BH98" s="4">
        <v>258</v>
      </c>
      <c r="BI98" s="5">
        <v>153</v>
      </c>
      <c r="BJ98" s="4">
        <v>181</v>
      </c>
      <c r="BK98" s="5">
        <v>230</v>
      </c>
      <c r="BL98" s="4">
        <v>378</v>
      </c>
      <c r="BM98" s="5">
        <v>33</v>
      </c>
      <c r="BN98" s="4">
        <v>54</v>
      </c>
      <c r="BO98" s="5">
        <v>186</v>
      </c>
      <c r="BP98" s="4">
        <v>231</v>
      </c>
      <c r="BQ98" s="8" t="s">
        <v>60</v>
      </c>
      <c r="BR98" s="4" t="s">
        <v>60</v>
      </c>
      <c r="BS98" s="3">
        <v>294</v>
      </c>
      <c r="BT98" s="4">
        <v>247</v>
      </c>
      <c r="BU98" s="5">
        <v>186</v>
      </c>
      <c r="BV98" s="4">
        <v>179</v>
      </c>
      <c r="BW98" s="5">
        <v>1471</v>
      </c>
      <c r="BX98" s="4">
        <v>510</v>
      </c>
      <c r="BY98" s="5">
        <v>1297</v>
      </c>
      <c r="BZ98" s="4">
        <v>649</v>
      </c>
      <c r="CA98" s="5">
        <v>47</v>
      </c>
      <c r="CB98" s="4">
        <v>79</v>
      </c>
      <c r="CC98" s="5">
        <v>248</v>
      </c>
      <c r="CD98" s="4">
        <v>223</v>
      </c>
      <c r="CE98" s="5">
        <v>0</v>
      </c>
      <c r="CF98" s="4">
        <v>184</v>
      </c>
      <c r="CG98" s="5">
        <v>198</v>
      </c>
      <c r="CH98" s="4">
        <v>267</v>
      </c>
      <c r="CI98" s="5">
        <v>1015</v>
      </c>
      <c r="CJ98" s="4">
        <v>569</v>
      </c>
      <c r="CK98" s="5">
        <v>608</v>
      </c>
      <c r="CL98" s="4">
        <v>301</v>
      </c>
      <c r="CM98" s="5">
        <v>588</v>
      </c>
      <c r="CN98" s="4">
        <v>757</v>
      </c>
      <c r="CO98" s="5">
        <v>86</v>
      </c>
      <c r="CP98" s="4">
        <v>102</v>
      </c>
      <c r="CQ98" s="5">
        <v>126</v>
      </c>
      <c r="CR98" s="4">
        <v>159</v>
      </c>
      <c r="CS98" s="5">
        <v>605</v>
      </c>
      <c r="CT98" s="4">
        <v>438</v>
      </c>
      <c r="CU98" s="5">
        <v>158</v>
      </c>
      <c r="CV98" s="4">
        <v>271</v>
      </c>
      <c r="CW98" s="5">
        <v>2138</v>
      </c>
      <c r="CX98" s="4">
        <v>991</v>
      </c>
      <c r="CY98" s="5">
        <v>880</v>
      </c>
      <c r="CZ98" s="4">
        <v>575</v>
      </c>
      <c r="DA98" s="5">
        <v>428</v>
      </c>
      <c r="DB98" s="4">
        <v>497</v>
      </c>
      <c r="DC98" s="5">
        <v>0</v>
      </c>
      <c r="DD98" s="4">
        <v>184</v>
      </c>
      <c r="DE98" s="5">
        <v>0</v>
      </c>
      <c r="DF98" s="4">
        <v>184</v>
      </c>
      <c r="DG98" s="5">
        <v>162</v>
      </c>
      <c r="DH98" s="4">
        <v>218</v>
      </c>
      <c r="DI98" s="5">
        <v>0</v>
      </c>
      <c r="DJ98" s="4">
        <v>184</v>
      </c>
      <c r="DM98"/>
      <c r="DN98"/>
      <c r="DO98"/>
      <c r="DP98"/>
    </row>
    <row r="99" spans="9:120" x14ac:dyDescent="0.25">
      <c r="I99" s="5">
        <v>140194</v>
      </c>
      <c r="J99" s="4">
        <v>8607</v>
      </c>
      <c r="K99" s="5">
        <v>189</v>
      </c>
      <c r="L99" s="4">
        <v>209</v>
      </c>
      <c r="M99" s="5">
        <v>1198</v>
      </c>
      <c r="N99" s="4">
        <v>790</v>
      </c>
      <c r="O99" s="5">
        <v>3784</v>
      </c>
      <c r="P99" s="4">
        <v>2287</v>
      </c>
      <c r="Q99" s="5">
        <v>57</v>
      </c>
      <c r="R99" s="4">
        <v>97</v>
      </c>
      <c r="S99" s="5">
        <v>5986</v>
      </c>
      <c r="T99" s="4">
        <v>1519</v>
      </c>
      <c r="U99" s="5">
        <v>2203</v>
      </c>
      <c r="V99" s="4">
        <v>1931</v>
      </c>
      <c r="W99" s="5">
        <v>1924</v>
      </c>
      <c r="X99" s="4">
        <v>845</v>
      </c>
      <c r="Y99" s="5">
        <v>2100</v>
      </c>
      <c r="Z99" s="4">
        <v>1025</v>
      </c>
      <c r="AA99" s="5">
        <v>781</v>
      </c>
      <c r="AB99" s="4">
        <v>409</v>
      </c>
      <c r="AC99" s="5">
        <v>12907</v>
      </c>
      <c r="AD99" s="4">
        <v>3313</v>
      </c>
      <c r="AE99" s="5">
        <v>4268</v>
      </c>
      <c r="AF99" s="4">
        <v>2025</v>
      </c>
      <c r="AG99" s="5">
        <v>264</v>
      </c>
      <c r="AH99" s="4">
        <v>307</v>
      </c>
      <c r="AI99" s="5">
        <v>256</v>
      </c>
      <c r="AJ99" s="4">
        <v>262</v>
      </c>
      <c r="AK99" s="5">
        <v>3690</v>
      </c>
      <c r="AL99" s="4">
        <v>1572</v>
      </c>
      <c r="AM99" s="5">
        <v>718</v>
      </c>
      <c r="AN99" s="4">
        <v>436</v>
      </c>
      <c r="AO99" s="5">
        <v>332</v>
      </c>
      <c r="AP99" s="4">
        <v>441</v>
      </c>
      <c r="AQ99" s="5">
        <v>317</v>
      </c>
      <c r="AR99" s="4">
        <v>306</v>
      </c>
      <c r="AS99" s="5">
        <v>102</v>
      </c>
      <c r="AT99" s="4">
        <v>125</v>
      </c>
      <c r="AU99" s="5">
        <v>871</v>
      </c>
      <c r="AV99" s="4">
        <v>590</v>
      </c>
      <c r="AW99" s="5">
        <v>624</v>
      </c>
      <c r="AX99" s="4">
        <v>629</v>
      </c>
      <c r="AY99" s="5">
        <v>5335</v>
      </c>
      <c r="AZ99" s="4">
        <v>2324</v>
      </c>
      <c r="BA99" s="5">
        <v>4675</v>
      </c>
      <c r="BB99" s="4">
        <v>1356</v>
      </c>
      <c r="BC99" s="5">
        <v>1889</v>
      </c>
      <c r="BD99" s="4">
        <v>1056</v>
      </c>
      <c r="BE99" s="5">
        <v>1261</v>
      </c>
      <c r="BF99" s="4">
        <v>1200</v>
      </c>
      <c r="BG99" s="5">
        <v>510</v>
      </c>
      <c r="BH99" s="4">
        <v>677</v>
      </c>
      <c r="BI99" s="5">
        <v>583</v>
      </c>
      <c r="BJ99" s="4">
        <v>544</v>
      </c>
      <c r="BK99" s="5">
        <v>49</v>
      </c>
      <c r="BL99" s="4">
        <v>80</v>
      </c>
      <c r="BM99" s="5">
        <v>312</v>
      </c>
      <c r="BN99" s="4">
        <v>429</v>
      </c>
      <c r="BO99" s="5">
        <v>899</v>
      </c>
      <c r="BP99" s="4">
        <v>566</v>
      </c>
      <c r="BQ99" s="5">
        <v>499</v>
      </c>
      <c r="BR99" s="4">
        <v>360</v>
      </c>
      <c r="BS99" s="8" t="s">
        <v>60</v>
      </c>
      <c r="BT99" s="4" t="s">
        <v>60</v>
      </c>
      <c r="BU99" s="3">
        <v>355</v>
      </c>
      <c r="BV99" s="4">
        <v>537</v>
      </c>
      <c r="BW99" s="5">
        <v>40815</v>
      </c>
      <c r="BX99" s="4">
        <v>4703</v>
      </c>
      <c r="BY99" s="5">
        <v>2482</v>
      </c>
      <c r="BZ99" s="4">
        <v>1416</v>
      </c>
      <c r="CA99" s="5">
        <v>61</v>
      </c>
      <c r="CB99" s="4">
        <v>103</v>
      </c>
      <c r="CC99" s="5">
        <v>1121</v>
      </c>
      <c r="CD99" s="4">
        <v>608</v>
      </c>
      <c r="CE99" s="5">
        <v>773</v>
      </c>
      <c r="CF99" s="4">
        <v>707</v>
      </c>
      <c r="CG99" s="5">
        <v>360</v>
      </c>
      <c r="CH99" s="4">
        <v>331</v>
      </c>
      <c r="CI99" s="5">
        <v>19733</v>
      </c>
      <c r="CJ99" s="4">
        <v>2951</v>
      </c>
      <c r="CK99" s="5">
        <v>463</v>
      </c>
      <c r="CL99" s="4">
        <v>319</v>
      </c>
      <c r="CM99" s="5">
        <v>1586</v>
      </c>
      <c r="CN99" s="4">
        <v>789</v>
      </c>
      <c r="CO99" s="5">
        <v>0</v>
      </c>
      <c r="CP99" s="4">
        <v>198</v>
      </c>
      <c r="CQ99" s="5">
        <v>1412</v>
      </c>
      <c r="CR99" s="4">
        <v>782</v>
      </c>
      <c r="CS99" s="5">
        <v>3801</v>
      </c>
      <c r="CT99" s="4">
        <v>1818</v>
      </c>
      <c r="CU99" s="5">
        <v>256</v>
      </c>
      <c r="CV99" s="4">
        <v>229</v>
      </c>
      <c r="CW99" s="5">
        <v>0</v>
      </c>
      <c r="CX99" s="4">
        <v>198</v>
      </c>
      <c r="CY99" s="5">
        <v>4458</v>
      </c>
      <c r="CZ99" s="4">
        <v>1750</v>
      </c>
      <c r="DA99" s="5">
        <v>2454</v>
      </c>
      <c r="DB99" s="4">
        <v>1946</v>
      </c>
      <c r="DC99" s="5">
        <v>1252</v>
      </c>
      <c r="DD99" s="4">
        <v>1293</v>
      </c>
      <c r="DE99" s="5">
        <v>214</v>
      </c>
      <c r="DF99" s="4">
        <v>259</v>
      </c>
      <c r="DG99" s="5">
        <v>15</v>
      </c>
      <c r="DH99" s="4">
        <v>29</v>
      </c>
      <c r="DI99" s="5">
        <v>4312</v>
      </c>
      <c r="DJ99" s="4">
        <v>1535</v>
      </c>
      <c r="DM99"/>
      <c r="DN99"/>
      <c r="DO99"/>
      <c r="DP99"/>
    </row>
    <row r="100" spans="9:120" x14ac:dyDescent="0.25">
      <c r="I100" s="5">
        <v>62130</v>
      </c>
      <c r="J100" s="4">
        <v>7330</v>
      </c>
      <c r="K100" s="5">
        <v>410</v>
      </c>
      <c r="L100" s="4">
        <v>494</v>
      </c>
      <c r="M100" s="5">
        <v>416</v>
      </c>
      <c r="N100" s="4">
        <v>446</v>
      </c>
      <c r="O100" s="5">
        <v>7444</v>
      </c>
      <c r="P100" s="4">
        <v>3409</v>
      </c>
      <c r="Q100" s="5">
        <v>682</v>
      </c>
      <c r="R100" s="4">
        <v>607</v>
      </c>
      <c r="S100" s="5">
        <v>7066</v>
      </c>
      <c r="T100" s="4">
        <v>2324</v>
      </c>
      <c r="U100" s="5">
        <v>5525</v>
      </c>
      <c r="V100" s="4">
        <v>1537</v>
      </c>
      <c r="W100" s="5">
        <v>0</v>
      </c>
      <c r="X100" s="4">
        <v>198</v>
      </c>
      <c r="Y100" s="5">
        <v>0</v>
      </c>
      <c r="Z100" s="4">
        <v>198</v>
      </c>
      <c r="AA100" s="5">
        <v>212</v>
      </c>
      <c r="AB100" s="4">
        <v>336</v>
      </c>
      <c r="AC100" s="5">
        <v>2806</v>
      </c>
      <c r="AD100" s="4">
        <v>1557</v>
      </c>
      <c r="AE100" s="5">
        <v>676</v>
      </c>
      <c r="AF100" s="4">
        <v>406</v>
      </c>
      <c r="AG100" s="5">
        <v>81</v>
      </c>
      <c r="AH100" s="4">
        <v>128</v>
      </c>
      <c r="AI100" s="5">
        <v>355</v>
      </c>
      <c r="AJ100" s="4">
        <v>326</v>
      </c>
      <c r="AK100" s="5">
        <v>466</v>
      </c>
      <c r="AL100" s="4">
        <v>315</v>
      </c>
      <c r="AM100" s="5">
        <v>2030</v>
      </c>
      <c r="AN100" s="4">
        <v>2244</v>
      </c>
      <c r="AO100" s="5">
        <v>0</v>
      </c>
      <c r="AP100" s="4">
        <v>198</v>
      </c>
      <c r="AQ100" s="5">
        <v>1333</v>
      </c>
      <c r="AR100" s="4">
        <v>1078</v>
      </c>
      <c r="AS100" s="5">
        <v>87</v>
      </c>
      <c r="AT100" s="4">
        <v>152</v>
      </c>
      <c r="AU100" s="5">
        <v>184</v>
      </c>
      <c r="AV100" s="4">
        <v>244</v>
      </c>
      <c r="AW100" s="5">
        <v>510</v>
      </c>
      <c r="AX100" s="4">
        <v>384</v>
      </c>
      <c r="AY100" s="5">
        <v>2277</v>
      </c>
      <c r="AZ100" s="4">
        <v>1964</v>
      </c>
      <c r="BA100" s="5">
        <v>252</v>
      </c>
      <c r="BB100" s="4">
        <v>213</v>
      </c>
      <c r="BC100" s="5">
        <v>908</v>
      </c>
      <c r="BD100" s="4">
        <v>699</v>
      </c>
      <c r="BE100" s="5">
        <v>438</v>
      </c>
      <c r="BF100" s="4">
        <v>435</v>
      </c>
      <c r="BG100" s="5">
        <v>556</v>
      </c>
      <c r="BH100" s="4">
        <v>553</v>
      </c>
      <c r="BI100" s="5">
        <v>1183</v>
      </c>
      <c r="BJ100" s="4">
        <v>877</v>
      </c>
      <c r="BK100" s="5">
        <v>544</v>
      </c>
      <c r="BL100" s="4">
        <v>340</v>
      </c>
      <c r="BM100" s="5">
        <v>353</v>
      </c>
      <c r="BN100" s="4">
        <v>312</v>
      </c>
      <c r="BO100" s="5">
        <v>2099</v>
      </c>
      <c r="BP100" s="4">
        <v>1159</v>
      </c>
      <c r="BQ100" s="5">
        <v>114</v>
      </c>
      <c r="BR100" s="4">
        <v>130</v>
      </c>
      <c r="BS100" s="5">
        <v>245</v>
      </c>
      <c r="BT100" s="4">
        <v>229</v>
      </c>
      <c r="BU100" s="8" t="s">
        <v>60</v>
      </c>
      <c r="BV100" s="4" t="s">
        <v>60</v>
      </c>
      <c r="BW100" s="3">
        <v>1445</v>
      </c>
      <c r="BX100" s="4">
        <v>781</v>
      </c>
      <c r="BY100" s="5">
        <v>522</v>
      </c>
      <c r="BZ100" s="4">
        <v>300</v>
      </c>
      <c r="CA100" s="5">
        <v>264</v>
      </c>
      <c r="CB100" s="4">
        <v>310</v>
      </c>
      <c r="CC100" s="5">
        <v>1742</v>
      </c>
      <c r="CD100" s="4">
        <v>1115</v>
      </c>
      <c r="CE100" s="5">
        <v>234</v>
      </c>
      <c r="CF100" s="4">
        <v>203</v>
      </c>
      <c r="CG100" s="5">
        <v>916</v>
      </c>
      <c r="CH100" s="4">
        <v>655</v>
      </c>
      <c r="CI100" s="5">
        <v>492</v>
      </c>
      <c r="CJ100" s="4">
        <v>284</v>
      </c>
      <c r="CK100" s="5">
        <v>0</v>
      </c>
      <c r="CL100" s="4">
        <v>198</v>
      </c>
      <c r="CM100" s="5">
        <v>145</v>
      </c>
      <c r="CN100" s="4">
        <v>204</v>
      </c>
      <c r="CO100" s="5">
        <v>240</v>
      </c>
      <c r="CP100" s="4">
        <v>281</v>
      </c>
      <c r="CQ100" s="5">
        <v>899</v>
      </c>
      <c r="CR100" s="4">
        <v>577</v>
      </c>
      <c r="CS100" s="5">
        <v>13633</v>
      </c>
      <c r="CT100" s="4">
        <v>3724</v>
      </c>
      <c r="CU100" s="5">
        <v>303</v>
      </c>
      <c r="CV100" s="4">
        <v>218</v>
      </c>
      <c r="CW100" s="5">
        <v>71</v>
      </c>
      <c r="CX100" s="4">
        <v>120</v>
      </c>
      <c r="CY100" s="5">
        <v>425</v>
      </c>
      <c r="CZ100" s="4">
        <v>337</v>
      </c>
      <c r="DA100" s="5">
        <v>924</v>
      </c>
      <c r="DB100" s="4">
        <v>616</v>
      </c>
      <c r="DC100" s="5">
        <v>0</v>
      </c>
      <c r="DD100" s="4">
        <v>198</v>
      </c>
      <c r="DE100" s="5">
        <v>340</v>
      </c>
      <c r="DF100" s="4">
        <v>342</v>
      </c>
      <c r="DG100" s="5">
        <v>283</v>
      </c>
      <c r="DH100" s="4">
        <v>313</v>
      </c>
      <c r="DI100" s="5">
        <v>99</v>
      </c>
      <c r="DJ100" s="4">
        <v>158</v>
      </c>
      <c r="DM100"/>
      <c r="DN100"/>
      <c r="DO100"/>
      <c r="DP100"/>
    </row>
    <row r="101" spans="9:120" x14ac:dyDescent="0.25">
      <c r="I101" s="5">
        <v>282209</v>
      </c>
      <c r="J101" s="4">
        <v>11956</v>
      </c>
      <c r="K101" s="5">
        <v>1812</v>
      </c>
      <c r="L101" s="4">
        <v>1002</v>
      </c>
      <c r="M101" s="5">
        <v>6124</v>
      </c>
      <c r="N101" s="4">
        <v>2270</v>
      </c>
      <c r="O101" s="5">
        <v>2821</v>
      </c>
      <c r="P101" s="4">
        <v>1100</v>
      </c>
      <c r="Q101" s="5">
        <v>1041</v>
      </c>
      <c r="R101" s="4">
        <v>734</v>
      </c>
      <c r="S101" s="5">
        <v>25761</v>
      </c>
      <c r="T101" s="4">
        <v>3856</v>
      </c>
      <c r="U101" s="5">
        <v>3724</v>
      </c>
      <c r="V101" s="4">
        <v>1151</v>
      </c>
      <c r="W101" s="5">
        <v>15123</v>
      </c>
      <c r="X101" s="4">
        <v>3667</v>
      </c>
      <c r="Y101" s="5">
        <v>1124</v>
      </c>
      <c r="Z101" s="4">
        <v>588</v>
      </c>
      <c r="AA101" s="5">
        <v>3702</v>
      </c>
      <c r="AB101" s="4">
        <v>1051</v>
      </c>
      <c r="AC101" s="5">
        <v>29344</v>
      </c>
      <c r="AD101" s="4">
        <v>4718</v>
      </c>
      <c r="AE101" s="5">
        <v>10584</v>
      </c>
      <c r="AF101" s="4">
        <v>2320</v>
      </c>
      <c r="AG101" s="5">
        <v>1002</v>
      </c>
      <c r="AH101" s="4">
        <v>973</v>
      </c>
      <c r="AI101" s="5">
        <v>434</v>
      </c>
      <c r="AJ101" s="4">
        <v>377</v>
      </c>
      <c r="AK101" s="5">
        <v>6914</v>
      </c>
      <c r="AL101" s="4">
        <v>1720</v>
      </c>
      <c r="AM101" s="5">
        <v>2198</v>
      </c>
      <c r="AN101" s="4">
        <v>958</v>
      </c>
      <c r="AO101" s="5">
        <v>928</v>
      </c>
      <c r="AP101" s="4">
        <v>783</v>
      </c>
      <c r="AQ101" s="5">
        <v>838</v>
      </c>
      <c r="AR101" s="4">
        <v>397</v>
      </c>
      <c r="AS101" s="5">
        <v>2414</v>
      </c>
      <c r="AT101" s="4">
        <v>1223</v>
      </c>
      <c r="AU101" s="5">
        <v>1495</v>
      </c>
      <c r="AV101" s="4">
        <v>916</v>
      </c>
      <c r="AW101" s="5">
        <v>2915</v>
      </c>
      <c r="AX101" s="4">
        <v>1114</v>
      </c>
      <c r="AY101" s="5">
        <v>5037</v>
      </c>
      <c r="AZ101" s="4">
        <v>1192</v>
      </c>
      <c r="BA101" s="5">
        <v>14646</v>
      </c>
      <c r="BB101" s="4">
        <v>2367</v>
      </c>
      <c r="BC101" s="5">
        <v>3936</v>
      </c>
      <c r="BD101" s="4">
        <v>947</v>
      </c>
      <c r="BE101" s="5">
        <v>1824</v>
      </c>
      <c r="BF101" s="4">
        <v>678</v>
      </c>
      <c r="BG101" s="5">
        <v>401</v>
      </c>
      <c r="BH101" s="4">
        <v>266</v>
      </c>
      <c r="BI101" s="5">
        <v>1417</v>
      </c>
      <c r="BJ101" s="4">
        <v>595</v>
      </c>
      <c r="BK101" s="5">
        <v>391</v>
      </c>
      <c r="BL101" s="4">
        <v>282</v>
      </c>
      <c r="BM101" s="5">
        <v>579</v>
      </c>
      <c r="BN101" s="4">
        <v>553</v>
      </c>
      <c r="BO101" s="5">
        <v>1785</v>
      </c>
      <c r="BP101" s="4">
        <v>1037</v>
      </c>
      <c r="BQ101" s="5">
        <v>2972</v>
      </c>
      <c r="BR101" s="4">
        <v>1172</v>
      </c>
      <c r="BS101" s="5">
        <v>41450</v>
      </c>
      <c r="BT101" s="4">
        <v>4170</v>
      </c>
      <c r="BU101" s="5">
        <v>461</v>
      </c>
      <c r="BV101" s="4">
        <v>276</v>
      </c>
      <c r="BW101" s="8" t="s">
        <v>60</v>
      </c>
      <c r="BX101" s="4" t="s">
        <v>60</v>
      </c>
      <c r="BY101" s="3">
        <v>9336</v>
      </c>
      <c r="BZ101" s="4">
        <v>1874</v>
      </c>
      <c r="CA101" s="5">
        <v>374</v>
      </c>
      <c r="CB101" s="4">
        <v>266</v>
      </c>
      <c r="CC101" s="5">
        <v>5191</v>
      </c>
      <c r="CD101" s="4">
        <v>1717</v>
      </c>
      <c r="CE101" s="5">
        <v>1425</v>
      </c>
      <c r="CF101" s="4">
        <v>887</v>
      </c>
      <c r="CG101" s="5">
        <v>2189</v>
      </c>
      <c r="CH101" s="4">
        <v>977</v>
      </c>
      <c r="CI101" s="5">
        <v>26596</v>
      </c>
      <c r="CJ101" s="4">
        <v>3427</v>
      </c>
      <c r="CK101" s="5">
        <v>1393</v>
      </c>
      <c r="CL101" s="4">
        <v>663</v>
      </c>
      <c r="CM101" s="5">
        <v>6947</v>
      </c>
      <c r="CN101" s="4">
        <v>2791</v>
      </c>
      <c r="CO101" s="5">
        <v>112</v>
      </c>
      <c r="CP101" s="4">
        <v>121</v>
      </c>
      <c r="CQ101" s="5">
        <v>2660</v>
      </c>
      <c r="CR101" s="4">
        <v>1051</v>
      </c>
      <c r="CS101" s="5">
        <v>9151</v>
      </c>
      <c r="CT101" s="4">
        <v>2132</v>
      </c>
      <c r="CU101" s="5">
        <v>773</v>
      </c>
      <c r="CV101" s="4">
        <v>482</v>
      </c>
      <c r="CW101" s="5">
        <v>3882</v>
      </c>
      <c r="CX101" s="4">
        <v>1242</v>
      </c>
      <c r="CY101" s="5">
        <v>10800</v>
      </c>
      <c r="CZ101" s="4">
        <v>2343</v>
      </c>
      <c r="DA101" s="5">
        <v>2986</v>
      </c>
      <c r="DB101" s="4">
        <v>1367</v>
      </c>
      <c r="DC101" s="5">
        <v>631</v>
      </c>
      <c r="DD101" s="4">
        <v>470</v>
      </c>
      <c r="DE101" s="5">
        <v>1878</v>
      </c>
      <c r="DF101" s="4">
        <v>1014</v>
      </c>
      <c r="DG101" s="5">
        <v>688</v>
      </c>
      <c r="DH101" s="4">
        <v>645</v>
      </c>
      <c r="DI101" s="5">
        <v>10582</v>
      </c>
      <c r="DJ101" s="4">
        <v>3796</v>
      </c>
      <c r="DM101"/>
      <c r="DN101"/>
      <c r="DO101"/>
      <c r="DP101"/>
    </row>
    <row r="102" spans="9:120" x14ac:dyDescent="0.25">
      <c r="I102" s="5">
        <v>265291</v>
      </c>
      <c r="J102" s="4">
        <v>16660</v>
      </c>
      <c r="K102" s="5">
        <v>5420</v>
      </c>
      <c r="L102" s="4">
        <v>2338</v>
      </c>
      <c r="M102" s="5">
        <v>3991</v>
      </c>
      <c r="N102" s="4">
        <v>2185</v>
      </c>
      <c r="O102" s="5">
        <v>4286</v>
      </c>
      <c r="P102" s="4">
        <v>2860</v>
      </c>
      <c r="Q102" s="5">
        <v>327</v>
      </c>
      <c r="R102" s="4">
        <v>322</v>
      </c>
      <c r="S102" s="5">
        <v>15373</v>
      </c>
      <c r="T102" s="4">
        <v>5531</v>
      </c>
      <c r="U102" s="5">
        <v>3919</v>
      </c>
      <c r="V102" s="4">
        <v>1645</v>
      </c>
      <c r="W102" s="5">
        <v>1975</v>
      </c>
      <c r="X102" s="4">
        <v>820</v>
      </c>
      <c r="Y102" s="5">
        <v>954</v>
      </c>
      <c r="Z102" s="4">
        <v>600</v>
      </c>
      <c r="AA102" s="5">
        <v>1135</v>
      </c>
      <c r="AB102" s="4">
        <v>591</v>
      </c>
      <c r="AC102" s="5">
        <v>28044</v>
      </c>
      <c r="AD102" s="4">
        <v>4471</v>
      </c>
      <c r="AE102" s="5">
        <v>16192</v>
      </c>
      <c r="AF102" s="4">
        <v>3163</v>
      </c>
      <c r="AG102" s="5">
        <v>1806</v>
      </c>
      <c r="AH102" s="4">
        <v>1362</v>
      </c>
      <c r="AI102" s="5">
        <v>675</v>
      </c>
      <c r="AJ102" s="4">
        <v>615</v>
      </c>
      <c r="AK102" s="5">
        <v>5971</v>
      </c>
      <c r="AL102" s="4">
        <v>2065</v>
      </c>
      <c r="AM102" s="5">
        <v>3228</v>
      </c>
      <c r="AN102" s="4">
        <v>1379</v>
      </c>
      <c r="AO102" s="5">
        <v>654</v>
      </c>
      <c r="AP102" s="4">
        <v>530</v>
      </c>
      <c r="AQ102" s="5">
        <v>4995</v>
      </c>
      <c r="AR102" s="4">
        <v>4644</v>
      </c>
      <c r="AS102" s="5">
        <v>1637</v>
      </c>
      <c r="AT102" s="4">
        <v>786</v>
      </c>
      <c r="AU102" s="5">
        <v>2936</v>
      </c>
      <c r="AV102" s="4">
        <v>1135</v>
      </c>
      <c r="AW102" s="5">
        <v>824</v>
      </c>
      <c r="AX102" s="4">
        <v>663</v>
      </c>
      <c r="AY102" s="5">
        <v>10485</v>
      </c>
      <c r="AZ102" s="4">
        <v>2304</v>
      </c>
      <c r="BA102" s="5">
        <v>9053</v>
      </c>
      <c r="BB102" s="4">
        <v>4920</v>
      </c>
      <c r="BC102" s="5">
        <v>7530</v>
      </c>
      <c r="BD102" s="4">
        <v>2879</v>
      </c>
      <c r="BE102" s="5">
        <v>1294</v>
      </c>
      <c r="BF102" s="4">
        <v>825</v>
      </c>
      <c r="BG102" s="5">
        <v>1273</v>
      </c>
      <c r="BH102" s="4">
        <v>829</v>
      </c>
      <c r="BI102" s="5">
        <v>2638</v>
      </c>
      <c r="BJ102" s="4">
        <v>1150</v>
      </c>
      <c r="BK102" s="5">
        <v>563</v>
      </c>
      <c r="BL102" s="4">
        <v>549</v>
      </c>
      <c r="BM102" s="5">
        <v>1056</v>
      </c>
      <c r="BN102" s="4">
        <v>1334</v>
      </c>
      <c r="BO102" s="5">
        <v>1048</v>
      </c>
      <c r="BP102" s="4">
        <v>716</v>
      </c>
      <c r="BQ102" s="5">
        <v>2078</v>
      </c>
      <c r="BR102" s="4">
        <v>1738</v>
      </c>
      <c r="BS102" s="5">
        <v>10374</v>
      </c>
      <c r="BT102" s="4">
        <v>2643</v>
      </c>
      <c r="BU102" s="5">
        <v>1737</v>
      </c>
      <c r="BV102" s="4">
        <v>1297</v>
      </c>
      <c r="BW102" s="5">
        <v>18321</v>
      </c>
      <c r="BX102" s="4">
        <v>3621</v>
      </c>
      <c r="BY102" s="8" t="s">
        <v>60</v>
      </c>
      <c r="BZ102" s="4" t="s">
        <v>60</v>
      </c>
      <c r="CA102" s="3">
        <v>189</v>
      </c>
      <c r="CB102" s="4">
        <v>272</v>
      </c>
      <c r="CC102" s="5">
        <v>10187</v>
      </c>
      <c r="CD102" s="4">
        <v>3649</v>
      </c>
      <c r="CE102" s="5">
        <v>1390</v>
      </c>
      <c r="CF102" s="4">
        <v>684</v>
      </c>
      <c r="CG102" s="5">
        <v>1175</v>
      </c>
      <c r="CH102" s="4">
        <v>826</v>
      </c>
      <c r="CI102" s="5">
        <v>9450</v>
      </c>
      <c r="CJ102" s="4">
        <v>2770</v>
      </c>
      <c r="CK102" s="5">
        <v>444</v>
      </c>
      <c r="CL102" s="4">
        <v>384</v>
      </c>
      <c r="CM102" s="5">
        <v>20427</v>
      </c>
      <c r="CN102" s="4">
        <v>3260</v>
      </c>
      <c r="CO102" s="5">
        <v>565</v>
      </c>
      <c r="CP102" s="4">
        <v>609</v>
      </c>
      <c r="CQ102" s="5">
        <v>6057</v>
      </c>
      <c r="CR102" s="4">
        <v>2083</v>
      </c>
      <c r="CS102" s="5">
        <v>6621</v>
      </c>
      <c r="CT102" s="4">
        <v>2034</v>
      </c>
      <c r="CU102" s="5">
        <v>961</v>
      </c>
      <c r="CV102" s="4">
        <v>692</v>
      </c>
      <c r="CW102" s="5">
        <v>212</v>
      </c>
      <c r="CX102" s="4">
        <v>345</v>
      </c>
      <c r="CY102" s="5">
        <v>27302</v>
      </c>
      <c r="CZ102" s="4">
        <v>4012</v>
      </c>
      <c r="DA102" s="5">
        <v>3295</v>
      </c>
      <c r="DB102" s="4">
        <v>1566</v>
      </c>
      <c r="DC102" s="5">
        <v>2780</v>
      </c>
      <c r="DD102" s="4">
        <v>1517</v>
      </c>
      <c r="DE102" s="5">
        <v>2291</v>
      </c>
      <c r="DF102" s="4">
        <v>1192</v>
      </c>
      <c r="DG102" s="5">
        <v>153</v>
      </c>
      <c r="DH102" s="4">
        <v>228</v>
      </c>
      <c r="DI102" s="5">
        <v>844</v>
      </c>
      <c r="DJ102" s="4">
        <v>447</v>
      </c>
      <c r="DM102"/>
      <c r="DN102"/>
      <c r="DO102"/>
      <c r="DP102"/>
    </row>
    <row r="103" spans="9:120" x14ac:dyDescent="0.25">
      <c r="I103" s="5">
        <v>32510</v>
      </c>
      <c r="J103" s="4">
        <v>3641</v>
      </c>
      <c r="K103" s="5">
        <v>97</v>
      </c>
      <c r="L103" s="4">
        <v>125</v>
      </c>
      <c r="M103" s="5">
        <v>393</v>
      </c>
      <c r="N103" s="4">
        <v>365</v>
      </c>
      <c r="O103" s="5">
        <v>1313</v>
      </c>
      <c r="P103" s="4">
        <v>613</v>
      </c>
      <c r="Q103" s="5">
        <v>249</v>
      </c>
      <c r="R103" s="4">
        <v>293</v>
      </c>
      <c r="S103" s="5">
        <v>1356</v>
      </c>
      <c r="T103" s="4">
        <v>1011</v>
      </c>
      <c r="U103" s="5">
        <v>1229</v>
      </c>
      <c r="V103" s="4">
        <v>612</v>
      </c>
      <c r="W103" s="5">
        <v>0</v>
      </c>
      <c r="X103" s="4">
        <v>143</v>
      </c>
      <c r="Y103" s="5">
        <v>84</v>
      </c>
      <c r="Z103" s="4">
        <v>100</v>
      </c>
      <c r="AA103" s="5">
        <v>0</v>
      </c>
      <c r="AB103" s="4">
        <v>143</v>
      </c>
      <c r="AC103" s="5">
        <v>459</v>
      </c>
      <c r="AD103" s="4">
        <v>303</v>
      </c>
      <c r="AE103" s="5">
        <v>364</v>
      </c>
      <c r="AF103" s="4">
        <v>410</v>
      </c>
      <c r="AG103" s="5">
        <v>138</v>
      </c>
      <c r="AH103" s="4">
        <v>216</v>
      </c>
      <c r="AI103" s="5">
        <v>1209</v>
      </c>
      <c r="AJ103" s="4">
        <v>817</v>
      </c>
      <c r="AK103" s="5">
        <v>571</v>
      </c>
      <c r="AL103" s="4">
        <v>504</v>
      </c>
      <c r="AM103" s="5">
        <v>130</v>
      </c>
      <c r="AN103" s="4">
        <v>171</v>
      </c>
      <c r="AO103" s="5">
        <v>208</v>
      </c>
      <c r="AP103" s="4">
        <v>178</v>
      </c>
      <c r="AQ103" s="5">
        <v>75</v>
      </c>
      <c r="AR103" s="4">
        <v>96</v>
      </c>
      <c r="AS103" s="5">
        <v>0</v>
      </c>
      <c r="AT103" s="4">
        <v>143</v>
      </c>
      <c r="AU103" s="5">
        <v>422</v>
      </c>
      <c r="AV103" s="4">
        <v>441</v>
      </c>
      <c r="AW103" s="5">
        <v>50</v>
      </c>
      <c r="AX103" s="4">
        <v>72</v>
      </c>
      <c r="AY103" s="5">
        <v>10</v>
      </c>
      <c r="AZ103" s="4">
        <v>16</v>
      </c>
      <c r="BA103" s="5">
        <v>369</v>
      </c>
      <c r="BB103" s="4">
        <v>359</v>
      </c>
      <c r="BC103" s="5">
        <v>328</v>
      </c>
      <c r="BD103" s="4">
        <v>324</v>
      </c>
      <c r="BE103" s="5">
        <v>12244</v>
      </c>
      <c r="BF103" s="4">
        <v>2374</v>
      </c>
      <c r="BG103" s="5">
        <v>80</v>
      </c>
      <c r="BH103" s="4">
        <v>143</v>
      </c>
      <c r="BI103" s="5">
        <v>330</v>
      </c>
      <c r="BJ103" s="4">
        <v>284</v>
      </c>
      <c r="BK103" s="5">
        <v>1227</v>
      </c>
      <c r="BL103" s="4">
        <v>612</v>
      </c>
      <c r="BM103" s="5">
        <v>218</v>
      </c>
      <c r="BN103" s="4">
        <v>170</v>
      </c>
      <c r="BO103" s="5">
        <v>845</v>
      </c>
      <c r="BP103" s="4">
        <v>860</v>
      </c>
      <c r="BQ103" s="5">
        <v>0</v>
      </c>
      <c r="BR103" s="4">
        <v>143</v>
      </c>
      <c r="BS103" s="5">
        <v>183</v>
      </c>
      <c r="BT103" s="4">
        <v>306</v>
      </c>
      <c r="BU103" s="5">
        <v>99</v>
      </c>
      <c r="BV103" s="4">
        <v>112</v>
      </c>
      <c r="BW103" s="5">
        <v>264</v>
      </c>
      <c r="BX103" s="4">
        <v>233</v>
      </c>
      <c r="BY103" s="5">
        <v>900</v>
      </c>
      <c r="BZ103" s="4">
        <v>678</v>
      </c>
      <c r="CA103" s="8" t="s">
        <v>60</v>
      </c>
      <c r="CB103" s="4" t="s">
        <v>60</v>
      </c>
      <c r="CC103" s="3">
        <v>286</v>
      </c>
      <c r="CD103" s="4">
        <v>248</v>
      </c>
      <c r="CE103" s="5">
        <v>59</v>
      </c>
      <c r="CF103" s="4">
        <v>68</v>
      </c>
      <c r="CG103" s="5">
        <v>264</v>
      </c>
      <c r="CH103" s="4">
        <v>256</v>
      </c>
      <c r="CI103" s="5">
        <v>652</v>
      </c>
      <c r="CJ103" s="4">
        <v>637</v>
      </c>
      <c r="CK103" s="5">
        <v>0</v>
      </c>
      <c r="CL103" s="4">
        <v>143</v>
      </c>
      <c r="CM103" s="5">
        <v>1</v>
      </c>
      <c r="CN103" s="4">
        <v>2</v>
      </c>
      <c r="CO103" s="5">
        <v>1293</v>
      </c>
      <c r="CP103" s="4">
        <v>714</v>
      </c>
      <c r="CQ103" s="5">
        <v>113</v>
      </c>
      <c r="CR103" s="4">
        <v>120</v>
      </c>
      <c r="CS103" s="5">
        <v>1862</v>
      </c>
      <c r="CT103" s="4">
        <v>1029</v>
      </c>
      <c r="CU103" s="5">
        <v>429</v>
      </c>
      <c r="CV103" s="4">
        <v>427</v>
      </c>
      <c r="CW103" s="5">
        <v>0</v>
      </c>
      <c r="CX103" s="4">
        <v>143</v>
      </c>
      <c r="CY103" s="5">
        <v>166</v>
      </c>
      <c r="CZ103" s="4">
        <v>202</v>
      </c>
      <c r="DA103" s="5">
        <v>404</v>
      </c>
      <c r="DB103" s="4">
        <v>312</v>
      </c>
      <c r="DC103" s="5">
        <v>0</v>
      </c>
      <c r="DD103" s="4">
        <v>143</v>
      </c>
      <c r="DE103" s="5">
        <v>1398</v>
      </c>
      <c r="DF103" s="4">
        <v>601</v>
      </c>
      <c r="DG103" s="5">
        <v>139</v>
      </c>
      <c r="DH103" s="4">
        <v>102</v>
      </c>
      <c r="DI103" s="5">
        <v>76</v>
      </c>
      <c r="DJ103" s="4">
        <v>110</v>
      </c>
      <c r="DM103"/>
      <c r="DN103"/>
      <c r="DO103"/>
      <c r="DP103"/>
    </row>
    <row r="104" spans="9:120" x14ac:dyDescent="0.25">
      <c r="I104" s="5">
        <v>191778</v>
      </c>
      <c r="J104" s="4">
        <v>11799</v>
      </c>
      <c r="K104" s="5">
        <v>1567</v>
      </c>
      <c r="L104" s="4">
        <v>705</v>
      </c>
      <c r="M104" s="5">
        <v>1637</v>
      </c>
      <c r="N104" s="4">
        <v>1579</v>
      </c>
      <c r="O104" s="5">
        <v>6763</v>
      </c>
      <c r="P104" s="4">
        <v>3193</v>
      </c>
      <c r="Q104" s="5">
        <v>1952</v>
      </c>
      <c r="R104" s="4">
        <v>1128</v>
      </c>
      <c r="S104" s="5">
        <v>9032</v>
      </c>
      <c r="T104" s="4">
        <v>1771</v>
      </c>
      <c r="U104" s="5">
        <v>2690</v>
      </c>
      <c r="V104" s="4">
        <v>1023</v>
      </c>
      <c r="W104" s="5">
        <v>1189</v>
      </c>
      <c r="X104" s="4">
        <v>663</v>
      </c>
      <c r="Y104" s="5">
        <v>263</v>
      </c>
      <c r="Z104" s="4">
        <v>270</v>
      </c>
      <c r="AA104" s="5">
        <v>587</v>
      </c>
      <c r="AB104" s="4">
        <v>449</v>
      </c>
      <c r="AC104" s="5">
        <v>16492</v>
      </c>
      <c r="AD104" s="4">
        <v>3173</v>
      </c>
      <c r="AE104" s="5">
        <v>4290</v>
      </c>
      <c r="AF104" s="4">
        <v>1143</v>
      </c>
      <c r="AG104" s="5">
        <v>1044</v>
      </c>
      <c r="AH104" s="4">
        <v>694</v>
      </c>
      <c r="AI104" s="5">
        <v>312</v>
      </c>
      <c r="AJ104" s="4">
        <v>223</v>
      </c>
      <c r="AK104" s="5">
        <v>7027</v>
      </c>
      <c r="AL104" s="4">
        <v>1504</v>
      </c>
      <c r="AM104" s="5">
        <v>11588</v>
      </c>
      <c r="AN104" s="4">
        <v>2147</v>
      </c>
      <c r="AO104" s="5">
        <v>1146</v>
      </c>
      <c r="AP104" s="4">
        <v>614</v>
      </c>
      <c r="AQ104" s="5">
        <v>657</v>
      </c>
      <c r="AR104" s="4">
        <v>519</v>
      </c>
      <c r="AS104" s="5">
        <v>12744</v>
      </c>
      <c r="AT104" s="4">
        <v>3507</v>
      </c>
      <c r="AU104" s="5">
        <v>1872</v>
      </c>
      <c r="AV104" s="4">
        <v>1784</v>
      </c>
      <c r="AW104" s="5">
        <v>0</v>
      </c>
      <c r="AX104" s="4">
        <v>187</v>
      </c>
      <c r="AY104" s="5">
        <v>4982</v>
      </c>
      <c r="AZ104" s="4">
        <v>1578</v>
      </c>
      <c r="BA104" s="5">
        <v>2101</v>
      </c>
      <c r="BB104" s="4">
        <v>1008</v>
      </c>
      <c r="BC104" s="5">
        <v>14330</v>
      </c>
      <c r="BD104" s="4">
        <v>2896</v>
      </c>
      <c r="BE104" s="5">
        <v>1788</v>
      </c>
      <c r="BF104" s="4">
        <v>784</v>
      </c>
      <c r="BG104" s="5">
        <v>691</v>
      </c>
      <c r="BH104" s="4">
        <v>462</v>
      </c>
      <c r="BI104" s="5">
        <v>2003</v>
      </c>
      <c r="BJ104" s="4">
        <v>873</v>
      </c>
      <c r="BK104" s="5">
        <v>101</v>
      </c>
      <c r="BL104" s="4">
        <v>172</v>
      </c>
      <c r="BM104" s="5">
        <v>1176</v>
      </c>
      <c r="BN104" s="4">
        <v>616</v>
      </c>
      <c r="BO104" s="5">
        <v>1851</v>
      </c>
      <c r="BP104" s="4">
        <v>1107</v>
      </c>
      <c r="BQ104" s="5">
        <v>1992</v>
      </c>
      <c r="BR104" s="4">
        <v>1509</v>
      </c>
      <c r="BS104" s="5">
        <v>3936</v>
      </c>
      <c r="BT104" s="4">
        <v>1643</v>
      </c>
      <c r="BU104" s="5">
        <v>255</v>
      </c>
      <c r="BV104" s="4">
        <v>287</v>
      </c>
      <c r="BW104" s="5">
        <v>8784</v>
      </c>
      <c r="BX104" s="4">
        <v>2659</v>
      </c>
      <c r="BY104" s="5">
        <v>4572</v>
      </c>
      <c r="BZ104" s="4">
        <v>1270</v>
      </c>
      <c r="CA104" s="5">
        <v>204</v>
      </c>
      <c r="CB104" s="4">
        <v>270</v>
      </c>
      <c r="CC104" s="8" t="s">
        <v>60</v>
      </c>
      <c r="CD104" s="4" t="s">
        <v>60</v>
      </c>
      <c r="CE104" s="3">
        <v>2333</v>
      </c>
      <c r="CF104" s="4">
        <v>1263</v>
      </c>
      <c r="CG104" s="5">
        <v>1326</v>
      </c>
      <c r="CH104" s="4">
        <v>614</v>
      </c>
      <c r="CI104" s="5">
        <v>14292</v>
      </c>
      <c r="CJ104" s="4">
        <v>2842</v>
      </c>
      <c r="CK104" s="5">
        <v>369</v>
      </c>
      <c r="CL104" s="4">
        <v>353</v>
      </c>
      <c r="CM104" s="5">
        <v>3826</v>
      </c>
      <c r="CN104" s="4">
        <v>1192</v>
      </c>
      <c r="CO104" s="5">
        <v>34</v>
      </c>
      <c r="CP104" s="4">
        <v>68</v>
      </c>
      <c r="CQ104" s="5">
        <v>6468</v>
      </c>
      <c r="CR104" s="4">
        <v>2336</v>
      </c>
      <c r="CS104" s="5">
        <v>11987</v>
      </c>
      <c r="CT104" s="4">
        <v>4302</v>
      </c>
      <c r="CU104" s="5">
        <v>691</v>
      </c>
      <c r="CV104" s="4">
        <v>469</v>
      </c>
      <c r="CW104" s="5">
        <v>68</v>
      </c>
      <c r="CX104" s="4">
        <v>77</v>
      </c>
      <c r="CY104" s="5">
        <v>5425</v>
      </c>
      <c r="CZ104" s="4">
        <v>2020</v>
      </c>
      <c r="DA104" s="5">
        <v>1979</v>
      </c>
      <c r="DB104" s="4">
        <v>965</v>
      </c>
      <c r="DC104" s="5">
        <v>7548</v>
      </c>
      <c r="DD104" s="4">
        <v>1866</v>
      </c>
      <c r="DE104" s="5">
        <v>2534</v>
      </c>
      <c r="DF104" s="4">
        <v>1620</v>
      </c>
      <c r="DG104" s="5">
        <v>1280</v>
      </c>
      <c r="DH104" s="4">
        <v>793</v>
      </c>
      <c r="DI104" s="5">
        <v>1607</v>
      </c>
      <c r="DJ104" s="4">
        <v>1062</v>
      </c>
      <c r="DM104"/>
      <c r="DN104"/>
      <c r="DO104"/>
      <c r="DP104"/>
    </row>
    <row r="105" spans="9:120" x14ac:dyDescent="0.25">
      <c r="I105" s="5">
        <v>108878</v>
      </c>
      <c r="J105" s="4">
        <v>7998</v>
      </c>
      <c r="K105" s="5">
        <v>591</v>
      </c>
      <c r="L105" s="4">
        <v>368</v>
      </c>
      <c r="M105" s="5">
        <v>1137</v>
      </c>
      <c r="N105" s="4">
        <v>857</v>
      </c>
      <c r="O105" s="5">
        <v>3770</v>
      </c>
      <c r="P105" s="4">
        <v>1522</v>
      </c>
      <c r="Q105" s="5">
        <v>6894</v>
      </c>
      <c r="R105" s="4">
        <v>2060</v>
      </c>
      <c r="S105" s="5">
        <v>8233</v>
      </c>
      <c r="T105" s="4">
        <v>2583</v>
      </c>
      <c r="U105" s="5">
        <v>3273</v>
      </c>
      <c r="V105" s="4">
        <v>1511</v>
      </c>
      <c r="W105" s="5">
        <v>97</v>
      </c>
      <c r="X105" s="4">
        <v>138</v>
      </c>
      <c r="Y105" s="5">
        <v>66</v>
      </c>
      <c r="Z105" s="4">
        <v>110</v>
      </c>
      <c r="AA105" s="5">
        <v>191</v>
      </c>
      <c r="AB105" s="4">
        <v>234</v>
      </c>
      <c r="AC105" s="5">
        <v>6056</v>
      </c>
      <c r="AD105" s="4">
        <v>1588</v>
      </c>
      <c r="AE105" s="5">
        <v>3514</v>
      </c>
      <c r="AF105" s="4">
        <v>1642</v>
      </c>
      <c r="AG105" s="5">
        <v>140</v>
      </c>
      <c r="AH105" s="4">
        <v>148</v>
      </c>
      <c r="AI105" s="5">
        <v>21</v>
      </c>
      <c r="AJ105" s="4">
        <v>35</v>
      </c>
      <c r="AK105" s="5">
        <v>2179</v>
      </c>
      <c r="AL105" s="4">
        <v>1297</v>
      </c>
      <c r="AM105" s="5">
        <v>2113</v>
      </c>
      <c r="AN105" s="4">
        <v>1098</v>
      </c>
      <c r="AO105" s="5">
        <v>580</v>
      </c>
      <c r="AP105" s="4">
        <v>536</v>
      </c>
      <c r="AQ105" s="5">
        <v>4626</v>
      </c>
      <c r="AR105" s="4">
        <v>1250</v>
      </c>
      <c r="AS105" s="5">
        <v>1398</v>
      </c>
      <c r="AT105" s="4">
        <v>747</v>
      </c>
      <c r="AU105" s="5">
        <v>1934</v>
      </c>
      <c r="AV105" s="4">
        <v>727</v>
      </c>
      <c r="AW105" s="5">
        <v>271</v>
      </c>
      <c r="AX105" s="4">
        <v>425</v>
      </c>
      <c r="AY105" s="5">
        <v>432</v>
      </c>
      <c r="AZ105" s="4">
        <v>312</v>
      </c>
      <c r="BA105" s="5">
        <v>160</v>
      </c>
      <c r="BB105" s="4">
        <v>103</v>
      </c>
      <c r="BC105" s="5">
        <v>1038</v>
      </c>
      <c r="BD105" s="4">
        <v>848</v>
      </c>
      <c r="BE105" s="5">
        <v>497</v>
      </c>
      <c r="BF105" s="4">
        <v>341</v>
      </c>
      <c r="BG105" s="5">
        <v>199</v>
      </c>
      <c r="BH105" s="4">
        <v>202</v>
      </c>
      <c r="BI105" s="5">
        <v>5781</v>
      </c>
      <c r="BJ105" s="4">
        <v>1311</v>
      </c>
      <c r="BK105" s="5">
        <v>803</v>
      </c>
      <c r="BL105" s="4">
        <v>793</v>
      </c>
      <c r="BM105" s="5">
        <v>1979</v>
      </c>
      <c r="BN105" s="4">
        <v>1196</v>
      </c>
      <c r="BO105" s="5">
        <v>705</v>
      </c>
      <c r="BP105" s="4">
        <v>532</v>
      </c>
      <c r="BQ105" s="5">
        <v>0</v>
      </c>
      <c r="BR105" s="4">
        <v>163</v>
      </c>
      <c r="BS105" s="5">
        <v>391</v>
      </c>
      <c r="BT105" s="4">
        <v>333</v>
      </c>
      <c r="BU105" s="5">
        <v>403</v>
      </c>
      <c r="BV105" s="4">
        <v>259</v>
      </c>
      <c r="BW105" s="5">
        <v>1858</v>
      </c>
      <c r="BX105" s="4">
        <v>925</v>
      </c>
      <c r="BY105" s="5">
        <v>1322</v>
      </c>
      <c r="BZ105" s="4">
        <v>800</v>
      </c>
      <c r="CA105" s="5">
        <v>928</v>
      </c>
      <c r="CB105" s="4">
        <v>805</v>
      </c>
      <c r="CC105" s="5">
        <v>1608</v>
      </c>
      <c r="CD105" s="4">
        <v>791</v>
      </c>
      <c r="CE105" s="8" t="s">
        <v>60</v>
      </c>
      <c r="CF105" s="4" t="s">
        <v>60</v>
      </c>
      <c r="CG105" s="3">
        <v>917</v>
      </c>
      <c r="CH105" s="4">
        <v>713</v>
      </c>
      <c r="CI105" s="5">
        <v>1116</v>
      </c>
      <c r="CJ105" s="4">
        <v>492</v>
      </c>
      <c r="CK105" s="5">
        <v>152</v>
      </c>
      <c r="CL105" s="4">
        <v>179</v>
      </c>
      <c r="CM105" s="5">
        <v>2015</v>
      </c>
      <c r="CN105" s="4">
        <v>971</v>
      </c>
      <c r="CO105" s="5">
        <v>600</v>
      </c>
      <c r="CP105" s="4">
        <v>379</v>
      </c>
      <c r="CQ105" s="5">
        <v>1700</v>
      </c>
      <c r="CR105" s="4">
        <v>1101</v>
      </c>
      <c r="CS105" s="5">
        <v>31595</v>
      </c>
      <c r="CT105" s="4">
        <v>4987</v>
      </c>
      <c r="CU105" s="5">
        <v>587</v>
      </c>
      <c r="CV105" s="4">
        <v>450</v>
      </c>
      <c r="CW105" s="5">
        <v>0</v>
      </c>
      <c r="CX105" s="4">
        <v>163</v>
      </c>
      <c r="CY105" s="5">
        <v>1013</v>
      </c>
      <c r="CZ105" s="4">
        <v>610</v>
      </c>
      <c r="DA105" s="5">
        <v>1246</v>
      </c>
      <c r="DB105" s="4">
        <v>620</v>
      </c>
      <c r="DC105" s="5">
        <v>44</v>
      </c>
      <c r="DD105" s="4">
        <v>68</v>
      </c>
      <c r="DE105" s="5">
        <v>942</v>
      </c>
      <c r="DF105" s="4">
        <v>474</v>
      </c>
      <c r="DG105" s="5">
        <v>1763</v>
      </c>
      <c r="DH105" s="4">
        <v>1572</v>
      </c>
      <c r="DI105" s="5">
        <v>105</v>
      </c>
      <c r="DJ105" s="4">
        <v>139</v>
      </c>
      <c r="DM105"/>
      <c r="DN105"/>
      <c r="DO105"/>
      <c r="DP105"/>
    </row>
    <row r="106" spans="9:120" x14ac:dyDescent="0.25">
      <c r="I106" s="5">
        <v>127906</v>
      </c>
      <c r="J106" s="4">
        <v>9071</v>
      </c>
      <c r="K106" s="5">
        <v>758</v>
      </c>
      <c r="L106" s="4">
        <v>1071</v>
      </c>
      <c r="M106" s="5">
        <v>1935</v>
      </c>
      <c r="N106" s="4">
        <v>1062</v>
      </c>
      <c r="O106" s="5">
        <v>7911</v>
      </c>
      <c r="P106" s="4">
        <v>3054</v>
      </c>
      <c r="Q106" s="5">
        <v>988</v>
      </c>
      <c r="R106" s="4">
        <v>1155</v>
      </c>
      <c r="S106" s="5">
        <v>34214</v>
      </c>
      <c r="T106" s="4">
        <v>4555</v>
      </c>
      <c r="U106" s="5">
        <v>2110</v>
      </c>
      <c r="V106" s="4">
        <v>659</v>
      </c>
      <c r="W106" s="5">
        <v>949</v>
      </c>
      <c r="X106" s="4">
        <v>564</v>
      </c>
      <c r="Y106" s="5">
        <v>251</v>
      </c>
      <c r="Z106" s="4">
        <v>264</v>
      </c>
      <c r="AA106" s="5">
        <v>349</v>
      </c>
      <c r="AB106" s="4">
        <v>291</v>
      </c>
      <c r="AC106" s="5">
        <v>3384</v>
      </c>
      <c r="AD106" s="4">
        <v>1934</v>
      </c>
      <c r="AE106" s="5">
        <v>1946</v>
      </c>
      <c r="AF106" s="4">
        <v>1914</v>
      </c>
      <c r="AG106" s="5">
        <v>2491</v>
      </c>
      <c r="AH106" s="4">
        <v>1173</v>
      </c>
      <c r="AI106" s="5">
        <v>6236</v>
      </c>
      <c r="AJ106" s="4">
        <v>2097</v>
      </c>
      <c r="AK106" s="5">
        <v>1350</v>
      </c>
      <c r="AL106" s="4">
        <v>663</v>
      </c>
      <c r="AM106" s="5">
        <v>1371</v>
      </c>
      <c r="AN106" s="4">
        <v>1707</v>
      </c>
      <c r="AO106" s="5">
        <v>659</v>
      </c>
      <c r="AP106" s="4">
        <v>627</v>
      </c>
      <c r="AQ106" s="5">
        <v>1263</v>
      </c>
      <c r="AR106" s="4">
        <v>1355</v>
      </c>
      <c r="AS106" s="5">
        <v>71</v>
      </c>
      <c r="AT106" s="4">
        <v>118</v>
      </c>
      <c r="AU106" s="5">
        <v>0</v>
      </c>
      <c r="AV106" s="4">
        <v>203</v>
      </c>
      <c r="AW106" s="5">
        <v>269</v>
      </c>
      <c r="AX106" s="4">
        <v>320</v>
      </c>
      <c r="AY106" s="5">
        <v>453</v>
      </c>
      <c r="AZ106" s="4">
        <v>482</v>
      </c>
      <c r="BA106" s="5">
        <v>1423</v>
      </c>
      <c r="BB106" s="4">
        <v>768</v>
      </c>
      <c r="BC106" s="5">
        <v>1652</v>
      </c>
      <c r="BD106" s="4">
        <v>1174</v>
      </c>
      <c r="BE106" s="5">
        <v>1413</v>
      </c>
      <c r="BF106" s="4">
        <v>863</v>
      </c>
      <c r="BG106" s="5">
        <v>7</v>
      </c>
      <c r="BH106" s="4">
        <v>14</v>
      </c>
      <c r="BI106" s="5">
        <v>1172</v>
      </c>
      <c r="BJ106" s="4">
        <v>664</v>
      </c>
      <c r="BK106" s="5">
        <v>1079</v>
      </c>
      <c r="BL106" s="4">
        <v>784</v>
      </c>
      <c r="BM106" s="5">
        <v>324</v>
      </c>
      <c r="BN106" s="4">
        <v>342</v>
      </c>
      <c r="BO106" s="5">
        <v>7222</v>
      </c>
      <c r="BP106" s="4">
        <v>3426</v>
      </c>
      <c r="BQ106" s="5">
        <v>427</v>
      </c>
      <c r="BR106" s="4">
        <v>404</v>
      </c>
      <c r="BS106" s="5">
        <v>1322</v>
      </c>
      <c r="BT106" s="4">
        <v>771</v>
      </c>
      <c r="BU106" s="5">
        <v>537</v>
      </c>
      <c r="BV106" s="4">
        <v>449</v>
      </c>
      <c r="BW106" s="5">
        <v>2056</v>
      </c>
      <c r="BX106" s="4">
        <v>850</v>
      </c>
      <c r="BY106" s="5">
        <v>1099</v>
      </c>
      <c r="BZ106" s="4">
        <v>740</v>
      </c>
      <c r="CA106" s="5">
        <v>313</v>
      </c>
      <c r="CB106" s="4">
        <v>340</v>
      </c>
      <c r="CC106" s="5">
        <v>949</v>
      </c>
      <c r="CD106" s="4">
        <v>789</v>
      </c>
      <c r="CE106" s="5">
        <v>2034</v>
      </c>
      <c r="CF106" s="4">
        <v>1244</v>
      </c>
      <c r="CG106" s="8" t="s">
        <v>60</v>
      </c>
      <c r="CH106" s="4" t="s">
        <v>60</v>
      </c>
      <c r="CI106" s="3">
        <v>1407</v>
      </c>
      <c r="CJ106" s="4">
        <v>775</v>
      </c>
      <c r="CK106" s="5">
        <v>0</v>
      </c>
      <c r="CL106" s="4">
        <v>203</v>
      </c>
      <c r="CM106" s="5">
        <v>370</v>
      </c>
      <c r="CN106" s="4">
        <v>292</v>
      </c>
      <c r="CO106" s="5">
        <v>417</v>
      </c>
      <c r="CP106" s="4">
        <v>395</v>
      </c>
      <c r="CQ106" s="5">
        <v>673</v>
      </c>
      <c r="CR106" s="4">
        <v>420</v>
      </c>
      <c r="CS106" s="5">
        <v>4498</v>
      </c>
      <c r="CT106" s="4">
        <v>2398</v>
      </c>
      <c r="CU106" s="5">
        <v>3443</v>
      </c>
      <c r="CV106" s="4">
        <v>1781</v>
      </c>
      <c r="CW106" s="5">
        <v>176</v>
      </c>
      <c r="CX106" s="4">
        <v>203</v>
      </c>
      <c r="CY106" s="5">
        <v>1179</v>
      </c>
      <c r="CZ106" s="4">
        <v>619</v>
      </c>
      <c r="DA106" s="5">
        <v>21862</v>
      </c>
      <c r="DB106" s="4">
        <v>3732</v>
      </c>
      <c r="DC106" s="5">
        <v>66</v>
      </c>
      <c r="DD106" s="4">
        <v>115</v>
      </c>
      <c r="DE106" s="5">
        <v>914</v>
      </c>
      <c r="DF106" s="4">
        <v>697</v>
      </c>
      <c r="DG106" s="5">
        <v>914</v>
      </c>
      <c r="DH106" s="4">
        <v>880</v>
      </c>
      <c r="DI106" s="5">
        <v>4</v>
      </c>
      <c r="DJ106" s="4">
        <v>8</v>
      </c>
      <c r="DM106"/>
      <c r="DN106"/>
      <c r="DO106"/>
      <c r="DP106"/>
    </row>
    <row r="107" spans="9:120" x14ac:dyDescent="0.25">
      <c r="I107" s="5">
        <v>234291</v>
      </c>
      <c r="J107" s="4">
        <v>11246</v>
      </c>
      <c r="K107" s="5">
        <v>1332</v>
      </c>
      <c r="L107" s="4">
        <v>684</v>
      </c>
      <c r="M107" s="5">
        <v>759</v>
      </c>
      <c r="N107" s="4">
        <v>664</v>
      </c>
      <c r="O107" s="5">
        <v>2278</v>
      </c>
      <c r="P107" s="4">
        <v>917</v>
      </c>
      <c r="Q107" s="5">
        <v>582</v>
      </c>
      <c r="R107" s="4">
        <v>601</v>
      </c>
      <c r="S107" s="5">
        <v>10672</v>
      </c>
      <c r="T107" s="4">
        <v>2349</v>
      </c>
      <c r="U107" s="5">
        <v>2491</v>
      </c>
      <c r="V107" s="4">
        <v>1027</v>
      </c>
      <c r="W107" s="5">
        <v>4150</v>
      </c>
      <c r="X107" s="4">
        <v>993</v>
      </c>
      <c r="Y107" s="5">
        <v>5177</v>
      </c>
      <c r="Z107" s="4">
        <v>1304</v>
      </c>
      <c r="AA107" s="5">
        <v>1401</v>
      </c>
      <c r="AB107" s="4">
        <v>584</v>
      </c>
      <c r="AC107" s="5">
        <v>19299</v>
      </c>
      <c r="AD107" s="4">
        <v>3790</v>
      </c>
      <c r="AE107" s="5">
        <v>4627</v>
      </c>
      <c r="AF107" s="4">
        <v>1185</v>
      </c>
      <c r="AG107" s="5">
        <v>495</v>
      </c>
      <c r="AH107" s="4">
        <v>369</v>
      </c>
      <c r="AI107" s="5">
        <v>236</v>
      </c>
      <c r="AJ107" s="4">
        <v>223</v>
      </c>
      <c r="AK107" s="5">
        <v>3902</v>
      </c>
      <c r="AL107" s="4">
        <v>1438</v>
      </c>
      <c r="AM107" s="5">
        <v>4086</v>
      </c>
      <c r="AN107" s="4">
        <v>1429</v>
      </c>
      <c r="AO107" s="5">
        <v>1176</v>
      </c>
      <c r="AP107" s="4">
        <v>960</v>
      </c>
      <c r="AQ107" s="5">
        <v>2323</v>
      </c>
      <c r="AR107" s="4">
        <v>1449</v>
      </c>
      <c r="AS107" s="5">
        <v>4013</v>
      </c>
      <c r="AT107" s="4">
        <v>1826</v>
      </c>
      <c r="AU107" s="5">
        <v>615</v>
      </c>
      <c r="AV107" s="4">
        <v>294</v>
      </c>
      <c r="AW107" s="5">
        <v>608</v>
      </c>
      <c r="AX107" s="4">
        <v>328</v>
      </c>
      <c r="AY107" s="5">
        <v>17751</v>
      </c>
      <c r="AZ107" s="4">
        <v>3723</v>
      </c>
      <c r="BA107" s="5">
        <v>6284</v>
      </c>
      <c r="BB107" s="4">
        <v>1711</v>
      </c>
      <c r="BC107" s="5">
        <v>4406</v>
      </c>
      <c r="BD107" s="4">
        <v>1278</v>
      </c>
      <c r="BE107" s="5">
        <v>853</v>
      </c>
      <c r="BF107" s="4">
        <v>592</v>
      </c>
      <c r="BG107" s="5">
        <v>1238</v>
      </c>
      <c r="BH107" s="4">
        <v>943</v>
      </c>
      <c r="BI107" s="5">
        <v>1761</v>
      </c>
      <c r="BJ107" s="4">
        <v>1063</v>
      </c>
      <c r="BK107" s="5">
        <v>338</v>
      </c>
      <c r="BL107" s="4">
        <v>308</v>
      </c>
      <c r="BM107" s="5">
        <v>582</v>
      </c>
      <c r="BN107" s="4">
        <v>439</v>
      </c>
      <c r="BO107" s="5">
        <v>1057</v>
      </c>
      <c r="BP107" s="4">
        <v>501</v>
      </c>
      <c r="BQ107" s="5">
        <v>1326</v>
      </c>
      <c r="BR107" s="4">
        <v>520</v>
      </c>
      <c r="BS107" s="5">
        <v>36133</v>
      </c>
      <c r="BT107" s="4">
        <v>4167</v>
      </c>
      <c r="BU107" s="5">
        <v>325</v>
      </c>
      <c r="BV107" s="4">
        <v>405</v>
      </c>
      <c r="BW107" s="5">
        <v>29436</v>
      </c>
      <c r="BX107" s="4">
        <v>3921</v>
      </c>
      <c r="BY107" s="5">
        <v>11254</v>
      </c>
      <c r="BZ107" s="4">
        <v>3103</v>
      </c>
      <c r="CA107" s="5">
        <v>195</v>
      </c>
      <c r="CB107" s="4">
        <v>208</v>
      </c>
      <c r="CC107" s="5">
        <v>13075</v>
      </c>
      <c r="CD107" s="4">
        <v>2133</v>
      </c>
      <c r="CE107" s="5">
        <v>283</v>
      </c>
      <c r="CF107" s="4">
        <v>220</v>
      </c>
      <c r="CG107" s="5">
        <v>1594</v>
      </c>
      <c r="CH107" s="4">
        <v>1022</v>
      </c>
      <c r="CI107" s="8" t="s">
        <v>60</v>
      </c>
      <c r="CJ107" s="4" t="s">
        <v>60</v>
      </c>
      <c r="CK107" s="3">
        <v>799</v>
      </c>
      <c r="CL107" s="4">
        <v>558</v>
      </c>
      <c r="CM107" s="5">
        <v>3438</v>
      </c>
      <c r="CN107" s="4">
        <v>1057</v>
      </c>
      <c r="CO107" s="5">
        <v>142</v>
      </c>
      <c r="CP107" s="4">
        <v>140</v>
      </c>
      <c r="CQ107" s="5">
        <v>3742</v>
      </c>
      <c r="CR107" s="4">
        <v>1402</v>
      </c>
      <c r="CS107" s="5">
        <v>7006</v>
      </c>
      <c r="CT107" s="4">
        <v>1441</v>
      </c>
      <c r="CU107" s="5">
        <v>1246</v>
      </c>
      <c r="CV107" s="4">
        <v>776</v>
      </c>
      <c r="CW107" s="5">
        <v>446</v>
      </c>
      <c r="CX107" s="4">
        <v>327</v>
      </c>
      <c r="CY107" s="5">
        <v>8419</v>
      </c>
      <c r="CZ107" s="4">
        <v>1530</v>
      </c>
      <c r="DA107" s="5">
        <v>3688</v>
      </c>
      <c r="DB107" s="4">
        <v>1533</v>
      </c>
      <c r="DC107" s="5">
        <v>4631</v>
      </c>
      <c r="DD107" s="4">
        <v>1483</v>
      </c>
      <c r="DE107" s="5">
        <v>2426</v>
      </c>
      <c r="DF107" s="4">
        <v>1046</v>
      </c>
      <c r="DG107" s="5">
        <v>195</v>
      </c>
      <c r="DH107" s="4">
        <v>237</v>
      </c>
      <c r="DI107" s="5">
        <v>2723</v>
      </c>
      <c r="DJ107" s="4">
        <v>1294</v>
      </c>
      <c r="DM107"/>
      <c r="DN107"/>
      <c r="DO107"/>
      <c r="DP107"/>
    </row>
    <row r="108" spans="9:120" x14ac:dyDescent="0.25">
      <c r="I108" s="5">
        <v>26769</v>
      </c>
      <c r="J108" s="4">
        <v>2836</v>
      </c>
      <c r="K108" s="5">
        <v>0</v>
      </c>
      <c r="L108" s="4">
        <v>207</v>
      </c>
      <c r="M108" s="5">
        <v>0</v>
      </c>
      <c r="N108" s="4">
        <v>207</v>
      </c>
      <c r="O108" s="5">
        <v>214</v>
      </c>
      <c r="P108" s="4">
        <v>348</v>
      </c>
      <c r="Q108" s="5">
        <v>0</v>
      </c>
      <c r="R108" s="4">
        <v>207</v>
      </c>
      <c r="S108" s="5">
        <v>1949</v>
      </c>
      <c r="T108" s="4">
        <v>734</v>
      </c>
      <c r="U108" s="5">
        <v>301</v>
      </c>
      <c r="V108" s="4">
        <v>271</v>
      </c>
      <c r="W108" s="5">
        <v>2613</v>
      </c>
      <c r="X108" s="4">
        <v>984</v>
      </c>
      <c r="Y108" s="5">
        <v>0</v>
      </c>
      <c r="Z108" s="4">
        <v>207</v>
      </c>
      <c r="AA108" s="5">
        <v>0</v>
      </c>
      <c r="AB108" s="4">
        <v>207</v>
      </c>
      <c r="AC108" s="5">
        <v>2230</v>
      </c>
      <c r="AD108" s="4">
        <v>915</v>
      </c>
      <c r="AE108" s="5">
        <v>476</v>
      </c>
      <c r="AF108" s="4">
        <v>361</v>
      </c>
      <c r="AG108" s="5">
        <v>0</v>
      </c>
      <c r="AH108" s="4">
        <v>207</v>
      </c>
      <c r="AI108" s="5">
        <v>107</v>
      </c>
      <c r="AJ108" s="4">
        <v>199</v>
      </c>
      <c r="AK108" s="5">
        <v>373</v>
      </c>
      <c r="AL108" s="4">
        <v>375</v>
      </c>
      <c r="AM108" s="5">
        <v>41</v>
      </c>
      <c r="AN108" s="4">
        <v>95</v>
      </c>
      <c r="AO108" s="5">
        <v>82</v>
      </c>
      <c r="AP108" s="4">
        <v>145</v>
      </c>
      <c r="AQ108" s="5">
        <v>374</v>
      </c>
      <c r="AR108" s="4">
        <v>433</v>
      </c>
      <c r="AS108" s="5">
        <v>211</v>
      </c>
      <c r="AT108" s="4">
        <v>318</v>
      </c>
      <c r="AU108" s="5">
        <v>121</v>
      </c>
      <c r="AV108" s="4">
        <v>185</v>
      </c>
      <c r="AW108" s="5">
        <v>228</v>
      </c>
      <c r="AX108" s="4">
        <v>177</v>
      </c>
      <c r="AY108" s="5">
        <v>472</v>
      </c>
      <c r="AZ108" s="4">
        <v>323</v>
      </c>
      <c r="BA108" s="5">
        <v>7715</v>
      </c>
      <c r="BB108" s="4">
        <v>1532</v>
      </c>
      <c r="BC108" s="5">
        <v>178</v>
      </c>
      <c r="BD108" s="4">
        <v>117</v>
      </c>
      <c r="BE108" s="5">
        <v>27</v>
      </c>
      <c r="BF108" s="4">
        <v>60</v>
      </c>
      <c r="BG108" s="5">
        <v>0</v>
      </c>
      <c r="BH108" s="4">
        <v>207</v>
      </c>
      <c r="BI108" s="5">
        <v>109</v>
      </c>
      <c r="BJ108" s="4">
        <v>163</v>
      </c>
      <c r="BK108" s="5">
        <v>0</v>
      </c>
      <c r="BL108" s="4">
        <v>207</v>
      </c>
      <c r="BM108" s="5">
        <v>0</v>
      </c>
      <c r="BN108" s="4">
        <v>207</v>
      </c>
      <c r="BO108" s="5">
        <v>0</v>
      </c>
      <c r="BP108" s="4">
        <v>207</v>
      </c>
      <c r="BQ108" s="5">
        <v>941</v>
      </c>
      <c r="BR108" s="4">
        <v>745</v>
      </c>
      <c r="BS108" s="5">
        <v>1224</v>
      </c>
      <c r="BT108" s="4">
        <v>501</v>
      </c>
      <c r="BU108" s="5">
        <v>93</v>
      </c>
      <c r="BV108" s="4">
        <v>153</v>
      </c>
      <c r="BW108" s="5">
        <v>2776</v>
      </c>
      <c r="BX108" s="4">
        <v>1118</v>
      </c>
      <c r="BY108" s="5">
        <v>259</v>
      </c>
      <c r="BZ108" s="4">
        <v>212</v>
      </c>
      <c r="CA108" s="5">
        <v>0</v>
      </c>
      <c r="CB108" s="4">
        <v>207</v>
      </c>
      <c r="CC108" s="5">
        <v>60</v>
      </c>
      <c r="CD108" s="4">
        <v>89</v>
      </c>
      <c r="CE108" s="5">
        <v>0</v>
      </c>
      <c r="CF108" s="4">
        <v>207</v>
      </c>
      <c r="CG108" s="5">
        <v>57</v>
      </c>
      <c r="CH108" s="4">
        <v>94</v>
      </c>
      <c r="CI108" s="5">
        <v>1125</v>
      </c>
      <c r="CJ108" s="4">
        <v>725</v>
      </c>
      <c r="CK108" s="8" t="s">
        <v>60</v>
      </c>
      <c r="CL108" s="4" t="s">
        <v>60</v>
      </c>
      <c r="CM108" s="3">
        <v>223</v>
      </c>
      <c r="CN108" s="4">
        <v>232</v>
      </c>
      <c r="CO108" s="5">
        <v>0</v>
      </c>
      <c r="CP108" s="4">
        <v>207</v>
      </c>
      <c r="CQ108" s="5">
        <v>210</v>
      </c>
      <c r="CR108" s="4">
        <v>187</v>
      </c>
      <c r="CS108" s="5">
        <v>207</v>
      </c>
      <c r="CT108" s="4">
        <v>153</v>
      </c>
      <c r="CU108" s="5">
        <v>181</v>
      </c>
      <c r="CV108" s="4">
        <v>267</v>
      </c>
      <c r="CW108" s="5">
        <v>621</v>
      </c>
      <c r="CX108" s="4">
        <v>328</v>
      </c>
      <c r="CY108" s="5">
        <v>485</v>
      </c>
      <c r="CZ108" s="4">
        <v>448</v>
      </c>
      <c r="DA108" s="5">
        <v>262</v>
      </c>
      <c r="DB108" s="4">
        <v>277</v>
      </c>
      <c r="DC108" s="5">
        <v>199</v>
      </c>
      <c r="DD108" s="4">
        <v>253</v>
      </c>
      <c r="DE108" s="5">
        <v>2</v>
      </c>
      <c r="DF108" s="4">
        <v>5</v>
      </c>
      <c r="DG108" s="5">
        <v>23</v>
      </c>
      <c r="DH108" s="4">
        <v>47</v>
      </c>
      <c r="DI108" s="5">
        <v>293</v>
      </c>
      <c r="DJ108" s="4">
        <v>292</v>
      </c>
      <c r="DM108"/>
      <c r="DN108"/>
      <c r="DO108"/>
      <c r="DP108"/>
    </row>
    <row r="109" spans="9:120" x14ac:dyDescent="0.25">
      <c r="I109" s="5">
        <v>157644</v>
      </c>
      <c r="J109" s="4">
        <v>12647</v>
      </c>
      <c r="K109" s="5">
        <v>2999</v>
      </c>
      <c r="L109" s="4">
        <v>1543</v>
      </c>
      <c r="M109" s="5">
        <v>2421</v>
      </c>
      <c r="N109" s="4">
        <v>1281</v>
      </c>
      <c r="O109" s="5">
        <v>1971</v>
      </c>
      <c r="P109" s="4">
        <v>1391</v>
      </c>
      <c r="Q109" s="5">
        <v>1333</v>
      </c>
      <c r="R109" s="4">
        <v>1301</v>
      </c>
      <c r="S109" s="5">
        <v>6592</v>
      </c>
      <c r="T109" s="4">
        <v>1789</v>
      </c>
      <c r="U109" s="5">
        <v>1000</v>
      </c>
      <c r="V109" s="4">
        <v>598</v>
      </c>
      <c r="W109" s="5">
        <v>1752</v>
      </c>
      <c r="X109" s="4">
        <v>1005</v>
      </c>
      <c r="Y109" s="5">
        <v>841</v>
      </c>
      <c r="Z109" s="4">
        <v>746</v>
      </c>
      <c r="AA109" s="5">
        <v>589</v>
      </c>
      <c r="AB109" s="4">
        <v>681</v>
      </c>
      <c r="AC109" s="5">
        <v>15476</v>
      </c>
      <c r="AD109" s="4">
        <v>4230</v>
      </c>
      <c r="AE109" s="5">
        <v>16355</v>
      </c>
      <c r="AF109" s="4">
        <v>2798</v>
      </c>
      <c r="AG109" s="5">
        <v>712</v>
      </c>
      <c r="AH109" s="4">
        <v>626</v>
      </c>
      <c r="AI109" s="5">
        <v>55</v>
      </c>
      <c r="AJ109" s="4">
        <v>68</v>
      </c>
      <c r="AK109" s="5">
        <v>2371</v>
      </c>
      <c r="AL109" s="4">
        <v>831</v>
      </c>
      <c r="AM109" s="5">
        <v>3249</v>
      </c>
      <c r="AN109" s="4">
        <v>1601</v>
      </c>
      <c r="AO109" s="5">
        <v>1379</v>
      </c>
      <c r="AP109" s="4">
        <v>1468</v>
      </c>
      <c r="AQ109" s="5">
        <v>1885</v>
      </c>
      <c r="AR109" s="4">
        <v>1445</v>
      </c>
      <c r="AS109" s="5">
        <v>2454</v>
      </c>
      <c r="AT109" s="4">
        <v>1692</v>
      </c>
      <c r="AU109" s="5">
        <v>878</v>
      </c>
      <c r="AV109" s="4">
        <v>486</v>
      </c>
      <c r="AW109" s="5">
        <v>652</v>
      </c>
      <c r="AX109" s="4">
        <v>566</v>
      </c>
      <c r="AY109" s="5">
        <v>3807</v>
      </c>
      <c r="AZ109" s="4">
        <v>1261</v>
      </c>
      <c r="BA109" s="5">
        <v>730</v>
      </c>
      <c r="BB109" s="4">
        <v>447</v>
      </c>
      <c r="BC109" s="5">
        <v>4483</v>
      </c>
      <c r="BD109" s="4">
        <v>1737</v>
      </c>
      <c r="BE109" s="5">
        <v>471</v>
      </c>
      <c r="BF109" s="4">
        <v>393</v>
      </c>
      <c r="BG109" s="5">
        <v>2163</v>
      </c>
      <c r="BH109" s="4">
        <v>1979</v>
      </c>
      <c r="BI109" s="5">
        <v>1522</v>
      </c>
      <c r="BJ109" s="4">
        <v>1671</v>
      </c>
      <c r="BK109" s="5">
        <v>915</v>
      </c>
      <c r="BL109" s="4">
        <v>999</v>
      </c>
      <c r="BM109" s="5">
        <v>204</v>
      </c>
      <c r="BN109" s="4">
        <v>329</v>
      </c>
      <c r="BO109" s="5">
        <v>1017</v>
      </c>
      <c r="BP109" s="4">
        <v>722</v>
      </c>
      <c r="BQ109" s="5">
        <v>372</v>
      </c>
      <c r="BR109" s="4">
        <v>280</v>
      </c>
      <c r="BS109" s="5">
        <v>4241</v>
      </c>
      <c r="BT109" s="4">
        <v>1445</v>
      </c>
      <c r="BU109" s="5">
        <v>598</v>
      </c>
      <c r="BV109" s="4">
        <v>609</v>
      </c>
      <c r="BW109" s="5">
        <v>11317</v>
      </c>
      <c r="BX109" s="4">
        <v>3991</v>
      </c>
      <c r="BY109" s="5">
        <v>23102</v>
      </c>
      <c r="BZ109" s="4">
        <v>4356</v>
      </c>
      <c r="CA109" s="5">
        <v>271</v>
      </c>
      <c r="CB109" s="4">
        <v>213</v>
      </c>
      <c r="CC109" s="5">
        <v>6327</v>
      </c>
      <c r="CD109" s="4">
        <v>2177</v>
      </c>
      <c r="CE109" s="5">
        <v>1008</v>
      </c>
      <c r="CF109" s="4">
        <v>934</v>
      </c>
      <c r="CG109" s="5">
        <v>833</v>
      </c>
      <c r="CH109" s="4">
        <v>583</v>
      </c>
      <c r="CI109" s="5">
        <v>3523</v>
      </c>
      <c r="CJ109" s="4">
        <v>1139</v>
      </c>
      <c r="CK109" s="5">
        <v>453</v>
      </c>
      <c r="CL109" s="4">
        <v>360</v>
      </c>
      <c r="CM109" s="8" t="s">
        <v>60</v>
      </c>
      <c r="CN109" s="4" t="s">
        <v>60</v>
      </c>
      <c r="CO109" s="3">
        <v>62</v>
      </c>
      <c r="CP109" s="4">
        <v>107</v>
      </c>
      <c r="CQ109" s="5">
        <v>3324</v>
      </c>
      <c r="CR109" s="4">
        <v>1252</v>
      </c>
      <c r="CS109" s="5">
        <v>8623</v>
      </c>
      <c r="CT109" s="4">
        <v>4005</v>
      </c>
      <c r="CU109" s="5">
        <v>181</v>
      </c>
      <c r="CV109" s="4">
        <v>188</v>
      </c>
      <c r="CW109" s="5">
        <v>91</v>
      </c>
      <c r="CX109" s="4">
        <v>115</v>
      </c>
      <c r="CY109" s="5">
        <v>7879</v>
      </c>
      <c r="CZ109" s="4">
        <v>2193</v>
      </c>
      <c r="DA109" s="5">
        <v>2510</v>
      </c>
      <c r="DB109" s="4">
        <v>1257</v>
      </c>
      <c r="DC109" s="5">
        <v>1680</v>
      </c>
      <c r="DD109" s="4">
        <v>1114</v>
      </c>
      <c r="DE109" s="5">
        <v>341</v>
      </c>
      <c r="DF109" s="4">
        <v>291</v>
      </c>
      <c r="DG109" s="5">
        <v>632</v>
      </c>
      <c r="DH109" s="4">
        <v>647</v>
      </c>
      <c r="DI109" s="5">
        <v>2166</v>
      </c>
      <c r="DJ109" s="4">
        <v>1534</v>
      </c>
      <c r="DM109"/>
      <c r="DN109"/>
      <c r="DO109"/>
      <c r="DP109"/>
    </row>
    <row r="110" spans="9:120" x14ac:dyDescent="0.25">
      <c r="I110" s="5">
        <v>27506</v>
      </c>
      <c r="J110" s="4">
        <v>3893</v>
      </c>
      <c r="K110" s="5">
        <v>0</v>
      </c>
      <c r="L110" s="4">
        <v>155</v>
      </c>
      <c r="M110" s="5">
        <v>554</v>
      </c>
      <c r="N110" s="4">
        <v>492</v>
      </c>
      <c r="O110" s="5">
        <v>1422</v>
      </c>
      <c r="P110" s="4">
        <v>1445</v>
      </c>
      <c r="Q110" s="5">
        <v>659</v>
      </c>
      <c r="R110" s="4">
        <v>778</v>
      </c>
      <c r="S110" s="5">
        <v>1286</v>
      </c>
      <c r="T110" s="4">
        <v>622</v>
      </c>
      <c r="U110" s="5">
        <v>1021</v>
      </c>
      <c r="V110" s="4">
        <v>604</v>
      </c>
      <c r="W110" s="5">
        <v>0</v>
      </c>
      <c r="X110" s="4">
        <v>155</v>
      </c>
      <c r="Y110" s="5">
        <v>0</v>
      </c>
      <c r="Z110" s="4">
        <v>155</v>
      </c>
      <c r="AA110" s="5">
        <v>0</v>
      </c>
      <c r="AB110" s="4">
        <v>155</v>
      </c>
      <c r="AC110" s="5">
        <v>101</v>
      </c>
      <c r="AD110" s="4">
        <v>102</v>
      </c>
      <c r="AE110" s="5">
        <v>69</v>
      </c>
      <c r="AF110" s="4">
        <v>104</v>
      </c>
      <c r="AG110" s="5">
        <v>0</v>
      </c>
      <c r="AH110" s="4">
        <v>155</v>
      </c>
      <c r="AI110" s="5">
        <v>186</v>
      </c>
      <c r="AJ110" s="4">
        <v>262</v>
      </c>
      <c r="AK110" s="5">
        <v>267</v>
      </c>
      <c r="AL110" s="4">
        <v>235</v>
      </c>
      <c r="AM110" s="5">
        <v>285</v>
      </c>
      <c r="AN110" s="4">
        <v>378</v>
      </c>
      <c r="AO110" s="5">
        <v>4772</v>
      </c>
      <c r="AP110" s="4">
        <v>1898</v>
      </c>
      <c r="AQ110" s="5">
        <v>144</v>
      </c>
      <c r="AR110" s="4">
        <v>212</v>
      </c>
      <c r="AS110" s="5">
        <v>211</v>
      </c>
      <c r="AT110" s="4">
        <v>208</v>
      </c>
      <c r="AU110" s="5">
        <v>0</v>
      </c>
      <c r="AV110" s="4">
        <v>155</v>
      </c>
      <c r="AW110" s="5">
        <v>0</v>
      </c>
      <c r="AX110" s="4">
        <v>155</v>
      </c>
      <c r="AY110" s="5">
        <v>254</v>
      </c>
      <c r="AZ110" s="4">
        <v>222</v>
      </c>
      <c r="BA110" s="5">
        <v>113</v>
      </c>
      <c r="BB110" s="4">
        <v>179</v>
      </c>
      <c r="BC110" s="5">
        <v>239</v>
      </c>
      <c r="BD110" s="4">
        <v>201</v>
      </c>
      <c r="BE110" s="5">
        <v>5342</v>
      </c>
      <c r="BF110" s="4">
        <v>1981</v>
      </c>
      <c r="BG110" s="5">
        <v>129</v>
      </c>
      <c r="BH110" s="4">
        <v>155</v>
      </c>
      <c r="BI110" s="5">
        <v>354</v>
      </c>
      <c r="BJ110" s="4">
        <v>294</v>
      </c>
      <c r="BK110" s="5">
        <v>232</v>
      </c>
      <c r="BL110" s="4">
        <v>258</v>
      </c>
      <c r="BM110" s="5">
        <v>1695</v>
      </c>
      <c r="BN110" s="4">
        <v>784</v>
      </c>
      <c r="BO110" s="5">
        <v>110</v>
      </c>
      <c r="BP110" s="4">
        <v>177</v>
      </c>
      <c r="BQ110" s="5">
        <v>0</v>
      </c>
      <c r="BR110" s="4">
        <v>155</v>
      </c>
      <c r="BS110" s="5">
        <v>441</v>
      </c>
      <c r="BT110" s="4">
        <v>473</v>
      </c>
      <c r="BU110" s="5">
        <v>513</v>
      </c>
      <c r="BV110" s="4">
        <v>571</v>
      </c>
      <c r="BW110" s="5">
        <v>6</v>
      </c>
      <c r="BX110" s="4">
        <v>11</v>
      </c>
      <c r="BY110" s="5">
        <v>166</v>
      </c>
      <c r="BZ110" s="4">
        <v>257</v>
      </c>
      <c r="CA110" s="5">
        <v>2060</v>
      </c>
      <c r="CB110" s="4">
        <v>1025</v>
      </c>
      <c r="CC110" s="5">
        <v>84</v>
      </c>
      <c r="CD110" s="4">
        <v>102</v>
      </c>
      <c r="CE110" s="5">
        <v>40</v>
      </c>
      <c r="CF110" s="4">
        <v>46</v>
      </c>
      <c r="CG110" s="5">
        <v>15</v>
      </c>
      <c r="CH110" s="4">
        <v>26</v>
      </c>
      <c r="CI110" s="5">
        <v>57</v>
      </c>
      <c r="CJ110" s="4">
        <v>77</v>
      </c>
      <c r="CK110" s="5">
        <v>7</v>
      </c>
      <c r="CL110" s="4">
        <v>12</v>
      </c>
      <c r="CM110" s="5">
        <v>529</v>
      </c>
      <c r="CN110" s="4">
        <v>706</v>
      </c>
      <c r="CO110" s="8" t="s">
        <v>60</v>
      </c>
      <c r="CP110" s="4" t="s">
        <v>60</v>
      </c>
      <c r="CQ110" s="3">
        <v>0</v>
      </c>
      <c r="CR110" s="4">
        <v>155</v>
      </c>
      <c r="CS110" s="5">
        <v>1156</v>
      </c>
      <c r="CT110" s="4">
        <v>384</v>
      </c>
      <c r="CU110" s="5">
        <v>560</v>
      </c>
      <c r="CV110" s="4">
        <v>567</v>
      </c>
      <c r="CW110" s="5">
        <v>0</v>
      </c>
      <c r="CX110" s="4">
        <v>155</v>
      </c>
      <c r="CY110" s="5">
        <v>79</v>
      </c>
      <c r="CZ110" s="4">
        <v>92</v>
      </c>
      <c r="DA110" s="5">
        <v>557</v>
      </c>
      <c r="DB110" s="4">
        <v>780</v>
      </c>
      <c r="DC110" s="5">
        <v>0</v>
      </c>
      <c r="DD110" s="4">
        <v>155</v>
      </c>
      <c r="DE110" s="5">
        <v>481</v>
      </c>
      <c r="DF110" s="4">
        <v>594</v>
      </c>
      <c r="DG110" s="5">
        <v>1310</v>
      </c>
      <c r="DH110" s="4">
        <v>880</v>
      </c>
      <c r="DI110" s="5">
        <v>0</v>
      </c>
      <c r="DJ110" s="4">
        <v>155</v>
      </c>
      <c r="DM110"/>
      <c r="DN110"/>
      <c r="DO110"/>
      <c r="DP110"/>
    </row>
    <row r="111" spans="9:120" x14ac:dyDescent="0.25">
      <c r="I111" s="5">
        <v>170969</v>
      </c>
      <c r="J111" s="4">
        <v>13046</v>
      </c>
      <c r="K111" s="5">
        <v>9326</v>
      </c>
      <c r="L111" s="4">
        <v>2717</v>
      </c>
      <c r="M111" s="5">
        <v>531</v>
      </c>
      <c r="N111" s="4">
        <v>465</v>
      </c>
      <c r="O111" s="5">
        <v>1346</v>
      </c>
      <c r="P111" s="4">
        <v>1176</v>
      </c>
      <c r="Q111" s="5">
        <v>7393</v>
      </c>
      <c r="R111" s="4">
        <v>3038</v>
      </c>
      <c r="S111" s="5">
        <v>7130</v>
      </c>
      <c r="T111" s="4">
        <v>2041</v>
      </c>
      <c r="U111" s="5">
        <v>1372</v>
      </c>
      <c r="V111" s="4">
        <v>902</v>
      </c>
      <c r="W111" s="5">
        <v>150</v>
      </c>
      <c r="X111" s="4">
        <v>163</v>
      </c>
      <c r="Y111" s="5">
        <v>155</v>
      </c>
      <c r="Z111" s="4">
        <v>191</v>
      </c>
      <c r="AA111" s="5">
        <v>307</v>
      </c>
      <c r="AB111" s="4">
        <v>186</v>
      </c>
      <c r="AC111" s="5">
        <v>15491</v>
      </c>
      <c r="AD111" s="4">
        <v>3282</v>
      </c>
      <c r="AE111" s="5">
        <v>17507</v>
      </c>
      <c r="AF111" s="4">
        <v>4897</v>
      </c>
      <c r="AG111" s="5">
        <v>179</v>
      </c>
      <c r="AH111" s="4">
        <v>230</v>
      </c>
      <c r="AI111" s="5">
        <v>0</v>
      </c>
      <c r="AJ111" s="4">
        <v>208</v>
      </c>
      <c r="AK111" s="5">
        <v>8593</v>
      </c>
      <c r="AL111" s="4">
        <v>2245</v>
      </c>
      <c r="AM111" s="5">
        <v>5645</v>
      </c>
      <c r="AN111" s="4">
        <v>1932</v>
      </c>
      <c r="AO111" s="5">
        <v>387</v>
      </c>
      <c r="AP111" s="4">
        <v>432</v>
      </c>
      <c r="AQ111" s="5">
        <v>1805</v>
      </c>
      <c r="AR111" s="4">
        <v>1529</v>
      </c>
      <c r="AS111" s="5">
        <v>13884</v>
      </c>
      <c r="AT111" s="4">
        <v>2654</v>
      </c>
      <c r="AU111" s="5">
        <v>1901</v>
      </c>
      <c r="AV111" s="4">
        <v>908</v>
      </c>
      <c r="AW111" s="5">
        <v>9</v>
      </c>
      <c r="AX111" s="4">
        <v>17</v>
      </c>
      <c r="AY111" s="5">
        <v>1135</v>
      </c>
      <c r="AZ111" s="4">
        <v>675</v>
      </c>
      <c r="BA111" s="5">
        <v>1690</v>
      </c>
      <c r="BB111" s="4">
        <v>1886</v>
      </c>
      <c r="BC111" s="5">
        <v>5983</v>
      </c>
      <c r="BD111" s="4">
        <v>2441</v>
      </c>
      <c r="BE111" s="5">
        <v>445</v>
      </c>
      <c r="BF111" s="4">
        <v>315</v>
      </c>
      <c r="BG111" s="5">
        <v>9172</v>
      </c>
      <c r="BH111" s="4">
        <v>2752</v>
      </c>
      <c r="BI111" s="5">
        <v>3795</v>
      </c>
      <c r="BJ111" s="4">
        <v>1409</v>
      </c>
      <c r="BK111" s="5">
        <v>43</v>
      </c>
      <c r="BL111" s="4">
        <v>69</v>
      </c>
      <c r="BM111" s="5">
        <v>631</v>
      </c>
      <c r="BN111" s="4">
        <v>660</v>
      </c>
      <c r="BO111" s="5">
        <v>883</v>
      </c>
      <c r="BP111" s="4">
        <v>816</v>
      </c>
      <c r="BQ111" s="5">
        <v>132</v>
      </c>
      <c r="BR111" s="4">
        <v>134</v>
      </c>
      <c r="BS111" s="5">
        <v>1396</v>
      </c>
      <c r="BT111" s="4">
        <v>850</v>
      </c>
      <c r="BU111" s="5">
        <v>381</v>
      </c>
      <c r="BV111" s="4">
        <v>330</v>
      </c>
      <c r="BW111" s="5">
        <v>4921</v>
      </c>
      <c r="BX111" s="4">
        <v>1493</v>
      </c>
      <c r="BY111" s="5">
        <v>9353</v>
      </c>
      <c r="BZ111" s="4">
        <v>2989</v>
      </c>
      <c r="CA111" s="5">
        <v>50</v>
      </c>
      <c r="CB111" s="4">
        <v>92</v>
      </c>
      <c r="CC111" s="5">
        <v>5944</v>
      </c>
      <c r="CD111" s="4">
        <v>2044</v>
      </c>
      <c r="CE111" s="5">
        <v>3166</v>
      </c>
      <c r="CF111" s="4">
        <v>3444</v>
      </c>
      <c r="CG111" s="5">
        <v>726</v>
      </c>
      <c r="CH111" s="4">
        <v>610</v>
      </c>
      <c r="CI111" s="5">
        <v>3360</v>
      </c>
      <c r="CJ111" s="4">
        <v>1716</v>
      </c>
      <c r="CK111" s="5">
        <v>14</v>
      </c>
      <c r="CL111" s="4">
        <v>31</v>
      </c>
      <c r="CM111" s="5">
        <v>5531</v>
      </c>
      <c r="CN111" s="4">
        <v>1883</v>
      </c>
      <c r="CO111" s="5">
        <v>181</v>
      </c>
      <c r="CP111" s="4">
        <v>156</v>
      </c>
      <c r="CQ111" s="8" t="s">
        <v>60</v>
      </c>
      <c r="CR111" s="4" t="s">
        <v>60</v>
      </c>
      <c r="CS111" s="3">
        <v>7009</v>
      </c>
      <c r="CT111" s="4">
        <v>1999</v>
      </c>
      <c r="CU111" s="5">
        <v>200</v>
      </c>
      <c r="CV111" s="4">
        <v>223</v>
      </c>
      <c r="CW111" s="5">
        <v>38</v>
      </c>
      <c r="CX111" s="4">
        <v>64</v>
      </c>
      <c r="CY111" s="5">
        <v>6098</v>
      </c>
      <c r="CZ111" s="4">
        <v>1279</v>
      </c>
      <c r="DA111" s="5">
        <v>2852</v>
      </c>
      <c r="DB111" s="4">
        <v>2746</v>
      </c>
      <c r="DC111" s="5">
        <v>1385</v>
      </c>
      <c r="DD111" s="4">
        <v>764</v>
      </c>
      <c r="DE111" s="5">
        <v>1213</v>
      </c>
      <c r="DF111" s="4">
        <v>631</v>
      </c>
      <c r="DG111" s="5">
        <v>131</v>
      </c>
      <c r="DH111" s="4">
        <v>214</v>
      </c>
      <c r="DI111" s="5">
        <v>1083</v>
      </c>
      <c r="DJ111" s="4">
        <v>1191</v>
      </c>
      <c r="DM111"/>
      <c r="DN111"/>
      <c r="DO111"/>
      <c r="DP111"/>
    </row>
    <row r="112" spans="9:120" x14ac:dyDescent="0.25">
      <c r="I112" s="5">
        <v>514726</v>
      </c>
      <c r="J112" s="4">
        <v>23860</v>
      </c>
      <c r="K112" s="5">
        <v>8747</v>
      </c>
      <c r="L112" s="4">
        <v>2609</v>
      </c>
      <c r="M112" s="5">
        <v>6670</v>
      </c>
      <c r="N112" s="4">
        <v>2828</v>
      </c>
      <c r="O112" s="5">
        <v>20073</v>
      </c>
      <c r="P112" s="4">
        <v>5295</v>
      </c>
      <c r="Q112" s="5">
        <v>16461</v>
      </c>
      <c r="R112" s="4">
        <v>3965</v>
      </c>
      <c r="S112" s="5">
        <v>58992</v>
      </c>
      <c r="T112" s="4">
        <v>7044</v>
      </c>
      <c r="U112" s="5">
        <v>19126</v>
      </c>
      <c r="V112" s="4">
        <v>3821</v>
      </c>
      <c r="W112" s="5">
        <v>2927</v>
      </c>
      <c r="X112" s="4">
        <v>1710</v>
      </c>
      <c r="Y112" s="5">
        <v>884</v>
      </c>
      <c r="Z112" s="4">
        <v>658</v>
      </c>
      <c r="AA112" s="5">
        <v>2276</v>
      </c>
      <c r="AB112" s="4">
        <v>1540</v>
      </c>
      <c r="AC112" s="5">
        <v>35777</v>
      </c>
      <c r="AD112" s="4">
        <v>6888</v>
      </c>
      <c r="AE112" s="5">
        <v>17401</v>
      </c>
      <c r="AF112" s="4">
        <v>3608</v>
      </c>
      <c r="AG112" s="5">
        <v>6106</v>
      </c>
      <c r="AH112" s="4">
        <v>2623</v>
      </c>
      <c r="AI112" s="5">
        <v>4379</v>
      </c>
      <c r="AJ112" s="4">
        <v>3119</v>
      </c>
      <c r="AK112" s="5">
        <v>15064</v>
      </c>
      <c r="AL112" s="4">
        <v>3097</v>
      </c>
      <c r="AM112" s="5">
        <v>10265</v>
      </c>
      <c r="AN112" s="4">
        <v>3693</v>
      </c>
      <c r="AO112" s="5">
        <v>3236</v>
      </c>
      <c r="AP112" s="4">
        <v>1628</v>
      </c>
      <c r="AQ112" s="5">
        <v>12766</v>
      </c>
      <c r="AR112" s="4">
        <v>4731</v>
      </c>
      <c r="AS112" s="5">
        <v>6616</v>
      </c>
      <c r="AT112" s="4">
        <v>2648</v>
      </c>
      <c r="AU112" s="5">
        <v>25513</v>
      </c>
      <c r="AV112" s="4">
        <v>5283</v>
      </c>
      <c r="AW112" s="5">
        <v>1357</v>
      </c>
      <c r="AX112" s="4">
        <v>1052</v>
      </c>
      <c r="AY112" s="5">
        <v>9443</v>
      </c>
      <c r="AZ112" s="4">
        <v>3323</v>
      </c>
      <c r="BA112" s="5">
        <v>5035</v>
      </c>
      <c r="BB112" s="4">
        <v>1644</v>
      </c>
      <c r="BC112" s="5">
        <v>15654</v>
      </c>
      <c r="BD112" s="4">
        <v>4327</v>
      </c>
      <c r="BE112" s="5">
        <v>7691</v>
      </c>
      <c r="BF112" s="4">
        <v>2576</v>
      </c>
      <c r="BG112" s="5">
        <v>6048</v>
      </c>
      <c r="BH112" s="4">
        <v>2921</v>
      </c>
      <c r="BI112" s="5">
        <v>13473</v>
      </c>
      <c r="BJ112" s="4">
        <v>3950</v>
      </c>
      <c r="BK112" s="5">
        <v>537</v>
      </c>
      <c r="BL112" s="4">
        <v>423</v>
      </c>
      <c r="BM112" s="5">
        <v>3837</v>
      </c>
      <c r="BN112" s="4">
        <v>2060</v>
      </c>
      <c r="BO112" s="5">
        <v>7793</v>
      </c>
      <c r="BP112" s="4">
        <v>2927</v>
      </c>
      <c r="BQ112" s="5">
        <v>459</v>
      </c>
      <c r="BR112" s="4">
        <v>334</v>
      </c>
      <c r="BS112" s="5">
        <v>7578</v>
      </c>
      <c r="BT112" s="4">
        <v>2982</v>
      </c>
      <c r="BU112" s="5">
        <v>15225</v>
      </c>
      <c r="BV112" s="4">
        <v>2786</v>
      </c>
      <c r="BW112" s="5">
        <v>26155</v>
      </c>
      <c r="BX112" s="4">
        <v>6509</v>
      </c>
      <c r="BY112" s="5">
        <v>14956</v>
      </c>
      <c r="BZ112" s="4">
        <v>4396</v>
      </c>
      <c r="CA112" s="5">
        <v>809</v>
      </c>
      <c r="CB112" s="4">
        <v>652</v>
      </c>
      <c r="CC112" s="5">
        <v>12315</v>
      </c>
      <c r="CD112" s="4">
        <v>2730</v>
      </c>
      <c r="CE112" s="5">
        <v>19302</v>
      </c>
      <c r="CF112" s="4">
        <v>4804</v>
      </c>
      <c r="CG112" s="5">
        <v>3743</v>
      </c>
      <c r="CH112" s="4">
        <v>1552</v>
      </c>
      <c r="CI112" s="5">
        <v>9107</v>
      </c>
      <c r="CJ112" s="4">
        <v>2433</v>
      </c>
      <c r="CK112" s="5">
        <v>1297</v>
      </c>
      <c r="CL112" s="4">
        <v>1223</v>
      </c>
      <c r="CM112" s="5">
        <v>4075</v>
      </c>
      <c r="CN112" s="4">
        <v>1969</v>
      </c>
      <c r="CO112" s="5">
        <v>1486</v>
      </c>
      <c r="CP112" s="4">
        <v>1045</v>
      </c>
      <c r="CQ112" s="5">
        <v>10788</v>
      </c>
      <c r="CR112" s="4">
        <v>3114</v>
      </c>
      <c r="CS112" s="8" t="s">
        <v>60</v>
      </c>
      <c r="CT112" s="4" t="s">
        <v>60</v>
      </c>
      <c r="CU112" s="3">
        <v>5234</v>
      </c>
      <c r="CV112" s="4">
        <v>2551</v>
      </c>
      <c r="CW112" s="5">
        <v>349</v>
      </c>
      <c r="CX112" s="4">
        <v>344</v>
      </c>
      <c r="CY112" s="5">
        <v>13231</v>
      </c>
      <c r="CZ112" s="4">
        <v>3158</v>
      </c>
      <c r="DA112" s="5">
        <v>15325</v>
      </c>
      <c r="DB112" s="4">
        <v>3090</v>
      </c>
      <c r="DC112" s="5">
        <v>663</v>
      </c>
      <c r="DD112" s="4">
        <v>563</v>
      </c>
      <c r="DE112" s="5">
        <v>5982</v>
      </c>
      <c r="DF112" s="4">
        <v>2396</v>
      </c>
      <c r="DG112" s="5">
        <v>2500</v>
      </c>
      <c r="DH112" s="4">
        <v>1485</v>
      </c>
      <c r="DI112" s="5">
        <v>5225</v>
      </c>
      <c r="DJ112" s="4">
        <v>2173</v>
      </c>
      <c r="DM112"/>
      <c r="DN112"/>
      <c r="DO112"/>
      <c r="DP112"/>
    </row>
    <row r="113" spans="9:120" x14ac:dyDescent="0.25">
      <c r="I113" s="5">
        <v>85217</v>
      </c>
      <c r="J113" s="4">
        <v>7587</v>
      </c>
      <c r="K113" s="5">
        <v>486</v>
      </c>
      <c r="L113" s="4">
        <v>558</v>
      </c>
      <c r="M113" s="5">
        <v>2151</v>
      </c>
      <c r="N113" s="4">
        <v>1259</v>
      </c>
      <c r="O113" s="5">
        <v>6585</v>
      </c>
      <c r="P113" s="4">
        <v>2560</v>
      </c>
      <c r="Q113" s="5">
        <v>422</v>
      </c>
      <c r="R113" s="4">
        <v>455</v>
      </c>
      <c r="S113" s="5">
        <v>18237</v>
      </c>
      <c r="T113" s="4">
        <v>4113</v>
      </c>
      <c r="U113" s="5">
        <v>3986</v>
      </c>
      <c r="V113" s="4">
        <v>1191</v>
      </c>
      <c r="W113" s="5">
        <v>562</v>
      </c>
      <c r="X113" s="4">
        <v>590</v>
      </c>
      <c r="Y113" s="5">
        <v>0</v>
      </c>
      <c r="Z113" s="4">
        <v>192</v>
      </c>
      <c r="AA113" s="5">
        <v>132</v>
      </c>
      <c r="AB113" s="4">
        <v>141</v>
      </c>
      <c r="AC113" s="5">
        <v>1643</v>
      </c>
      <c r="AD113" s="4">
        <v>960</v>
      </c>
      <c r="AE113" s="5">
        <v>1052</v>
      </c>
      <c r="AF113" s="4">
        <v>595</v>
      </c>
      <c r="AG113" s="5">
        <v>1701</v>
      </c>
      <c r="AH113" s="4">
        <v>997</v>
      </c>
      <c r="AI113" s="5">
        <v>7538</v>
      </c>
      <c r="AJ113" s="4">
        <v>3248</v>
      </c>
      <c r="AK113" s="5">
        <v>1447</v>
      </c>
      <c r="AL113" s="4">
        <v>825</v>
      </c>
      <c r="AM113" s="5">
        <v>545</v>
      </c>
      <c r="AN113" s="4">
        <v>398</v>
      </c>
      <c r="AO113" s="5">
        <v>290</v>
      </c>
      <c r="AP113" s="4">
        <v>250</v>
      </c>
      <c r="AQ113" s="5">
        <v>1146</v>
      </c>
      <c r="AR113" s="4">
        <v>829</v>
      </c>
      <c r="AS113" s="5">
        <v>611</v>
      </c>
      <c r="AT113" s="4">
        <v>529</v>
      </c>
      <c r="AU113" s="5">
        <v>494</v>
      </c>
      <c r="AV113" s="4">
        <v>402</v>
      </c>
      <c r="AW113" s="5">
        <v>0</v>
      </c>
      <c r="AX113" s="4">
        <v>192</v>
      </c>
      <c r="AY113" s="5">
        <v>342</v>
      </c>
      <c r="AZ113" s="4">
        <v>301</v>
      </c>
      <c r="BA113" s="5">
        <v>959</v>
      </c>
      <c r="BB113" s="4">
        <v>638</v>
      </c>
      <c r="BC113" s="5">
        <v>1099</v>
      </c>
      <c r="BD113" s="4">
        <v>724</v>
      </c>
      <c r="BE113" s="5">
        <v>939</v>
      </c>
      <c r="BF113" s="4">
        <v>634</v>
      </c>
      <c r="BG113" s="5">
        <v>143</v>
      </c>
      <c r="BH113" s="4">
        <v>163</v>
      </c>
      <c r="BI113" s="5">
        <v>511</v>
      </c>
      <c r="BJ113" s="4">
        <v>372</v>
      </c>
      <c r="BK113" s="5">
        <v>1241</v>
      </c>
      <c r="BL113" s="4">
        <v>623</v>
      </c>
      <c r="BM113" s="5">
        <v>195</v>
      </c>
      <c r="BN113" s="4">
        <v>178</v>
      </c>
      <c r="BO113" s="5">
        <v>4315</v>
      </c>
      <c r="BP113" s="4">
        <v>1358</v>
      </c>
      <c r="BQ113" s="5">
        <v>34</v>
      </c>
      <c r="BR113" s="4">
        <v>42</v>
      </c>
      <c r="BS113" s="5">
        <v>506</v>
      </c>
      <c r="BT113" s="4">
        <v>485</v>
      </c>
      <c r="BU113" s="5">
        <v>1707</v>
      </c>
      <c r="BV113" s="4">
        <v>1068</v>
      </c>
      <c r="BW113" s="5">
        <v>1937</v>
      </c>
      <c r="BX113" s="4">
        <v>1299</v>
      </c>
      <c r="BY113" s="5">
        <v>1653</v>
      </c>
      <c r="BZ113" s="4">
        <v>1181</v>
      </c>
      <c r="CA113" s="5">
        <v>2</v>
      </c>
      <c r="CB113" s="4">
        <v>5</v>
      </c>
      <c r="CC113" s="5">
        <v>2584</v>
      </c>
      <c r="CD113" s="4">
        <v>1124</v>
      </c>
      <c r="CE113" s="5">
        <v>150</v>
      </c>
      <c r="CF113" s="4">
        <v>218</v>
      </c>
      <c r="CG113" s="5">
        <v>2037</v>
      </c>
      <c r="CH113" s="4">
        <v>1026</v>
      </c>
      <c r="CI113" s="5">
        <v>1496</v>
      </c>
      <c r="CJ113" s="4">
        <v>808</v>
      </c>
      <c r="CK113" s="5">
        <v>0</v>
      </c>
      <c r="CL113" s="4">
        <v>192</v>
      </c>
      <c r="CM113" s="5">
        <v>309</v>
      </c>
      <c r="CN113" s="4">
        <v>259</v>
      </c>
      <c r="CO113" s="5">
        <v>128</v>
      </c>
      <c r="CP113" s="4">
        <v>146</v>
      </c>
      <c r="CQ113" s="5">
        <v>549</v>
      </c>
      <c r="CR113" s="4">
        <v>419</v>
      </c>
      <c r="CS113" s="5">
        <v>4507</v>
      </c>
      <c r="CT113" s="4">
        <v>1517</v>
      </c>
      <c r="CU113" s="8" t="s">
        <v>60</v>
      </c>
      <c r="CV113" s="4" t="s">
        <v>60</v>
      </c>
      <c r="CW113" s="3">
        <v>122</v>
      </c>
      <c r="CX113" s="4">
        <v>205</v>
      </c>
      <c r="CY113" s="5">
        <v>2413</v>
      </c>
      <c r="CZ113" s="4">
        <v>1459</v>
      </c>
      <c r="DA113" s="5">
        <v>4825</v>
      </c>
      <c r="DB113" s="4">
        <v>2196</v>
      </c>
      <c r="DC113" s="5">
        <v>270</v>
      </c>
      <c r="DD113" s="4">
        <v>268</v>
      </c>
      <c r="DE113" s="5">
        <v>158</v>
      </c>
      <c r="DF113" s="4">
        <v>153</v>
      </c>
      <c r="DG113" s="5">
        <v>1058</v>
      </c>
      <c r="DH113" s="4">
        <v>609</v>
      </c>
      <c r="DI113" s="5">
        <v>0</v>
      </c>
      <c r="DJ113" s="4">
        <v>192</v>
      </c>
      <c r="DM113"/>
      <c r="DN113"/>
      <c r="DO113"/>
      <c r="DP113"/>
    </row>
    <row r="114" spans="9:120" x14ac:dyDescent="0.25">
      <c r="I114" s="5">
        <v>20463</v>
      </c>
      <c r="J114" s="4">
        <v>1946</v>
      </c>
      <c r="K114" s="5">
        <v>0</v>
      </c>
      <c r="L114" s="4">
        <v>145</v>
      </c>
      <c r="M114" s="5">
        <v>580</v>
      </c>
      <c r="N114" s="4">
        <v>441</v>
      </c>
      <c r="O114" s="5">
        <v>310</v>
      </c>
      <c r="P114" s="4">
        <v>325</v>
      </c>
      <c r="Q114" s="5">
        <v>0</v>
      </c>
      <c r="R114" s="4">
        <v>145</v>
      </c>
      <c r="S114" s="5">
        <v>819</v>
      </c>
      <c r="T114" s="4">
        <v>508</v>
      </c>
      <c r="U114" s="5">
        <v>529</v>
      </c>
      <c r="V114" s="4">
        <v>493</v>
      </c>
      <c r="W114" s="5">
        <v>2105</v>
      </c>
      <c r="X114" s="4">
        <v>608</v>
      </c>
      <c r="Y114" s="5">
        <v>107</v>
      </c>
      <c r="Z114" s="4">
        <v>135</v>
      </c>
      <c r="AA114" s="5">
        <v>27</v>
      </c>
      <c r="AB114" s="4">
        <v>53</v>
      </c>
      <c r="AC114" s="5">
        <v>366</v>
      </c>
      <c r="AD114" s="4">
        <v>199</v>
      </c>
      <c r="AE114" s="5">
        <v>101</v>
      </c>
      <c r="AF114" s="4">
        <v>99</v>
      </c>
      <c r="AG114" s="5">
        <v>143</v>
      </c>
      <c r="AH114" s="4">
        <v>85</v>
      </c>
      <c r="AI114" s="5">
        <v>0</v>
      </c>
      <c r="AJ114" s="4">
        <v>145</v>
      </c>
      <c r="AK114" s="5">
        <v>386</v>
      </c>
      <c r="AL114" s="4">
        <v>245</v>
      </c>
      <c r="AM114" s="5">
        <v>258</v>
      </c>
      <c r="AN114" s="4">
        <v>210</v>
      </c>
      <c r="AO114" s="5">
        <v>0</v>
      </c>
      <c r="AP114" s="4">
        <v>145</v>
      </c>
      <c r="AQ114" s="5">
        <v>7</v>
      </c>
      <c r="AR114" s="4">
        <v>13</v>
      </c>
      <c r="AS114" s="5">
        <v>627</v>
      </c>
      <c r="AT114" s="4">
        <v>660</v>
      </c>
      <c r="AU114" s="5">
        <v>41</v>
      </c>
      <c r="AV114" s="4">
        <v>74</v>
      </c>
      <c r="AW114" s="5">
        <v>322</v>
      </c>
      <c r="AX114" s="4">
        <v>200</v>
      </c>
      <c r="AY114" s="5">
        <v>361</v>
      </c>
      <c r="AZ114" s="4">
        <v>233</v>
      </c>
      <c r="BA114" s="5">
        <v>2378</v>
      </c>
      <c r="BB114" s="4">
        <v>606</v>
      </c>
      <c r="BC114" s="5">
        <v>335</v>
      </c>
      <c r="BD114" s="4">
        <v>345</v>
      </c>
      <c r="BE114" s="5">
        <v>206</v>
      </c>
      <c r="BF114" s="4">
        <v>255</v>
      </c>
      <c r="BG114" s="5">
        <v>0</v>
      </c>
      <c r="BH114" s="4">
        <v>145</v>
      </c>
      <c r="BI114" s="5">
        <v>69</v>
      </c>
      <c r="BJ114" s="4">
        <v>86</v>
      </c>
      <c r="BK114" s="5">
        <v>0</v>
      </c>
      <c r="BL114" s="4">
        <v>145</v>
      </c>
      <c r="BM114" s="5">
        <v>0</v>
      </c>
      <c r="BN114" s="4">
        <v>145</v>
      </c>
      <c r="BO114" s="5">
        <v>15</v>
      </c>
      <c r="BP114" s="4">
        <v>26</v>
      </c>
      <c r="BQ114" s="5">
        <v>2244</v>
      </c>
      <c r="BR114" s="4">
        <v>783</v>
      </c>
      <c r="BS114" s="5">
        <v>962</v>
      </c>
      <c r="BT114" s="4">
        <v>305</v>
      </c>
      <c r="BU114" s="5">
        <v>56</v>
      </c>
      <c r="BV114" s="4">
        <v>105</v>
      </c>
      <c r="BW114" s="5">
        <v>3723</v>
      </c>
      <c r="BX114" s="4">
        <v>904</v>
      </c>
      <c r="BY114" s="5">
        <v>250</v>
      </c>
      <c r="BZ114" s="4">
        <v>193</v>
      </c>
      <c r="CA114" s="5">
        <v>0</v>
      </c>
      <c r="CB114" s="4">
        <v>145</v>
      </c>
      <c r="CC114" s="5">
        <v>383</v>
      </c>
      <c r="CD114" s="4">
        <v>485</v>
      </c>
      <c r="CE114" s="5">
        <v>0</v>
      </c>
      <c r="CF114" s="4">
        <v>145</v>
      </c>
      <c r="CG114" s="5">
        <v>124</v>
      </c>
      <c r="CH114" s="4">
        <v>128</v>
      </c>
      <c r="CI114" s="5">
        <v>389</v>
      </c>
      <c r="CJ114" s="4">
        <v>231</v>
      </c>
      <c r="CK114" s="5">
        <v>401</v>
      </c>
      <c r="CL114" s="4">
        <v>411</v>
      </c>
      <c r="CM114" s="5">
        <v>21</v>
      </c>
      <c r="CN114" s="4">
        <v>36</v>
      </c>
      <c r="CO114" s="5">
        <v>0</v>
      </c>
      <c r="CP114" s="4">
        <v>145</v>
      </c>
      <c r="CQ114" s="5">
        <v>327</v>
      </c>
      <c r="CR114" s="4">
        <v>498</v>
      </c>
      <c r="CS114" s="5">
        <v>185</v>
      </c>
      <c r="CT114" s="4">
        <v>147</v>
      </c>
      <c r="CU114" s="5">
        <v>182</v>
      </c>
      <c r="CV114" s="4">
        <v>212</v>
      </c>
      <c r="CW114" s="8" t="s">
        <v>60</v>
      </c>
      <c r="CX114" s="4" t="s">
        <v>60</v>
      </c>
      <c r="CY114" s="3">
        <v>740</v>
      </c>
      <c r="CZ114" s="4">
        <v>420</v>
      </c>
      <c r="DA114" s="5">
        <v>156</v>
      </c>
      <c r="DB114" s="4">
        <v>159</v>
      </c>
      <c r="DC114" s="5">
        <v>53</v>
      </c>
      <c r="DD114" s="4">
        <v>81</v>
      </c>
      <c r="DE114" s="5">
        <v>137</v>
      </c>
      <c r="DF114" s="4">
        <v>115</v>
      </c>
      <c r="DG114" s="5">
        <v>38</v>
      </c>
      <c r="DH114" s="4">
        <v>62</v>
      </c>
      <c r="DI114" s="5">
        <v>19</v>
      </c>
      <c r="DJ114" s="4">
        <v>45</v>
      </c>
      <c r="DM114"/>
      <c r="DN114"/>
      <c r="DO114"/>
      <c r="DP114"/>
    </row>
    <row r="115" spans="9:120" x14ac:dyDescent="0.25">
      <c r="I115" s="5">
        <v>257130</v>
      </c>
      <c r="J115" s="4">
        <v>14025</v>
      </c>
      <c r="K115" s="5">
        <v>4930</v>
      </c>
      <c r="L115" s="4">
        <v>2057</v>
      </c>
      <c r="M115" s="5">
        <v>3202</v>
      </c>
      <c r="N115" s="4">
        <v>1687</v>
      </c>
      <c r="O115" s="5">
        <v>4679</v>
      </c>
      <c r="P115" s="4">
        <v>2151</v>
      </c>
      <c r="Q115" s="5">
        <v>645</v>
      </c>
      <c r="R115" s="4">
        <v>606</v>
      </c>
      <c r="S115" s="5">
        <v>19371</v>
      </c>
      <c r="T115" s="4">
        <v>4241</v>
      </c>
      <c r="U115" s="5">
        <v>4908</v>
      </c>
      <c r="V115" s="4">
        <v>2334</v>
      </c>
      <c r="W115" s="5">
        <v>5376</v>
      </c>
      <c r="X115" s="4">
        <v>2730</v>
      </c>
      <c r="Y115" s="5">
        <v>961</v>
      </c>
      <c r="Z115" s="4">
        <v>652</v>
      </c>
      <c r="AA115" s="5">
        <v>6854</v>
      </c>
      <c r="AB115" s="4">
        <v>1711</v>
      </c>
      <c r="AC115" s="5">
        <v>17773</v>
      </c>
      <c r="AD115" s="4">
        <v>3494</v>
      </c>
      <c r="AE115" s="5">
        <v>8715</v>
      </c>
      <c r="AF115" s="4">
        <v>1962</v>
      </c>
      <c r="AG115" s="5">
        <v>2917</v>
      </c>
      <c r="AH115" s="4">
        <v>1400</v>
      </c>
      <c r="AI115" s="5">
        <v>434</v>
      </c>
      <c r="AJ115" s="4">
        <v>430</v>
      </c>
      <c r="AK115" s="5">
        <v>4000</v>
      </c>
      <c r="AL115" s="4">
        <v>1213</v>
      </c>
      <c r="AM115" s="5">
        <v>2703</v>
      </c>
      <c r="AN115" s="4">
        <v>1067</v>
      </c>
      <c r="AO115" s="5">
        <v>1503</v>
      </c>
      <c r="AP115" s="4">
        <v>899</v>
      </c>
      <c r="AQ115" s="5">
        <v>892</v>
      </c>
      <c r="AR115" s="4">
        <v>645</v>
      </c>
      <c r="AS115" s="5">
        <v>3630</v>
      </c>
      <c r="AT115" s="4">
        <v>1551</v>
      </c>
      <c r="AU115" s="5">
        <v>2496</v>
      </c>
      <c r="AV115" s="4">
        <v>1642</v>
      </c>
      <c r="AW115" s="5">
        <v>2855</v>
      </c>
      <c r="AX115" s="4">
        <v>1930</v>
      </c>
      <c r="AY115" s="5">
        <v>22051</v>
      </c>
      <c r="AZ115" s="4">
        <v>3143</v>
      </c>
      <c r="BA115" s="5">
        <v>5386</v>
      </c>
      <c r="BB115" s="4">
        <v>2316</v>
      </c>
      <c r="BC115" s="5">
        <v>7323</v>
      </c>
      <c r="BD115" s="4">
        <v>3026</v>
      </c>
      <c r="BE115" s="5">
        <v>834</v>
      </c>
      <c r="BF115" s="4">
        <v>361</v>
      </c>
      <c r="BG115" s="5">
        <v>1682</v>
      </c>
      <c r="BH115" s="4">
        <v>1191</v>
      </c>
      <c r="BI115" s="5">
        <v>2277</v>
      </c>
      <c r="BJ115" s="4">
        <v>1178</v>
      </c>
      <c r="BK115" s="5">
        <v>617</v>
      </c>
      <c r="BL115" s="4">
        <v>714</v>
      </c>
      <c r="BM115" s="5">
        <v>256</v>
      </c>
      <c r="BN115" s="4">
        <v>289</v>
      </c>
      <c r="BO115" s="5">
        <v>1717</v>
      </c>
      <c r="BP115" s="4">
        <v>961</v>
      </c>
      <c r="BQ115" s="5">
        <v>1344</v>
      </c>
      <c r="BR115" s="4">
        <v>798</v>
      </c>
      <c r="BS115" s="5">
        <v>7327</v>
      </c>
      <c r="BT115" s="4">
        <v>2046</v>
      </c>
      <c r="BU115" s="5">
        <v>1014</v>
      </c>
      <c r="BV115" s="4">
        <v>604</v>
      </c>
      <c r="BW115" s="5">
        <v>12455</v>
      </c>
      <c r="BX115" s="4">
        <v>2816</v>
      </c>
      <c r="BY115" s="5">
        <v>22753</v>
      </c>
      <c r="BZ115" s="4">
        <v>4584</v>
      </c>
      <c r="CA115" s="5">
        <v>462</v>
      </c>
      <c r="CB115" s="4">
        <v>729</v>
      </c>
      <c r="CC115" s="5">
        <v>9570</v>
      </c>
      <c r="CD115" s="4">
        <v>2217</v>
      </c>
      <c r="CE115" s="5">
        <v>853</v>
      </c>
      <c r="CF115" s="4">
        <v>477</v>
      </c>
      <c r="CG115" s="5">
        <v>3499</v>
      </c>
      <c r="CH115" s="4">
        <v>1935</v>
      </c>
      <c r="CI115" s="5">
        <v>12009</v>
      </c>
      <c r="CJ115" s="4">
        <v>2497</v>
      </c>
      <c r="CK115" s="5">
        <v>1897</v>
      </c>
      <c r="CL115" s="4">
        <v>1477</v>
      </c>
      <c r="CM115" s="5">
        <v>6612</v>
      </c>
      <c r="CN115" s="4">
        <v>2032</v>
      </c>
      <c r="CO115" s="5">
        <v>908</v>
      </c>
      <c r="CP115" s="4">
        <v>841</v>
      </c>
      <c r="CQ115" s="5">
        <v>7482</v>
      </c>
      <c r="CR115" s="4">
        <v>2452</v>
      </c>
      <c r="CS115" s="5">
        <v>11655</v>
      </c>
      <c r="CT115" s="4">
        <v>3004</v>
      </c>
      <c r="CU115" s="5">
        <v>1426</v>
      </c>
      <c r="CV115" s="4">
        <v>641</v>
      </c>
      <c r="CW115" s="5">
        <v>173</v>
      </c>
      <c r="CX115" s="4">
        <v>138</v>
      </c>
      <c r="CY115" s="8" t="s">
        <v>60</v>
      </c>
      <c r="CZ115" s="4" t="s">
        <v>60</v>
      </c>
      <c r="DA115" s="3">
        <v>4615</v>
      </c>
      <c r="DB115" s="4">
        <v>1717</v>
      </c>
      <c r="DC115" s="5">
        <v>9041</v>
      </c>
      <c r="DD115" s="4">
        <v>2596</v>
      </c>
      <c r="DE115" s="5">
        <v>858</v>
      </c>
      <c r="DF115" s="4">
        <v>745</v>
      </c>
      <c r="DG115" s="5">
        <v>190</v>
      </c>
      <c r="DH115" s="4">
        <v>274</v>
      </c>
      <c r="DI115" s="5">
        <v>1222</v>
      </c>
      <c r="DJ115" s="4">
        <v>779</v>
      </c>
      <c r="DM115"/>
      <c r="DN115"/>
      <c r="DO115"/>
      <c r="DP115"/>
    </row>
    <row r="116" spans="9:120" x14ac:dyDescent="0.25">
      <c r="I116" s="5">
        <v>208507</v>
      </c>
      <c r="J116" s="4">
        <v>13639</v>
      </c>
      <c r="K116" s="5">
        <v>1821</v>
      </c>
      <c r="L116" s="4">
        <v>1049</v>
      </c>
      <c r="M116" s="5">
        <v>5266</v>
      </c>
      <c r="N116" s="4">
        <v>2233</v>
      </c>
      <c r="O116" s="5">
        <v>12397</v>
      </c>
      <c r="P116" s="4">
        <v>3133</v>
      </c>
      <c r="Q116" s="5">
        <v>756</v>
      </c>
      <c r="R116" s="4">
        <v>565</v>
      </c>
      <c r="S116" s="5">
        <v>38421</v>
      </c>
      <c r="T116" s="4">
        <v>4474</v>
      </c>
      <c r="U116" s="5">
        <v>3938</v>
      </c>
      <c r="V116" s="4">
        <v>1215</v>
      </c>
      <c r="W116" s="5">
        <v>1026</v>
      </c>
      <c r="X116" s="4">
        <v>533</v>
      </c>
      <c r="Y116" s="5">
        <v>0</v>
      </c>
      <c r="Z116" s="4">
        <v>201</v>
      </c>
      <c r="AA116" s="5">
        <v>358</v>
      </c>
      <c r="AB116" s="4">
        <v>254</v>
      </c>
      <c r="AC116" s="5">
        <v>6094</v>
      </c>
      <c r="AD116" s="4">
        <v>1777</v>
      </c>
      <c r="AE116" s="5">
        <v>8705</v>
      </c>
      <c r="AF116" s="4">
        <v>3348</v>
      </c>
      <c r="AG116" s="5">
        <v>5940</v>
      </c>
      <c r="AH116" s="4">
        <v>2264</v>
      </c>
      <c r="AI116" s="5">
        <v>10895</v>
      </c>
      <c r="AJ116" s="4">
        <v>4263</v>
      </c>
      <c r="AK116" s="5">
        <v>2062</v>
      </c>
      <c r="AL116" s="4">
        <v>821</v>
      </c>
      <c r="AM116" s="5">
        <v>2303</v>
      </c>
      <c r="AN116" s="4">
        <v>1315</v>
      </c>
      <c r="AO116" s="5">
        <v>1000</v>
      </c>
      <c r="AP116" s="4">
        <v>465</v>
      </c>
      <c r="AQ116" s="5">
        <v>2820</v>
      </c>
      <c r="AR116" s="4">
        <v>1740</v>
      </c>
      <c r="AS116" s="5">
        <v>1271</v>
      </c>
      <c r="AT116" s="4">
        <v>936</v>
      </c>
      <c r="AU116" s="5">
        <v>1016</v>
      </c>
      <c r="AV116" s="4">
        <v>1018</v>
      </c>
      <c r="AW116" s="5">
        <v>1313</v>
      </c>
      <c r="AX116" s="4">
        <v>1689</v>
      </c>
      <c r="AY116" s="5">
        <v>1899</v>
      </c>
      <c r="AZ116" s="4">
        <v>808</v>
      </c>
      <c r="BA116" s="5">
        <v>1580</v>
      </c>
      <c r="BB116" s="4">
        <v>757</v>
      </c>
      <c r="BC116" s="5">
        <v>3720</v>
      </c>
      <c r="BD116" s="4">
        <v>1212</v>
      </c>
      <c r="BE116" s="5">
        <v>1543</v>
      </c>
      <c r="BF116" s="4">
        <v>898</v>
      </c>
      <c r="BG116" s="5">
        <v>1110</v>
      </c>
      <c r="BH116" s="4">
        <v>762</v>
      </c>
      <c r="BI116" s="5">
        <v>3307</v>
      </c>
      <c r="BJ116" s="4">
        <v>2181</v>
      </c>
      <c r="BK116" s="5">
        <v>2125</v>
      </c>
      <c r="BL116" s="4">
        <v>934</v>
      </c>
      <c r="BM116" s="5">
        <v>673</v>
      </c>
      <c r="BN116" s="4">
        <v>441</v>
      </c>
      <c r="BO116" s="5">
        <v>4925</v>
      </c>
      <c r="BP116" s="4">
        <v>1696</v>
      </c>
      <c r="BQ116" s="5">
        <v>824</v>
      </c>
      <c r="BR116" s="4">
        <v>605</v>
      </c>
      <c r="BS116" s="5">
        <v>2006</v>
      </c>
      <c r="BT116" s="4">
        <v>987</v>
      </c>
      <c r="BU116" s="5">
        <v>1569</v>
      </c>
      <c r="BV116" s="4">
        <v>1254</v>
      </c>
      <c r="BW116" s="5">
        <v>4512</v>
      </c>
      <c r="BX116" s="4">
        <v>1322</v>
      </c>
      <c r="BY116" s="5">
        <v>3870</v>
      </c>
      <c r="BZ116" s="4">
        <v>1452</v>
      </c>
      <c r="CA116" s="5">
        <v>189</v>
      </c>
      <c r="CB116" s="4">
        <v>304</v>
      </c>
      <c r="CC116" s="5">
        <v>2686</v>
      </c>
      <c r="CD116" s="4">
        <v>1217</v>
      </c>
      <c r="CE116" s="5">
        <v>765</v>
      </c>
      <c r="CF116" s="4">
        <v>573</v>
      </c>
      <c r="CG116" s="5">
        <v>29168</v>
      </c>
      <c r="CH116" s="4">
        <v>5436</v>
      </c>
      <c r="CI116" s="5">
        <v>2296</v>
      </c>
      <c r="CJ116" s="4">
        <v>1378</v>
      </c>
      <c r="CK116" s="5">
        <v>463</v>
      </c>
      <c r="CL116" s="4">
        <v>319</v>
      </c>
      <c r="CM116" s="5">
        <v>1519</v>
      </c>
      <c r="CN116" s="4">
        <v>1267</v>
      </c>
      <c r="CO116" s="5">
        <v>227</v>
      </c>
      <c r="CP116" s="4">
        <v>225</v>
      </c>
      <c r="CQ116" s="5">
        <v>2342</v>
      </c>
      <c r="CR116" s="4">
        <v>1116</v>
      </c>
      <c r="CS116" s="5">
        <v>15491</v>
      </c>
      <c r="CT116" s="4">
        <v>4361</v>
      </c>
      <c r="CU116" s="5">
        <v>4789</v>
      </c>
      <c r="CV116" s="4">
        <v>1640</v>
      </c>
      <c r="CW116" s="5">
        <v>119</v>
      </c>
      <c r="CX116" s="4">
        <v>196</v>
      </c>
      <c r="CY116" s="5">
        <v>4233</v>
      </c>
      <c r="CZ116" s="4">
        <v>1698</v>
      </c>
      <c r="DA116" s="8" t="s">
        <v>60</v>
      </c>
      <c r="DB116" s="4" t="s">
        <v>60</v>
      </c>
      <c r="DC116" s="3">
        <v>157</v>
      </c>
      <c r="DD116" s="4">
        <v>186</v>
      </c>
      <c r="DE116" s="5">
        <v>1491</v>
      </c>
      <c r="DF116" s="4">
        <v>892</v>
      </c>
      <c r="DG116" s="5">
        <v>1507</v>
      </c>
      <c r="DH116" s="4">
        <v>870</v>
      </c>
      <c r="DI116" s="5">
        <v>1083</v>
      </c>
      <c r="DJ116" s="4">
        <v>1061</v>
      </c>
      <c r="DM116"/>
      <c r="DN116"/>
      <c r="DO116"/>
      <c r="DP116"/>
    </row>
    <row r="117" spans="9:120" x14ac:dyDescent="0.25">
      <c r="I117" s="5">
        <v>50068</v>
      </c>
      <c r="J117" s="4">
        <v>4934</v>
      </c>
      <c r="K117" s="5">
        <v>221</v>
      </c>
      <c r="L117" s="4">
        <v>228</v>
      </c>
      <c r="M117" s="5">
        <v>598</v>
      </c>
      <c r="N117" s="4">
        <v>566</v>
      </c>
      <c r="O117" s="5">
        <v>50</v>
      </c>
      <c r="P117" s="4">
        <v>95</v>
      </c>
      <c r="Q117" s="5">
        <v>225</v>
      </c>
      <c r="R117" s="4">
        <v>361</v>
      </c>
      <c r="S117" s="5">
        <v>1442</v>
      </c>
      <c r="T117" s="4">
        <v>1085</v>
      </c>
      <c r="U117" s="5">
        <v>124</v>
      </c>
      <c r="V117" s="4">
        <v>160</v>
      </c>
      <c r="W117" s="5">
        <v>594</v>
      </c>
      <c r="X117" s="4">
        <v>401</v>
      </c>
      <c r="Y117" s="5">
        <v>89</v>
      </c>
      <c r="Z117" s="4">
        <v>102</v>
      </c>
      <c r="AA117" s="5">
        <v>300</v>
      </c>
      <c r="AB117" s="4">
        <v>231</v>
      </c>
      <c r="AC117" s="5">
        <v>2949</v>
      </c>
      <c r="AD117" s="4">
        <v>1076</v>
      </c>
      <c r="AE117" s="5">
        <v>1296</v>
      </c>
      <c r="AF117" s="4">
        <v>898</v>
      </c>
      <c r="AG117" s="5">
        <v>147</v>
      </c>
      <c r="AH117" s="4">
        <v>248</v>
      </c>
      <c r="AI117" s="5">
        <v>120</v>
      </c>
      <c r="AJ117" s="4">
        <v>127</v>
      </c>
      <c r="AK117" s="5">
        <v>1331</v>
      </c>
      <c r="AL117" s="4">
        <v>1134</v>
      </c>
      <c r="AM117" s="5">
        <v>210</v>
      </c>
      <c r="AN117" s="4">
        <v>200</v>
      </c>
      <c r="AO117" s="5">
        <v>0</v>
      </c>
      <c r="AP117" s="4">
        <v>184</v>
      </c>
      <c r="AQ117" s="5">
        <v>0</v>
      </c>
      <c r="AR117" s="4">
        <v>184</v>
      </c>
      <c r="AS117" s="5">
        <v>515</v>
      </c>
      <c r="AT117" s="4">
        <v>259</v>
      </c>
      <c r="AU117" s="5">
        <v>326</v>
      </c>
      <c r="AV117" s="4">
        <v>313</v>
      </c>
      <c r="AW117" s="5">
        <v>45</v>
      </c>
      <c r="AX117" s="4">
        <v>75</v>
      </c>
      <c r="AY117" s="5">
        <v>7515</v>
      </c>
      <c r="AZ117" s="4">
        <v>2257</v>
      </c>
      <c r="BA117" s="5">
        <v>236</v>
      </c>
      <c r="BB117" s="4">
        <v>196</v>
      </c>
      <c r="BC117" s="5">
        <v>459</v>
      </c>
      <c r="BD117" s="4">
        <v>263</v>
      </c>
      <c r="BE117" s="5">
        <v>0</v>
      </c>
      <c r="BF117" s="4">
        <v>184</v>
      </c>
      <c r="BG117" s="5">
        <v>0</v>
      </c>
      <c r="BH117" s="4">
        <v>184</v>
      </c>
      <c r="BI117" s="5">
        <v>309</v>
      </c>
      <c r="BJ117" s="4">
        <v>345</v>
      </c>
      <c r="BK117" s="5">
        <v>60</v>
      </c>
      <c r="BL117" s="4">
        <v>101</v>
      </c>
      <c r="BM117" s="5">
        <v>78</v>
      </c>
      <c r="BN117" s="4">
        <v>140</v>
      </c>
      <c r="BO117" s="5">
        <v>293</v>
      </c>
      <c r="BP117" s="4">
        <v>235</v>
      </c>
      <c r="BQ117" s="5">
        <v>160</v>
      </c>
      <c r="BR117" s="4">
        <v>223</v>
      </c>
      <c r="BS117" s="5">
        <v>1431</v>
      </c>
      <c r="BT117" s="4">
        <v>611</v>
      </c>
      <c r="BU117" s="5">
        <v>0</v>
      </c>
      <c r="BV117" s="4">
        <v>184</v>
      </c>
      <c r="BW117" s="5">
        <v>2017</v>
      </c>
      <c r="BX117" s="4">
        <v>866</v>
      </c>
      <c r="BY117" s="5">
        <v>3865</v>
      </c>
      <c r="BZ117" s="4">
        <v>1241</v>
      </c>
      <c r="CA117" s="5">
        <v>0</v>
      </c>
      <c r="CB117" s="4">
        <v>184</v>
      </c>
      <c r="CC117" s="5">
        <v>8545</v>
      </c>
      <c r="CD117" s="4">
        <v>1913</v>
      </c>
      <c r="CE117" s="5">
        <v>97</v>
      </c>
      <c r="CF117" s="4">
        <v>113</v>
      </c>
      <c r="CG117" s="5">
        <v>132</v>
      </c>
      <c r="CH117" s="4">
        <v>203</v>
      </c>
      <c r="CI117" s="5">
        <v>4205</v>
      </c>
      <c r="CJ117" s="4">
        <v>1569</v>
      </c>
      <c r="CK117" s="5">
        <v>284</v>
      </c>
      <c r="CL117" s="4">
        <v>344</v>
      </c>
      <c r="CM117" s="5">
        <v>1857</v>
      </c>
      <c r="CN117" s="4">
        <v>1316</v>
      </c>
      <c r="CO117" s="5">
        <v>0</v>
      </c>
      <c r="CP117" s="4">
        <v>184</v>
      </c>
      <c r="CQ117" s="5">
        <v>546</v>
      </c>
      <c r="CR117" s="4">
        <v>449</v>
      </c>
      <c r="CS117" s="5">
        <v>1574</v>
      </c>
      <c r="CT117" s="4">
        <v>1047</v>
      </c>
      <c r="CU117" s="5">
        <v>114</v>
      </c>
      <c r="CV117" s="4">
        <v>216</v>
      </c>
      <c r="CW117" s="5">
        <v>23</v>
      </c>
      <c r="CX117" s="4">
        <v>33</v>
      </c>
      <c r="CY117" s="5">
        <v>5561</v>
      </c>
      <c r="CZ117" s="4">
        <v>1534</v>
      </c>
      <c r="DA117" s="5">
        <v>83</v>
      </c>
      <c r="DB117" s="4">
        <v>137</v>
      </c>
      <c r="DC117" s="8" t="s">
        <v>60</v>
      </c>
      <c r="DD117" s="4" t="s">
        <v>60</v>
      </c>
      <c r="DE117" s="3">
        <v>42</v>
      </c>
      <c r="DF117" s="4">
        <v>69</v>
      </c>
      <c r="DG117" s="5">
        <v>0</v>
      </c>
      <c r="DH117" s="4">
        <v>184</v>
      </c>
      <c r="DI117" s="5">
        <v>680</v>
      </c>
      <c r="DJ117" s="4">
        <v>450</v>
      </c>
      <c r="DM117"/>
      <c r="DN117"/>
      <c r="DO117"/>
      <c r="DP117"/>
    </row>
    <row r="118" spans="9:120" x14ac:dyDescent="0.25">
      <c r="I118" s="5">
        <v>109439</v>
      </c>
      <c r="J118" s="4">
        <v>8715</v>
      </c>
      <c r="K118" s="5">
        <v>708</v>
      </c>
      <c r="L118" s="4">
        <v>761</v>
      </c>
      <c r="M118" s="5">
        <v>432</v>
      </c>
      <c r="N118" s="4">
        <v>323</v>
      </c>
      <c r="O118" s="5">
        <v>4045</v>
      </c>
      <c r="P118" s="4">
        <v>1532</v>
      </c>
      <c r="Q118" s="5">
        <v>335</v>
      </c>
      <c r="R118" s="4">
        <v>285</v>
      </c>
      <c r="S118" s="5">
        <v>6637</v>
      </c>
      <c r="T118" s="4">
        <v>2054</v>
      </c>
      <c r="U118" s="5">
        <v>2592</v>
      </c>
      <c r="V118" s="4">
        <v>1457</v>
      </c>
      <c r="W118" s="5">
        <v>993</v>
      </c>
      <c r="X118" s="4">
        <v>1397</v>
      </c>
      <c r="Y118" s="5">
        <v>219</v>
      </c>
      <c r="Z118" s="4">
        <v>276</v>
      </c>
      <c r="AA118" s="5">
        <v>123</v>
      </c>
      <c r="AB118" s="4">
        <v>170</v>
      </c>
      <c r="AC118" s="5">
        <v>4338</v>
      </c>
      <c r="AD118" s="4">
        <v>1103</v>
      </c>
      <c r="AE118" s="5">
        <v>1745</v>
      </c>
      <c r="AF118" s="4">
        <v>1106</v>
      </c>
      <c r="AG118" s="5">
        <v>1108</v>
      </c>
      <c r="AH118" s="4">
        <v>1597</v>
      </c>
      <c r="AI118" s="5">
        <v>566</v>
      </c>
      <c r="AJ118" s="4">
        <v>434</v>
      </c>
      <c r="AK118" s="5">
        <v>25521</v>
      </c>
      <c r="AL118" s="4">
        <v>4568</v>
      </c>
      <c r="AM118" s="5">
        <v>4017</v>
      </c>
      <c r="AN118" s="4">
        <v>2027</v>
      </c>
      <c r="AO118" s="5">
        <v>3306</v>
      </c>
      <c r="AP118" s="4">
        <v>1757</v>
      </c>
      <c r="AQ118" s="5">
        <v>418</v>
      </c>
      <c r="AR118" s="4">
        <v>446</v>
      </c>
      <c r="AS118" s="5">
        <v>1040</v>
      </c>
      <c r="AT118" s="4">
        <v>570</v>
      </c>
      <c r="AU118" s="5">
        <v>850</v>
      </c>
      <c r="AV118" s="4">
        <v>563</v>
      </c>
      <c r="AW118" s="5">
        <v>12</v>
      </c>
      <c r="AX118" s="4">
        <v>21</v>
      </c>
      <c r="AY118" s="5">
        <v>147</v>
      </c>
      <c r="AZ118" s="4">
        <v>141</v>
      </c>
      <c r="BA118" s="5">
        <v>733</v>
      </c>
      <c r="BB118" s="4">
        <v>578</v>
      </c>
      <c r="BC118" s="5">
        <v>5623</v>
      </c>
      <c r="BD118" s="4">
        <v>1353</v>
      </c>
      <c r="BE118" s="5">
        <v>17927</v>
      </c>
      <c r="BF118" s="4">
        <v>2244</v>
      </c>
      <c r="BG118" s="5">
        <v>983</v>
      </c>
      <c r="BH118" s="4">
        <v>924</v>
      </c>
      <c r="BI118" s="5">
        <v>2090</v>
      </c>
      <c r="BJ118" s="4">
        <v>1117</v>
      </c>
      <c r="BK118" s="5">
        <v>143</v>
      </c>
      <c r="BL118" s="4">
        <v>93</v>
      </c>
      <c r="BM118" s="5">
        <v>483</v>
      </c>
      <c r="BN118" s="4">
        <v>405</v>
      </c>
      <c r="BO118" s="5">
        <v>663</v>
      </c>
      <c r="BP118" s="4">
        <v>345</v>
      </c>
      <c r="BQ118" s="5">
        <v>480</v>
      </c>
      <c r="BR118" s="4">
        <v>364</v>
      </c>
      <c r="BS118" s="5">
        <v>378</v>
      </c>
      <c r="BT118" s="4">
        <v>352</v>
      </c>
      <c r="BU118" s="5">
        <v>714</v>
      </c>
      <c r="BV118" s="4">
        <v>502</v>
      </c>
      <c r="BW118" s="5">
        <v>2213</v>
      </c>
      <c r="BX118" s="4">
        <v>835</v>
      </c>
      <c r="BY118" s="5">
        <v>2120</v>
      </c>
      <c r="BZ118" s="4">
        <v>967</v>
      </c>
      <c r="CA118" s="5">
        <v>1383</v>
      </c>
      <c r="CB118" s="4">
        <v>1273</v>
      </c>
      <c r="CC118" s="5">
        <v>1358</v>
      </c>
      <c r="CD118" s="4">
        <v>628</v>
      </c>
      <c r="CE118" s="5">
        <v>118</v>
      </c>
      <c r="CF118" s="4">
        <v>119</v>
      </c>
      <c r="CG118" s="5">
        <v>1057</v>
      </c>
      <c r="CH118" s="4">
        <v>680</v>
      </c>
      <c r="CI118" s="5">
        <v>1294</v>
      </c>
      <c r="CJ118" s="4">
        <v>781</v>
      </c>
      <c r="CK118" s="5">
        <v>368</v>
      </c>
      <c r="CL118" s="4">
        <v>407</v>
      </c>
      <c r="CM118" s="5">
        <v>377</v>
      </c>
      <c r="CN118" s="4">
        <v>312</v>
      </c>
      <c r="CO118" s="5">
        <v>590</v>
      </c>
      <c r="CP118" s="4">
        <v>487</v>
      </c>
      <c r="CQ118" s="5">
        <v>744</v>
      </c>
      <c r="CR118" s="4">
        <v>527</v>
      </c>
      <c r="CS118" s="5">
        <v>1984</v>
      </c>
      <c r="CT118" s="4">
        <v>836</v>
      </c>
      <c r="CU118" s="5">
        <v>890</v>
      </c>
      <c r="CV118" s="4">
        <v>652</v>
      </c>
      <c r="CW118" s="5">
        <v>342</v>
      </c>
      <c r="CX118" s="4">
        <v>311</v>
      </c>
      <c r="CY118" s="5">
        <v>2573</v>
      </c>
      <c r="CZ118" s="4">
        <v>1465</v>
      </c>
      <c r="DA118" s="5">
        <v>1555</v>
      </c>
      <c r="DB118" s="4">
        <v>1071</v>
      </c>
      <c r="DC118" s="5">
        <v>1090</v>
      </c>
      <c r="DD118" s="4">
        <v>1630</v>
      </c>
      <c r="DE118" s="8" t="s">
        <v>60</v>
      </c>
      <c r="DF118" s="4" t="s">
        <v>60</v>
      </c>
      <c r="DG118" s="3">
        <v>14</v>
      </c>
      <c r="DH118" s="4">
        <v>23</v>
      </c>
      <c r="DI118" s="5">
        <v>728</v>
      </c>
      <c r="DJ118" s="4">
        <v>715</v>
      </c>
      <c r="DM118"/>
      <c r="DN118"/>
      <c r="DO118"/>
      <c r="DP118"/>
    </row>
    <row r="119" spans="9:120" x14ac:dyDescent="0.25">
      <c r="I119" s="5">
        <v>30651</v>
      </c>
      <c r="J119" s="4">
        <v>4428</v>
      </c>
      <c r="K119" s="5">
        <v>51</v>
      </c>
      <c r="L119" s="4">
        <v>62</v>
      </c>
      <c r="M119" s="5">
        <v>761</v>
      </c>
      <c r="N119" s="4">
        <v>597</v>
      </c>
      <c r="O119" s="5">
        <v>369</v>
      </c>
      <c r="P119" s="4">
        <v>276</v>
      </c>
      <c r="Q119" s="5">
        <v>174</v>
      </c>
      <c r="R119" s="4">
        <v>191</v>
      </c>
      <c r="S119" s="5">
        <v>2539</v>
      </c>
      <c r="T119" s="4">
        <v>1151</v>
      </c>
      <c r="U119" s="5">
        <v>6905</v>
      </c>
      <c r="V119" s="4">
        <v>2099</v>
      </c>
      <c r="W119" s="5">
        <v>11</v>
      </c>
      <c r="X119" s="4">
        <v>22</v>
      </c>
      <c r="Y119" s="5">
        <v>0</v>
      </c>
      <c r="Z119" s="4">
        <v>189</v>
      </c>
      <c r="AA119" s="5">
        <v>0</v>
      </c>
      <c r="AB119" s="4">
        <v>189</v>
      </c>
      <c r="AC119" s="5">
        <v>1525</v>
      </c>
      <c r="AD119" s="4">
        <v>1206</v>
      </c>
      <c r="AE119" s="5">
        <v>46</v>
      </c>
      <c r="AF119" s="4">
        <v>80</v>
      </c>
      <c r="AG119" s="5">
        <v>0</v>
      </c>
      <c r="AH119" s="4">
        <v>189</v>
      </c>
      <c r="AI119" s="5">
        <v>2140</v>
      </c>
      <c r="AJ119" s="4">
        <v>1161</v>
      </c>
      <c r="AK119" s="5">
        <v>450</v>
      </c>
      <c r="AL119" s="4">
        <v>409</v>
      </c>
      <c r="AM119" s="5">
        <v>6</v>
      </c>
      <c r="AN119" s="4">
        <v>14</v>
      </c>
      <c r="AO119" s="5">
        <v>342</v>
      </c>
      <c r="AP119" s="4">
        <v>323</v>
      </c>
      <c r="AQ119" s="5">
        <v>286</v>
      </c>
      <c r="AR119" s="4">
        <v>364</v>
      </c>
      <c r="AS119" s="5">
        <v>83</v>
      </c>
      <c r="AT119" s="4">
        <v>140</v>
      </c>
      <c r="AU119" s="5">
        <v>114</v>
      </c>
      <c r="AV119" s="4">
        <v>204</v>
      </c>
      <c r="AW119" s="5">
        <v>0</v>
      </c>
      <c r="AX119" s="4">
        <v>189</v>
      </c>
      <c r="AY119" s="5">
        <v>0</v>
      </c>
      <c r="AZ119" s="4">
        <v>189</v>
      </c>
      <c r="BA119" s="5">
        <v>152</v>
      </c>
      <c r="BB119" s="4">
        <v>226</v>
      </c>
      <c r="BC119" s="5">
        <v>849</v>
      </c>
      <c r="BD119" s="4">
        <v>545</v>
      </c>
      <c r="BE119" s="5">
        <v>357</v>
      </c>
      <c r="BF119" s="4">
        <v>355</v>
      </c>
      <c r="BG119" s="5">
        <v>70</v>
      </c>
      <c r="BH119" s="4">
        <v>117</v>
      </c>
      <c r="BI119" s="5">
        <v>241</v>
      </c>
      <c r="BJ119" s="4">
        <v>274</v>
      </c>
      <c r="BK119" s="5">
        <v>1105</v>
      </c>
      <c r="BL119" s="4">
        <v>531</v>
      </c>
      <c r="BM119" s="5">
        <v>1784</v>
      </c>
      <c r="BN119" s="4">
        <v>957</v>
      </c>
      <c r="BO119" s="5">
        <v>427</v>
      </c>
      <c r="BP119" s="4">
        <v>656</v>
      </c>
      <c r="BQ119" s="5">
        <v>0</v>
      </c>
      <c r="BR119" s="4">
        <v>189</v>
      </c>
      <c r="BS119" s="5">
        <v>7</v>
      </c>
      <c r="BT119" s="4">
        <v>16</v>
      </c>
      <c r="BU119" s="5">
        <v>76</v>
      </c>
      <c r="BV119" s="4">
        <v>101</v>
      </c>
      <c r="BW119" s="5">
        <v>113</v>
      </c>
      <c r="BX119" s="4">
        <v>149</v>
      </c>
      <c r="BY119" s="5">
        <v>395</v>
      </c>
      <c r="BZ119" s="4">
        <v>457</v>
      </c>
      <c r="CA119" s="5">
        <v>237</v>
      </c>
      <c r="CB119" s="4">
        <v>313</v>
      </c>
      <c r="CC119" s="5">
        <v>22</v>
      </c>
      <c r="CD119" s="4">
        <v>40</v>
      </c>
      <c r="CE119" s="5">
        <v>462</v>
      </c>
      <c r="CF119" s="4">
        <v>555</v>
      </c>
      <c r="CG119" s="5">
        <v>960</v>
      </c>
      <c r="CH119" s="4">
        <v>851</v>
      </c>
      <c r="CI119" s="5">
        <v>284</v>
      </c>
      <c r="CJ119" s="4">
        <v>254</v>
      </c>
      <c r="CK119" s="5">
        <v>13</v>
      </c>
      <c r="CL119" s="4">
        <v>28</v>
      </c>
      <c r="CM119" s="5">
        <v>219</v>
      </c>
      <c r="CN119" s="4">
        <v>307</v>
      </c>
      <c r="CO119" s="5">
        <v>1043</v>
      </c>
      <c r="CP119" s="4">
        <v>1077</v>
      </c>
      <c r="CQ119" s="5">
        <v>69</v>
      </c>
      <c r="CR119" s="4">
        <v>66</v>
      </c>
      <c r="CS119" s="5">
        <v>1398</v>
      </c>
      <c r="CT119" s="4">
        <v>927</v>
      </c>
      <c r="CU119" s="5">
        <v>2140</v>
      </c>
      <c r="CV119" s="4">
        <v>1003</v>
      </c>
      <c r="CW119" s="5">
        <v>4</v>
      </c>
      <c r="CX119" s="4">
        <v>8</v>
      </c>
      <c r="CY119" s="5">
        <v>451</v>
      </c>
      <c r="CZ119" s="4">
        <v>634</v>
      </c>
      <c r="DA119" s="5">
        <v>1803</v>
      </c>
      <c r="DB119" s="4">
        <v>1343</v>
      </c>
      <c r="DC119" s="5">
        <v>0</v>
      </c>
      <c r="DD119" s="4">
        <v>189</v>
      </c>
      <c r="DE119" s="5">
        <v>168</v>
      </c>
      <c r="DF119" s="4">
        <v>260</v>
      </c>
      <c r="DG119" s="8" t="s">
        <v>60</v>
      </c>
      <c r="DH119" s="4" t="s">
        <v>60</v>
      </c>
      <c r="DI119" s="5">
        <v>0</v>
      </c>
      <c r="DJ119" s="4">
        <v>189</v>
      </c>
      <c r="DM119"/>
      <c r="DN119"/>
      <c r="DO119"/>
      <c r="DP119"/>
    </row>
    <row r="120" spans="9:120" ht="15.75" thickBot="1" x14ac:dyDescent="0.3">
      <c r="I120" s="9">
        <v>22649</v>
      </c>
      <c r="J120" s="10">
        <v>3662</v>
      </c>
      <c r="K120" s="9">
        <v>35</v>
      </c>
      <c r="L120" s="10">
        <v>59</v>
      </c>
      <c r="M120" s="9">
        <v>378</v>
      </c>
      <c r="N120" s="10">
        <v>457</v>
      </c>
      <c r="O120" s="9">
        <v>229</v>
      </c>
      <c r="P120" s="10">
        <v>363</v>
      </c>
      <c r="Q120" s="9">
        <v>0</v>
      </c>
      <c r="R120" s="10">
        <v>210</v>
      </c>
      <c r="S120" s="9">
        <v>207</v>
      </c>
      <c r="T120" s="10">
        <v>222</v>
      </c>
      <c r="U120" s="9">
        <v>0</v>
      </c>
      <c r="V120" s="10">
        <v>210</v>
      </c>
      <c r="W120" s="9">
        <v>1849</v>
      </c>
      <c r="X120" s="10">
        <v>928</v>
      </c>
      <c r="Y120" s="9">
        <v>13</v>
      </c>
      <c r="Z120" s="10">
        <v>25</v>
      </c>
      <c r="AA120" s="9">
        <v>212</v>
      </c>
      <c r="AB120" s="10">
        <v>315</v>
      </c>
      <c r="AC120" s="9">
        <v>6614</v>
      </c>
      <c r="AD120" s="10">
        <v>2336</v>
      </c>
      <c r="AE120" s="9">
        <v>247</v>
      </c>
      <c r="AF120" s="10">
        <v>195</v>
      </c>
      <c r="AG120" s="9">
        <v>0</v>
      </c>
      <c r="AH120" s="10">
        <v>210</v>
      </c>
      <c r="AI120" s="9">
        <v>13</v>
      </c>
      <c r="AJ120" s="10">
        <v>24</v>
      </c>
      <c r="AK120" s="9">
        <v>624</v>
      </c>
      <c r="AL120" s="10">
        <v>537</v>
      </c>
      <c r="AM120" s="9">
        <v>784</v>
      </c>
      <c r="AN120" s="10">
        <v>895</v>
      </c>
      <c r="AO120" s="9">
        <v>0</v>
      </c>
      <c r="AP120" s="10">
        <v>210</v>
      </c>
      <c r="AQ120" s="9">
        <v>38</v>
      </c>
      <c r="AR120" s="10">
        <v>62</v>
      </c>
      <c r="AS120" s="9">
        <v>0</v>
      </c>
      <c r="AT120" s="10">
        <v>210</v>
      </c>
      <c r="AU120" s="9">
        <v>0</v>
      </c>
      <c r="AV120" s="10">
        <v>210</v>
      </c>
      <c r="AW120" s="9">
        <v>0</v>
      </c>
      <c r="AX120" s="10">
        <v>210</v>
      </c>
      <c r="AY120" s="9">
        <v>70</v>
      </c>
      <c r="AZ120" s="10">
        <v>124</v>
      </c>
      <c r="BA120" s="9">
        <v>1412</v>
      </c>
      <c r="BB120" s="10">
        <v>904</v>
      </c>
      <c r="BC120" s="9">
        <v>88</v>
      </c>
      <c r="BD120" s="10">
        <v>127</v>
      </c>
      <c r="BE120" s="9">
        <v>0</v>
      </c>
      <c r="BF120" s="10">
        <v>210</v>
      </c>
      <c r="BG120" s="9">
        <v>27</v>
      </c>
      <c r="BH120" s="10">
        <v>35</v>
      </c>
      <c r="BI120" s="9">
        <v>101</v>
      </c>
      <c r="BJ120" s="10">
        <v>165</v>
      </c>
      <c r="BK120" s="9">
        <v>0</v>
      </c>
      <c r="BL120" s="10">
        <v>210</v>
      </c>
      <c r="BM120" s="9">
        <v>0</v>
      </c>
      <c r="BN120" s="10">
        <v>210</v>
      </c>
      <c r="BO120" s="9">
        <v>0</v>
      </c>
      <c r="BP120" s="10">
        <v>210</v>
      </c>
      <c r="BQ120" s="9">
        <v>0</v>
      </c>
      <c r="BR120" s="10">
        <v>210</v>
      </c>
      <c r="BS120" s="9">
        <v>2150</v>
      </c>
      <c r="BT120" s="10">
        <v>1149</v>
      </c>
      <c r="BU120" s="9">
        <v>51</v>
      </c>
      <c r="BV120" s="10">
        <v>94</v>
      </c>
      <c r="BW120" s="9">
        <v>2615</v>
      </c>
      <c r="BX120" s="10">
        <v>1171</v>
      </c>
      <c r="BY120" s="9">
        <v>200</v>
      </c>
      <c r="BZ120" s="10">
        <v>195</v>
      </c>
      <c r="CA120" s="9">
        <v>0</v>
      </c>
      <c r="CB120" s="10">
        <v>210</v>
      </c>
      <c r="CC120" s="9">
        <v>0</v>
      </c>
      <c r="CD120" s="10">
        <v>210</v>
      </c>
      <c r="CE120" s="9">
        <v>79</v>
      </c>
      <c r="CF120" s="10">
        <v>117</v>
      </c>
      <c r="CG120" s="9">
        <v>0</v>
      </c>
      <c r="CH120" s="10">
        <v>210</v>
      </c>
      <c r="CI120" s="9">
        <v>1978</v>
      </c>
      <c r="CJ120" s="10">
        <v>1059</v>
      </c>
      <c r="CK120" s="9">
        <v>490</v>
      </c>
      <c r="CL120" s="10">
        <v>718</v>
      </c>
      <c r="CM120" s="9">
        <v>3</v>
      </c>
      <c r="CN120" s="10">
        <v>6</v>
      </c>
      <c r="CO120" s="9">
        <v>113</v>
      </c>
      <c r="CP120" s="10">
        <v>139</v>
      </c>
      <c r="CQ120" s="9">
        <v>224</v>
      </c>
      <c r="CR120" s="10">
        <v>368</v>
      </c>
      <c r="CS120" s="9">
        <v>444</v>
      </c>
      <c r="CT120" s="10">
        <v>334</v>
      </c>
      <c r="CU120" s="9">
        <v>0</v>
      </c>
      <c r="CV120" s="10">
        <v>210</v>
      </c>
      <c r="CW120" s="9">
        <v>0</v>
      </c>
      <c r="CX120" s="10">
        <v>210</v>
      </c>
      <c r="CY120" s="9">
        <v>1077</v>
      </c>
      <c r="CZ120" s="10">
        <v>1097</v>
      </c>
      <c r="DA120" s="9">
        <v>41</v>
      </c>
      <c r="DB120" s="10">
        <v>42</v>
      </c>
      <c r="DC120" s="9">
        <v>14</v>
      </c>
      <c r="DD120" s="10">
        <v>25</v>
      </c>
      <c r="DE120" s="9">
        <v>229</v>
      </c>
      <c r="DF120" s="10">
        <v>373</v>
      </c>
      <c r="DG120" s="9">
        <v>0</v>
      </c>
      <c r="DH120" s="10">
        <v>210</v>
      </c>
      <c r="DI120" s="8" t="s">
        <v>60</v>
      </c>
      <c r="DJ120" s="4" t="s">
        <v>60</v>
      </c>
      <c r="DM120"/>
      <c r="DN120"/>
      <c r="DO120"/>
      <c r="DP120"/>
    </row>
  </sheetData>
  <mergeCells count="4">
    <mergeCell ref="C7:D8"/>
    <mergeCell ref="E7:F8"/>
    <mergeCell ref="G7:H8"/>
    <mergeCell ref="B7:B8"/>
  </mergeCells>
  <printOptions horizontalCentered="1"/>
  <pageMargins left="0.2" right="0.2" top="0.75" bottom="0.75" header="0.3" footer="0.3"/>
  <pageSetup paperSize="8" scale="1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DP120"/>
  <sheetViews>
    <sheetView showGridLines="0" tabSelected="1" zoomScaleNormal="100" workbookViewId="0">
      <selection activeCell="B6" sqref="B6"/>
    </sheetView>
  </sheetViews>
  <sheetFormatPr defaultRowHeight="15" x14ac:dyDescent="0.25"/>
  <cols>
    <col min="1" max="1" width="9.140625" style="19"/>
    <col min="2" max="2" width="15.140625" style="19" customWidth="1"/>
    <col min="3" max="3" width="11.140625" style="19" bestFit="1" customWidth="1"/>
    <col min="4" max="4" width="9.5703125" style="19" bestFit="1" customWidth="1"/>
    <col min="5" max="5" width="11.140625" style="19" bestFit="1" customWidth="1"/>
    <col min="6" max="6" width="10.5703125" style="19" bestFit="1" customWidth="1"/>
    <col min="7" max="7" width="10.140625" style="19" bestFit="1" customWidth="1"/>
    <col min="8" max="8" width="10.5703125" style="19" bestFit="1" customWidth="1"/>
    <col min="9" max="9" width="9.28515625" style="19" bestFit="1" customWidth="1"/>
    <col min="10" max="10" width="9.5703125" style="19" bestFit="1" customWidth="1"/>
    <col min="11" max="113" width="9.28515625" style="19" bestFit="1" customWidth="1"/>
    <col min="114" max="114" width="11.140625" style="19" bestFit="1" customWidth="1"/>
    <col min="115" max="120" width="9.28515625" style="19" bestFit="1" customWidth="1"/>
    <col min="121" max="16384" width="9.140625" style="19"/>
  </cols>
  <sheetData>
    <row r="2" spans="1:114" x14ac:dyDescent="0.25">
      <c r="B2" s="26" t="s">
        <v>70</v>
      </c>
    </row>
    <row r="3" spans="1:114" x14ac:dyDescent="0.25">
      <c r="B3" s="27" t="s">
        <v>71</v>
      </c>
    </row>
    <row r="4" spans="1:114" x14ac:dyDescent="0.25">
      <c r="B4" s="27" t="s">
        <v>2</v>
      </c>
    </row>
    <row r="6" spans="1:114" x14ac:dyDescent="0.25">
      <c r="I6" s="32" t="s">
        <v>68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3" t="s">
        <v>69</v>
      </c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</row>
    <row r="7" spans="1:114" customFormat="1" ht="15.75" customHeight="1" x14ac:dyDescent="0.25">
      <c r="A7" s="19"/>
      <c r="B7" s="154" t="s">
        <v>3</v>
      </c>
      <c r="C7" s="153" t="s">
        <v>4</v>
      </c>
      <c r="D7" s="153"/>
      <c r="E7" s="153" t="s">
        <v>5</v>
      </c>
      <c r="F7" s="153"/>
      <c r="G7" s="153" t="s">
        <v>6</v>
      </c>
      <c r="H7" s="153"/>
      <c r="I7" s="39">
        <v>1</v>
      </c>
      <c r="J7" s="40">
        <v>2</v>
      </c>
      <c r="K7" s="40">
        <v>3</v>
      </c>
      <c r="L7" s="40">
        <v>4</v>
      </c>
      <c r="M7" s="40">
        <v>5</v>
      </c>
      <c r="N7" s="40">
        <v>6</v>
      </c>
      <c r="O7" s="40">
        <v>7</v>
      </c>
      <c r="P7" s="40">
        <v>8</v>
      </c>
      <c r="Q7" s="40">
        <v>9</v>
      </c>
      <c r="R7" s="40">
        <v>10</v>
      </c>
      <c r="S7" s="40">
        <v>11</v>
      </c>
      <c r="T7" s="40">
        <v>12</v>
      </c>
      <c r="U7" s="40">
        <v>13</v>
      </c>
      <c r="V7" s="40">
        <v>14</v>
      </c>
      <c r="W7" s="40">
        <v>15</v>
      </c>
      <c r="X7" s="40">
        <v>16</v>
      </c>
      <c r="Y7" s="40">
        <v>17</v>
      </c>
      <c r="Z7" s="40">
        <v>18</v>
      </c>
      <c r="AA7" s="40">
        <v>19</v>
      </c>
      <c r="AB7" s="40">
        <v>20</v>
      </c>
      <c r="AC7" s="40">
        <v>21</v>
      </c>
      <c r="AD7" s="40">
        <v>22</v>
      </c>
      <c r="AE7" s="40">
        <v>23</v>
      </c>
      <c r="AF7" s="40">
        <v>24</v>
      </c>
      <c r="AG7" s="40">
        <v>25</v>
      </c>
      <c r="AH7" s="40">
        <v>26</v>
      </c>
      <c r="AI7" s="40">
        <v>27</v>
      </c>
      <c r="AJ7" s="40">
        <v>28</v>
      </c>
      <c r="AK7" s="40">
        <v>29</v>
      </c>
      <c r="AL7" s="40">
        <v>30</v>
      </c>
      <c r="AM7" s="40">
        <v>31</v>
      </c>
      <c r="AN7" s="40">
        <v>32</v>
      </c>
      <c r="AO7" s="40">
        <v>33</v>
      </c>
      <c r="AP7" s="40">
        <v>34</v>
      </c>
      <c r="AQ7" s="40">
        <v>35</v>
      </c>
      <c r="AR7" s="40">
        <v>36</v>
      </c>
      <c r="AS7" s="40">
        <v>37</v>
      </c>
      <c r="AT7" s="40">
        <v>38</v>
      </c>
      <c r="AU7" s="40">
        <v>39</v>
      </c>
      <c r="AV7" s="40">
        <v>40</v>
      </c>
      <c r="AW7" s="40">
        <v>41</v>
      </c>
      <c r="AX7" s="40">
        <v>42</v>
      </c>
      <c r="AY7" s="40">
        <v>43</v>
      </c>
      <c r="AZ7" s="40">
        <v>44</v>
      </c>
      <c r="BA7" s="40">
        <v>45</v>
      </c>
      <c r="BB7" s="40">
        <v>46</v>
      </c>
      <c r="BC7" s="40">
        <v>47</v>
      </c>
      <c r="BD7" s="40">
        <v>48</v>
      </c>
      <c r="BE7" s="40">
        <v>49</v>
      </c>
      <c r="BF7" s="40">
        <v>50</v>
      </c>
      <c r="BG7" s="40">
        <v>51</v>
      </c>
      <c r="BH7" s="40">
        <v>52</v>
      </c>
      <c r="BI7" s="40">
        <v>53</v>
      </c>
      <c r="BJ7" s="40">
        <v>1</v>
      </c>
      <c r="BK7" s="40">
        <v>2</v>
      </c>
      <c r="BL7" s="40">
        <v>3</v>
      </c>
      <c r="BM7" s="40">
        <v>4</v>
      </c>
      <c r="BN7" s="40">
        <v>5</v>
      </c>
      <c r="BO7" s="40">
        <v>6</v>
      </c>
      <c r="BP7" s="40">
        <v>7</v>
      </c>
      <c r="BQ7" s="40">
        <v>8</v>
      </c>
      <c r="BR7" s="40">
        <v>9</v>
      </c>
      <c r="BS7" s="40">
        <v>10</v>
      </c>
      <c r="BT7" s="40">
        <v>11</v>
      </c>
      <c r="BU7" s="40">
        <v>12</v>
      </c>
      <c r="BV7" s="40">
        <v>13</v>
      </c>
      <c r="BW7" s="40">
        <v>14</v>
      </c>
      <c r="BX7" s="40">
        <v>15</v>
      </c>
      <c r="BY7" s="40">
        <v>16</v>
      </c>
      <c r="BZ7" s="40">
        <v>17</v>
      </c>
      <c r="CA7" s="40">
        <v>18</v>
      </c>
      <c r="CB7" s="40">
        <v>19</v>
      </c>
      <c r="CC7" s="40">
        <v>20</v>
      </c>
      <c r="CD7" s="40">
        <v>21</v>
      </c>
      <c r="CE7" s="40">
        <v>22</v>
      </c>
      <c r="CF7" s="40">
        <v>23</v>
      </c>
      <c r="CG7" s="40">
        <v>24</v>
      </c>
      <c r="CH7" s="40">
        <v>25</v>
      </c>
      <c r="CI7" s="40">
        <v>26</v>
      </c>
      <c r="CJ7" s="40">
        <v>27</v>
      </c>
      <c r="CK7" s="40">
        <v>28</v>
      </c>
      <c r="CL7" s="40">
        <v>29</v>
      </c>
      <c r="CM7" s="40">
        <v>30</v>
      </c>
      <c r="CN7" s="40">
        <v>31</v>
      </c>
      <c r="CO7" s="40">
        <v>32</v>
      </c>
      <c r="CP7" s="40">
        <v>33</v>
      </c>
      <c r="CQ7" s="40">
        <v>34</v>
      </c>
      <c r="CR7" s="40">
        <v>35</v>
      </c>
      <c r="CS7" s="40">
        <v>36</v>
      </c>
      <c r="CT7" s="40">
        <v>37</v>
      </c>
      <c r="CU7" s="40">
        <v>38</v>
      </c>
      <c r="CV7" s="40">
        <v>39</v>
      </c>
      <c r="CW7" s="40">
        <v>40</v>
      </c>
      <c r="CX7" s="40">
        <v>41</v>
      </c>
      <c r="CY7" s="40">
        <v>42</v>
      </c>
      <c r="CZ7" s="40">
        <v>43</v>
      </c>
      <c r="DA7" s="40">
        <v>44</v>
      </c>
      <c r="DB7" s="40">
        <v>45</v>
      </c>
      <c r="DC7" s="40">
        <v>46</v>
      </c>
      <c r="DD7" s="40">
        <v>47</v>
      </c>
      <c r="DE7" s="40">
        <v>48</v>
      </c>
      <c r="DF7" s="40">
        <v>49</v>
      </c>
      <c r="DG7" s="40">
        <v>50</v>
      </c>
      <c r="DH7" s="40">
        <v>51</v>
      </c>
      <c r="DI7" s="40">
        <v>52</v>
      </c>
      <c r="DJ7" s="40">
        <v>53</v>
      </c>
    </row>
    <row r="8" spans="1:114" customFormat="1" x14ac:dyDescent="0.25">
      <c r="A8" s="19"/>
      <c r="B8" s="155"/>
      <c r="C8" s="153"/>
      <c r="D8" s="153"/>
      <c r="E8" s="153"/>
      <c r="F8" s="153"/>
      <c r="G8" s="153"/>
      <c r="H8" s="153"/>
      <c r="I8" s="41" t="s">
        <v>63</v>
      </c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3" t="s">
        <v>65</v>
      </c>
      <c r="BK8" s="41"/>
      <c r="BL8" s="41"/>
      <c r="BM8" s="41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4"/>
    </row>
    <row r="9" spans="1:114" s="35" customFormat="1" x14ac:dyDescent="0.25">
      <c r="B9" s="73" t="s">
        <v>79</v>
      </c>
      <c r="C9" s="45" t="s">
        <v>58</v>
      </c>
      <c r="D9" s="46" t="s">
        <v>59</v>
      </c>
      <c r="E9" s="45" t="s">
        <v>58</v>
      </c>
      <c r="F9" s="46" t="s">
        <v>59</v>
      </c>
      <c r="G9" s="45" t="s">
        <v>58</v>
      </c>
      <c r="H9" s="46" t="s">
        <v>59</v>
      </c>
      <c r="I9" s="47" t="s">
        <v>64</v>
      </c>
      <c r="J9" s="48" t="s">
        <v>7</v>
      </c>
      <c r="K9" s="48" t="s">
        <v>8</v>
      </c>
      <c r="L9" s="48" t="s">
        <v>9</v>
      </c>
      <c r="M9" s="48" t="s">
        <v>10</v>
      </c>
      <c r="N9" s="48" t="s">
        <v>11</v>
      </c>
      <c r="O9" s="48" t="s">
        <v>12</v>
      </c>
      <c r="P9" s="48" t="s">
        <v>13</v>
      </c>
      <c r="Q9" s="48" t="s">
        <v>14</v>
      </c>
      <c r="R9" s="48" t="s">
        <v>15</v>
      </c>
      <c r="S9" s="48" t="s">
        <v>16</v>
      </c>
      <c r="T9" s="48" t="s">
        <v>17</v>
      </c>
      <c r="U9" s="48" t="s">
        <v>18</v>
      </c>
      <c r="V9" s="48" t="s">
        <v>19</v>
      </c>
      <c r="W9" s="48" t="s">
        <v>20</v>
      </c>
      <c r="X9" s="48" t="s">
        <v>21</v>
      </c>
      <c r="Y9" s="48" t="s">
        <v>22</v>
      </c>
      <c r="Z9" s="48" t="s">
        <v>23</v>
      </c>
      <c r="AA9" s="48" t="s">
        <v>24</v>
      </c>
      <c r="AB9" s="48" t="s">
        <v>25</v>
      </c>
      <c r="AC9" s="48" t="s">
        <v>26</v>
      </c>
      <c r="AD9" s="48" t="s">
        <v>27</v>
      </c>
      <c r="AE9" s="48" t="s">
        <v>28</v>
      </c>
      <c r="AF9" s="48" t="s">
        <v>29</v>
      </c>
      <c r="AG9" s="48" t="s">
        <v>30</v>
      </c>
      <c r="AH9" s="48" t="s">
        <v>31</v>
      </c>
      <c r="AI9" s="48" t="s">
        <v>32</v>
      </c>
      <c r="AJ9" s="48" t="s">
        <v>33</v>
      </c>
      <c r="AK9" s="48" t="s">
        <v>34</v>
      </c>
      <c r="AL9" s="48" t="s">
        <v>35</v>
      </c>
      <c r="AM9" s="48" t="s">
        <v>36</v>
      </c>
      <c r="AN9" s="48" t="s">
        <v>37</v>
      </c>
      <c r="AO9" s="48" t="s">
        <v>38</v>
      </c>
      <c r="AP9" s="48" t="s">
        <v>39</v>
      </c>
      <c r="AQ9" s="48" t="s">
        <v>40</v>
      </c>
      <c r="AR9" s="48" t="s">
        <v>41</v>
      </c>
      <c r="AS9" s="48" t="s">
        <v>42</v>
      </c>
      <c r="AT9" s="48" t="s">
        <v>43</v>
      </c>
      <c r="AU9" s="48" t="s">
        <v>44</v>
      </c>
      <c r="AV9" s="48" t="s">
        <v>45</v>
      </c>
      <c r="AW9" s="48" t="s">
        <v>46</v>
      </c>
      <c r="AX9" s="48" t="s">
        <v>47</v>
      </c>
      <c r="AY9" s="48" t="s">
        <v>48</v>
      </c>
      <c r="AZ9" s="48" t="s">
        <v>49</v>
      </c>
      <c r="BA9" s="48" t="s">
        <v>50</v>
      </c>
      <c r="BB9" s="48" t="s">
        <v>51</v>
      </c>
      <c r="BC9" s="48" t="s">
        <v>52</v>
      </c>
      <c r="BD9" s="48" t="s">
        <v>53</v>
      </c>
      <c r="BE9" s="48" t="s">
        <v>54</v>
      </c>
      <c r="BF9" s="48" t="s">
        <v>55</v>
      </c>
      <c r="BG9" s="48" t="s">
        <v>56</v>
      </c>
      <c r="BH9" s="48" t="s">
        <v>57</v>
      </c>
      <c r="BI9" s="48" t="s">
        <v>61</v>
      </c>
      <c r="BJ9" s="49" t="s">
        <v>64</v>
      </c>
      <c r="BK9" s="48" t="s">
        <v>7</v>
      </c>
      <c r="BL9" s="48" t="s">
        <v>8</v>
      </c>
      <c r="BM9" s="48" t="s">
        <v>9</v>
      </c>
      <c r="BN9" s="48" t="s">
        <v>10</v>
      </c>
      <c r="BO9" s="48" t="s">
        <v>11</v>
      </c>
      <c r="BP9" s="48" t="s">
        <v>12</v>
      </c>
      <c r="BQ9" s="48" t="s">
        <v>13</v>
      </c>
      <c r="BR9" s="48" t="s">
        <v>14</v>
      </c>
      <c r="BS9" s="48" t="s">
        <v>15</v>
      </c>
      <c r="BT9" s="48" t="s">
        <v>16</v>
      </c>
      <c r="BU9" s="48" t="s">
        <v>17</v>
      </c>
      <c r="BV9" s="48" t="s">
        <v>18</v>
      </c>
      <c r="BW9" s="48" t="s">
        <v>19</v>
      </c>
      <c r="BX9" s="48" t="s">
        <v>20</v>
      </c>
      <c r="BY9" s="48" t="s">
        <v>21</v>
      </c>
      <c r="BZ9" s="48" t="s">
        <v>22</v>
      </c>
      <c r="CA9" s="48" t="s">
        <v>23</v>
      </c>
      <c r="CB9" s="48" t="s">
        <v>24</v>
      </c>
      <c r="CC9" s="48" t="s">
        <v>25</v>
      </c>
      <c r="CD9" s="48" t="s">
        <v>26</v>
      </c>
      <c r="CE9" s="48" t="s">
        <v>27</v>
      </c>
      <c r="CF9" s="48" t="s">
        <v>28</v>
      </c>
      <c r="CG9" s="48" t="s">
        <v>29</v>
      </c>
      <c r="CH9" s="48" t="s">
        <v>30</v>
      </c>
      <c r="CI9" s="48" t="s">
        <v>31</v>
      </c>
      <c r="CJ9" s="48" t="s">
        <v>32</v>
      </c>
      <c r="CK9" s="48" t="s">
        <v>33</v>
      </c>
      <c r="CL9" s="48" t="s">
        <v>34</v>
      </c>
      <c r="CM9" s="48" t="s">
        <v>35</v>
      </c>
      <c r="CN9" s="48" t="s">
        <v>36</v>
      </c>
      <c r="CO9" s="48" t="s">
        <v>37</v>
      </c>
      <c r="CP9" s="48" t="s">
        <v>38</v>
      </c>
      <c r="CQ9" s="48" t="s">
        <v>39</v>
      </c>
      <c r="CR9" s="48" t="s">
        <v>40</v>
      </c>
      <c r="CS9" s="48" t="s">
        <v>41</v>
      </c>
      <c r="CT9" s="48" t="s">
        <v>42</v>
      </c>
      <c r="CU9" s="48" t="s">
        <v>43</v>
      </c>
      <c r="CV9" s="48" t="s">
        <v>44</v>
      </c>
      <c r="CW9" s="48" t="s">
        <v>45</v>
      </c>
      <c r="CX9" s="48" t="s">
        <v>46</v>
      </c>
      <c r="CY9" s="48" t="s">
        <v>47</v>
      </c>
      <c r="CZ9" s="48" t="s">
        <v>48</v>
      </c>
      <c r="DA9" s="48" t="s">
        <v>49</v>
      </c>
      <c r="DB9" s="48" t="s">
        <v>50</v>
      </c>
      <c r="DC9" s="48" t="s">
        <v>51</v>
      </c>
      <c r="DD9" s="48" t="s">
        <v>52</v>
      </c>
      <c r="DE9" s="48" t="s">
        <v>53</v>
      </c>
      <c r="DF9" s="48" t="s">
        <v>54</v>
      </c>
      <c r="DG9" s="48" t="s">
        <v>55</v>
      </c>
      <c r="DH9" s="48" t="s">
        <v>56</v>
      </c>
      <c r="DI9" s="48" t="s">
        <v>57</v>
      </c>
      <c r="DJ9" s="48" t="s">
        <v>61</v>
      </c>
    </row>
    <row r="10" spans="1:114" x14ac:dyDescent="0.25">
      <c r="B10" s="37" t="s">
        <v>62</v>
      </c>
      <c r="C10" s="11">
        <v>305628607</v>
      </c>
      <c r="D10" s="12">
        <v>29823</v>
      </c>
      <c r="E10" s="11">
        <v>258552348</v>
      </c>
      <c r="F10" s="12">
        <v>236128</v>
      </c>
      <c r="G10" s="11">
        <v>38582885</v>
      </c>
      <c r="H10" s="12">
        <v>213239</v>
      </c>
      <c r="I10" s="36">
        <f>HLOOKUP(I$7,$I$66:$DJ$120,ROWS($A$10:$A10)+2,FALSE)</f>
        <v>6743229</v>
      </c>
      <c r="J10" s="25">
        <f>HLOOKUP(J$7,$I$66:$DJ$120,ROWS($A$10:$A10)+2,FALSE)</f>
        <v>99221</v>
      </c>
      <c r="K10" s="25">
        <f>HLOOKUP(K$7,$I$66:$DJ$120,ROWS($A$10:$A10)+2,FALSE)</f>
        <v>94692</v>
      </c>
      <c r="L10" s="25">
        <f>HLOOKUP(L$7,$I$66:$DJ$120,ROWS($A$10:$A10)+2,FALSE)</f>
        <v>176768</v>
      </c>
      <c r="M10" s="25">
        <f>HLOOKUP(M$7,$I$66:$DJ$120,ROWS($A$10:$A10)+2,FALSE)</f>
        <v>64264</v>
      </c>
      <c r="N10" s="25">
        <f>HLOOKUP(N$7,$I$66:$DJ$120,ROWS($A$10:$A10)+2,FALSE)</f>
        <v>573988</v>
      </c>
      <c r="O10" s="25">
        <f>HLOOKUP(O$7,$I$66:$DJ$120,ROWS($A$10:$A10)+2,FALSE)</f>
        <v>140620</v>
      </c>
      <c r="P10" s="25">
        <f>HLOOKUP(P$7,$I$66:$DJ$120,ROWS($A$10:$A10)+2,FALSE)</f>
        <v>89360</v>
      </c>
      <c r="Q10" s="25">
        <f>HLOOKUP(Q$7,$I$66:$DJ$120,ROWS($A$10:$A10)+2,FALSE)</f>
        <v>30055</v>
      </c>
      <c r="R10" s="25">
        <f>HLOOKUP(R$7,$I$66:$DJ$120,ROWS($A$10:$A10)+2,FALSE)</f>
        <v>56052</v>
      </c>
      <c r="S10" s="25">
        <f>HLOOKUP(S$7,$I$66:$DJ$120,ROWS($A$10:$A10)+2,FALSE)</f>
        <v>427853</v>
      </c>
      <c r="T10" s="25">
        <f>HLOOKUP(T$7,$I$66:$DJ$120,ROWS($A$10:$A10)+2,FALSE)</f>
        <v>244992</v>
      </c>
      <c r="U10" s="25">
        <f>HLOOKUP(U$7,$I$66:$DJ$120,ROWS($A$10:$A10)+2,FALSE)</f>
        <v>49218</v>
      </c>
      <c r="V10" s="25">
        <f>HLOOKUP(V$7,$I$66:$DJ$120,ROWS($A$10:$A10)+2,FALSE)</f>
        <v>53122</v>
      </c>
      <c r="W10" s="25">
        <f>HLOOKUP(W$7,$I$66:$DJ$120,ROWS($A$10:$A10)+2,FALSE)</f>
        <v>277579</v>
      </c>
      <c r="X10" s="25">
        <f>HLOOKUP(X$7,$I$66:$DJ$120,ROWS($A$10:$A10)+2,FALSE)</f>
        <v>130170</v>
      </c>
      <c r="Y10" s="25">
        <f>HLOOKUP(Y$7,$I$66:$DJ$120,ROWS($A$10:$A10)+2,FALSE)</f>
        <v>66922</v>
      </c>
      <c r="Z10" s="25">
        <f>HLOOKUP(Z$7,$I$66:$DJ$120,ROWS($A$10:$A10)+2,FALSE)</f>
        <v>90681</v>
      </c>
      <c r="AA10" s="25">
        <f>HLOOKUP(AA$7,$I$66:$DJ$120,ROWS($A$10:$A10)+2,FALSE)</f>
        <v>92999</v>
      </c>
      <c r="AB10" s="25">
        <f>HLOOKUP(AB$7,$I$66:$DJ$120,ROWS($A$10:$A10)+2,FALSE)</f>
        <v>88131</v>
      </c>
      <c r="AC10" s="25">
        <f>HLOOKUP(AC$7,$I$66:$DJ$120,ROWS($A$10:$A10)+2,FALSE)</f>
        <v>32209</v>
      </c>
      <c r="AD10" s="25">
        <f>HLOOKUP(AD$7,$I$66:$DJ$120,ROWS($A$10:$A10)+2,FALSE)</f>
        <v>159866</v>
      </c>
      <c r="AE10" s="25">
        <f>HLOOKUP(AE$7,$I$66:$DJ$120,ROWS($A$10:$A10)+2,FALSE)</f>
        <v>144152</v>
      </c>
      <c r="AF10" s="25">
        <f>HLOOKUP(AF$7,$I$66:$DJ$120,ROWS($A$10:$A10)+2,FALSE)</f>
        <v>178207</v>
      </c>
      <c r="AG10" s="25">
        <f>HLOOKUP(AG$7,$I$66:$DJ$120,ROWS($A$10:$A10)+2,FALSE)</f>
        <v>104765</v>
      </c>
      <c r="AH10" s="25">
        <f>HLOOKUP(AH$7,$I$66:$DJ$120,ROWS($A$10:$A10)+2,FALSE)</f>
        <v>68363</v>
      </c>
      <c r="AI10" s="25">
        <f>HLOOKUP(AI$7,$I$66:$DJ$120,ROWS($A$10:$A10)+2,FALSE)</f>
        <v>148055</v>
      </c>
      <c r="AJ10" s="25">
        <f>HLOOKUP(AJ$7,$I$66:$DJ$120,ROWS($A$10:$A10)+2,FALSE)</f>
        <v>35870</v>
      </c>
      <c r="AK10" s="25">
        <f>HLOOKUP(AK$7,$I$66:$DJ$120,ROWS($A$10:$A10)+2,FALSE)</f>
        <v>43531</v>
      </c>
      <c r="AL10" s="25">
        <f>HLOOKUP(AL$7,$I$66:$DJ$120,ROWS($A$10:$A10)+2,FALSE)</f>
        <v>109409</v>
      </c>
      <c r="AM10" s="25">
        <f>HLOOKUP(AM$7,$I$66:$DJ$120,ROWS($A$10:$A10)+2,FALSE)</f>
        <v>38399</v>
      </c>
      <c r="AN10" s="25">
        <f>HLOOKUP(AN$7,$I$66:$DJ$120,ROWS($A$10:$A10)+2,FALSE)</f>
        <v>193972</v>
      </c>
      <c r="AO10" s="25">
        <f>HLOOKUP(AO$7,$I$66:$DJ$120,ROWS($A$10:$A10)+2,FALSE)</f>
        <v>50438</v>
      </c>
      <c r="AP10" s="25">
        <f>HLOOKUP(AP$7,$I$66:$DJ$120,ROWS($A$10:$A10)+2,FALSE)</f>
        <v>363139</v>
      </c>
      <c r="AQ10" s="25">
        <f>HLOOKUP(AQ$7,$I$66:$DJ$120,ROWS($A$10:$A10)+2,FALSE)</f>
        <v>207025</v>
      </c>
      <c r="AR10" s="25">
        <f>HLOOKUP(AR$7,$I$66:$DJ$120,ROWS($A$10:$A10)+2,FALSE)</f>
        <v>24450</v>
      </c>
      <c r="AS10" s="25">
        <f>HLOOKUP(AS$7,$I$66:$DJ$120,ROWS($A$10:$A10)+2,FALSE)</f>
        <v>188013</v>
      </c>
      <c r="AT10" s="25">
        <f>HLOOKUP(AT$7,$I$66:$DJ$120,ROWS($A$10:$A10)+2,FALSE)</f>
        <v>90616</v>
      </c>
      <c r="AU10" s="25">
        <f>HLOOKUP(AU$7,$I$66:$DJ$120,ROWS($A$10:$A10)+2,FALSE)</f>
        <v>100185</v>
      </c>
      <c r="AV10" s="25">
        <f>HLOOKUP(AV$7,$I$66:$DJ$120,ROWS($A$10:$A10)+2,FALSE)</f>
        <v>209810</v>
      </c>
      <c r="AW10" s="25">
        <f>HLOOKUP(AW$7,$I$66:$DJ$120,ROWS($A$10:$A10)+2,FALSE)</f>
        <v>24948</v>
      </c>
      <c r="AX10" s="25">
        <f>HLOOKUP(AX$7,$I$66:$DJ$120,ROWS($A$10:$A10)+2,FALSE)</f>
        <v>117569</v>
      </c>
      <c r="AY10" s="25">
        <f>HLOOKUP(AY$7,$I$66:$DJ$120,ROWS($A$10:$A10)+2,FALSE)</f>
        <v>27915</v>
      </c>
      <c r="AZ10" s="25">
        <f>HLOOKUP(AZ$7,$I$66:$DJ$120,ROWS($A$10:$A10)+2,FALSE)</f>
        <v>143135</v>
      </c>
      <c r="BA10" s="25">
        <f>HLOOKUP(BA$7,$I$66:$DJ$120,ROWS($A$10:$A10)+2,FALSE)</f>
        <v>411641</v>
      </c>
      <c r="BB10" s="25">
        <f>HLOOKUP(BB$7,$I$66:$DJ$120,ROWS($A$10:$A10)+2,FALSE)</f>
        <v>75541</v>
      </c>
      <c r="BC10" s="25">
        <f>HLOOKUP(BC$7,$I$66:$DJ$120,ROWS($A$10:$A10)+2,FALSE)</f>
        <v>18380</v>
      </c>
      <c r="BD10" s="25">
        <f>HLOOKUP(BD$7,$I$66:$DJ$120,ROWS($A$10:$A10)+2,FALSE)</f>
        <v>232002</v>
      </c>
      <c r="BE10" s="25">
        <f>HLOOKUP(BE$7,$I$66:$DJ$120,ROWS($A$10:$A10)+2,FALSE)</f>
        <v>166162</v>
      </c>
      <c r="BF10" s="25">
        <f>HLOOKUP(BF$7,$I$66:$DJ$120,ROWS($A$10:$A10)+2,FALSE)</f>
        <v>49349</v>
      </c>
      <c r="BG10" s="25">
        <f>HLOOKUP(BG$7,$I$66:$DJ$120,ROWS($A$10:$A10)+2,FALSE)</f>
        <v>111240</v>
      </c>
      <c r="BH10" s="25">
        <f>HLOOKUP(BH$7,$I$66:$DJ$120,ROWS($A$10:$A10)+2,FALSE)</f>
        <v>28186</v>
      </c>
      <c r="BI10" s="25">
        <f>HLOOKUP(BI$7,$I$66:$DJ$120,ROWS($A$10:$A10)+2,FALSE)</f>
        <v>59885</v>
      </c>
      <c r="BJ10" s="34">
        <f>HLOOKUP(BJ$7+0.5,$I$66:$DJ$120,ROWS($A$10:$A10)+2,FALSE)</f>
        <v>69387</v>
      </c>
      <c r="BK10" s="34">
        <f>HLOOKUP(BK$7+0.5,$I$66:$DJ$120,ROWS($A$10:$A10)+2,FALSE)</f>
        <v>8532</v>
      </c>
      <c r="BL10" s="34">
        <f>HLOOKUP(BL$7+0.5,$I$66:$DJ$120,ROWS($A$10:$A10)+2,FALSE)</f>
        <v>9780</v>
      </c>
      <c r="BM10" s="34">
        <f>HLOOKUP(BM$7+0.5,$I$66:$DJ$120,ROWS($A$10:$A10)+2,FALSE)</f>
        <v>9764</v>
      </c>
      <c r="BN10" s="34">
        <f>HLOOKUP(BN$7+0.5,$I$66:$DJ$120,ROWS($A$10:$A10)+2,FALSE)</f>
        <v>6502</v>
      </c>
      <c r="BO10" s="34">
        <f>HLOOKUP(BO$7+0.5,$I$66:$DJ$120,ROWS($A$10:$A10)+2,FALSE)</f>
        <v>20898</v>
      </c>
      <c r="BP10" s="34">
        <f>HLOOKUP(BP$7+0.5,$I$66:$DJ$120,ROWS($A$10:$A10)+2,FALSE)</f>
        <v>8392</v>
      </c>
      <c r="BQ10" s="34">
        <f>HLOOKUP(BQ$7+0.5,$I$66:$DJ$120,ROWS($A$10:$A10)+2,FALSE)</f>
        <v>8104</v>
      </c>
      <c r="BR10" s="34">
        <f>HLOOKUP(BR$7+0.5,$I$66:$DJ$120,ROWS($A$10:$A10)+2,FALSE)</f>
        <v>4817</v>
      </c>
      <c r="BS10" s="34">
        <f>HLOOKUP(BS$7+0.5,$I$66:$DJ$120,ROWS($A$10:$A10)+2,FALSE)</f>
        <v>5274</v>
      </c>
      <c r="BT10" s="34">
        <f>HLOOKUP(BT$7+0.5,$I$66:$DJ$120,ROWS($A$10:$A10)+2,FALSE)</f>
        <v>16117</v>
      </c>
      <c r="BU10" s="34">
        <f>HLOOKUP(BU$7+0.5,$I$66:$DJ$120,ROWS($A$10:$A10)+2,FALSE)</f>
        <v>13712</v>
      </c>
      <c r="BV10" s="34">
        <f>HLOOKUP(BV$7+0.5,$I$66:$DJ$120,ROWS($A$10:$A10)+2,FALSE)</f>
        <v>5580</v>
      </c>
      <c r="BW10" s="34">
        <f>HLOOKUP(BW$7+0.5,$I$66:$DJ$120,ROWS($A$10:$A10)+2,FALSE)</f>
        <v>6197</v>
      </c>
      <c r="BX10" s="34">
        <f>HLOOKUP(BX$7+0.5,$I$66:$DJ$120,ROWS($A$10:$A10)+2,FALSE)</f>
        <v>14177</v>
      </c>
      <c r="BY10" s="34">
        <f>HLOOKUP(BY$7+0.5,$I$66:$DJ$120,ROWS($A$10:$A10)+2,FALSE)</f>
        <v>9685</v>
      </c>
      <c r="BZ10" s="34">
        <f>HLOOKUP(BZ$7+0.5,$I$66:$DJ$120,ROWS($A$10:$A10)+2,FALSE)</f>
        <v>5441</v>
      </c>
      <c r="CA10" s="34">
        <f>HLOOKUP(CA$7+0.5,$I$66:$DJ$120,ROWS($A$10:$A10)+2,FALSE)</f>
        <v>7300</v>
      </c>
      <c r="CB10" s="34">
        <f>HLOOKUP(CB$7+0.5,$I$66:$DJ$120,ROWS($A$10:$A10)+2,FALSE)</f>
        <v>8240</v>
      </c>
      <c r="CC10" s="34">
        <f>HLOOKUP(CC$7+0.5,$I$66:$DJ$120,ROWS($A$10:$A10)+2,FALSE)</f>
        <v>8540</v>
      </c>
      <c r="CD10" s="34">
        <f>HLOOKUP(CD$7+0.5,$I$66:$DJ$120,ROWS($A$10:$A10)+2,FALSE)</f>
        <v>4475</v>
      </c>
      <c r="CE10" s="34">
        <f>HLOOKUP(CE$7+0.5,$I$66:$DJ$120,ROWS($A$10:$A10)+2,FALSE)</f>
        <v>9741</v>
      </c>
      <c r="CF10" s="34">
        <f>HLOOKUP(CF$7+0.5,$I$66:$DJ$120,ROWS($A$10:$A10)+2,FALSE)</f>
        <v>8102</v>
      </c>
      <c r="CG10" s="34">
        <f>HLOOKUP(CG$7+0.5,$I$66:$DJ$120,ROWS($A$10:$A10)+2,FALSE)</f>
        <v>11238</v>
      </c>
      <c r="CH10" s="34">
        <f>HLOOKUP(CH$7+0.5,$I$66:$DJ$120,ROWS($A$10:$A10)+2,FALSE)</f>
        <v>7734</v>
      </c>
      <c r="CI10" s="34">
        <f>HLOOKUP(CI$7+0.5,$I$66:$DJ$120,ROWS($A$10:$A10)+2,FALSE)</f>
        <v>7286</v>
      </c>
      <c r="CJ10" s="34">
        <f>HLOOKUP(CJ$7+0.5,$I$66:$DJ$120,ROWS($A$10:$A10)+2,FALSE)</f>
        <v>11141</v>
      </c>
      <c r="CK10" s="34">
        <f>HLOOKUP(CK$7+0.5,$I$66:$DJ$120,ROWS($A$10:$A10)+2,FALSE)</f>
        <v>4482</v>
      </c>
      <c r="CL10" s="34">
        <f>HLOOKUP(CL$7+0.5,$I$66:$DJ$120,ROWS($A$10:$A10)+2,FALSE)</f>
        <v>5996</v>
      </c>
      <c r="CM10" s="34">
        <f>HLOOKUP(CM$7+0.5,$I$66:$DJ$120,ROWS($A$10:$A10)+2,FALSE)</f>
        <v>10422</v>
      </c>
      <c r="CN10" s="34">
        <f>HLOOKUP(CN$7+0.5,$I$66:$DJ$120,ROWS($A$10:$A10)+2,FALSE)</f>
        <v>4262</v>
      </c>
      <c r="CO10" s="34">
        <f>HLOOKUP(CO$7+0.5,$I$66:$DJ$120,ROWS($A$10:$A10)+2,FALSE)</f>
        <v>11560</v>
      </c>
      <c r="CP10" s="34">
        <f>HLOOKUP(CP$7+0.5,$I$66:$DJ$120,ROWS($A$10:$A10)+2,FALSE)</f>
        <v>5032</v>
      </c>
      <c r="CQ10" s="34">
        <f>HLOOKUP(CQ$7+0.5,$I$66:$DJ$120,ROWS($A$10:$A10)+2,FALSE)</f>
        <v>16245</v>
      </c>
      <c r="CR10" s="34">
        <f>HLOOKUP(CR$7+0.5,$I$66:$DJ$120,ROWS($A$10:$A10)+2,FALSE)</f>
        <v>11068</v>
      </c>
      <c r="CS10" s="34">
        <f>HLOOKUP(CS$7+0.5,$I$66:$DJ$120,ROWS($A$10:$A10)+2,FALSE)</f>
        <v>3757</v>
      </c>
      <c r="CT10" s="34">
        <f>HLOOKUP(CT$7+0.5,$I$66:$DJ$120,ROWS($A$10:$A10)+2,FALSE)</f>
        <v>11207</v>
      </c>
      <c r="CU10" s="34">
        <f>HLOOKUP(CU$7+0.5,$I$66:$DJ$120,ROWS($A$10:$A10)+2,FALSE)</f>
        <v>7414</v>
      </c>
      <c r="CV10" s="34">
        <f>HLOOKUP(CV$7+0.5,$I$66:$DJ$120,ROWS($A$10:$A10)+2,FALSE)</f>
        <v>8825</v>
      </c>
      <c r="CW10" s="34">
        <f>HLOOKUP(CW$7+0.5,$I$66:$DJ$120,ROWS($A$10:$A10)+2,FALSE)</f>
        <v>10357</v>
      </c>
      <c r="CX10" s="34">
        <f>HLOOKUP(CX$7+0.5,$I$66:$DJ$120,ROWS($A$10:$A10)+2,FALSE)</f>
        <v>3127</v>
      </c>
      <c r="CY10" s="34">
        <f>HLOOKUP(CY$7+0.5,$I$66:$DJ$120,ROWS($A$10:$A10)+2,FALSE)</f>
        <v>9315</v>
      </c>
      <c r="CZ10" s="34">
        <f>HLOOKUP(CZ$7+0.5,$I$66:$DJ$120,ROWS($A$10:$A10)+2,FALSE)</f>
        <v>3665</v>
      </c>
      <c r="DA10" s="34">
        <f>HLOOKUP(DA$7+0.5,$I$66:$DJ$120,ROWS($A$10:$A10)+2,FALSE)</f>
        <v>9159</v>
      </c>
      <c r="DB10" s="34">
        <f>HLOOKUP(DB$7+0.5,$I$66:$DJ$120,ROWS($A$10:$A10)+2,FALSE)</f>
        <v>16805</v>
      </c>
      <c r="DC10" s="34">
        <f>HLOOKUP(DC$7+0.5,$I$66:$DJ$120,ROWS($A$10:$A10)+2,FALSE)</f>
        <v>7183</v>
      </c>
      <c r="DD10" s="34">
        <f>HLOOKUP(DD$7+0.5,$I$66:$DJ$120,ROWS($A$10:$A10)+2,FALSE)</f>
        <v>3009</v>
      </c>
      <c r="DE10" s="34">
        <f>HLOOKUP(DE$7+0.5,$I$66:$DJ$120,ROWS($A$10:$A10)+2,FALSE)</f>
        <v>11248</v>
      </c>
      <c r="DF10" s="34">
        <f>HLOOKUP(DF$7+0.5,$I$66:$DJ$120,ROWS($A$10:$A10)+2,FALSE)</f>
        <v>10010</v>
      </c>
      <c r="DG10" s="34">
        <f>HLOOKUP(DG$7+0.5,$I$66:$DJ$120,ROWS($A$10:$A10)+2,FALSE)</f>
        <v>5605</v>
      </c>
      <c r="DH10" s="34">
        <f>HLOOKUP(DH$7+0.5,$I$66:$DJ$120,ROWS($A$10:$A10)+2,FALSE)</f>
        <v>9166</v>
      </c>
      <c r="DI10" s="34">
        <f>HLOOKUP(DI$7+0.5,$I$66:$DJ$120,ROWS($A$10:$A10)+2,FALSE)</f>
        <v>3185</v>
      </c>
      <c r="DJ10" s="34">
        <f>HLOOKUP(DJ$7+0.5,$I$66:$DJ$120,ROWS($A$10:$A10)+2,FALSE)</f>
        <v>6923</v>
      </c>
    </row>
    <row r="11" spans="1:114" x14ac:dyDescent="0.25">
      <c r="B11" s="38" t="s">
        <v>7</v>
      </c>
      <c r="C11" s="16">
        <v>4729509</v>
      </c>
      <c r="D11" s="17">
        <v>3716</v>
      </c>
      <c r="E11" s="16">
        <v>3987155</v>
      </c>
      <c r="F11" s="17">
        <v>21708</v>
      </c>
      <c r="G11" s="16">
        <v>620465</v>
      </c>
      <c r="H11" s="17">
        <v>21448</v>
      </c>
      <c r="I11" s="36">
        <f>HLOOKUP(I$7,$I$66:$DJ$120,ROWS($A$10:$A11)+2,FALSE)</f>
        <v>108723</v>
      </c>
      <c r="J11" s="25" t="str">
        <f>HLOOKUP(J$7,$I$66:$DJ$120,ROWS($A$10:$A11)+2,FALSE)</f>
        <v>N/A</v>
      </c>
      <c r="K11" s="25">
        <f>HLOOKUP(K$7,$I$66:$DJ$120,ROWS($A$10:$A11)+2,FALSE)</f>
        <v>3013</v>
      </c>
      <c r="L11" s="25">
        <f>HLOOKUP(L$7,$I$66:$DJ$120,ROWS($A$10:$A11)+2,FALSE)</f>
        <v>676</v>
      </c>
      <c r="M11" s="25">
        <f>HLOOKUP(M$7,$I$66:$DJ$120,ROWS($A$10:$A11)+2,FALSE)</f>
        <v>1481</v>
      </c>
      <c r="N11" s="25">
        <f>HLOOKUP(N$7,$I$66:$DJ$120,ROWS($A$10:$A11)+2,FALSE)</f>
        <v>3827</v>
      </c>
      <c r="O11" s="25">
        <f>HLOOKUP(O$7,$I$66:$DJ$120,ROWS($A$10:$A11)+2,FALSE)</f>
        <v>1278</v>
      </c>
      <c r="P11" s="25">
        <f>HLOOKUP(P$7,$I$66:$DJ$120,ROWS($A$10:$A11)+2,FALSE)</f>
        <v>454</v>
      </c>
      <c r="Q11" s="25">
        <f>HLOOKUP(Q$7,$I$66:$DJ$120,ROWS($A$10:$A11)+2,FALSE)</f>
        <v>811</v>
      </c>
      <c r="R11" s="25">
        <f>HLOOKUP(R$7,$I$66:$DJ$120,ROWS($A$10:$A11)+2,FALSE)</f>
        <v>211</v>
      </c>
      <c r="S11" s="25">
        <f>HLOOKUP(S$7,$I$66:$DJ$120,ROWS($A$10:$A11)+2,FALSE)</f>
        <v>15062</v>
      </c>
      <c r="T11" s="25">
        <f>HLOOKUP(T$7,$I$66:$DJ$120,ROWS($A$10:$A11)+2,FALSE)</f>
        <v>21644</v>
      </c>
      <c r="U11" s="25">
        <f>HLOOKUP(U$7,$I$66:$DJ$120,ROWS($A$10:$A11)+2,FALSE)</f>
        <v>267</v>
      </c>
      <c r="V11" s="25">
        <f>HLOOKUP(V$7,$I$66:$DJ$120,ROWS($A$10:$A11)+2,FALSE)</f>
        <v>304</v>
      </c>
      <c r="W11" s="25">
        <f>HLOOKUP(W$7,$I$66:$DJ$120,ROWS($A$10:$A11)+2,FALSE)</f>
        <v>2503</v>
      </c>
      <c r="X11" s="25">
        <f>HLOOKUP(X$7,$I$66:$DJ$120,ROWS($A$10:$A11)+2,FALSE)</f>
        <v>3945</v>
      </c>
      <c r="Y11" s="25">
        <f>HLOOKUP(Y$7,$I$66:$DJ$120,ROWS($A$10:$A11)+2,FALSE)</f>
        <v>669</v>
      </c>
      <c r="Z11" s="25">
        <f>HLOOKUP(Z$7,$I$66:$DJ$120,ROWS($A$10:$A11)+2,FALSE)</f>
        <v>649</v>
      </c>
      <c r="AA11" s="25">
        <f>HLOOKUP(AA$7,$I$66:$DJ$120,ROWS($A$10:$A11)+2,FALSE)</f>
        <v>1967</v>
      </c>
      <c r="AB11" s="25">
        <f>HLOOKUP(AB$7,$I$66:$DJ$120,ROWS($A$10:$A11)+2,FALSE)</f>
        <v>1901</v>
      </c>
      <c r="AC11" s="25">
        <f>HLOOKUP(AC$7,$I$66:$DJ$120,ROWS($A$10:$A11)+2,FALSE)</f>
        <v>97</v>
      </c>
      <c r="AD11" s="25">
        <f>HLOOKUP(AD$7,$I$66:$DJ$120,ROWS($A$10:$A11)+2,FALSE)</f>
        <v>716</v>
      </c>
      <c r="AE11" s="25">
        <f>HLOOKUP(AE$7,$I$66:$DJ$120,ROWS($A$10:$A11)+2,FALSE)</f>
        <v>435</v>
      </c>
      <c r="AF11" s="25">
        <f>HLOOKUP(AF$7,$I$66:$DJ$120,ROWS($A$10:$A11)+2,FALSE)</f>
        <v>2334</v>
      </c>
      <c r="AG11" s="25">
        <f>HLOOKUP(AG$7,$I$66:$DJ$120,ROWS($A$10:$A11)+2,FALSE)</f>
        <v>386</v>
      </c>
      <c r="AH11" s="25">
        <f>HLOOKUP(AH$7,$I$66:$DJ$120,ROWS($A$10:$A11)+2,FALSE)</f>
        <v>7233</v>
      </c>
      <c r="AI11" s="25">
        <f>HLOOKUP(AI$7,$I$66:$DJ$120,ROWS($A$10:$A11)+2,FALSE)</f>
        <v>1373</v>
      </c>
      <c r="AJ11" s="25">
        <f>HLOOKUP(AJ$7,$I$66:$DJ$120,ROWS($A$10:$A11)+2,FALSE)</f>
        <v>229</v>
      </c>
      <c r="AK11" s="25">
        <f>HLOOKUP(AK$7,$I$66:$DJ$120,ROWS($A$10:$A11)+2,FALSE)</f>
        <v>169</v>
      </c>
      <c r="AL11" s="25">
        <f>HLOOKUP(AL$7,$I$66:$DJ$120,ROWS($A$10:$A11)+2,FALSE)</f>
        <v>265</v>
      </c>
      <c r="AM11" s="25">
        <f>HLOOKUP(AM$7,$I$66:$DJ$120,ROWS($A$10:$A11)+2,FALSE)</f>
        <v>0</v>
      </c>
      <c r="AN11" s="25">
        <f>HLOOKUP(AN$7,$I$66:$DJ$120,ROWS($A$10:$A11)+2,FALSE)</f>
        <v>356</v>
      </c>
      <c r="AO11" s="25">
        <f>HLOOKUP(AO$7,$I$66:$DJ$120,ROWS($A$10:$A11)+2,FALSE)</f>
        <v>650</v>
      </c>
      <c r="AP11" s="25">
        <f>HLOOKUP(AP$7,$I$66:$DJ$120,ROWS($A$10:$A11)+2,FALSE)</f>
        <v>3686</v>
      </c>
      <c r="AQ11" s="25">
        <f>HLOOKUP(AQ$7,$I$66:$DJ$120,ROWS($A$10:$A11)+2,FALSE)</f>
        <v>2371</v>
      </c>
      <c r="AR11" s="25">
        <f>HLOOKUP(AR$7,$I$66:$DJ$120,ROWS($A$10:$A11)+2,FALSE)</f>
        <v>169</v>
      </c>
      <c r="AS11" s="25">
        <f>HLOOKUP(AS$7,$I$66:$DJ$120,ROWS($A$10:$A11)+2,FALSE)</f>
        <v>2222</v>
      </c>
      <c r="AT11" s="25">
        <f>HLOOKUP(AT$7,$I$66:$DJ$120,ROWS($A$10:$A11)+2,FALSE)</f>
        <v>880</v>
      </c>
      <c r="AU11" s="25">
        <f>HLOOKUP(AU$7,$I$66:$DJ$120,ROWS($A$10:$A11)+2,FALSE)</f>
        <v>485</v>
      </c>
      <c r="AV11" s="25">
        <f>HLOOKUP(AV$7,$I$66:$DJ$120,ROWS($A$10:$A11)+2,FALSE)</f>
        <v>1477</v>
      </c>
      <c r="AW11" s="25">
        <f>HLOOKUP(AW$7,$I$66:$DJ$120,ROWS($A$10:$A11)+2,FALSE)</f>
        <v>0</v>
      </c>
      <c r="AX11" s="25">
        <f>HLOOKUP(AX$7,$I$66:$DJ$120,ROWS($A$10:$A11)+2,FALSE)</f>
        <v>2368</v>
      </c>
      <c r="AY11" s="25">
        <f>HLOOKUP(AY$7,$I$66:$DJ$120,ROWS($A$10:$A11)+2,FALSE)</f>
        <v>31</v>
      </c>
      <c r="AZ11" s="25">
        <f>HLOOKUP(AZ$7,$I$66:$DJ$120,ROWS($A$10:$A11)+2,FALSE)</f>
        <v>7409</v>
      </c>
      <c r="BA11" s="25">
        <f>HLOOKUP(BA$7,$I$66:$DJ$120,ROWS($A$10:$A11)+2,FALSE)</f>
        <v>6500</v>
      </c>
      <c r="BB11" s="25">
        <f>HLOOKUP(BB$7,$I$66:$DJ$120,ROWS($A$10:$A11)+2,FALSE)</f>
        <v>1336</v>
      </c>
      <c r="BC11" s="25">
        <f>HLOOKUP(BC$7,$I$66:$DJ$120,ROWS($A$10:$A11)+2,FALSE)</f>
        <v>0</v>
      </c>
      <c r="BD11" s="25">
        <f>HLOOKUP(BD$7,$I$66:$DJ$120,ROWS($A$10:$A11)+2,FALSE)</f>
        <v>2490</v>
      </c>
      <c r="BE11" s="25">
        <f>HLOOKUP(BE$7,$I$66:$DJ$120,ROWS($A$10:$A11)+2,FALSE)</f>
        <v>1171</v>
      </c>
      <c r="BF11" s="25">
        <f>HLOOKUP(BF$7,$I$66:$DJ$120,ROWS($A$10:$A11)+2,FALSE)</f>
        <v>41</v>
      </c>
      <c r="BG11" s="25">
        <f>HLOOKUP(BG$7,$I$66:$DJ$120,ROWS($A$10:$A11)+2,FALSE)</f>
        <v>1155</v>
      </c>
      <c r="BH11" s="25">
        <f>HLOOKUP(BH$7,$I$66:$DJ$120,ROWS($A$10:$A11)+2,FALSE)</f>
        <v>27</v>
      </c>
      <c r="BI11" s="25">
        <f>HLOOKUP(BI$7,$I$66:$DJ$120,ROWS($A$10:$A11)+2,FALSE)</f>
        <v>228</v>
      </c>
      <c r="BJ11" s="34">
        <f>HLOOKUP(BJ$7+0.5,$I$66:$DJ$120,ROWS($A$10:$A11)+2,FALSE)</f>
        <v>8781</v>
      </c>
      <c r="BK11" s="34" t="str">
        <f>HLOOKUP(BK$7+0.5,$I$66:$DJ$120,ROWS($A$10:$A11)+2,FALSE)</f>
        <v>N/A</v>
      </c>
      <c r="BL11" s="34">
        <f>HLOOKUP(BL$7+0.5,$I$66:$DJ$120,ROWS($A$10:$A11)+2,FALSE)</f>
        <v>1452</v>
      </c>
      <c r="BM11" s="34">
        <f>HLOOKUP(BM$7+0.5,$I$66:$DJ$120,ROWS($A$10:$A11)+2,FALSE)</f>
        <v>606</v>
      </c>
      <c r="BN11" s="34">
        <f>HLOOKUP(BN$7+0.5,$I$66:$DJ$120,ROWS($A$10:$A11)+2,FALSE)</f>
        <v>1038</v>
      </c>
      <c r="BO11" s="34">
        <f>HLOOKUP(BO$7+0.5,$I$66:$DJ$120,ROWS($A$10:$A11)+2,FALSE)</f>
        <v>1660</v>
      </c>
      <c r="BP11" s="34">
        <f>HLOOKUP(BP$7+0.5,$I$66:$DJ$120,ROWS($A$10:$A11)+2,FALSE)</f>
        <v>778</v>
      </c>
      <c r="BQ11" s="34">
        <f>HLOOKUP(BQ$7+0.5,$I$66:$DJ$120,ROWS($A$10:$A11)+2,FALSE)</f>
        <v>694</v>
      </c>
      <c r="BR11" s="34">
        <f>HLOOKUP(BR$7+0.5,$I$66:$DJ$120,ROWS($A$10:$A11)+2,FALSE)</f>
        <v>694</v>
      </c>
      <c r="BS11" s="34">
        <f>HLOOKUP(BS$7+0.5,$I$66:$DJ$120,ROWS($A$10:$A11)+2,FALSE)</f>
        <v>186</v>
      </c>
      <c r="BT11" s="34">
        <f>HLOOKUP(BT$7+0.5,$I$66:$DJ$120,ROWS($A$10:$A11)+2,FALSE)</f>
        <v>3138</v>
      </c>
      <c r="BU11" s="34">
        <f>HLOOKUP(BU$7+0.5,$I$66:$DJ$120,ROWS($A$10:$A11)+2,FALSE)</f>
        <v>3955</v>
      </c>
      <c r="BV11" s="34">
        <f>HLOOKUP(BV$7+0.5,$I$66:$DJ$120,ROWS($A$10:$A11)+2,FALSE)</f>
        <v>440</v>
      </c>
      <c r="BW11" s="34">
        <f>HLOOKUP(BW$7+0.5,$I$66:$DJ$120,ROWS($A$10:$A11)+2,FALSE)</f>
        <v>399</v>
      </c>
      <c r="BX11" s="34">
        <f>HLOOKUP(BX$7+0.5,$I$66:$DJ$120,ROWS($A$10:$A11)+2,FALSE)</f>
        <v>1224</v>
      </c>
      <c r="BY11" s="34">
        <f>HLOOKUP(BY$7+0.5,$I$66:$DJ$120,ROWS($A$10:$A11)+2,FALSE)</f>
        <v>1979</v>
      </c>
      <c r="BZ11" s="34">
        <f>HLOOKUP(BZ$7+0.5,$I$66:$DJ$120,ROWS($A$10:$A11)+2,FALSE)</f>
        <v>882</v>
      </c>
      <c r="CA11" s="34">
        <f>HLOOKUP(CA$7+0.5,$I$66:$DJ$120,ROWS($A$10:$A11)+2,FALSE)</f>
        <v>516</v>
      </c>
      <c r="CB11" s="34">
        <f>HLOOKUP(CB$7+0.5,$I$66:$DJ$120,ROWS($A$10:$A11)+2,FALSE)</f>
        <v>1192</v>
      </c>
      <c r="CC11" s="34">
        <f>HLOOKUP(CC$7+0.5,$I$66:$DJ$120,ROWS($A$10:$A11)+2,FALSE)</f>
        <v>868</v>
      </c>
      <c r="CD11" s="34">
        <f>HLOOKUP(CD$7+0.5,$I$66:$DJ$120,ROWS($A$10:$A11)+2,FALSE)</f>
        <v>158</v>
      </c>
      <c r="CE11" s="34">
        <f>HLOOKUP(CE$7+0.5,$I$66:$DJ$120,ROWS($A$10:$A11)+2,FALSE)</f>
        <v>458</v>
      </c>
      <c r="CF11" s="34">
        <f>HLOOKUP(CF$7+0.5,$I$66:$DJ$120,ROWS($A$10:$A11)+2,FALSE)</f>
        <v>396</v>
      </c>
      <c r="CG11" s="34">
        <f>HLOOKUP(CG$7+0.5,$I$66:$DJ$120,ROWS($A$10:$A11)+2,FALSE)</f>
        <v>1294</v>
      </c>
      <c r="CH11" s="34">
        <f>HLOOKUP(CH$7+0.5,$I$66:$DJ$120,ROWS($A$10:$A11)+2,FALSE)</f>
        <v>358</v>
      </c>
      <c r="CI11" s="34">
        <f>HLOOKUP(CI$7+0.5,$I$66:$DJ$120,ROWS($A$10:$A11)+2,FALSE)</f>
        <v>2367</v>
      </c>
      <c r="CJ11" s="34">
        <f>HLOOKUP(CJ$7+0.5,$I$66:$DJ$120,ROWS($A$10:$A11)+2,FALSE)</f>
        <v>1180</v>
      </c>
      <c r="CK11" s="34">
        <f>HLOOKUP(CK$7+0.5,$I$66:$DJ$120,ROWS($A$10:$A11)+2,FALSE)</f>
        <v>182</v>
      </c>
      <c r="CL11" s="34">
        <f>HLOOKUP(CL$7+0.5,$I$66:$DJ$120,ROWS($A$10:$A11)+2,FALSE)</f>
        <v>286</v>
      </c>
      <c r="CM11" s="34">
        <f>HLOOKUP(CM$7+0.5,$I$66:$DJ$120,ROWS($A$10:$A11)+2,FALSE)</f>
        <v>297</v>
      </c>
      <c r="CN11" s="34">
        <f>HLOOKUP(CN$7+0.5,$I$66:$DJ$120,ROWS($A$10:$A11)+2,FALSE)</f>
        <v>273</v>
      </c>
      <c r="CO11" s="34">
        <f>HLOOKUP(CO$7+0.5,$I$66:$DJ$120,ROWS($A$10:$A11)+2,FALSE)</f>
        <v>285</v>
      </c>
      <c r="CP11" s="34">
        <f>HLOOKUP(CP$7+0.5,$I$66:$DJ$120,ROWS($A$10:$A11)+2,FALSE)</f>
        <v>749</v>
      </c>
      <c r="CQ11" s="34">
        <f>HLOOKUP(CQ$7+0.5,$I$66:$DJ$120,ROWS($A$10:$A11)+2,FALSE)</f>
        <v>2920</v>
      </c>
      <c r="CR11" s="34">
        <f>HLOOKUP(CR$7+0.5,$I$66:$DJ$120,ROWS($A$10:$A11)+2,FALSE)</f>
        <v>945</v>
      </c>
      <c r="CS11" s="34">
        <f>HLOOKUP(CS$7+0.5,$I$66:$DJ$120,ROWS($A$10:$A11)+2,FALSE)</f>
        <v>213</v>
      </c>
      <c r="CT11" s="34">
        <f>HLOOKUP(CT$7+0.5,$I$66:$DJ$120,ROWS($A$10:$A11)+2,FALSE)</f>
        <v>931</v>
      </c>
      <c r="CU11" s="34">
        <f>HLOOKUP(CU$7+0.5,$I$66:$DJ$120,ROWS($A$10:$A11)+2,FALSE)</f>
        <v>609</v>
      </c>
      <c r="CV11" s="34">
        <f>HLOOKUP(CV$7+0.5,$I$66:$DJ$120,ROWS($A$10:$A11)+2,FALSE)</f>
        <v>435</v>
      </c>
      <c r="CW11" s="34">
        <f>HLOOKUP(CW$7+0.5,$I$66:$DJ$120,ROWS($A$10:$A11)+2,FALSE)</f>
        <v>696</v>
      </c>
      <c r="CX11" s="34">
        <f>HLOOKUP(CX$7+0.5,$I$66:$DJ$120,ROWS($A$10:$A11)+2,FALSE)</f>
        <v>273</v>
      </c>
      <c r="CY11" s="34">
        <f>HLOOKUP(CY$7+0.5,$I$66:$DJ$120,ROWS($A$10:$A11)+2,FALSE)</f>
        <v>1142</v>
      </c>
      <c r="CZ11" s="34">
        <f>HLOOKUP(CZ$7+0.5,$I$66:$DJ$120,ROWS($A$10:$A11)+2,FALSE)</f>
        <v>62</v>
      </c>
      <c r="DA11" s="34">
        <f>HLOOKUP(DA$7+0.5,$I$66:$DJ$120,ROWS($A$10:$A11)+2,FALSE)</f>
        <v>1926</v>
      </c>
      <c r="DB11" s="34">
        <f>HLOOKUP(DB$7+0.5,$I$66:$DJ$120,ROWS($A$10:$A11)+2,FALSE)</f>
        <v>2016</v>
      </c>
      <c r="DC11" s="34">
        <f>HLOOKUP(DC$7+0.5,$I$66:$DJ$120,ROWS($A$10:$A11)+2,FALSE)</f>
        <v>1129</v>
      </c>
      <c r="DD11" s="34">
        <f>HLOOKUP(DD$7+0.5,$I$66:$DJ$120,ROWS($A$10:$A11)+2,FALSE)</f>
        <v>273</v>
      </c>
      <c r="DE11" s="34">
        <f>HLOOKUP(DE$7+0.5,$I$66:$DJ$120,ROWS($A$10:$A11)+2,FALSE)</f>
        <v>1026</v>
      </c>
      <c r="DF11" s="34">
        <f>HLOOKUP(DF$7+0.5,$I$66:$DJ$120,ROWS($A$10:$A11)+2,FALSE)</f>
        <v>756</v>
      </c>
      <c r="DG11" s="34">
        <f>HLOOKUP(DG$7+0.5,$I$66:$DJ$120,ROWS($A$10:$A11)+2,FALSE)</f>
        <v>73</v>
      </c>
      <c r="DH11" s="34">
        <f>HLOOKUP(DH$7+0.5,$I$66:$DJ$120,ROWS($A$10:$A11)+2,FALSE)</f>
        <v>895</v>
      </c>
      <c r="DI11" s="34">
        <f>HLOOKUP(DI$7+0.5,$I$66:$DJ$120,ROWS($A$10:$A11)+2,FALSE)</f>
        <v>52</v>
      </c>
      <c r="DJ11" s="34">
        <f>HLOOKUP(DJ$7+0.5,$I$66:$DJ$120,ROWS($A$10:$A11)+2,FALSE)</f>
        <v>265</v>
      </c>
    </row>
    <row r="12" spans="1:114" x14ac:dyDescent="0.25">
      <c r="B12" s="38" t="s">
        <v>8</v>
      </c>
      <c r="C12" s="16">
        <v>702974</v>
      </c>
      <c r="D12" s="17">
        <v>1600</v>
      </c>
      <c r="E12" s="16">
        <v>565031</v>
      </c>
      <c r="F12" s="17">
        <v>7596</v>
      </c>
      <c r="G12" s="16">
        <v>95878</v>
      </c>
      <c r="H12" s="17">
        <v>7984</v>
      </c>
      <c r="I12" s="36">
        <f>HLOOKUP(I$7,$I$66:$DJ$120,ROWS($A$10:$A12)+2,FALSE)</f>
        <v>36326</v>
      </c>
      <c r="J12" s="25">
        <f>HLOOKUP(J$7,$I$66:$DJ$120,ROWS($A$10:$A12)+2,FALSE)</f>
        <v>477</v>
      </c>
      <c r="K12" s="25" t="str">
        <f>HLOOKUP(K$7,$I$66:$DJ$120,ROWS($A$10:$A12)+2,FALSE)</f>
        <v>N/A</v>
      </c>
      <c r="L12" s="25">
        <f>HLOOKUP(L$7,$I$66:$DJ$120,ROWS($A$10:$A12)+2,FALSE)</f>
        <v>1354</v>
      </c>
      <c r="M12" s="25">
        <f>HLOOKUP(M$7,$I$66:$DJ$120,ROWS($A$10:$A12)+2,FALSE)</f>
        <v>47</v>
      </c>
      <c r="N12" s="25">
        <f>HLOOKUP(N$7,$I$66:$DJ$120,ROWS($A$10:$A12)+2,FALSE)</f>
        <v>3906</v>
      </c>
      <c r="O12" s="25">
        <f>HLOOKUP(O$7,$I$66:$DJ$120,ROWS($A$10:$A12)+2,FALSE)</f>
        <v>1930</v>
      </c>
      <c r="P12" s="25">
        <f>HLOOKUP(P$7,$I$66:$DJ$120,ROWS($A$10:$A12)+2,FALSE)</f>
        <v>0</v>
      </c>
      <c r="Q12" s="25">
        <f>HLOOKUP(Q$7,$I$66:$DJ$120,ROWS($A$10:$A12)+2,FALSE)</f>
        <v>0</v>
      </c>
      <c r="R12" s="25">
        <f>HLOOKUP(R$7,$I$66:$DJ$120,ROWS($A$10:$A12)+2,FALSE)</f>
        <v>14</v>
      </c>
      <c r="S12" s="25">
        <f>HLOOKUP(S$7,$I$66:$DJ$120,ROWS($A$10:$A12)+2,FALSE)</f>
        <v>2315</v>
      </c>
      <c r="T12" s="25">
        <f>HLOOKUP(T$7,$I$66:$DJ$120,ROWS($A$10:$A12)+2,FALSE)</f>
        <v>1251</v>
      </c>
      <c r="U12" s="25">
        <f>HLOOKUP(U$7,$I$66:$DJ$120,ROWS($A$10:$A12)+2,FALSE)</f>
        <v>1705</v>
      </c>
      <c r="V12" s="25">
        <f>HLOOKUP(V$7,$I$66:$DJ$120,ROWS($A$10:$A12)+2,FALSE)</f>
        <v>895</v>
      </c>
      <c r="W12" s="25">
        <f>HLOOKUP(W$7,$I$66:$DJ$120,ROWS($A$10:$A12)+2,FALSE)</f>
        <v>388</v>
      </c>
      <c r="X12" s="25">
        <f>HLOOKUP(X$7,$I$66:$DJ$120,ROWS($A$10:$A12)+2,FALSE)</f>
        <v>9</v>
      </c>
      <c r="Y12" s="25">
        <f>HLOOKUP(Y$7,$I$66:$DJ$120,ROWS($A$10:$A12)+2,FALSE)</f>
        <v>262</v>
      </c>
      <c r="Z12" s="25">
        <f>HLOOKUP(Z$7,$I$66:$DJ$120,ROWS($A$10:$A12)+2,FALSE)</f>
        <v>106</v>
      </c>
      <c r="AA12" s="25">
        <f>HLOOKUP(AA$7,$I$66:$DJ$120,ROWS($A$10:$A12)+2,FALSE)</f>
        <v>1440</v>
      </c>
      <c r="AB12" s="25">
        <f>HLOOKUP(AB$7,$I$66:$DJ$120,ROWS($A$10:$A12)+2,FALSE)</f>
        <v>100</v>
      </c>
      <c r="AC12" s="25">
        <f>HLOOKUP(AC$7,$I$66:$DJ$120,ROWS($A$10:$A12)+2,FALSE)</f>
        <v>574</v>
      </c>
      <c r="AD12" s="25">
        <f>HLOOKUP(AD$7,$I$66:$DJ$120,ROWS($A$10:$A12)+2,FALSE)</f>
        <v>704</v>
      </c>
      <c r="AE12" s="25">
        <f>HLOOKUP(AE$7,$I$66:$DJ$120,ROWS($A$10:$A12)+2,FALSE)</f>
        <v>107</v>
      </c>
      <c r="AF12" s="25">
        <f>HLOOKUP(AF$7,$I$66:$DJ$120,ROWS($A$10:$A12)+2,FALSE)</f>
        <v>923</v>
      </c>
      <c r="AG12" s="25">
        <f>HLOOKUP(AG$7,$I$66:$DJ$120,ROWS($A$10:$A12)+2,FALSE)</f>
        <v>530</v>
      </c>
      <c r="AH12" s="25">
        <f>HLOOKUP(AH$7,$I$66:$DJ$120,ROWS($A$10:$A12)+2,FALSE)</f>
        <v>263</v>
      </c>
      <c r="AI12" s="25">
        <f>HLOOKUP(AI$7,$I$66:$DJ$120,ROWS($A$10:$A12)+2,FALSE)</f>
        <v>0</v>
      </c>
      <c r="AJ12" s="25">
        <f>HLOOKUP(AJ$7,$I$66:$DJ$120,ROWS($A$10:$A12)+2,FALSE)</f>
        <v>616</v>
      </c>
      <c r="AK12" s="25">
        <f>HLOOKUP(AK$7,$I$66:$DJ$120,ROWS($A$10:$A12)+2,FALSE)</f>
        <v>215</v>
      </c>
      <c r="AL12" s="25">
        <f>HLOOKUP(AL$7,$I$66:$DJ$120,ROWS($A$10:$A12)+2,FALSE)</f>
        <v>240</v>
      </c>
      <c r="AM12" s="25">
        <f>HLOOKUP(AM$7,$I$66:$DJ$120,ROWS($A$10:$A12)+2,FALSE)</f>
        <v>316</v>
      </c>
      <c r="AN12" s="25">
        <f>HLOOKUP(AN$7,$I$66:$DJ$120,ROWS($A$10:$A12)+2,FALSE)</f>
        <v>413</v>
      </c>
      <c r="AO12" s="25">
        <f>HLOOKUP(AO$7,$I$66:$DJ$120,ROWS($A$10:$A12)+2,FALSE)</f>
        <v>421</v>
      </c>
      <c r="AP12" s="25">
        <f>HLOOKUP(AP$7,$I$66:$DJ$120,ROWS($A$10:$A12)+2,FALSE)</f>
        <v>255</v>
      </c>
      <c r="AQ12" s="25">
        <f>HLOOKUP(AQ$7,$I$66:$DJ$120,ROWS($A$10:$A12)+2,FALSE)</f>
        <v>698</v>
      </c>
      <c r="AR12" s="25">
        <f>HLOOKUP(AR$7,$I$66:$DJ$120,ROWS($A$10:$A12)+2,FALSE)</f>
        <v>69</v>
      </c>
      <c r="AS12" s="25">
        <f>HLOOKUP(AS$7,$I$66:$DJ$120,ROWS($A$10:$A12)+2,FALSE)</f>
        <v>156</v>
      </c>
      <c r="AT12" s="25">
        <f>HLOOKUP(AT$7,$I$66:$DJ$120,ROWS($A$10:$A12)+2,FALSE)</f>
        <v>1455</v>
      </c>
      <c r="AU12" s="25">
        <f>HLOOKUP(AU$7,$I$66:$DJ$120,ROWS($A$10:$A12)+2,FALSE)</f>
        <v>1793</v>
      </c>
      <c r="AV12" s="25">
        <f>HLOOKUP(AV$7,$I$66:$DJ$120,ROWS($A$10:$A12)+2,FALSE)</f>
        <v>126</v>
      </c>
      <c r="AW12" s="25">
        <f>HLOOKUP(AW$7,$I$66:$DJ$120,ROWS($A$10:$A12)+2,FALSE)</f>
        <v>0</v>
      </c>
      <c r="AX12" s="25">
        <f>HLOOKUP(AX$7,$I$66:$DJ$120,ROWS($A$10:$A12)+2,FALSE)</f>
        <v>121</v>
      </c>
      <c r="AY12" s="25">
        <f>HLOOKUP(AY$7,$I$66:$DJ$120,ROWS($A$10:$A12)+2,FALSE)</f>
        <v>531</v>
      </c>
      <c r="AZ12" s="25">
        <f>HLOOKUP(AZ$7,$I$66:$DJ$120,ROWS($A$10:$A12)+2,FALSE)</f>
        <v>477</v>
      </c>
      <c r="BA12" s="25">
        <f>HLOOKUP(BA$7,$I$66:$DJ$120,ROWS($A$10:$A12)+2,FALSE)</f>
        <v>4123</v>
      </c>
      <c r="BB12" s="25">
        <f>HLOOKUP(BB$7,$I$66:$DJ$120,ROWS($A$10:$A12)+2,FALSE)</f>
        <v>1274</v>
      </c>
      <c r="BC12" s="25">
        <f>HLOOKUP(BC$7,$I$66:$DJ$120,ROWS($A$10:$A12)+2,FALSE)</f>
        <v>353</v>
      </c>
      <c r="BD12" s="25">
        <f>HLOOKUP(BD$7,$I$66:$DJ$120,ROWS($A$10:$A12)+2,FALSE)</f>
        <v>714</v>
      </c>
      <c r="BE12" s="25">
        <f>HLOOKUP(BE$7,$I$66:$DJ$120,ROWS($A$10:$A12)+2,FALSE)</f>
        <v>2421</v>
      </c>
      <c r="BF12" s="25">
        <f>HLOOKUP(BF$7,$I$66:$DJ$120,ROWS($A$10:$A12)+2,FALSE)</f>
        <v>0</v>
      </c>
      <c r="BG12" s="25">
        <f>HLOOKUP(BG$7,$I$66:$DJ$120,ROWS($A$10:$A12)+2,FALSE)</f>
        <v>158</v>
      </c>
      <c r="BH12" s="25">
        <f>HLOOKUP(BH$7,$I$66:$DJ$120,ROWS($A$10:$A12)+2,FALSE)</f>
        <v>81</v>
      </c>
      <c r="BI12" s="25">
        <f>HLOOKUP(BI$7,$I$66:$DJ$120,ROWS($A$10:$A12)+2,FALSE)</f>
        <v>19</v>
      </c>
      <c r="BJ12" s="34">
        <f>HLOOKUP(BJ$7+0.5,$I$66:$DJ$120,ROWS($A$10:$A12)+2,FALSE)</f>
        <v>3708</v>
      </c>
      <c r="BK12" s="34">
        <f>HLOOKUP(BK$7+0.5,$I$66:$DJ$120,ROWS($A$10:$A12)+2,FALSE)</f>
        <v>790</v>
      </c>
      <c r="BL12" s="34" t="str">
        <f>HLOOKUP(BL$7+0.5,$I$66:$DJ$120,ROWS($A$10:$A12)+2,FALSE)</f>
        <v>N/A</v>
      </c>
      <c r="BM12" s="34">
        <f>HLOOKUP(BM$7+0.5,$I$66:$DJ$120,ROWS($A$10:$A12)+2,FALSE)</f>
        <v>805</v>
      </c>
      <c r="BN12" s="34">
        <f>HLOOKUP(BN$7+0.5,$I$66:$DJ$120,ROWS($A$10:$A12)+2,FALSE)</f>
        <v>78</v>
      </c>
      <c r="BO12" s="34">
        <f>HLOOKUP(BO$7+0.5,$I$66:$DJ$120,ROWS($A$10:$A12)+2,FALSE)</f>
        <v>1041</v>
      </c>
      <c r="BP12" s="34">
        <f>HLOOKUP(BP$7+0.5,$I$66:$DJ$120,ROWS($A$10:$A12)+2,FALSE)</f>
        <v>866</v>
      </c>
      <c r="BQ12" s="34">
        <f>HLOOKUP(BQ$7+0.5,$I$66:$DJ$120,ROWS($A$10:$A12)+2,FALSE)</f>
        <v>246</v>
      </c>
      <c r="BR12" s="34">
        <f>HLOOKUP(BR$7+0.5,$I$66:$DJ$120,ROWS($A$10:$A12)+2,FALSE)</f>
        <v>246</v>
      </c>
      <c r="BS12" s="34">
        <f>HLOOKUP(BS$7+0.5,$I$66:$DJ$120,ROWS($A$10:$A12)+2,FALSE)</f>
        <v>23</v>
      </c>
      <c r="BT12" s="34">
        <f>HLOOKUP(BT$7+0.5,$I$66:$DJ$120,ROWS($A$10:$A12)+2,FALSE)</f>
        <v>1026</v>
      </c>
      <c r="BU12" s="34">
        <f>HLOOKUP(BU$7+0.5,$I$66:$DJ$120,ROWS($A$10:$A12)+2,FALSE)</f>
        <v>902</v>
      </c>
      <c r="BV12" s="34">
        <f>HLOOKUP(BV$7+0.5,$I$66:$DJ$120,ROWS($A$10:$A12)+2,FALSE)</f>
        <v>1289</v>
      </c>
      <c r="BW12" s="34">
        <f>HLOOKUP(BW$7+0.5,$I$66:$DJ$120,ROWS($A$10:$A12)+2,FALSE)</f>
        <v>524</v>
      </c>
      <c r="BX12" s="34">
        <f>HLOOKUP(BX$7+0.5,$I$66:$DJ$120,ROWS($A$10:$A12)+2,FALSE)</f>
        <v>293</v>
      </c>
      <c r="BY12" s="34">
        <f>HLOOKUP(BY$7+0.5,$I$66:$DJ$120,ROWS($A$10:$A12)+2,FALSE)</f>
        <v>24</v>
      </c>
      <c r="BZ12" s="34">
        <f>HLOOKUP(BZ$7+0.5,$I$66:$DJ$120,ROWS($A$10:$A12)+2,FALSE)</f>
        <v>349</v>
      </c>
      <c r="CA12" s="34">
        <f>HLOOKUP(CA$7+0.5,$I$66:$DJ$120,ROWS($A$10:$A12)+2,FALSE)</f>
        <v>107</v>
      </c>
      <c r="CB12" s="34">
        <f>HLOOKUP(CB$7+0.5,$I$66:$DJ$120,ROWS($A$10:$A12)+2,FALSE)</f>
        <v>1506</v>
      </c>
      <c r="CC12" s="34">
        <f>HLOOKUP(CC$7+0.5,$I$66:$DJ$120,ROWS($A$10:$A12)+2,FALSE)</f>
        <v>171</v>
      </c>
      <c r="CD12" s="34">
        <f>HLOOKUP(CD$7+0.5,$I$66:$DJ$120,ROWS($A$10:$A12)+2,FALSE)</f>
        <v>655</v>
      </c>
      <c r="CE12" s="34">
        <f>HLOOKUP(CE$7+0.5,$I$66:$DJ$120,ROWS($A$10:$A12)+2,FALSE)</f>
        <v>460</v>
      </c>
      <c r="CF12" s="34">
        <f>HLOOKUP(CF$7+0.5,$I$66:$DJ$120,ROWS($A$10:$A12)+2,FALSE)</f>
        <v>183</v>
      </c>
      <c r="CG12" s="34">
        <f>HLOOKUP(CG$7+0.5,$I$66:$DJ$120,ROWS($A$10:$A12)+2,FALSE)</f>
        <v>814</v>
      </c>
      <c r="CH12" s="34">
        <f>HLOOKUP(CH$7+0.5,$I$66:$DJ$120,ROWS($A$10:$A12)+2,FALSE)</f>
        <v>409</v>
      </c>
      <c r="CI12" s="34">
        <f>HLOOKUP(CI$7+0.5,$I$66:$DJ$120,ROWS($A$10:$A12)+2,FALSE)</f>
        <v>386</v>
      </c>
      <c r="CJ12" s="34">
        <f>HLOOKUP(CJ$7+0.5,$I$66:$DJ$120,ROWS($A$10:$A12)+2,FALSE)</f>
        <v>246</v>
      </c>
      <c r="CK12" s="34">
        <f>HLOOKUP(CK$7+0.5,$I$66:$DJ$120,ROWS($A$10:$A12)+2,FALSE)</f>
        <v>507</v>
      </c>
      <c r="CL12" s="34">
        <f>HLOOKUP(CL$7+0.5,$I$66:$DJ$120,ROWS($A$10:$A12)+2,FALSE)</f>
        <v>259</v>
      </c>
      <c r="CM12" s="34">
        <f>HLOOKUP(CM$7+0.5,$I$66:$DJ$120,ROWS($A$10:$A12)+2,FALSE)</f>
        <v>247</v>
      </c>
      <c r="CN12" s="34">
        <f>HLOOKUP(CN$7+0.5,$I$66:$DJ$120,ROWS($A$10:$A12)+2,FALSE)</f>
        <v>368</v>
      </c>
      <c r="CO12" s="34">
        <f>HLOOKUP(CO$7+0.5,$I$66:$DJ$120,ROWS($A$10:$A12)+2,FALSE)</f>
        <v>501</v>
      </c>
      <c r="CP12" s="34">
        <f>HLOOKUP(CP$7+0.5,$I$66:$DJ$120,ROWS($A$10:$A12)+2,FALSE)</f>
        <v>446</v>
      </c>
      <c r="CQ12" s="34">
        <f>HLOOKUP(CQ$7+0.5,$I$66:$DJ$120,ROWS($A$10:$A12)+2,FALSE)</f>
        <v>206</v>
      </c>
      <c r="CR12" s="34">
        <f>HLOOKUP(CR$7+0.5,$I$66:$DJ$120,ROWS($A$10:$A12)+2,FALSE)</f>
        <v>587</v>
      </c>
      <c r="CS12" s="34">
        <f>HLOOKUP(CS$7+0.5,$I$66:$DJ$120,ROWS($A$10:$A12)+2,FALSE)</f>
        <v>89</v>
      </c>
      <c r="CT12" s="34">
        <f>HLOOKUP(CT$7+0.5,$I$66:$DJ$120,ROWS($A$10:$A12)+2,FALSE)</f>
        <v>213</v>
      </c>
      <c r="CU12" s="34">
        <f>HLOOKUP(CU$7+0.5,$I$66:$DJ$120,ROWS($A$10:$A12)+2,FALSE)</f>
        <v>971</v>
      </c>
      <c r="CV12" s="34">
        <f>HLOOKUP(CV$7+0.5,$I$66:$DJ$120,ROWS($A$10:$A12)+2,FALSE)</f>
        <v>1104</v>
      </c>
      <c r="CW12" s="34">
        <f>HLOOKUP(CW$7+0.5,$I$66:$DJ$120,ROWS($A$10:$A12)+2,FALSE)</f>
        <v>164</v>
      </c>
      <c r="CX12" s="34">
        <f>HLOOKUP(CX$7+0.5,$I$66:$DJ$120,ROWS($A$10:$A12)+2,FALSE)</f>
        <v>246</v>
      </c>
      <c r="CY12" s="34">
        <f>HLOOKUP(CY$7+0.5,$I$66:$DJ$120,ROWS($A$10:$A12)+2,FALSE)</f>
        <v>153</v>
      </c>
      <c r="CZ12" s="34">
        <f>HLOOKUP(CZ$7+0.5,$I$66:$DJ$120,ROWS($A$10:$A12)+2,FALSE)</f>
        <v>817</v>
      </c>
      <c r="DA12" s="34">
        <f>HLOOKUP(DA$7+0.5,$I$66:$DJ$120,ROWS($A$10:$A12)+2,FALSE)</f>
        <v>341</v>
      </c>
      <c r="DB12" s="34">
        <f>HLOOKUP(DB$7+0.5,$I$66:$DJ$120,ROWS($A$10:$A12)+2,FALSE)</f>
        <v>1774</v>
      </c>
      <c r="DC12" s="34">
        <f>HLOOKUP(DC$7+0.5,$I$66:$DJ$120,ROWS($A$10:$A12)+2,FALSE)</f>
        <v>926</v>
      </c>
      <c r="DD12" s="34">
        <f>HLOOKUP(DD$7+0.5,$I$66:$DJ$120,ROWS($A$10:$A12)+2,FALSE)</f>
        <v>429</v>
      </c>
      <c r="DE12" s="34">
        <f>HLOOKUP(DE$7+0.5,$I$66:$DJ$120,ROWS($A$10:$A12)+2,FALSE)</f>
        <v>681</v>
      </c>
      <c r="DF12" s="34">
        <f>HLOOKUP(DF$7+0.5,$I$66:$DJ$120,ROWS($A$10:$A12)+2,FALSE)</f>
        <v>790</v>
      </c>
      <c r="DG12" s="34">
        <f>HLOOKUP(DG$7+0.5,$I$66:$DJ$120,ROWS($A$10:$A12)+2,FALSE)</f>
        <v>246</v>
      </c>
      <c r="DH12" s="34">
        <f>HLOOKUP(DH$7+0.5,$I$66:$DJ$120,ROWS($A$10:$A12)+2,FALSE)</f>
        <v>198</v>
      </c>
      <c r="DI12" s="34">
        <f>HLOOKUP(DI$7+0.5,$I$66:$DJ$120,ROWS($A$10:$A12)+2,FALSE)</f>
        <v>131</v>
      </c>
      <c r="DJ12" s="34">
        <f>HLOOKUP(DJ$7+0.5,$I$66:$DJ$120,ROWS($A$10:$A12)+2,FALSE)</f>
        <v>30</v>
      </c>
    </row>
    <row r="13" spans="1:114" x14ac:dyDescent="0.25">
      <c r="B13" s="38" t="s">
        <v>9</v>
      </c>
      <c r="C13" s="16">
        <v>6332786</v>
      </c>
      <c r="D13" s="17">
        <v>4439</v>
      </c>
      <c r="E13" s="16">
        <v>5069002</v>
      </c>
      <c r="F13" s="17">
        <v>35057</v>
      </c>
      <c r="G13" s="16">
        <v>1001991</v>
      </c>
      <c r="H13" s="17">
        <v>32027</v>
      </c>
      <c r="I13" s="36">
        <f>HLOOKUP(I$7,$I$66:$DJ$120,ROWS($A$10:$A13)+2,FALSE)</f>
        <v>222725</v>
      </c>
      <c r="J13" s="25">
        <f>HLOOKUP(J$7,$I$66:$DJ$120,ROWS($A$10:$A13)+2,FALSE)</f>
        <v>416</v>
      </c>
      <c r="K13" s="25">
        <f>HLOOKUP(K$7,$I$66:$DJ$120,ROWS($A$10:$A13)+2,FALSE)</f>
        <v>3109</v>
      </c>
      <c r="L13" s="25" t="str">
        <f>HLOOKUP(L$7,$I$66:$DJ$120,ROWS($A$10:$A13)+2,FALSE)</f>
        <v>N/A</v>
      </c>
      <c r="M13" s="25">
        <f>HLOOKUP(M$7,$I$66:$DJ$120,ROWS($A$10:$A13)+2,FALSE)</f>
        <v>689</v>
      </c>
      <c r="N13" s="25">
        <f>HLOOKUP(N$7,$I$66:$DJ$120,ROWS($A$10:$A13)+2,FALSE)</f>
        <v>47164</v>
      </c>
      <c r="O13" s="25">
        <f>HLOOKUP(O$7,$I$66:$DJ$120,ROWS($A$10:$A13)+2,FALSE)</f>
        <v>7687</v>
      </c>
      <c r="P13" s="25">
        <f>HLOOKUP(P$7,$I$66:$DJ$120,ROWS($A$10:$A13)+2,FALSE)</f>
        <v>479</v>
      </c>
      <c r="Q13" s="25">
        <f>HLOOKUP(Q$7,$I$66:$DJ$120,ROWS($A$10:$A13)+2,FALSE)</f>
        <v>738</v>
      </c>
      <c r="R13" s="25">
        <f>HLOOKUP(R$7,$I$66:$DJ$120,ROWS($A$10:$A13)+2,FALSE)</f>
        <v>0</v>
      </c>
      <c r="S13" s="25">
        <f>HLOOKUP(S$7,$I$66:$DJ$120,ROWS($A$10:$A13)+2,FALSE)</f>
        <v>7712</v>
      </c>
      <c r="T13" s="25">
        <f>HLOOKUP(T$7,$I$66:$DJ$120,ROWS($A$10:$A13)+2,FALSE)</f>
        <v>4261</v>
      </c>
      <c r="U13" s="25">
        <f>HLOOKUP(U$7,$I$66:$DJ$120,ROWS($A$10:$A13)+2,FALSE)</f>
        <v>1966</v>
      </c>
      <c r="V13" s="25">
        <f>HLOOKUP(V$7,$I$66:$DJ$120,ROWS($A$10:$A13)+2,FALSE)</f>
        <v>2147</v>
      </c>
      <c r="W13" s="25">
        <f>HLOOKUP(W$7,$I$66:$DJ$120,ROWS($A$10:$A13)+2,FALSE)</f>
        <v>12250</v>
      </c>
      <c r="X13" s="25">
        <f>HLOOKUP(X$7,$I$66:$DJ$120,ROWS($A$10:$A13)+2,FALSE)</f>
        <v>2690</v>
      </c>
      <c r="Y13" s="25">
        <f>HLOOKUP(Y$7,$I$66:$DJ$120,ROWS($A$10:$A13)+2,FALSE)</f>
        <v>3008</v>
      </c>
      <c r="Z13" s="25">
        <f>HLOOKUP(Z$7,$I$66:$DJ$120,ROWS($A$10:$A13)+2,FALSE)</f>
        <v>1935</v>
      </c>
      <c r="AA13" s="25">
        <f>HLOOKUP(AA$7,$I$66:$DJ$120,ROWS($A$10:$A13)+2,FALSE)</f>
        <v>1705</v>
      </c>
      <c r="AB13" s="25">
        <f>HLOOKUP(AB$7,$I$66:$DJ$120,ROWS($A$10:$A13)+2,FALSE)</f>
        <v>2014</v>
      </c>
      <c r="AC13" s="25">
        <f>HLOOKUP(AC$7,$I$66:$DJ$120,ROWS($A$10:$A13)+2,FALSE)</f>
        <v>241</v>
      </c>
      <c r="AD13" s="25">
        <f>HLOOKUP(AD$7,$I$66:$DJ$120,ROWS($A$10:$A13)+2,FALSE)</f>
        <v>1284</v>
      </c>
      <c r="AE13" s="25">
        <f>HLOOKUP(AE$7,$I$66:$DJ$120,ROWS($A$10:$A13)+2,FALSE)</f>
        <v>1449</v>
      </c>
      <c r="AF13" s="25">
        <f>HLOOKUP(AF$7,$I$66:$DJ$120,ROWS($A$10:$A13)+2,FALSE)</f>
        <v>6354</v>
      </c>
      <c r="AG13" s="25">
        <f>HLOOKUP(AG$7,$I$66:$DJ$120,ROWS($A$10:$A13)+2,FALSE)</f>
        <v>5421</v>
      </c>
      <c r="AH13" s="25">
        <f>HLOOKUP(AH$7,$I$66:$DJ$120,ROWS($A$10:$A13)+2,FALSE)</f>
        <v>272</v>
      </c>
      <c r="AI13" s="25">
        <f>HLOOKUP(AI$7,$I$66:$DJ$120,ROWS($A$10:$A13)+2,FALSE)</f>
        <v>4567</v>
      </c>
      <c r="AJ13" s="25">
        <f>HLOOKUP(AJ$7,$I$66:$DJ$120,ROWS($A$10:$A13)+2,FALSE)</f>
        <v>1343</v>
      </c>
      <c r="AK13" s="25">
        <f>HLOOKUP(AK$7,$I$66:$DJ$120,ROWS($A$10:$A13)+2,FALSE)</f>
        <v>1750</v>
      </c>
      <c r="AL13" s="25">
        <f>HLOOKUP(AL$7,$I$66:$DJ$120,ROWS($A$10:$A13)+2,FALSE)</f>
        <v>10342</v>
      </c>
      <c r="AM13" s="25">
        <f>HLOOKUP(AM$7,$I$66:$DJ$120,ROWS($A$10:$A13)+2,FALSE)</f>
        <v>64</v>
      </c>
      <c r="AN13" s="25">
        <f>HLOOKUP(AN$7,$I$66:$DJ$120,ROWS($A$10:$A13)+2,FALSE)</f>
        <v>1782</v>
      </c>
      <c r="AO13" s="25">
        <f>HLOOKUP(AO$7,$I$66:$DJ$120,ROWS($A$10:$A13)+2,FALSE)</f>
        <v>4419</v>
      </c>
      <c r="AP13" s="25">
        <f>HLOOKUP(AP$7,$I$66:$DJ$120,ROWS($A$10:$A13)+2,FALSE)</f>
        <v>6618</v>
      </c>
      <c r="AQ13" s="25">
        <f>HLOOKUP(AQ$7,$I$66:$DJ$120,ROWS($A$10:$A13)+2,FALSE)</f>
        <v>4463</v>
      </c>
      <c r="AR13" s="25">
        <f>HLOOKUP(AR$7,$I$66:$DJ$120,ROWS($A$10:$A13)+2,FALSE)</f>
        <v>826</v>
      </c>
      <c r="AS13" s="25">
        <f>HLOOKUP(AS$7,$I$66:$DJ$120,ROWS($A$10:$A13)+2,FALSE)</f>
        <v>5225</v>
      </c>
      <c r="AT13" s="25">
        <f>HLOOKUP(AT$7,$I$66:$DJ$120,ROWS($A$10:$A13)+2,FALSE)</f>
        <v>2910</v>
      </c>
      <c r="AU13" s="25">
        <f>HLOOKUP(AU$7,$I$66:$DJ$120,ROWS($A$10:$A13)+2,FALSE)</f>
        <v>5430</v>
      </c>
      <c r="AV13" s="25">
        <f>HLOOKUP(AV$7,$I$66:$DJ$120,ROWS($A$10:$A13)+2,FALSE)</f>
        <v>5535</v>
      </c>
      <c r="AW13" s="25">
        <f>HLOOKUP(AW$7,$I$66:$DJ$120,ROWS($A$10:$A13)+2,FALSE)</f>
        <v>403</v>
      </c>
      <c r="AX13" s="25">
        <f>HLOOKUP(AX$7,$I$66:$DJ$120,ROWS($A$10:$A13)+2,FALSE)</f>
        <v>2310</v>
      </c>
      <c r="AY13" s="25">
        <f>HLOOKUP(AY$7,$I$66:$DJ$120,ROWS($A$10:$A13)+2,FALSE)</f>
        <v>1351</v>
      </c>
      <c r="AZ13" s="25">
        <f>HLOOKUP(AZ$7,$I$66:$DJ$120,ROWS($A$10:$A13)+2,FALSE)</f>
        <v>3061</v>
      </c>
      <c r="BA13" s="25">
        <f>HLOOKUP(BA$7,$I$66:$DJ$120,ROWS($A$10:$A13)+2,FALSE)</f>
        <v>14705</v>
      </c>
      <c r="BB13" s="25">
        <f>HLOOKUP(BB$7,$I$66:$DJ$120,ROWS($A$10:$A13)+2,FALSE)</f>
        <v>7164</v>
      </c>
      <c r="BC13" s="25">
        <f>HLOOKUP(BC$7,$I$66:$DJ$120,ROWS($A$10:$A13)+2,FALSE)</f>
        <v>664</v>
      </c>
      <c r="BD13" s="25">
        <f>HLOOKUP(BD$7,$I$66:$DJ$120,ROWS($A$10:$A13)+2,FALSE)</f>
        <v>3413</v>
      </c>
      <c r="BE13" s="25">
        <f>HLOOKUP(BE$7,$I$66:$DJ$120,ROWS($A$10:$A13)+2,FALSE)</f>
        <v>12645</v>
      </c>
      <c r="BF13" s="25">
        <f>HLOOKUP(BF$7,$I$66:$DJ$120,ROWS($A$10:$A13)+2,FALSE)</f>
        <v>595</v>
      </c>
      <c r="BG13" s="25">
        <f>HLOOKUP(BG$7,$I$66:$DJ$120,ROWS($A$10:$A13)+2,FALSE)</f>
        <v>5556</v>
      </c>
      <c r="BH13" s="25">
        <f>HLOOKUP(BH$7,$I$66:$DJ$120,ROWS($A$10:$A13)+2,FALSE)</f>
        <v>593</v>
      </c>
      <c r="BI13" s="25">
        <f>HLOOKUP(BI$7,$I$66:$DJ$120,ROWS($A$10:$A13)+2,FALSE)</f>
        <v>599</v>
      </c>
      <c r="BJ13" s="34">
        <f>HLOOKUP(BJ$7+0.5,$I$66:$DJ$120,ROWS($A$10:$A13)+2,FALSE)</f>
        <v>11873</v>
      </c>
      <c r="BK13" s="34">
        <f>HLOOKUP(BK$7+0.5,$I$66:$DJ$120,ROWS($A$10:$A13)+2,FALSE)</f>
        <v>305</v>
      </c>
      <c r="BL13" s="34">
        <f>HLOOKUP(BL$7+0.5,$I$66:$DJ$120,ROWS($A$10:$A13)+2,FALSE)</f>
        <v>1297</v>
      </c>
      <c r="BM13" s="34" t="str">
        <f>HLOOKUP(BM$7+0.5,$I$66:$DJ$120,ROWS($A$10:$A13)+2,FALSE)</f>
        <v>N/A</v>
      </c>
      <c r="BN13" s="34">
        <f>HLOOKUP(BN$7+0.5,$I$66:$DJ$120,ROWS($A$10:$A13)+2,FALSE)</f>
        <v>415</v>
      </c>
      <c r="BO13" s="34">
        <f>HLOOKUP(BO$7+0.5,$I$66:$DJ$120,ROWS($A$10:$A13)+2,FALSE)</f>
        <v>6018</v>
      </c>
      <c r="BP13" s="34">
        <f>HLOOKUP(BP$7+0.5,$I$66:$DJ$120,ROWS($A$10:$A13)+2,FALSE)</f>
        <v>2494</v>
      </c>
      <c r="BQ13" s="34">
        <f>HLOOKUP(BQ$7+0.5,$I$66:$DJ$120,ROWS($A$10:$A13)+2,FALSE)</f>
        <v>386</v>
      </c>
      <c r="BR13" s="34">
        <f>HLOOKUP(BR$7+0.5,$I$66:$DJ$120,ROWS($A$10:$A13)+2,FALSE)</f>
        <v>774</v>
      </c>
      <c r="BS13" s="34">
        <f>HLOOKUP(BS$7+0.5,$I$66:$DJ$120,ROWS($A$10:$A13)+2,FALSE)</f>
        <v>305</v>
      </c>
      <c r="BT13" s="34">
        <f>HLOOKUP(BT$7+0.5,$I$66:$DJ$120,ROWS($A$10:$A13)+2,FALSE)</f>
        <v>2149</v>
      </c>
      <c r="BU13" s="34">
        <f>HLOOKUP(BU$7+0.5,$I$66:$DJ$120,ROWS($A$10:$A13)+2,FALSE)</f>
        <v>1828</v>
      </c>
      <c r="BV13" s="34">
        <f>HLOOKUP(BV$7+0.5,$I$66:$DJ$120,ROWS($A$10:$A13)+2,FALSE)</f>
        <v>928</v>
      </c>
      <c r="BW13" s="34">
        <f>HLOOKUP(BW$7+0.5,$I$66:$DJ$120,ROWS($A$10:$A13)+2,FALSE)</f>
        <v>984</v>
      </c>
      <c r="BX13" s="34">
        <f>HLOOKUP(BX$7+0.5,$I$66:$DJ$120,ROWS($A$10:$A13)+2,FALSE)</f>
        <v>3263</v>
      </c>
      <c r="BY13" s="34">
        <f>HLOOKUP(BY$7+0.5,$I$66:$DJ$120,ROWS($A$10:$A13)+2,FALSE)</f>
        <v>1358</v>
      </c>
      <c r="BZ13" s="34">
        <f>HLOOKUP(BZ$7+0.5,$I$66:$DJ$120,ROWS($A$10:$A13)+2,FALSE)</f>
        <v>1405</v>
      </c>
      <c r="CA13" s="34">
        <f>HLOOKUP(CA$7+0.5,$I$66:$DJ$120,ROWS($A$10:$A13)+2,FALSE)</f>
        <v>1008</v>
      </c>
      <c r="CB13" s="34">
        <f>HLOOKUP(CB$7+0.5,$I$66:$DJ$120,ROWS($A$10:$A13)+2,FALSE)</f>
        <v>928</v>
      </c>
      <c r="CC13" s="34">
        <f>HLOOKUP(CC$7+0.5,$I$66:$DJ$120,ROWS($A$10:$A13)+2,FALSE)</f>
        <v>1697</v>
      </c>
      <c r="CD13" s="34">
        <f>HLOOKUP(CD$7+0.5,$I$66:$DJ$120,ROWS($A$10:$A13)+2,FALSE)</f>
        <v>308</v>
      </c>
      <c r="CE13" s="34">
        <f>HLOOKUP(CE$7+0.5,$I$66:$DJ$120,ROWS($A$10:$A13)+2,FALSE)</f>
        <v>1052</v>
      </c>
      <c r="CF13" s="34">
        <f>HLOOKUP(CF$7+0.5,$I$66:$DJ$120,ROWS($A$10:$A13)+2,FALSE)</f>
        <v>975</v>
      </c>
      <c r="CG13" s="34">
        <f>HLOOKUP(CG$7+0.5,$I$66:$DJ$120,ROWS($A$10:$A13)+2,FALSE)</f>
        <v>1796</v>
      </c>
      <c r="CH13" s="34">
        <f>HLOOKUP(CH$7+0.5,$I$66:$DJ$120,ROWS($A$10:$A13)+2,FALSE)</f>
        <v>1542</v>
      </c>
      <c r="CI13" s="34">
        <f>HLOOKUP(CI$7+0.5,$I$66:$DJ$120,ROWS($A$10:$A13)+2,FALSE)</f>
        <v>238</v>
      </c>
      <c r="CJ13" s="34">
        <f>HLOOKUP(CJ$7+0.5,$I$66:$DJ$120,ROWS($A$10:$A13)+2,FALSE)</f>
        <v>1621</v>
      </c>
      <c r="CK13" s="34">
        <f>HLOOKUP(CK$7+0.5,$I$66:$DJ$120,ROWS($A$10:$A13)+2,FALSE)</f>
        <v>1038</v>
      </c>
      <c r="CL13" s="34">
        <f>HLOOKUP(CL$7+0.5,$I$66:$DJ$120,ROWS($A$10:$A13)+2,FALSE)</f>
        <v>1130</v>
      </c>
      <c r="CM13" s="34">
        <f>HLOOKUP(CM$7+0.5,$I$66:$DJ$120,ROWS($A$10:$A13)+2,FALSE)</f>
        <v>3881</v>
      </c>
      <c r="CN13" s="34">
        <f>HLOOKUP(CN$7+0.5,$I$66:$DJ$120,ROWS($A$10:$A13)+2,FALSE)</f>
        <v>105</v>
      </c>
      <c r="CO13" s="34">
        <f>HLOOKUP(CO$7+0.5,$I$66:$DJ$120,ROWS($A$10:$A13)+2,FALSE)</f>
        <v>762</v>
      </c>
      <c r="CP13" s="34">
        <f>HLOOKUP(CP$7+0.5,$I$66:$DJ$120,ROWS($A$10:$A13)+2,FALSE)</f>
        <v>1430</v>
      </c>
      <c r="CQ13" s="34">
        <f>HLOOKUP(CQ$7+0.5,$I$66:$DJ$120,ROWS($A$10:$A13)+2,FALSE)</f>
        <v>2661</v>
      </c>
      <c r="CR13" s="34">
        <f>HLOOKUP(CR$7+0.5,$I$66:$DJ$120,ROWS($A$10:$A13)+2,FALSE)</f>
        <v>1627</v>
      </c>
      <c r="CS13" s="34">
        <f>HLOOKUP(CS$7+0.5,$I$66:$DJ$120,ROWS($A$10:$A13)+2,FALSE)</f>
        <v>612</v>
      </c>
      <c r="CT13" s="34">
        <f>HLOOKUP(CT$7+0.5,$I$66:$DJ$120,ROWS($A$10:$A13)+2,FALSE)</f>
        <v>1513</v>
      </c>
      <c r="CU13" s="34">
        <f>HLOOKUP(CU$7+0.5,$I$66:$DJ$120,ROWS($A$10:$A13)+2,FALSE)</f>
        <v>1310</v>
      </c>
      <c r="CV13" s="34">
        <f>HLOOKUP(CV$7+0.5,$I$66:$DJ$120,ROWS($A$10:$A13)+2,FALSE)</f>
        <v>1887</v>
      </c>
      <c r="CW13" s="34">
        <f>HLOOKUP(CW$7+0.5,$I$66:$DJ$120,ROWS($A$10:$A13)+2,FALSE)</f>
        <v>2842</v>
      </c>
      <c r="CX13" s="34">
        <f>HLOOKUP(CX$7+0.5,$I$66:$DJ$120,ROWS($A$10:$A13)+2,FALSE)</f>
        <v>336</v>
      </c>
      <c r="CY13" s="34">
        <f>HLOOKUP(CY$7+0.5,$I$66:$DJ$120,ROWS($A$10:$A13)+2,FALSE)</f>
        <v>1189</v>
      </c>
      <c r="CZ13" s="34">
        <f>HLOOKUP(CZ$7+0.5,$I$66:$DJ$120,ROWS($A$10:$A13)+2,FALSE)</f>
        <v>843</v>
      </c>
      <c r="DA13" s="34">
        <f>HLOOKUP(DA$7+0.5,$I$66:$DJ$120,ROWS($A$10:$A13)+2,FALSE)</f>
        <v>1643</v>
      </c>
      <c r="DB13" s="34">
        <f>HLOOKUP(DB$7+0.5,$I$66:$DJ$120,ROWS($A$10:$A13)+2,FALSE)</f>
        <v>3301</v>
      </c>
      <c r="DC13" s="34">
        <f>HLOOKUP(DC$7+0.5,$I$66:$DJ$120,ROWS($A$10:$A13)+2,FALSE)</f>
        <v>3154</v>
      </c>
      <c r="DD13" s="34">
        <f>HLOOKUP(DD$7+0.5,$I$66:$DJ$120,ROWS($A$10:$A13)+2,FALSE)</f>
        <v>498</v>
      </c>
      <c r="DE13" s="34">
        <f>HLOOKUP(DE$7+0.5,$I$66:$DJ$120,ROWS($A$10:$A13)+2,FALSE)</f>
        <v>1613</v>
      </c>
      <c r="DF13" s="34">
        <f>HLOOKUP(DF$7+0.5,$I$66:$DJ$120,ROWS($A$10:$A13)+2,FALSE)</f>
        <v>2459</v>
      </c>
      <c r="DG13" s="34">
        <f>HLOOKUP(DG$7+0.5,$I$66:$DJ$120,ROWS($A$10:$A13)+2,FALSE)</f>
        <v>563</v>
      </c>
      <c r="DH13" s="34">
        <f>HLOOKUP(DH$7+0.5,$I$66:$DJ$120,ROWS($A$10:$A13)+2,FALSE)</f>
        <v>1827</v>
      </c>
      <c r="DI13" s="34">
        <f>HLOOKUP(DI$7+0.5,$I$66:$DJ$120,ROWS($A$10:$A13)+2,FALSE)</f>
        <v>393</v>
      </c>
      <c r="DJ13" s="34">
        <f>HLOOKUP(DJ$7+0.5,$I$66:$DJ$120,ROWS($A$10:$A13)+2,FALSE)</f>
        <v>771</v>
      </c>
    </row>
    <row r="14" spans="1:114" x14ac:dyDescent="0.25">
      <c r="B14" s="38" t="s">
        <v>10</v>
      </c>
      <c r="C14" s="16">
        <v>2888304</v>
      </c>
      <c r="D14" s="17">
        <v>2453</v>
      </c>
      <c r="E14" s="16">
        <v>2387806</v>
      </c>
      <c r="F14" s="17">
        <v>18627</v>
      </c>
      <c r="G14" s="16">
        <v>412997</v>
      </c>
      <c r="H14" s="17">
        <v>17485</v>
      </c>
      <c r="I14" s="36">
        <f>HLOOKUP(I$7,$I$66:$DJ$120,ROWS($A$10:$A14)+2,FALSE)</f>
        <v>79127</v>
      </c>
      <c r="J14" s="25">
        <f>HLOOKUP(J$7,$I$66:$DJ$120,ROWS($A$10:$A14)+2,FALSE)</f>
        <v>1405</v>
      </c>
      <c r="K14" s="25">
        <f>HLOOKUP(K$7,$I$66:$DJ$120,ROWS($A$10:$A14)+2,FALSE)</f>
        <v>934</v>
      </c>
      <c r="L14" s="25">
        <f>HLOOKUP(L$7,$I$66:$DJ$120,ROWS($A$10:$A14)+2,FALSE)</f>
        <v>777</v>
      </c>
      <c r="M14" s="25" t="str">
        <f>HLOOKUP(M$7,$I$66:$DJ$120,ROWS($A$10:$A14)+2,FALSE)</f>
        <v>N/A</v>
      </c>
      <c r="N14" s="25">
        <f>HLOOKUP(N$7,$I$66:$DJ$120,ROWS($A$10:$A14)+2,FALSE)</f>
        <v>4457</v>
      </c>
      <c r="O14" s="25">
        <f>HLOOKUP(O$7,$I$66:$DJ$120,ROWS($A$10:$A14)+2,FALSE)</f>
        <v>2535</v>
      </c>
      <c r="P14" s="25">
        <f>HLOOKUP(P$7,$I$66:$DJ$120,ROWS($A$10:$A14)+2,FALSE)</f>
        <v>451</v>
      </c>
      <c r="Q14" s="25">
        <f>HLOOKUP(Q$7,$I$66:$DJ$120,ROWS($A$10:$A14)+2,FALSE)</f>
        <v>0</v>
      </c>
      <c r="R14" s="25">
        <f>HLOOKUP(R$7,$I$66:$DJ$120,ROWS($A$10:$A14)+2,FALSE)</f>
        <v>154</v>
      </c>
      <c r="S14" s="25">
        <f>HLOOKUP(S$7,$I$66:$DJ$120,ROWS($A$10:$A14)+2,FALSE)</f>
        <v>3578</v>
      </c>
      <c r="T14" s="25">
        <f>HLOOKUP(T$7,$I$66:$DJ$120,ROWS($A$10:$A14)+2,FALSE)</f>
        <v>3921</v>
      </c>
      <c r="U14" s="25">
        <f>HLOOKUP(U$7,$I$66:$DJ$120,ROWS($A$10:$A14)+2,FALSE)</f>
        <v>129</v>
      </c>
      <c r="V14" s="25">
        <f>HLOOKUP(V$7,$I$66:$DJ$120,ROWS($A$10:$A14)+2,FALSE)</f>
        <v>618</v>
      </c>
      <c r="W14" s="25">
        <f>HLOOKUP(W$7,$I$66:$DJ$120,ROWS($A$10:$A14)+2,FALSE)</f>
        <v>3221</v>
      </c>
      <c r="X14" s="25">
        <f>HLOOKUP(X$7,$I$66:$DJ$120,ROWS($A$10:$A14)+2,FALSE)</f>
        <v>722</v>
      </c>
      <c r="Y14" s="25">
        <f>HLOOKUP(Y$7,$I$66:$DJ$120,ROWS($A$10:$A14)+2,FALSE)</f>
        <v>85</v>
      </c>
      <c r="Z14" s="25">
        <f>HLOOKUP(Z$7,$I$66:$DJ$120,ROWS($A$10:$A14)+2,FALSE)</f>
        <v>3611</v>
      </c>
      <c r="AA14" s="25">
        <f>HLOOKUP(AA$7,$I$66:$DJ$120,ROWS($A$10:$A14)+2,FALSE)</f>
        <v>2540</v>
      </c>
      <c r="AB14" s="25">
        <f>HLOOKUP(AB$7,$I$66:$DJ$120,ROWS($A$10:$A14)+2,FALSE)</f>
        <v>4012</v>
      </c>
      <c r="AC14" s="25">
        <f>HLOOKUP(AC$7,$I$66:$DJ$120,ROWS($A$10:$A14)+2,FALSE)</f>
        <v>0</v>
      </c>
      <c r="AD14" s="25">
        <f>HLOOKUP(AD$7,$I$66:$DJ$120,ROWS($A$10:$A14)+2,FALSE)</f>
        <v>306</v>
      </c>
      <c r="AE14" s="25">
        <f>HLOOKUP(AE$7,$I$66:$DJ$120,ROWS($A$10:$A14)+2,FALSE)</f>
        <v>190</v>
      </c>
      <c r="AF14" s="25">
        <f>HLOOKUP(AF$7,$I$66:$DJ$120,ROWS($A$10:$A14)+2,FALSE)</f>
        <v>1506</v>
      </c>
      <c r="AG14" s="25">
        <f>HLOOKUP(AG$7,$I$66:$DJ$120,ROWS($A$10:$A14)+2,FALSE)</f>
        <v>222</v>
      </c>
      <c r="AH14" s="25">
        <f>HLOOKUP(AH$7,$I$66:$DJ$120,ROWS($A$10:$A14)+2,FALSE)</f>
        <v>2764</v>
      </c>
      <c r="AI14" s="25">
        <f>HLOOKUP(AI$7,$I$66:$DJ$120,ROWS($A$10:$A14)+2,FALSE)</f>
        <v>7320</v>
      </c>
      <c r="AJ14" s="25">
        <f>HLOOKUP(AJ$7,$I$66:$DJ$120,ROWS($A$10:$A14)+2,FALSE)</f>
        <v>85</v>
      </c>
      <c r="AK14" s="25">
        <f>HLOOKUP(AK$7,$I$66:$DJ$120,ROWS($A$10:$A14)+2,FALSE)</f>
        <v>394</v>
      </c>
      <c r="AL14" s="25">
        <f>HLOOKUP(AL$7,$I$66:$DJ$120,ROWS($A$10:$A14)+2,FALSE)</f>
        <v>67</v>
      </c>
      <c r="AM14" s="25">
        <f>HLOOKUP(AM$7,$I$66:$DJ$120,ROWS($A$10:$A14)+2,FALSE)</f>
        <v>0</v>
      </c>
      <c r="AN14" s="25">
        <f>HLOOKUP(AN$7,$I$66:$DJ$120,ROWS($A$10:$A14)+2,FALSE)</f>
        <v>77</v>
      </c>
      <c r="AO14" s="25">
        <f>HLOOKUP(AO$7,$I$66:$DJ$120,ROWS($A$10:$A14)+2,FALSE)</f>
        <v>0</v>
      </c>
      <c r="AP14" s="25">
        <f>HLOOKUP(AP$7,$I$66:$DJ$120,ROWS($A$10:$A14)+2,FALSE)</f>
        <v>289</v>
      </c>
      <c r="AQ14" s="25">
        <f>HLOOKUP(AQ$7,$I$66:$DJ$120,ROWS($A$10:$A14)+2,FALSE)</f>
        <v>1561</v>
      </c>
      <c r="AR14" s="25">
        <f>HLOOKUP(AR$7,$I$66:$DJ$120,ROWS($A$10:$A14)+2,FALSE)</f>
        <v>0</v>
      </c>
      <c r="AS14" s="25">
        <f>HLOOKUP(AS$7,$I$66:$DJ$120,ROWS($A$10:$A14)+2,FALSE)</f>
        <v>1137</v>
      </c>
      <c r="AT14" s="25">
        <f>HLOOKUP(AT$7,$I$66:$DJ$120,ROWS($A$10:$A14)+2,FALSE)</f>
        <v>8607</v>
      </c>
      <c r="AU14" s="25">
        <f>HLOOKUP(AU$7,$I$66:$DJ$120,ROWS($A$10:$A14)+2,FALSE)</f>
        <v>239</v>
      </c>
      <c r="AV14" s="25">
        <f>HLOOKUP(AV$7,$I$66:$DJ$120,ROWS($A$10:$A14)+2,FALSE)</f>
        <v>731</v>
      </c>
      <c r="AW14" s="25">
        <f>HLOOKUP(AW$7,$I$66:$DJ$120,ROWS($A$10:$A14)+2,FALSE)</f>
        <v>0</v>
      </c>
      <c r="AX14" s="25">
        <f>HLOOKUP(AX$7,$I$66:$DJ$120,ROWS($A$10:$A14)+2,FALSE)</f>
        <v>1496</v>
      </c>
      <c r="AY14" s="25">
        <f>HLOOKUP(AY$7,$I$66:$DJ$120,ROWS($A$10:$A14)+2,FALSE)</f>
        <v>243</v>
      </c>
      <c r="AZ14" s="25">
        <f>HLOOKUP(AZ$7,$I$66:$DJ$120,ROWS($A$10:$A14)+2,FALSE)</f>
        <v>2653</v>
      </c>
      <c r="BA14" s="25">
        <f>HLOOKUP(BA$7,$I$66:$DJ$120,ROWS($A$10:$A14)+2,FALSE)</f>
        <v>13707</v>
      </c>
      <c r="BB14" s="25">
        <f>HLOOKUP(BB$7,$I$66:$DJ$120,ROWS($A$10:$A14)+2,FALSE)</f>
        <v>361</v>
      </c>
      <c r="BC14" s="25">
        <f>HLOOKUP(BC$7,$I$66:$DJ$120,ROWS($A$10:$A14)+2,FALSE)</f>
        <v>0</v>
      </c>
      <c r="BD14" s="25">
        <f>HLOOKUP(BD$7,$I$66:$DJ$120,ROWS($A$10:$A14)+2,FALSE)</f>
        <v>494</v>
      </c>
      <c r="BE14" s="25">
        <f>HLOOKUP(BE$7,$I$66:$DJ$120,ROWS($A$10:$A14)+2,FALSE)</f>
        <v>264</v>
      </c>
      <c r="BF14" s="25">
        <f>HLOOKUP(BF$7,$I$66:$DJ$120,ROWS($A$10:$A14)+2,FALSE)</f>
        <v>0</v>
      </c>
      <c r="BG14" s="25">
        <f>HLOOKUP(BG$7,$I$66:$DJ$120,ROWS($A$10:$A14)+2,FALSE)</f>
        <v>821</v>
      </c>
      <c r="BH14" s="25">
        <f>HLOOKUP(BH$7,$I$66:$DJ$120,ROWS($A$10:$A14)+2,FALSE)</f>
        <v>443</v>
      </c>
      <c r="BI14" s="25">
        <f>HLOOKUP(BI$7,$I$66:$DJ$120,ROWS($A$10:$A14)+2,FALSE)</f>
        <v>87</v>
      </c>
      <c r="BJ14" s="34">
        <f>HLOOKUP(BJ$7+0.5,$I$66:$DJ$120,ROWS($A$10:$A14)+2,FALSE)</f>
        <v>7901</v>
      </c>
      <c r="BK14" s="34">
        <f>HLOOKUP(BK$7+0.5,$I$66:$DJ$120,ROWS($A$10:$A14)+2,FALSE)</f>
        <v>1001</v>
      </c>
      <c r="BL14" s="34">
        <f>HLOOKUP(BL$7+0.5,$I$66:$DJ$120,ROWS($A$10:$A14)+2,FALSE)</f>
        <v>798</v>
      </c>
      <c r="BM14" s="34">
        <f>HLOOKUP(BM$7+0.5,$I$66:$DJ$120,ROWS($A$10:$A14)+2,FALSE)</f>
        <v>557</v>
      </c>
      <c r="BN14" s="34" t="str">
        <f>HLOOKUP(BN$7+0.5,$I$66:$DJ$120,ROWS($A$10:$A14)+2,FALSE)</f>
        <v>N/A</v>
      </c>
      <c r="BO14" s="34">
        <f>HLOOKUP(BO$7+0.5,$I$66:$DJ$120,ROWS($A$10:$A14)+2,FALSE)</f>
        <v>1991</v>
      </c>
      <c r="BP14" s="34">
        <f>HLOOKUP(BP$7+0.5,$I$66:$DJ$120,ROWS($A$10:$A14)+2,FALSE)</f>
        <v>1149</v>
      </c>
      <c r="BQ14" s="34">
        <f>HLOOKUP(BQ$7+0.5,$I$66:$DJ$120,ROWS($A$10:$A14)+2,FALSE)</f>
        <v>315</v>
      </c>
      <c r="BR14" s="34">
        <f>HLOOKUP(BR$7+0.5,$I$66:$DJ$120,ROWS($A$10:$A14)+2,FALSE)</f>
        <v>273</v>
      </c>
      <c r="BS14" s="34">
        <f>HLOOKUP(BS$7+0.5,$I$66:$DJ$120,ROWS($A$10:$A14)+2,FALSE)</f>
        <v>264</v>
      </c>
      <c r="BT14" s="34">
        <f>HLOOKUP(BT$7+0.5,$I$66:$DJ$120,ROWS($A$10:$A14)+2,FALSE)</f>
        <v>1239</v>
      </c>
      <c r="BU14" s="34">
        <f>HLOOKUP(BU$7+0.5,$I$66:$DJ$120,ROWS($A$10:$A14)+2,FALSE)</f>
        <v>2077</v>
      </c>
      <c r="BV14" s="34">
        <f>HLOOKUP(BV$7+0.5,$I$66:$DJ$120,ROWS($A$10:$A14)+2,FALSE)</f>
        <v>166</v>
      </c>
      <c r="BW14" s="34">
        <f>HLOOKUP(BW$7+0.5,$I$66:$DJ$120,ROWS($A$10:$A14)+2,FALSE)</f>
        <v>754</v>
      </c>
      <c r="BX14" s="34">
        <f>HLOOKUP(BX$7+0.5,$I$66:$DJ$120,ROWS($A$10:$A14)+2,FALSE)</f>
        <v>1474</v>
      </c>
      <c r="BY14" s="34">
        <f>HLOOKUP(BY$7+0.5,$I$66:$DJ$120,ROWS($A$10:$A14)+2,FALSE)</f>
        <v>498</v>
      </c>
      <c r="BZ14" s="34">
        <f>HLOOKUP(BZ$7+0.5,$I$66:$DJ$120,ROWS($A$10:$A14)+2,FALSE)</f>
        <v>143</v>
      </c>
      <c r="CA14" s="34">
        <f>HLOOKUP(CA$7+0.5,$I$66:$DJ$120,ROWS($A$10:$A14)+2,FALSE)</f>
        <v>1704</v>
      </c>
      <c r="CB14" s="34">
        <f>HLOOKUP(CB$7+0.5,$I$66:$DJ$120,ROWS($A$10:$A14)+2,FALSE)</f>
        <v>1895</v>
      </c>
      <c r="CC14" s="34">
        <f>HLOOKUP(CC$7+0.5,$I$66:$DJ$120,ROWS($A$10:$A14)+2,FALSE)</f>
        <v>1625</v>
      </c>
      <c r="CD14" s="34">
        <f>HLOOKUP(CD$7+0.5,$I$66:$DJ$120,ROWS($A$10:$A14)+2,FALSE)</f>
        <v>273</v>
      </c>
      <c r="CE14" s="34">
        <f>HLOOKUP(CE$7+0.5,$I$66:$DJ$120,ROWS($A$10:$A14)+2,FALSE)</f>
        <v>254</v>
      </c>
      <c r="CF14" s="34">
        <f>HLOOKUP(CF$7+0.5,$I$66:$DJ$120,ROWS($A$10:$A14)+2,FALSE)</f>
        <v>196</v>
      </c>
      <c r="CG14" s="34">
        <f>HLOOKUP(CG$7+0.5,$I$66:$DJ$120,ROWS($A$10:$A14)+2,FALSE)</f>
        <v>674</v>
      </c>
      <c r="CH14" s="34">
        <f>HLOOKUP(CH$7+0.5,$I$66:$DJ$120,ROWS($A$10:$A14)+2,FALSE)</f>
        <v>153</v>
      </c>
      <c r="CI14" s="34">
        <f>HLOOKUP(CI$7+0.5,$I$66:$DJ$120,ROWS($A$10:$A14)+2,FALSE)</f>
        <v>1337</v>
      </c>
      <c r="CJ14" s="34">
        <f>HLOOKUP(CJ$7+0.5,$I$66:$DJ$120,ROWS($A$10:$A14)+2,FALSE)</f>
        <v>2181</v>
      </c>
      <c r="CK14" s="34">
        <f>HLOOKUP(CK$7+0.5,$I$66:$DJ$120,ROWS($A$10:$A14)+2,FALSE)</f>
        <v>159</v>
      </c>
      <c r="CL14" s="34">
        <f>HLOOKUP(CL$7+0.5,$I$66:$DJ$120,ROWS($A$10:$A14)+2,FALSE)</f>
        <v>538</v>
      </c>
      <c r="CM14" s="34">
        <f>HLOOKUP(CM$7+0.5,$I$66:$DJ$120,ROWS($A$10:$A14)+2,FALSE)</f>
        <v>104</v>
      </c>
      <c r="CN14" s="34">
        <f>HLOOKUP(CN$7+0.5,$I$66:$DJ$120,ROWS($A$10:$A14)+2,FALSE)</f>
        <v>273</v>
      </c>
      <c r="CO14" s="34">
        <f>HLOOKUP(CO$7+0.5,$I$66:$DJ$120,ROWS($A$10:$A14)+2,FALSE)</f>
        <v>130</v>
      </c>
      <c r="CP14" s="34">
        <f>HLOOKUP(CP$7+0.5,$I$66:$DJ$120,ROWS($A$10:$A14)+2,FALSE)</f>
        <v>273</v>
      </c>
      <c r="CQ14" s="34">
        <f>HLOOKUP(CQ$7+0.5,$I$66:$DJ$120,ROWS($A$10:$A14)+2,FALSE)</f>
        <v>336</v>
      </c>
      <c r="CR14" s="34">
        <f>HLOOKUP(CR$7+0.5,$I$66:$DJ$120,ROWS($A$10:$A14)+2,FALSE)</f>
        <v>900</v>
      </c>
      <c r="CS14" s="34">
        <f>HLOOKUP(CS$7+0.5,$I$66:$DJ$120,ROWS($A$10:$A14)+2,FALSE)</f>
        <v>273</v>
      </c>
      <c r="CT14" s="34">
        <f>HLOOKUP(CT$7+0.5,$I$66:$DJ$120,ROWS($A$10:$A14)+2,FALSE)</f>
        <v>811</v>
      </c>
      <c r="CU14" s="34">
        <f>HLOOKUP(CU$7+0.5,$I$66:$DJ$120,ROWS($A$10:$A14)+2,FALSE)</f>
        <v>3434</v>
      </c>
      <c r="CV14" s="34">
        <f>HLOOKUP(CV$7+0.5,$I$66:$DJ$120,ROWS($A$10:$A14)+2,FALSE)</f>
        <v>174</v>
      </c>
      <c r="CW14" s="34">
        <f>HLOOKUP(CW$7+0.5,$I$66:$DJ$120,ROWS($A$10:$A14)+2,FALSE)</f>
        <v>570</v>
      </c>
      <c r="CX14" s="34">
        <f>HLOOKUP(CX$7+0.5,$I$66:$DJ$120,ROWS($A$10:$A14)+2,FALSE)</f>
        <v>273</v>
      </c>
      <c r="CY14" s="34">
        <f>HLOOKUP(CY$7+0.5,$I$66:$DJ$120,ROWS($A$10:$A14)+2,FALSE)</f>
        <v>983</v>
      </c>
      <c r="CZ14" s="34">
        <f>HLOOKUP(CZ$7+0.5,$I$66:$DJ$120,ROWS($A$10:$A14)+2,FALSE)</f>
        <v>264</v>
      </c>
      <c r="DA14" s="34">
        <f>HLOOKUP(DA$7+0.5,$I$66:$DJ$120,ROWS($A$10:$A14)+2,FALSE)</f>
        <v>1121</v>
      </c>
      <c r="DB14" s="34">
        <f>HLOOKUP(DB$7+0.5,$I$66:$DJ$120,ROWS($A$10:$A14)+2,FALSE)</f>
        <v>2911</v>
      </c>
      <c r="DC14" s="34">
        <f>HLOOKUP(DC$7+0.5,$I$66:$DJ$120,ROWS($A$10:$A14)+2,FALSE)</f>
        <v>322</v>
      </c>
      <c r="DD14" s="34">
        <f>HLOOKUP(DD$7+0.5,$I$66:$DJ$120,ROWS($A$10:$A14)+2,FALSE)</f>
        <v>273</v>
      </c>
      <c r="DE14" s="34">
        <f>HLOOKUP(DE$7+0.5,$I$66:$DJ$120,ROWS($A$10:$A14)+2,FALSE)</f>
        <v>382</v>
      </c>
      <c r="DF14" s="34">
        <f>HLOOKUP(DF$7+0.5,$I$66:$DJ$120,ROWS($A$10:$A14)+2,FALSE)</f>
        <v>228</v>
      </c>
      <c r="DG14" s="34">
        <f>HLOOKUP(DG$7+0.5,$I$66:$DJ$120,ROWS($A$10:$A14)+2,FALSE)</f>
        <v>273</v>
      </c>
      <c r="DH14" s="34">
        <f>HLOOKUP(DH$7+0.5,$I$66:$DJ$120,ROWS($A$10:$A14)+2,FALSE)</f>
        <v>503</v>
      </c>
      <c r="DI14" s="34">
        <f>HLOOKUP(DI$7+0.5,$I$66:$DJ$120,ROWS($A$10:$A14)+2,FALSE)</f>
        <v>513</v>
      </c>
      <c r="DJ14" s="34">
        <f>HLOOKUP(DJ$7+0.5,$I$66:$DJ$120,ROWS($A$10:$A14)+2,FALSE)</f>
        <v>146</v>
      </c>
    </row>
    <row r="15" spans="1:114" x14ac:dyDescent="0.25">
      <c r="B15" s="38" t="s">
        <v>11</v>
      </c>
      <c r="C15" s="16">
        <v>36907897</v>
      </c>
      <c r="D15" s="17">
        <v>10889</v>
      </c>
      <c r="E15" s="16">
        <v>30790221</v>
      </c>
      <c r="F15" s="17">
        <v>71574</v>
      </c>
      <c r="G15" s="16">
        <v>5413287</v>
      </c>
      <c r="H15" s="17">
        <v>66460</v>
      </c>
      <c r="I15" s="36">
        <f>HLOOKUP(I$7,$I$66:$DJ$120,ROWS($A$10:$A15)+2,FALSE)</f>
        <v>444749</v>
      </c>
      <c r="J15" s="25">
        <f>HLOOKUP(J$7,$I$66:$DJ$120,ROWS($A$10:$A15)+2,FALSE)</f>
        <v>3364</v>
      </c>
      <c r="K15" s="25">
        <f>HLOOKUP(K$7,$I$66:$DJ$120,ROWS($A$10:$A15)+2,FALSE)</f>
        <v>9579</v>
      </c>
      <c r="L15" s="25">
        <f>HLOOKUP(L$7,$I$66:$DJ$120,ROWS($A$10:$A15)+2,FALSE)</f>
        <v>33854</v>
      </c>
      <c r="M15" s="25">
        <f>HLOOKUP(M$7,$I$66:$DJ$120,ROWS($A$10:$A15)+2,FALSE)</f>
        <v>4172</v>
      </c>
      <c r="N15" s="25" t="str">
        <f>HLOOKUP(N$7,$I$66:$DJ$120,ROWS($A$10:$A15)+2,FALSE)</f>
        <v>N/A</v>
      </c>
      <c r="O15" s="25">
        <f>HLOOKUP(O$7,$I$66:$DJ$120,ROWS($A$10:$A15)+2,FALSE)</f>
        <v>15662</v>
      </c>
      <c r="P15" s="25">
        <f>HLOOKUP(P$7,$I$66:$DJ$120,ROWS($A$10:$A15)+2,FALSE)</f>
        <v>4631</v>
      </c>
      <c r="Q15" s="25">
        <f>HLOOKUP(Q$7,$I$66:$DJ$120,ROWS($A$10:$A15)+2,FALSE)</f>
        <v>643</v>
      </c>
      <c r="R15" s="25">
        <f>HLOOKUP(R$7,$I$66:$DJ$120,ROWS($A$10:$A15)+2,FALSE)</f>
        <v>3683</v>
      </c>
      <c r="S15" s="25">
        <f>HLOOKUP(S$7,$I$66:$DJ$120,ROWS($A$10:$A15)+2,FALSE)</f>
        <v>20362</v>
      </c>
      <c r="T15" s="25">
        <f>HLOOKUP(T$7,$I$66:$DJ$120,ROWS($A$10:$A15)+2,FALSE)</f>
        <v>8820</v>
      </c>
      <c r="U15" s="25">
        <f>HLOOKUP(U$7,$I$66:$DJ$120,ROWS($A$10:$A15)+2,FALSE)</f>
        <v>9528</v>
      </c>
      <c r="V15" s="25">
        <f>HLOOKUP(V$7,$I$66:$DJ$120,ROWS($A$10:$A15)+2,FALSE)</f>
        <v>5719</v>
      </c>
      <c r="W15" s="25">
        <f>HLOOKUP(W$7,$I$66:$DJ$120,ROWS($A$10:$A15)+2,FALSE)</f>
        <v>16482</v>
      </c>
      <c r="X15" s="25">
        <f>HLOOKUP(X$7,$I$66:$DJ$120,ROWS($A$10:$A15)+2,FALSE)</f>
        <v>6550</v>
      </c>
      <c r="Y15" s="25">
        <f>HLOOKUP(Y$7,$I$66:$DJ$120,ROWS($A$10:$A15)+2,FALSE)</f>
        <v>3163</v>
      </c>
      <c r="Z15" s="25">
        <f>HLOOKUP(Z$7,$I$66:$DJ$120,ROWS($A$10:$A15)+2,FALSE)</f>
        <v>3857</v>
      </c>
      <c r="AA15" s="25">
        <f>HLOOKUP(AA$7,$I$66:$DJ$120,ROWS($A$10:$A15)+2,FALSE)</f>
        <v>3394</v>
      </c>
      <c r="AB15" s="25">
        <f>HLOOKUP(AB$7,$I$66:$DJ$120,ROWS($A$10:$A15)+2,FALSE)</f>
        <v>2989</v>
      </c>
      <c r="AC15" s="25">
        <f>HLOOKUP(AC$7,$I$66:$DJ$120,ROWS($A$10:$A15)+2,FALSE)</f>
        <v>1796</v>
      </c>
      <c r="AD15" s="25">
        <f>HLOOKUP(AD$7,$I$66:$DJ$120,ROWS($A$10:$A15)+2,FALSE)</f>
        <v>10626</v>
      </c>
      <c r="AE15" s="25">
        <f>HLOOKUP(AE$7,$I$66:$DJ$120,ROWS($A$10:$A15)+2,FALSE)</f>
        <v>11969</v>
      </c>
      <c r="AF15" s="25">
        <f>HLOOKUP(AF$7,$I$66:$DJ$120,ROWS($A$10:$A15)+2,FALSE)</f>
        <v>10435</v>
      </c>
      <c r="AG15" s="25">
        <f>HLOOKUP(AG$7,$I$66:$DJ$120,ROWS($A$10:$A15)+2,FALSE)</f>
        <v>5095</v>
      </c>
      <c r="AH15" s="25">
        <f>HLOOKUP(AH$7,$I$66:$DJ$120,ROWS($A$10:$A15)+2,FALSE)</f>
        <v>2757</v>
      </c>
      <c r="AI15" s="25">
        <f>HLOOKUP(AI$7,$I$66:$DJ$120,ROWS($A$10:$A15)+2,FALSE)</f>
        <v>6921</v>
      </c>
      <c r="AJ15" s="25">
        <f>HLOOKUP(AJ$7,$I$66:$DJ$120,ROWS($A$10:$A15)+2,FALSE)</f>
        <v>3009</v>
      </c>
      <c r="AK15" s="25">
        <f>HLOOKUP(AK$7,$I$66:$DJ$120,ROWS($A$10:$A15)+2,FALSE)</f>
        <v>3062</v>
      </c>
      <c r="AL15" s="25">
        <f>HLOOKUP(AL$7,$I$66:$DJ$120,ROWS($A$10:$A15)+2,FALSE)</f>
        <v>27724</v>
      </c>
      <c r="AM15" s="25">
        <f>HLOOKUP(AM$7,$I$66:$DJ$120,ROWS($A$10:$A15)+2,FALSE)</f>
        <v>1614</v>
      </c>
      <c r="AN15" s="25">
        <f>HLOOKUP(AN$7,$I$66:$DJ$120,ROWS($A$10:$A15)+2,FALSE)</f>
        <v>10108</v>
      </c>
      <c r="AO15" s="25">
        <f>HLOOKUP(AO$7,$I$66:$DJ$120,ROWS($A$10:$A15)+2,FALSE)</f>
        <v>4632</v>
      </c>
      <c r="AP15" s="25">
        <f>HLOOKUP(AP$7,$I$66:$DJ$120,ROWS($A$10:$A15)+2,FALSE)</f>
        <v>20981</v>
      </c>
      <c r="AQ15" s="25">
        <f>HLOOKUP(AQ$7,$I$66:$DJ$120,ROWS($A$10:$A15)+2,FALSE)</f>
        <v>9593</v>
      </c>
      <c r="AR15" s="25">
        <f>HLOOKUP(AR$7,$I$66:$DJ$120,ROWS($A$10:$A15)+2,FALSE)</f>
        <v>392</v>
      </c>
      <c r="AS15" s="25">
        <f>HLOOKUP(AS$7,$I$66:$DJ$120,ROWS($A$10:$A15)+2,FALSE)</f>
        <v>8170</v>
      </c>
      <c r="AT15" s="25">
        <f>HLOOKUP(AT$7,$I$66:$DJ$120,ROWS($A$10:$A15)+2,FALSE)</f>
        <v>5708</v>
      </c>
      <c r="AU15" s="25">
        <f>HLOOKUP(AU$7,$I$66:$DJ$120,ROWS($A$10:$A15)+2,FALSE)</f>
        <v>20913</v>
      </c>
      <c r="AV15" s="25">
        <f>HLOOKUP(AV$7,$I$66:$DJ$120,ROWS($A$10:$A15)+2,FALSE)</f>
        <v>9948</v>
      </c>
      <c r="AW15" s="25">
        <f>HLOOKUP(AW$7,$I$66:$DJ$120,ROWS($A$10:$A15)+2,FALSE)</f>
        <v>526</v>
      </c>
      <c r="AX15" s="25">
        <f>HLOOKUP(AX$7,$I$66:$DJ$120,ROWS($A$10:$A15)+2,FALSE)</f>
        <v>5016</v>
      </c>
      <c r="AY15" s="25">
        <f>HLOOKUP(AY$7,$I$66:$DJ$120,ROWS($A$10:$A15)+2,FALSE)</f>
        <v>1604</v>
      </c>
      <c r="AZ15" s="25">
        <f>HLOOKUP(AZ$7,$I$66:$DJ$120,ROWS($A$10:$A15)+2,FALSE)</f>
        <v>4349</v>
      </c>
      <c r="BA15" s="25">
        <f>HLOOKUP(BA$7,$I$66:$DJ$120,ROWS($A$10:$A15)+2,FALSE)</f>
        <v>36582</v>
      </c>
      <c r="BB15" s="25">
        <f>HLOOKUP(BB$7,$I$66:$DJ$120,ROWS($A$10:$A15)+2,FALSE)</f>
        <v>10653</v>
      </c>
      <c r="BC15" s="25">
        <f>HLOOKUP(BC$7,$I$66:$DJ$120,ROWS($A$10:$A15)+2,FALSE)</f>
        <v>525</v>
      </c>
      <c r="BD15" s="25">
        <f>HLOOKUP(BD$7,$I$66:$DJ$120,ROWS($A$10:$A15)+2,FALSE)</f>
        <v>14232</v>
      </c>
      <c r="BE15" s="25">
        <f>HLOOKUP(BE$7,$I$66:$DJ$120,ROWS($A$10:$A15)+2,FALSE)</f>
        <v>30544</v>
      </c>
      <c r="BF15" s="25">
        <f>HLOOKUP(BF$7,$I$66:$DJ$120,ROWS($A$10:$A15)+2,FALSE)</f>
        <v>1446</v>
      </c>
      <c r="BG15" s="25">
        <f>HLOOKUP(BG$7,$I$66:$DJ$120,ROWS($A$10:$A15)+2,FALSE)</f>
        <v>6031</v>
      </c>
      <c r="BH15" s="25">
        <f>HLOOKUP(BH$7,$I$66:$DJ$120,ROWS($A$10:$A15)+2,FALSE)</f>
        <v>1336</v>
      </c>
      <c r="BI15" s="25">
        <f>HLOOKUP(BI$7,$I$66:$DJ$120,ROWS($A$10:$A15)+2,FALSE)</f>
        <v>1223</v>
      </c>
      <c r="BJ15" s="34">
        <f>HLOOKUP(BJ$7+0.5,$I$66:$DJ$120,ROWS($A$10:$A15)+2,FALSE)</f>
        <v>18415</v>
      </c>
      <c r="BK15" s="34">
        <f>HLOOKUP(BK$7+0.5,$I$66:$DJ$120,ROWS($A$10:$A15)+2,FALSE)</f>
        <v>1977</v>
      </c>
      <c r="BL15" s="34">
        <f>HLOOKUP(BL$7+0.5,$I$66:$DJ$120,ROWS($A$10:$A15)+2,FALSE)</f>
        <v>2911</v>
      </c>
      <c r="BM15" s="34">
        <f>HLOOKUP(BM$7+0.5,$I$66:$DJ$120,ROWS($A$10:$A15)+2,FALSE)</f>
        <v>4816</v>
      </c>
      <c r="BN15" s="34">
        <f>HLOOKUP(BN$7+0.5,$I$66:$DJ$120,ROWS($A$10:$A15)+2,FALSE)</f>
        <v>1340</v>
      </c>
      <c r="BO15" s="34" t="str">
        <f>HLOOKUP(BO$7+0.5,$I$66:$DJ$120,ROWS($A$10:$A15)+2,FALSE)</f>
        <v>N/A</v>
      </c>
      <c r="BP15" s="34">
        <f>HLOOKUP(BP$7+0.5,$I$66:$DJ$120,ROWS($A$10:$A15)+2,FALSE)</f>
        <v>3236</v>
      </c>
      <c r="BQ15" s="34">
        <f>HLOOKUP(BQ$7+0.5,$I$66:$DJ$120,ROWS($A$10:$A15)+2,FALSE)</f>
        <v>1802</v>
      </c>
      <c r="BR15" s="34">
        <f>HLOOKUP(BR$7+0.5,$I$66:$DJ$120,ROWS($A$10:$A15)+2,FALSE)</f>
        <v>408</v>
      </c>
      <c r="BS15" s="34">
        <f>HLOOKUP(BS$7+0.5,$I$66:$DJ$120,ROWS($A$10:$A15)+2,FALSE)</f>
        <v>1306</v>
      </c>
      <c r="BT15" s="34">
        <f>HLOOKUP(BT$7+0.5,$I$66:$DJ$120,ROWS($A$10:$A15)+2,FALSE)</f>
        <v>4008</v>
      </c>
      <c r="BU15" s="34">
        <f>HLOOKUP(BU$7+0.5,$I$66:$DJ$120,ROWS($A$10:$A15)+2,FALSE)</f>
        <v>2545</v>
      </c>
      <c r="BV15" s="34">
        <f>HLOOKUP(BV$7+0.5,$I$66:$DJ$120,ROWS($A$10:$A15)+2,FALSE)</f>
        <v>2191</v>
      </c>
      <c r="BW15" s="34">
        <f>HLOOKUP(BW$7+0.5,$I$66:$DJ$120,ROWS($A$10:$A15)+2,FALSE)</f>
        <v>1572</v>
      </c>
      <c r="BX15" s="34">
        <f>HLOOKUP(BX$7+0.5,$I$66:$DJ$120,ROWS($A$10:$A15)+2,FALSE)</f>
        <v>2806</v>
      </c>
      <c r="BY15" s="34">
        <f>HLOOKUP(BY$7+0.5,$I$66:$DJ$120,ROWS($A$10:$A15)+2,FALSE)</f>
        <v>1860</v>
      </c>
      <c r="BZ15" s="34">
        <f>HLOOKUP(BZ$7+0.5,$I$66:$DJ$120,ROWS($A$10:$A15)+2,FALSE)</f>
        <v>1259</v>
      </c>
      <c r="CA15" s="34">
        <f>HLOOKUP(CA$7+0.5,$I$66:$DJ$120,ROWS($A$10:$A15)+2,FALSE)</f>
        <v>1813</v>
      </c>
      <c r="CB15" s="34">
        <f>HLOOKUP(CB$7+0.5,$I$66:$DJ$120,ROWS($A$10:$A15)+2,FALSE)</f>
        <v>1797</v>
      </c>
      <c r="CC15" s="34">
        <f>HLOOKUP(CC$7+0.5,$I$66:$DJ$120,ROWS($A$10:$A15)+2,FALSE)</f>
        <v>1207</v>
      </c>
      <c r="CD15" s="34">
        <f>HLOOKUP(CD$7+0.5,$I$66:$DJ$120,ROWS($A$10:$A15)+2,FALSE)</f>
        <v>1139</v>
      </c>
      <c r="CE15" s="34">
        <f>HLOOKUP(CE$7+0.5,$I$66:$DJ$120,ROWS($A$10:$A15)+2,FALSE)</f>
        <v>2848</v>
      </c>
      <c r="CF15" s="34">
        <f>HLOOKUP(CF$7+0.5,$I$66:$DJ$120,ROWS($A$10:$A15)+2,FALSE)</f>
        <v>2774</v>
      </c>
      <c r="CG15" s="34">
        <f>HLOOKUP(CG$7+0.5,$I$66:$DJ$120,ROWS($A$10:$A15)+2,FALSE)</f>
        <v>2487</v>
      </c>
      <c r="CH15" s="34">
        <f>HLOOKUP(CH$7+0.5,$I$66:$DJ$120,ROWS($A$10:$A15)+2,FALSE)</f>
        <v>1319</v>
      </c>
      <c r="CI15" s="34">
        <f>HLOOKUP(CI$7+0.5,$I$66:$DJ$120,ROWS($A$10:$A15)+2,FALSE)</f>
        <v>1338</v>
      </c>
      <c r="CJ15" s="34">
        <f>HLOOKUP(CJ$7+0.5,$I$66:$DJ$120,ROWS($A$10:$A15)+2,FALSE)</f>
        <v>2357</v>
      </c>
      <c r="CK15" s="34">
        <f>HLOOKUP(CK$7+0.5,$I$66:$DJ$120,ROWS($A$10:$A15)+2,FALSE)</f>
        <v>1511</v>
      </c>
      <c r="CL15" s="34">
        <f>HLOOKUP(CL$7+0.5,$I$66:$DJ$120,ROWS($A$10:$A15)+2,FALSE)</f>
        <v>1860</v>
      </c>
      <c r="CM15" s="34">
        <f>HLOOKUP(CM$7+0.5,$I$66:$DJ$120,ROWS($A$10:$A15)+2,FALSE)</f>
        <v>4878</v>
      </c>
      <c r="CN15" s="34">
        <f>HLOOKUP(CN$7+0.5,$I$66:$DJ$120,ROWS($A$10:$A15)+2,FALSE)</f>
        <v>1059</v>
      </c>
      <c r="CO15" s="34">
        <f>HLOOKUP(CO$7+0.5,$I$66:$DJ$120,ROWS($A$10:$A15)+2,FALSE)</f>
        <v>2848</v>
      </c>
      <c r="CP15" s="34">
        <f>HLOOKUP(CP$7+0.5,$I$66:$DJ$120,ROWS($A$10:$A15)+2,FALSE)</f>
        <v>1266</v>
      </c>
      <c r="CQ15" s="34">
        <f>HLOOKUP(CQ$7+0.5,$I$66:$DJ$120,ROWS($A$10:$A15)+2,FALSE)</f>
        <v>2977</v>
      </c>
      <c r="CR15" s="34">
        <f>HLOOKUP(CR$7+0.5,$I$66:$DJ$120,ROWS($A$10:$A15)+2,FALSE)</f>
        <v>2005</v>
      </c>
      <c r="CS15" s="34">
        <f>HLOOKUP(CS$7+0.5,$I$66:$DJ$120,ROWS($A$10:$A15)+2,FALSE)</f>
        <v>343</v>
      </c>
      <c r="CT15" s="34">
        <f>HLOOKUP(CT$7+0.5,$I$66:$DJ$120,ROWS($A$10:$A15)+2,FALSE)</f>
        <v>2399</v>
      </c>
      <c r="CU15" s="34">
        <f>HLOOKUP(CU$7+0.5,$I$66:$DJ$120,ROWS($A$10:$A15)+2,FALSE)</f>
        <v>1591</v>
      </c>
      <c r="CV15" s="34">
        <f>HLOOKUP(CV$7+0.5,$I$66:$DJ$120,ROWS($A$10:$A15)+2,FALSE)</f>
        <v>3580</v>
      </c>
      <c r="CW15" s="34">
        <f>HLOOKUP(CW$7+0.5,$I$66:$DJ$120,ROWS($A$10:$A15)+2,FALSE)</f>
        <v>1991</v>
      </c>
      <c r="CX15" s="34">
        <f>HLOOKUP(CX$7+0.5,$I$66:$DJ$120,ROWS($A$10:$A15)+2,FALSE)</f>
        <v>264</v>
      </c>
      <c r="CY15" s="34">
        <f>HLOOKUP(CY$7+0.5,$I$66:$DJ$120,ROWS($A$10:$A15)+2,FALSE)</f>
        <v>2183</v>
      </c>
      <c r="CZ15" s="34">
        <f>HLOOKUP(CZ$7+0.5,$I$66:$DJ$120,ROWS($A$10:$A15)+2,FALSE)</f>
        <v>1117</v>
      </c>
      <c r="DA15" s="34">
        <f>HLOOKUP(DA$7+0.5,$I$66:$DJ$120,ROWS($A$10:$A15)+2,FALSE)</f>
        <v>1174</v>
      </c>
      <c r="DB15" s="34">
        <f>HLOOKUP(DB$7+0.5,$I$66:$DJ$120,ROWS($A$10:$A15)+2,FALSE)</f>
        <v>5299</v>
      </c>
      <c r="DC15" s="34">
        <f>HLOOKUP(DC$7+0.5,$I$66:$DJ$120,ROWS($A$10:$A15)+2,FALSE)</f>
        <v>2235</v>
      </c>
      <c r="DD15" s="34">
        <f>HLOOKUP(DD$7+0.5,$I$66:$DJ$120,ROWS($A$10:$A15)+2,FALSE)</f>
        <v>369</v>
      </c>
      <c r="DE15" s="34">
        <f>HLOOKUP(DE$7+0.5,$I$66:$DJ$120,ROWS($A$10:$A15)+2,FALSE)</f>
        <v>2597</v>
      </c>
      <c r="DF15" s="34">
        <f>HLOOKUP(DF$7+0.5,$I$66:$DJ$120,ROWS($A$10:$A15)+2,FALSE)</f>
        <v>4481</v>
      </c>
      <c r="DG15" s="34">
        <f>HLOOKUP(DG$7+0.5,$I$66:$DJ$120,ROWS($A$10:$A15)+2,FALSE)</f>
        <v>919</v>
      </c>
      <c r="DH15" s="34">
        <f>HLOOKUP(DH$7+0.5,$I$66:$DJ$120,ROWS($A$10:$A15)+2,FALSE)</f>
        <v>2181</v>
      </c>
      <c r="DI15" s="34">
        <f>HLOOKUP(DI$7+0.5,$I$66:$DJ$120,ROWS($A$10:$A15)+2,FALSE)</f>
        <v>664</v>
      </c>
      <c r="DJ15" s="34">
        <f>HLOOKUP(DJ$7+0.5,$I$66:$DJ$120,ROWS($A$10:$A15)+2,FALSE)</f>
        <v>1128</v>
      </c>
    </row>
    <row r="16" spans="1:114" x14ac:dyDescent="0.25">
      <c r="B16" s="38" t="s">
        <v>12</v>
      </c>
      <c r="C16" s="16">
        <v>4988190</v>
      </c>
      <c r="D16" s="17">
        <v>3936</v>
      </c>
      <c r="E16" s="16">
        <v>4042039</v>
      </c>
      <c r="F16" s="17">
        <v>25546</v>
      </c>
      <c r="G16" s="16">
        <v>725413</v>
      </c>
      <c r="H16" s="17">
        <v>23003</v>
      </c>
      <c r="I16" s="36">
        <f>HLOOKUP(I$7,$I$66:$DJ$120,ROWS($A$10:$A16)+2,FALSE)</f>
        <v>186366</v>
      </c>
      <c r="J16" s="25">
        <f>HLOOKUP(J$7,$I$66:$DJ$120,ROWS($A$10:$A16)+2,FALSE)</f>
        <v>954</v>
      </c>
      <c r="K16" s="25">
        <f>HLOOKUP(K$7,$I$66:$DJ$120,ROWS($A$10:$A16)+2,FALSE)</f>
        <v>2225</v>
      </c>
      <c r="L16" s="25">
        <f>HLOOKUP(L$7,$I$66:$DJ$120,ROWS($A$10:$A16)+2,FALSE)</f>
        <v>12287</v>
      </c>
      <c r="M16" s="25">
        <f>HLOOKUP(M$7,$I$66:$DJ$120,ROWS($A$10:$A16)+2,FALSE)</f>
        <v>1034</v>
      </c>
      <c r="N16" s="25">
        <f>HLOOKUP(N$7,$I$66:$DJ$120,ROWS($A$10:$A16)+2,FALSE)</f>
        <v>26089</v>
      </c>
      <c r="O16" s="25" t="str">
        <f>HLOOKUP(O$7,$I$66:$DJ$120,ROWS($A$10:$A16)+2,FALSE)</f>
        <v>N/A</v>
      </c>
      <c r="P16" s="25">
        <f>HLOOKUP(P$7,$I$66:$DJ$120,ROWS($A$10:$A16)+2,FALSE)</f>
        <v>459</v>
      </c>
      <c r="Q16" s="25">
        <f>HLOOKUP(Q$7,$I$66:$DJ$120,ROWS($A$10:$A16)+2,FALSE)</f>
        <v>486</v>
      </c>
      <c r="R16" s="25">
        <f>HLOOKUP(R$7,$I$66:$DJ$120,ROWS($A$10:$A16)+2,FALSE)</f>
        <v>479</v>
      </c>
      <c r="S16" s="25">
        <f>HLOOKUP(S$7,$I$66:$DJ$120,ROWS($A$10:$A16)+2,FALSE)</f>
        <v>8849</v>
      </c>
      <c r="T16" s="25">
        <f>HLOOKUP(T$7,$I$66:$DJ$120,ROWS($A$10:$A16)+2,FALSE)</f>
        <v>6445</v>
      </c>
      <c r="U16" s="25">
        <f>HLOOKUP(U$7,$I$66:$DJ$120,ROWS($A$10:$A16)+2,FALSE)</f>
        <v>2355</v>
      </c>
      <c r="V16" s="25">
        <f>HLOOKUP(V$7,$I$66:$DJ$120,ROWS($A$10:$A16)+2,FALSE)</f>
        <v>839</v>
      </c>
      <c r="W16" s="25">
        <f>HLOOKUP(W$7,$I$66:$DJ$120,ROWS($A$10:$A16)+2,FALSE)</f>
        <v>6950</v>
      </c>
      <c r="X16" s="25">
        <f>HLOOKUP(X$7,$I$66:$DJ$120,ROWS($A$10:$A16)+2,FALSE)</f>
        <v>3296</v>
      </c>
      <c r="Y16" s="25">
        <f>HLOOKUP(Y$7,$I$66:$DJ$120,ROWS($A$10:$A16)+2,FALSE)</f>
        <v>2140</v>
      </c>
      <c r="Z16" s="25">
        <f>HLOOKUP(Z$7,$I$66:$DJ$120,ROWS($A$10:$A16)+2,FALSE)</f>
        <v>4308</v>
      </c>
      <c r="AA16" s="25">
        <f>HLOOKUP(AA$7,$I$66:$DJ$120,ROWS($A$10:$A16)+2,FALSE)</f>
        <v>1961</v>
      </c>
      <c r="AB16" s="25">
        <f>HLOOKUP(AB$7,$I$66:$DJ$120,ROWS($A$10:$A16)+2,FALSE)</f>
        <v>968</v>
      </c>
      <c r="AC16" s="25">
        <f>HLOOKUP(AC$7,$I$66:$DJ$120,ROWS($A$10:$A16)+2,FALSE)</f>
        <v>532</v>
      </c>
      <c r="AD16" s="25">
        <f>HLOOKUP(AD$7,$I$66:$DJ$120,ROWS($A$10:$A16)+2,FALSE)</f>
        <v>1532</v>
      </c>
      <c r="AE16" s="25">
        <f>HLOOKUP(AE$7,$I$66:$DJ$120,ROWS($A$10:$A16)+2,FALSE)</f>
        <v>2242</v>
      </c>
      <c r="AF16" s="25">
        <f>HLOOKUP(AF$7,$I$66:$DJ$120,ROWS($A$10:$A16)+2,FALSE)</f>
        <v>4587</v>
      </c>
      <c r="AG16" s="25">
        <f>HLOOKUP(AG$7,$I$66:$DJ$120,ROWS($A$10:$A16)+2,FALSE)</f>
        <v>2878</v>
      </c>
      <c r="AH16" s="25">
        <f>HLOOKUP(AH$7,$I$66:$DJ$120,ROWS($A$10:$A16)+2,FALSE)</f>
        <v>1277</v>
      </c>
      <c r="AI16" s="25">
        <f>HLOOKUP(AI$7,$I$66:$DJ$120,ROWS($A$10:$A16)+2,FALSE)</f>
        <v>1978</v>
      </c>
      <c r="AJ16" s="25">
        <f>HLOOKUP(AJ$7,$I$66:$DJ$120,ROWS($A$10:$A16)+2,FALSE)</f>
        <v>2042</v>
      </c>
      <c r="AK16" s="25">
        <f>HLOOKUP(AK$7,$I$66:$DJ$120,ROWS($A$10:$A16)+2,FALSE)</f>
        <v>4065</v>
      </c>
      <c r="AL16" s="25">
        <f>HLOOKUP(AL$7,$I$66:$DJ$120,ROWS($A$10:$A16)+2,FALSE)</f>
        <v>4131</v>
      </c>
      <c r="AM16" s="25">
        <f>HLOOKUP(AM$7,$I$66:$DJ$120,ROWS($A$10:$A16)+2,FALSE)</f>
        <v>791</v>
      </c>
      <c r="AN16" s="25">
        <f>HLOOKUP(AN$7,$I$66:$DJ$120,ROWS($A$10:$A16)+2,FALSE)</f>
        <v>1259</v>
      </c>
      <c r="AO16" s="25">
        <f>HLOOKUP(AO$7,$I$66:$DJ$120,ROWS($A$10:$A16)+2,FALSE)</f>
        <v>3921</v>
      </c>
      <c r="AP16" s="25">
        <f>HLOOKUP(AP$7,$I$66:$DJ$120,ROWS($A$10:$A16)+2,FALSE)</f>
        <v>4594</v>
      </c>
      <c r="AQ16" s="25">
        <f>HLOOKUP(AQ$7,$I$66:$DJ$120,ROWS($A$10:$A16)+2,FALSE)</f>
        <v>2940</v>
      </c>
      <c r="AR16" s="25">
        <f>HLOOKUP(AR$7,$I$66:$DJ$120,ROWS($A$10:$A16)+2,FALSE)</f>
        <v>802</v>
      </c>
      <c r="AS16" s="25">
        <f>HLOOKUP(AS$7,$I$66:$DJ$120,ROWS($A$10:$A16)+2,FALSE)</f>
        <v>2838</v>
      </c>
      <c r="AT16" s="25">
        <f>HLOOKUP(AT$7,$I$66:$DJ$120,ROWS($A$10:$A16)+2,FALSE)</f>
        <v>3464</v>
      </c>
      <c r="AU16" s="25">
        <f>HLOOKUP(AU$7,$I$66:$DJ$120,ROWS($A$10:$A16)+2,FALSE)</f>
        <v>4330</v>
      </c>
      <c r="AV16" s="25">
        <f>HLOOKUP(AV$7,$I$66:$DJ$120,ROWS($A$10:$A16)+2,FALSE)</f>
        <v>3928</v>
      </c>
      <c r="AW16" s="25">
        <f>HLOOKUP(AW$7,$I$66:$DJ$120,ROWS($A$10:$A16)+2,FALSE)</f>
        <v>192</v>
      </c>
      <c r="AX16" s="25">
        <f>HLOOKUP(AX$7,$I$66:$DJ$120,ROWS($A$10:$A16)+2,FALSE)</f>
        <v>1231</v>
      </c>
      <c r="AY16" s="25">
        <f>HLOOKUP(AY$7,$I$66:$DJ$120,ROWS($A$10:$A16)+2,FALSE)</f>
        <v>1847</v>
      </c>
      <c r="AZ16" s="25">
        <f>HLOOKUP(AZ$7,$I$66:$DJ$120,ROWS($A$10:$A16)+2,FALSE)</f>
        <v>1628</v>
      </c>
      <c r="BA16" s="25">
        <f>HLOOKUP(BA$7,$I$66:$DJ$120,ROWS($A$10:$A16)+2,FALSE)</f>
        <v>22253</v>
      </c>
      <c r="BB16" s="25">
        <f>HLOOKUP(BB$7,$I$66:$DJ$120,ROWS($A$10:$A16)+2,FALSE)</f>
        <v>4748</v>
      </c>
      <c r="BC16" s="25">
        <f>HLOOKUP(BC$7,$I$66:$DJ$120,ROWS($A$10:$A16)+2,FALSE)</f>
        <v>350</v>
      </c>
      <c r="BD16" s="25">
        <f>HLOOKUP(BD$7,$I$66:$DJ$120,ROWS($A$10:$A16)+2,FALSE)</f>
        <v>2739</v>
      </c>
      <c r="BE16" s="25">
        <f>HLOOKUP(BE$7,$I$66:$DJ$120,ROWS($A$10:$A16)+2,FALSE)</f>
        <v>7583</v>
      </c>
      <c r="BF16" s="25">
        <f>HLOOKUP(BF$7,$I$66:$DJ$120,ROWS($A$10:$A16)+2,FALSE)</f>
        <v>623</v>
      </c>
      <c r="BG16" s="25">
        <f>HLOOKUP(BG$7,$I$66:$DJ$120,ROWS($A$10:$A16)+2,FALSE)</f>
        <v>2499</v>
      </c>
      <c r="BH16" s="25">
        <f>HLOOKUP(BH$7,$I$66:$DJ$120,ROWS($A$10:$A16)+2,FALSE)</f>
        <v>4418</v>
      </c>
      <c r="BI16" s="25">
        <f>HLOOKUP(BI$7,$I$66:$DJ$120,ROWS($A$10:$A16)+2,FALSE)</f>
        <v>874</v>
      </c>
      <c r="BJ16" s="34">
        <f>HLOOKUP(BJ$7+0.5,$I$66:$DJ$120,ROWS($A$10:$A16)+2,FALSE)</f>
        <v>9897</v>
      </c>
      <c r="BK16" s="34">
        <f>HLOOKUP(BK$7+0.5,$I$66:$DJ$120,ROWS($A$10:$A16)+2,FALSE)</f>
        <v>803</v>
      </c>
      <c r="BL16" s="34">
        <f>HLOOKUP(BL$7+0.5,$I$66:$DJ$120,ROWS($A$10:$A16)+2,FALSE)</f>
        <v>1220</v>
      </c>
      <c r="BM16" s="34">
        <f>HLOOKUP(BM$7+0.5,$I$66:$DJ$120,ROWS($A$10:$A16)+2,FALSE)</f>
        <v>2324</v>
      </c>
      <c r="BN16" s="34">
        <f>HLOOKUP(BN$7+0.5,$I$66:$DJ$120,ROWS($A$10:$A16)+2,FALSE)</f>
        <v>739</v>
      </c>
      <c r="BO16" s="34">
        <f>HLOOKUP(BO$7+0.5,$I$66:$DJ$120,ROWS($A$10:$A16)+2,FALSE)</f>
        <v>4183</v>
      </c>
      <c r="BP16" s="34" t="str">
        <f>HLOOKUP(BP$7+0.5,$I$66:$DJ$120,ROWS($A$10:$A16)+2,FALSE)</f>
        <v>N/A</v>
      </c>
      <c r="BQ16" s="34">
        <f>HLOOKUP(BQ$7+0.5,$I$66:$DJ$120,ROWS($A$10:$A16)+2,FALSE)</f>
        <v>360</v>
      </c>
      <c r="BR16" s="34">
        <f>HLOOKUP(BR$7+0.5,$I$66:$DJ$120,ROWS($A$10:$A16)+2,FALSE)</f>
        <v>486</v>
      </c>
      <c r="BS16" s="34">
        <f>HLOOKUP(BS$7+0.5,$I$66:$DJ$120,ROWS($A$10:$A16)+2,FALSE)</f>
        <v>381</v>
      </c>
      <c r="BT16" s="34">
        <f>HLOOKUP(BT$7+0.5,$I$66:$DJ$120,ROWS($A$10:$A16)+2,FALSE)</f>
        <v>2300</v>
      </c>
      <c r="BU16" s="34">
        <f>HLOOKUP(BU$7+0.5,$I$66:$DJ$120,ROWS($A$10:$A16)+2,FALSE)</f>
        <v>2553</v>
      </c>
      <c r="BV16" s="34">
        <f>HLOOKUP(BV$7+0.5,$I$66:$DJ$120,ROWS($A$10:$A16)+2,FALSE)</f>
        <v>1220</v>
      </c>
      <c r="BW16" s="34">
        <f>HLOOKUP(BW$7+0.5,$I$66:$DJ$120,ROWS($A$10:$A16)+2,FALSE)</f>
        <v>572</v>
      </c>
      <c r="BX16" s="34">
        <f>HLOOKUP(BX$7+0.5,$I$66:$DJ$120,ROWS($A$10:$A16)+2,FALSE)</f>
        <v>1968</v>
      </c>
      <c r="BY16" s="34">
        <f>HLOOKUP(BY$7+0.5,$I$66:$DJ$120,ROWS($A$10:$A16)+2,FALSE)</f>
        <v>1584</v>
      </c>
      <c r="BZ16" s="34">
        <f>HLOOKUP(BZ$7+0.5,$I$66:$DJ$120,ROWS($A$10:$A16)+2,FALSE)</f>
        <v>1179</v>
      </c>
      <c r="CA16" s="34">
        <f>HLOOKUP(CA$7+0.5,$I$66:$DJ$120,ROWS($A$10:$A16)+2,FALSE)</f>
        <v>1577</v>
      </c>
      <c r="CB16" s="34">
        <f>HLOOKUP(CB$7+0.5,$I$66:$DJ$120,ROWS($A$10:$A16)+2,FALSE)</f>
        <v>1194</v>
      </c>
      <c r="CC16" s="34">
        <f>HLOOKUP(CC$7+0.5,$I$66:$DJ$120,ROWS($A$10:$A16)+2,FALSE)</f>
        <v>664</v>
      </c>
      <c r="CD16" s="34">
        <f>HLOOKUP(CD$7+0.5,$I$66:$DJ$120,ROWS($A$10:$A16)+2,FALSE)</f>
        <v>385</v>
      </c>
      <c r="CE16" s="34">
        <f>HLOOKUP(CE$7+0.5,$I$66:$DJ$120,ROWS($A$10:$A16)+2,FALSE)</f>
        <v>978</v>
      </c>
      <c r="CF16" s="34">
        <f>HLOOKUP(CF$7+0.5,$I$66:$DJ$120,ROWS($A$10:$A16)+2,FALSE)</f>
        <v>778</v>
      </c>
      <c r="CG16" s="34">
        <f>HLOOKUP(CG$7+0.5,$I$66:$DJ$120,ROWS($A$10:$A16)+2,FALSE)</f>
        <v>1679</v>
      </c>
      <c r="CH16" s="34">
        <f>HLOOKUP(CH$7+0.5,$I$66:$DJ$120,ROWS($A$10:$A16)+2,FALSE)</f>
        <v>1093</v>
      </c>
      <c r="CI16" s="34">
        <f>HLOOKUP(CI$7+0.5,$I$66:$DJ$120,ROWS($A$10:$A16)+2,FALSE)</f>
        <v>883</v>
      </c>
      <c r="CJ16" s="34">
        <f>HLOOKUP(CJ$7+0.5,$I$66:$DJ$120,ROWS($A$10:$A16)+2,FALSE)</f>
        <v>803</v>
      </c>
      <c r="CK16" s="34">
        <f>HLOOKUP(CK$7+0.5,$I$66:$DJ$120,ROWS($A$10:$A16)+2,FALSE)</f>
        <v>1490</v>
      </c>
      <c r="CL16" s="34">
        <f>HLOOKUP(CL$7+0.5,$I$66:$DJ$120,ROWS($A$10:$A16)+2,FALSE)</f>
        <v>1455</v>
      </c>
      <c r="CM16" s="34">
        <f>HLOOKUP(CM$7+0.5,$I$66:$DJ$120,ROWS($A$10:$A16)+2,FALSE)</f>
        <v>1784</v>
      </c>
      <c r="CN16" s="34">
        <f>HLOOKUP(CN$7+0.5,$I$66:$DJ$120,ROWS($A$10:$A16)+2,FALSE)</f>
        <v>521</v>
      </c>
      <c r="CO16" s="34">
        <f>HLOOKUP(CO$7+0.5,$I$66:$DJ$120,ROWS($A$10:$A16)+2,FALSE)</f>
        <v>537</v>
      </c>
      <c r="CP16" s="34">
        <f>HLOOKUP(CP$7+0.5,$I$66:$DJ$120,ROWS($A$10:$A16)+2,FALSE)</f>
        <v>1326</v>
      </c>
      <c r="CQ16" s="34">
        <f>HLOOKUP(CQ$7+0.5,$I$66:$DJ$120,ROWS($A$10:$A16)+2,FALSE)</f>
        <v>1518</v>
      </c>
      <c r="CR16" s="34">
        <f>HLOOKUP(CR$7+0.5,$I$66:$DJ$120,ROWS($A$10:$A16)+2,FALSE)</f>
        <v>1376</v>
      </c>
      <c r="CS16" s="34">
        <f>HLOOKUP(CS$7+0.5,$I$66:$DJ$120,ROWS($A$10:$A16)+2,FALSE)</f>
        <v>598</v>
      </c>
      <c r="CT16" s="34">
        <f>HLOOKUP(CT$7+0.5,$I$66:$DJ$120,ROWS($A$10:$A16)+2,FALSE)</f>
        <v>1325</v>
      </c>
      <c r="CU16" s="34">
        <f>HLOOKUP(CU$7+0.5,$I$66:$DJ$120,ROWS($A$10:$A16)+2,FALSE)</f>
        <v>1440</v>
      </c>
      <c r="CV16" s="34">
        <f>HLOOKUP(CV$7+0.5,$I$66:$DJ$120,ROWS($A$10:$A16)+2,FALSE)</f>
        <v>1962</v>
      </c>
      <c r="CW16" s="34">
        <f>HLOOKUP(CW$7+0.5,$I$66:$DJ$120,ROWS($A$10:$A16)+2,FALSE)</f>
        <v>1124</v>
      </c>
      <c r="CX16" s="34">
        <f>HLOOKUP(CX$7+0.5,$I$66:$DJ$120,ROWS($A$10:$A16)+2,FALSE)</f>
        <v>248</v>
      </c>
      <c r="CY16" s="34">
        <f>HLOOKUP(CY$7+0.5,$I$66:$DJ$120,ROWS($A$10:$A16)+2,FALSE)</f>
        <v>796</v>
      </c>
      <c r="CZ16" s="34">
        <f>HLOOKUP(CZ$7+0.5,$I$66:$DJ$120,ROWS($A$10:$A16)+2,FALSE)</f>
        <v>826</v>
      </c>
      <c r="DA16" s="34">
        <f>HLOOKUP(DA$7+0.5,$I$66:$DJ$120,ROWS($A$10:$A16)+2,FALSE)</f>
        <v>706</v>
      </c>
      <c r="DB16" s="34">
        <f>HLOOKUP(DB$7+0.5,$I$66:$DJ$120,ROWS($A$10:$A16)+2,FALSE)</f>
        <v>4494</v>
      </c>
      <c r="DC16" s="34">
        <f>HLOOKUP(DC$7+0.5,$I$66:$DJ$120,ROWS($A$10:$A16)+2,FALSE)</f>
        <v>1658</v>
      </c>
      <c r="DD16" s="34">
        <f>HLOOKUP(DD$7+0.5,$I$66:$DJ$120,ROWS($A$10:$A16)+2,FALSE)</f>
        <v>246</v>
      </c>
      <c r="DE16" s="34">
        <f>HLOOKUP(DE$7+0.5,$I$66:$DJ$120,ROWS($A$10:$A16)+2,FALSE)</f>
        <v>1077</v>
      </c>
      <c r="DF16" s="34">
        <f>HLOOKUP(DF$7+0.5,$I$66:$DJ$120,ROWS($A$10:$A16)+2,FALSE)</f>
        <v>3004</v>
      </c>
      <c r="DG16" s="34">
        <f>HLOOKUP(DG$7+0.5,$I$66:$DJ$120,ROWS($A$10:$A16)+2,FALSE)</f>
        <v>493</v>
      </c>
      <c r="DH16" s="34">
        <f>HLOOKUP(DH$7+0.5,$I$66:$DJ$120,ROWS($A$10:$A16)+2,FALSE)</f>
        <v>1153</v>
      </c>
      <c r="DI16" s="34">
        <f>HLOOKUP(DI$7+0.5,$I$66:$DJ$120,ROWS($A$10:$A16)+2,FALSE)</f>
        <v>1439</v>
      </c>
      <c r="DJ16" s="34">
        <f>HLOOKUP(DJ$7+0.5,$I$66:$DJ$120,ROWS($A$10:$A16)+2,FALSE)</f>
        <v>880</v>
      </c>
    </row>
    <row r="17" spans="2:114" x14ac:dyDescent="0.25">
      <c r="B17" s="38" t="s">
        <v>13</v>
      </c>
      <c r="C17" s="16">
        <v>3541146</v>
      </c>
      <c r="D17" s="17">
        <v>2779</v>
      </c>
      <c r="E17" s="16">
        <v>3100742</v>
      </c>
      <c r="F17" s="17">
        <v>16358</v>
      </c>
      <c r="G17" s="16">
        <v>342904</v>
      </c>
      <c r="H17" s="17">
        <v>15404</v>
      </c>
      <c r="I17" s="36">
        <f>HLOOKUP(I$7,$I$66:$DJ$120,ROWS($A$10:$A17)+2,FALSE)</f>
        <v>77333</v>
      </c>
      <c r="J17" s="25">
        <f>HLOOKUP(J$7,$I$66:$DJ$120,ROWS($A$10:$A17)+2,FALSE)</f>
        <v>896</v>
      </c>
      <c r="K17" s="25">
        <f>HLOOKUP(K$7,$I$66:$DJ$120,ROWS($A$10:$A17)+2,FALSE)</f>
        <v>0</v>
      </c>
      <c r="L17" s="25">
        <f>HLOOKUP(L$7,$I$66:$DJ$120,ROWS($A$10:$A17)+2,FALSE)</f>
        <v>664</v>
      </c>
      <c r="M17" s="25">
        <f>HLOOKUP(M$7,$I$66:$DJ$120,ROWS($A$10:$A17)+2,FALSE)</f>
        <v>334</v>
      </c>
      <c r="N17" s="25">
        <f>HLOOKUP(N$7,$I$66:$DJ$120,ROWS($A$10:$A17)+2,FALSE)</f>
        <v>4479</v>
      </c>
      <c r="O17" s="25">
        <f>HLOOKUP(O$7,$I$66:$DJ$120,ROWS($A$10:$A17)+2,FALSE)</f>
        <v>547</v>
      </c>
      <c r="P17" s="25" t="str">
        <f>HLOOKUP(P$7,$I$66:$DJ$120,ROWS($A$10:$A17)+2,FALSE)</f>
        <v>N/A</v>
      </c>
      <c r="Q17" s="25">
        <f>HLOOKUP(Q$7,$I$66:$DJ$120,ROWS($A$10:$A17)+2,FALSE)</f>
        <v>149</v>
      </c>
      <c r="R17" s="25">
        <f>HLOOKUP(R$7,$I$66:$DJ$120,ROWS($A$10:$A17)+2,FALSE)</f>
        <v>331</v>
      </c>
      <c r="S17" s="25">
        <f>HLOOKUP(S$7,$I$66:$DJ$120,ROWS($A$10:$A17)+2,FALSE)</f>
        <v>9207</v>
      </c>
      <c r="T17" s="25">
        <f>HLOOKUP(T$7,$I$66:$DJ$120,ROWS($A$10:$A17)+2,FALSE)</f>
        <v>748</v>
      </c>
      <c r="U17" s="25">
        <f>HLOOKUP(U$7,$I$66:$DJ$120,ROWS($A$10:$A17)+2,FALSE)</f>
        <v>182</v>
      </c>
      <c r="V17" s="25">
        <f>HLOOKUP(V$7,$I$66:$DJ$120,ROWS($A$10:$A17)+2,FALSE)</f>
        <v>147</v>
      </c>
      <c r="W17" s="25">
        <f>HLOOKUP(W$7,$I$66:$DJ$120,ROWS($A$10:$A17)+2,FALSE)</f>
        <v>3391</v>
      </c>
      <c r="X17" s="25">
        <f>HLOOKUP(X$7,$I$66:$DJ$120,ROWS($A$10:$A17)+2,FALSE)</f>
        <v>1074</v>
      </c>
      <c r="Y17" s="25">
        <f>HLOOKUP(Y$7,$I$66:$DJ$120,ROWS($A$10:$A17)+2,FALSE)</f>
        <v>108</v>
      </c>
      <c r="Z17" s="25">
        <f>HLOOKUP(Z$7,$I$66:$DJ$120,ROWS($A$10:$A17)+2,FALSE)</f>
        <v>0</v>
      </c>
      <c r="AA17" s="25">
        <f>HLOOKUP(AA$7,$I$66:$DJ$120,ROWS($A$10:$A17)+2,FALSE)</f>
        <v>400</v>
      </c>
      <c r="AB17" s="25">
        <f>HLOOKUP(AB$7,$I$66:$DJ$120,ROWS($A$10:$A17)+2,FALSE)</f>
        <v>0</v>
      </c>
      <c r="AC17" s="25">
        <f>HLOOKUP(AC$7,$I$66:$DJ$120,ROWS($A$10:$A17)+2,FALSE)</f>
        <v>528</v>
      </c>
      <c r="AD17" s="25">
        <f>HLOOKUP(AD$7,$I$66:$DJ$120,ROWS($A$10:$A17)+2,FALSE)</f>
        <v>1531</v>
      </c>
      <c r="AE17" s="25">
        <f>HLOOKUP(AE$7,$I$66:$DJ$120,ROWS($A$10:$A17)+2,FALSE)</f>
        <v>8510</v>
      </c>
      <c r="AF17" s="25">
        <f>HLOOKUP(AF$7,$I$66:$DJ$120,ROWS($A$10:$A17)+2,FALSE)</f>
        <v>770</v>
      </c>
      <c r="AG17" s="25">
        <f>HLOOKUP(AG$7,$I$66:$DJ$120,ROWS($A$10:$A17)+2,FALSE)</f>
        <v>934</v>
      </c>
      <c r="AH17" s="25">
        <f>HLOOKUP(AH$7,$I$66:$DJ$120,ROWS($A$10:$A17)+2,FALSE)</f>
        <v>67</v>
      </c>
      <c r="AI17" s="25">
        <f>HLOOKUP(AI$7,$I$66:$DJ$120,ROWS($A$10:$A17)+2,FALSE)</f>
        <v>42</v>
      </c>
      <c r="AJ17" s="25">
        <f>HLOOKUP(AJ$7,$I$66:$DJ$120,ROWS($A$10:$A17)+2,FALSE)</f>
        <v>0</v>
      </c>
      <c r="AK17" s="25">
        <f>HLOOKUP(AK$7,$I$66:$DJ$120,ROWS($A$10:$A17)+2,FALSE)</f>
        <v>0</v>
      </c>
      <c r="AL17" s="25">
        <f>HLOOKUP(AL$7,$I$66:$DJ$120,ROWS($A$10:$A17)+2,FALSE)</f>
        <v>507</v>
      </c>
      <c r="AM17" s="25">
        <f>HLOOKUP(AM$7,$I$66:$DJ$120,ROWS($A$10:$A17)+2,FALSE)</f>
        <v>1049</v>
      </c>
      <c r="AN17" s="25">
        <f>HLOOKUP(AN$7,$I$66:$DJ$120,ROWS($A$10:$A17)+2,FALSE)</f>
        <v>3475</v>
      </c>
      <c r="AO17" s="25">
        <f>HLOOKUP(AO$7,$I$66:$DJ$120,ROWS($A$10:$A17)+2,FALSE)</f>
        <v>112</v>
      </c>
      <c r="AP17" s="25">
        <f>HLOOKUP(AP$7,$I$66:$DJ$120,ROWS($A$10:$A17)+2,FALSE)</f>
        <v>20727</v>
      </c>
      <c r="AQ17" s="25">
        <f>HLOOKUP(AQ$7,$I$66:$DJ$120,ROWS($A$10:$A17)+2,FALSE)</f>
        <v>1345</v>
      </c>
      <c r="AR17" s="25">
        <f>HLOOKUP(AR$7,$I$66:$DJ$120,ROWS($A$10:$A17)+2,FALSE)</f>
        <v>0</v>
      </c>
      <c r="AS17" s="25">
        <f>HLOOKUP(AS$7,$I$66:$DJ$120,ROWS($A$10:$A17)+2,FALSE)</f>
        <v>1296</v>
      </c>
      <c r="AT17" s="25">
        <f>HLOOKUP(AT$7,$I$66:$DJ$120,ROWS($A$10:$A17)+2,FALSE)</f>
        <v>145</v>
      </c>
      <c r="AU17" s="25">
        <f>HLOOKUP(AU$7,$I$66:$DJ$120,ROWS($A$10:$A17)+2,FALSE)</f>
        <v>640</v>
      </c>
      <c r="AV17" s="25">
        <f>HLOOKUP(AV$7,$I$66:$DJ$120,ROWS($A$10:$A17)+2,FALSE)</f>
        <v>1955</v>
      </c>
      <c r="AW17" s="25">
        <f>HLOOKUP(AW$7,$I$66:$DJ$120,ROWS($A$10:$A17)+2,FALSE)</f>
        <v>1728</v>
      </c>
      <c r="AX17" s="25">
        <f>HLOOKUP(AX$7,$I$66:$DJ$120,ROWS($A$10:$A17)+2,FALSE)</f>
        <v>1140</v>
      </c>
      <c r="AY17" s="25">
        <f>HLOOKUP(AY$7,$I$66:$DJ$120,ROWS($A$10:$A17)+2,FALSE)</f>
        <v>0</v>
      </c>
      <c r="AZ17" s="25">
        <f>HLOOKUP(AZ$7,$I$66:$DJ$120,ROWS($A$10:$A17)+2,FALSE)</f>
        <v>430</v>
      </c>
      <c r="BA17" s="25">
        <f>HLOOKUP(BA$7,$I$66:$DJ$120,ROWS($A$10:$A17)+2,FALSE)</f>
        <v>1887</v>
      </c>
      <c r="BB17" s="25">
        <f>HLOOKUP(BB$7,$I$66:$DJ$120,ROWS($A$10:$A17)+2,FALSE)</f>
        <v>0</v>
      </c>
      <c r="BC17" s="25">
        <f>HLOOKUP(BC$7,$I$66:$DJ$120,ROWS($A$10:$A17)+2,FALSE)</f>
        <v>458</v>
      </c>
      <c r="BD17" s="25">
        <f>HLOOKUP(BD$7,$I$66:$DJ$120,ROWS($A$10:$A17)+2,FALSE)</f>
        <v>1735</v>
      </c>
      <c r="BE17" s="25">
        <f>HLOOKUP(BE$7,$I$66:$DJ$120,ROWS($A$10:$A17)+2,FALSE)</f>
        <v>2084</v>
      </c>
      <c r="BF17" s="25">
        <f>HLOOKUP(BF$7,$I$66:$DJ$120,ROWS($A$10:$A17)+2,FALSE)</f>
        <v>442</v>
      </c>
      <c r="BG17" s="25">
        <f>HLOOKUP(BG$7,$I$66:$DJ$120,ROWS($A$10:$A17)+2,FALSE)</f>
        <v>1092</v>
      </c>
      <c r="BH17" s="25">
        <f>HLOOKUP(BH$7,$I$66:$DJ$120,ROWS($A$10:$A17)+2,FALSE)</f>
        <v>47</v>
      </c>
      <c r="BI17" s="25">
        <f>HLOOKUP(BI$7,$I$66:$DJ$120,ROWS($A$10:$A17)+2,FALSE)</f>
        <v>2027</v>
      </c>
      <c r="BJ17" s="34">
        <f>HLOOKUP(BJ$7+0.5,$I$66:$DJ$120,ROWS($A$10:$A17)+2,FALSE)</f>
        <v>6651</v>
      </c>
      <c r="BK17" s="34">
        <f>HLOOKUP(BK$7+0.5,$I$66:$DJ$120,ROWS($A$10:$A17)+2,FALSE)</f>
        <v>891</v>
      </c>
      <c r="BL17" s="34">
        <f>HLOOKUP(BL$7+0.5,$I$66:$DJ$120,ROWS($A$10:$A17)+2,FALSE)</f>
        <v>281</v>
      </c>
      <c r="BM17" s="34">
        <f>HLOOKUP(BM$7+0.5,$I$66:$DJ$120,ROWS($A$10:$A17)+2,FALSE)</f>
        <v>484</v>
      </c>
      <c r="BN17" s="34">
        <f>HLOOKUP(BN$7+0.5,$I$66:$DJ$120,ROWS($A$10:$A17)+2,FALSE)</f>
        <v>517</v>
      </c>
      <c r="BO17" s="34">
        <f>HLOOKUP(BO$7+0.5,$I$66:$DJ$120,ROWS($A$10:$A17)+2,FALSE)</f>
        <v>1653</v>
      </c>
      <c r="BP17" s="34">
        <f>HLOOKUP(BP$7+0.5,$I$66:$DJ$120,ROWS($A$10:$A17)+2,FALSE)</f>
        <v>487</v>
      </c>
      <c r="BQ17" s="34" t="str">
        <f>HLOOKUP(BQ$7+0.5,$I$66:$DJ$120,ROWS($A$10:$A17)+2,FALSE)</f>
        <v>N/A</v>
      </c>
      <c r="BR17" s="34">
        <f>HLOOKUP(BR$7+0.5,$I$66:$DJ$120,ROWS($A$10:$A17)+2,FALSE)</f>
        <v>227</v>
      </c>
      <c r="BS17" s="34">
        <f>HLOOKUP(BS$7+0.5,$I$66:$DJ$120,ROWS($A$10:$A17)+2,FALSE)</f>
        <v>343</v>
      </c>
      <c r="BT17" s="34">
        <f>HLOOKUP(BT$7+0.5,$I$66:$DJ$120,ROWS($A$10:$A17)+2,FALSE)</f>
        <v>2532</v>
      </c>
      <c r="BU17" s="34">
        <f>HLOOKUP(BU$7+0.5,$I$66:$DJ$120,ROWS($A$10:$A17)+2,FALSE)</f>
        <v>467</v>
      </c>
      <c r="BV17" s="34">
        <f>HLOOKUP(BV$7+0.5,$I$66:$DJ$120,ROWS($A$10:$A17)+2,FALSE)</f>
        <v>171</v>
      </c>
      <c r="BW17" s="34">
        <f>HLOOKUP(BW$7+0.5,$I$66:$DJ$120,ROWS($A$10:$A17)+2,FALSE)</f>
        <v>130</v>
      </c>
      <c r="BX17" s="34">
        <f>HLOOKUP(BX$7+0.5,$I$66:$DJ$120,ROWS($A$10:$A17)+2,FALSE)</f>
        <v>1847</v>
      </c>
      <c r="BY17" s="34">
        <f>HLOOKUP(BY$7+0.5,$I$66:$DJ$120,ROWS($A$10:$A17)+2,FALSE)</f>
        <v>798</v>
      </c>
      <c r="BZ17" s="34">
        <f>HLOOKUP(BZ$7+0.5,$I$66:$DJ$120,ROWS($A$10:$A17)+2,FALSE)</f>
        <v>131</v>
      </c>
      <c r="CA17" s="34">
        <f>HLOOKUP(CA$7+0.5,$I$66:$DJ$120,ROWS($A$10:$A17)+2,FALSE)</f>
        <v>281</v>
      </c>
      <c r="CB17" s="34">
        <f>HLOOKUP(CB$7+0.5,$I$66:$DJ$120,ROWS($A$10:$A17)+2,FALSE)</f>
        <v>430</v>
      </c>
      <c r="CC17" s="34">
        <f>HLOOKUP(CC$7+0.5,$I$66:$DJ$120,ROWS($A$10:$A17)+2,FALSE)</f>
        <v>281</v>
      </c>
      <c r="CD17" s="34">
        <f>HLOOKUP(CD$7+0.5,$I$66:$DJ$120,ROWS($A$10:$A17)+2,FALSE)</f>
        <v>447</v>
      </c>
      <c r="CE17" s="34">
        <f>HLOOKUP(CE$7+0.5,$I$66:$DJ$120,ROWS($A$10:$A17)+2,FALSE)</f>
        <v>814</v>
      </c>
      <c r="CF17" s="34">
        <f>HLOOKUP(CF$7+0.5,$I$66:$DJ$120,ROWS($A$10:$A17)+2,FALSE)</f>
        <v>2107</v>
      </c>
      <c r="CG17" s="34">
        <f>HLOOKUP(CG$7+0.5,$I$66:$DJ$120,ROWS($A$10:$A17)+2,FALSE)</f>
        <v>486</v>
      </c>
      <c r="CH17" s="34">
        <f>HLOOKUP(CH$7+0.5,$I$66:$DJ$120,ROWS($A$10:$A17)+2,FALSE)</f>
        <v>659</v>
      </c>
      <c r="CI17" s="34">
        <f>HLOOKUP(CI$7+0.5,$I$66:$DJ$120,ROWS($A$10:$A17)+2,FALSE)</f>
        <v>111</v>
      </c>
      <c r="CJ17" s="34">
        <f>HLOOKUP(CJ$7+0.5,$I$66:$DJ$120,ROWS($A$10:$A17)+2,FALSE)</f>
        <v>68</v>
      </c>
      <c r="CK17" s="34">
        <f>HLOOKUP(CK$7+0.5,$I$66:$DJ$120,ROWS($A$10:$A17)+2,FALSE)</f>
        <v>281</v>
      </c>
      <c r="CL17" s="34">
        <f>HLOOKUP(CL$7+0.5,$I$66:$DJ$120,ROWS($A$10:$A17)+2,FALSE)</f>
        <v>281</v>
      </c>
      <c r="CM17" s="34">
        <f>HLOOKUP(CM$7+0.5,$I$66:$DJ$120,ROWS($A$10:$A17)+2,FALSE)</f>
        <v>424</v>
      </c>
      <c r="CN17" s="34">
        <f>HLOOKUP(CN$7+0.5,$I$66:$DJ$120,ROWS($A$10:$A17)+2,FALSE)</f>
        <v>628</v>
      </c>
      <c r="CO17" s="34">
        <f>HLOOKUP(CO$7+0.5,$I$66:$DJ$120,ROWS($A$10:$A17)+2,FALSE)</f>
        <v>1175</v>
      </c>
      <c r="CP17" s="34">
        <f>HLOOKUP(CP$7+0.5,$I$66:$DJ$120,ROWS($A$10:$A17)+2,FALSE)</f>
        <v>189</v>
      </c>
      <c r="CQ17" s="34">
        <f>HLOOKUP(CQ$7+0.5,$I$66:$DJ$120,ROWS($A$10:$A17)+2,FALSE)</f>
        <v>3325</v>
      </c>
      <c r="CR17" s="34">
        <f>HLOOKUP(CR$7+0.5,$I$66:$DJ$120,ROWS($A$10:$A17)+2,FALSE)</f>
        <v>587</v>
      </c>
      <c r="CS17" s="34">
        <f>HLOOKUP(CS$7+0.5,$I$66:$DJ$120,ROWS($A$10:$A17)+2,FALSE)</f>
        <v>281</v>
      </c>
      <c r="CT17" s="34">
        <f>HLOOKUP(CT$7+0.5,$I$66:$DJ$120,ROWS($A$10:$A17)+2,FALSE)</f>
        <v>710</v>
      </c>
      <c r="CU17" s="34">
        <f>HLOOKUP(CU$7+0.5,$I$66:$DJ$120,ROWS($A$10:$A17)+2,FALSE)</f>
        <v>171</v>
      </c>
      <c r="CV17" s="34">
        <f>HLOOKUP(CV$7+0.5,$I$66:$DJ$120,ROWS($A$10:$A17)+2,FALSE)</f>
        <v>592</v>
      </c>
      <c r="CW17" s="34">
        <f>HLOOKUP(CW$7+0.5,$I$66:$DJ$120,ROWS($A$10:$A17)+2,FALSE)</f>
        <v>808</v>
      </c>
      <c r="CX17" s="34">
        <f>HLOOKUP(CX$7+0.5,$I$66:$DJ$120,ROWS($A$10:$A17)+2,FALSE)</f>
        <v>796</v>
      </c>
      <c r="CY17" s="34">
        <f>HLOOKUP(CY$7+0.5,$I$66:$DJ$120,ROWS($A$10:$A17)+2,FALSE)</f>
        <v>627</v>
      </c>
      <c r="CZ17" s="34">
        <f>HLOOKUP(CZ$7+0.5,$I$66:$DJ$120,ROWS($A$10:$A17)+2,FALSE)</f>
        <v>281</v>
      </c>
      <c r="DA17" s="34">
        <f>HLOOKUP(DA$7+0.5,$I$66:$DJ$120,ROWS($A$10:$A17)+2,FALSE)</f>
        <v>389</v>
      </c>
      <c r="DB17" s="34">
        <f>HLOOKUP(DB$7+0.5,$I$66:$DJ$120,ROWS($A$10:$A17)+2,FALSE)</f>
        <v>1100</v>
      </c>
      <c r="DC17" s="34">
        <f>HLOOKUP(DC$7+0.5,$I$66:$DJ$120,ROWS($A$10:$A17)+2,FALSE)</f>
        <v>281</v>
      </c>
      <c r="DD17" s="34">
        <f>HLOOKUP(DD$7+0.5,$I$66:$DJ$120,ROWS($A$10:$A17)+2,FALSE)</f>
        <v>419</v>
      </c>
      <c r="DE17" s="34">
        <f>HLOOKUP(DE$7+0.5,$I$66:$DJ$120,ROWS($A$10:$A17)+2,FALSE)</f>
        <v>691</v>
      </c>
      <c r="DF17" s="34">
        <f>HLOOKUP(DF$7+0.5,$I$66:$DJ$120,ROWS($A$10:$A17)+2,FALSE)</f>
        <v>1631</v>
      </c>
      <c r="DG17" s="34">
        <f>HLOOKUP(DG$7+0.5,$I$66:$DJ$120,ROWS($A$10:$A17)+2,FALSE)</f>
        <v>674</v>
      </c>
      <c r="DH17" s="34">
        <f>HLOOKUP(DH$7+0.5,$I$66:$DJ$120,ROWS($A$10:$A17)+2,FALSE)</f>
        <v>1321</v>
      </c>
      <c r="DI17" s="34">
        <f>HLOOKUP(DI$7+0.5,$I$66:$DJ$120,ROWS($A$10:$A17)+2,FALSE)</f>
        <v>78</v>
      </c>
      <c r="DJ17" s="34">
        <f>HLOOKUP(DJ$7+0.5,$I$66:$DJ$120,ROWS($A$10:$A17)+2,FALSE)</f>
        <v>1233</v>
      </c>
    </row>
    <row r="18" spans="2:114" x14ac:dyDescent="0.25">
      <c r="B18" s="38" t="s">
        <v>14</v>
      </c>
      <c r="C18" s="16">
        <v>889812</v>
      </c>
      <c r="D18" s="17">
        <v>1573</v>
      </c>
      <c r="E18" s="16">
        <v>764640</v>
      </c>
      <c r="F18" s="17">
        <v>9145</v>
      </c>
      <c r="G18" s="16">
        <v>90001</v>
      </c>
      <c r="H18" s="17">
        <v>8498</v>
      </c>
      <c r="I18" s="36">
        <f>HLOOKUP(I$7,$I$66:$DJ$120,ROWS($A$10:$A18)+2,FALSE)</f>
        <v>30759</v>
      </c>
      <c r="J18" s="25">
        <f>HLOOKUP(J$7,$I$66:$DJ$120,ROWS($A$10:$A18)+2,FALSE)</f>
        <v>128</v>
      </c>
      <c r="K18" s="25">
        <f>HLOOKUP(K$7,$I$66:$DJ$120,ROWS($A$10:$A18)+2,FALSE)</f>
        <v>68</v>
      </c>
      <c r="L18" s="25">
        <f>HLOOKUP(L$7,$I$66:$DJ$120,ROWS($A$10:$A18)+2,FALSE)</f>
        <v>60</v>
      </c>
      <c r="M18" s="25">
        <f>HLOOKUP(M$7,$I$66:$DJ$120,ROWS($A$10:$A18)+2,FALSE)</f>
        <v>0</v>
      </c>
      <c r="N18" s="25">
        <f>HLOOKUP(N$7,$I$66:$DJ$120,ROWS($A$10:$A18)+2,FALSE)</f>
        <v>353</v>
      </c>
      <c r="O18" s="25">
        <f>HLOOKUP(O$7,$I$66:$DJ$120,ROWS($A$10:$A18)+2,FALSE)</f>
        <v>178</v>
      </c>
      <c r="P18" s="25">
        <f>HLOOKUP(P$7,$I$66:$DJ$120,ROWS($A$10:$A18)+2,FALSE)</f>
        <v>714</v>
      </c>
      <c r="Q18" s="25" t="str">
        <f>HLOOKUP(Q$7,$I$66:$DJ$120,ROWS($A$10:$A18)+2,FALSE)</f>
        <v>N/A</v>
      </c>
      <c r="R18" s="25">
        <f>HLOOKUP(R$7,$I$66:$DJ$120,ROWS($A$10:$A18)+2,FALSE)</f>
        <v>432</v>
      </c>
      <c r="S18" s="25">
        <f>HLOOKUP(S$7,$I$66:$DJ$120,ROWS($A$10:$A18)+2,FALSE)</f>
        <v>2362</v>
      </c>
      <c r="T18" s="25">
        <f>HLOOKUP(T$7,$I$66:$DJ$120,ROWS($A$10:$A18)+2,FALSE)</f>
        <v>585</v>
      </c>
      <c r="U18" s="25">
        <f>HLOOKUP(U$7,$I$66:$DJ$120,ROWS($A$10:$A18)+2,FALSE)</f>
        <v>0</v>
      </c>
      <c r="V18" s="25">
        <f>HLOOKUP(V$7,$I$66:$DJ$120,ROWS($A$10:$A18)+2,FALSE)</f>
        <v>0</v>
      </c>
      <c r="W18" s="25">
        <f>HLOOKUP(W$7,$I$66:$DJ$120,ROWS($A$10:$A18)+2,FALSE)</f>
        <v>612</v>
      </c>
      <c r="X18" s="25">
        <f>HLOOKUP(X$7,$I$66:$DJ$120,ROWS($A$10:$A18)+2,FALSE)</f>
        <v>0</v>
      </c>
      <c r="Y18" s="25">
        <f>HLOOKUP(Y$7,$I$66:$DJ$120,ROWS($A$10:$A18)+2,FALSE)</f>
        <v>0</v>
      </c>
      <c r="Z18" s="25">
        <f>HLOOKUP(Z$7,$I$66:$DJ$120,ROWS($A$10:$A18)+2,FALSE)</f>
        <v>28</v>
      </c>
      <c r="AA18" s="25">
        <f>HLOOKUP(AA$7,$I$66:$DJ$120,ROWS($A$10:$A18)+2,FALSE)</f>
        <v>163</v>
      </c>
      <c r="AB18" s="25">
        <f>HLOOKUP(AB$7,$I$66:$DJ$120,ROWS($A$10:$A18)+2,FALSE)</f>
        <v>0</v>
      </c>
      <c r="AC18" s="25">
        <f>HLOOKUP(AC$7,$I$66:$DJ$120,ROWS($A$10:$A18)+2,FALSE)</f>
        <v>294</v>
      </c>
      <c r="AD18" s="25">
        <f>HLOOKUP(AD$7,$I$66:$DJ$120,ROWS($A$10:$A18)+2,FALSE)</f>
        <v>4969</v>
      </c>
      <c r="AE18" s="25">
        <f>HLOOKUP(AE$7,$I$66:$DJ$120,ROWS($A$10:$A18)+2,FALSE)</f>
        <v>689</v>
      </c>
      <c r="AF18" s="25">
        <f>HLOOKUP(AF$7,$I$66:$DJ$120,ROWS($A$10:$A18)+2,FALSE)</f>
        <v>61</v>
      </c>
      <c r="AG18" s="25">
        <f>HLOOKUP(AG$7,$I$66:$DJ$120,ROWS($A$10:$A18)+2,FALSE)</f>
        <v>55</v>
      </c>
      <c r="AH18" s="25">
        <f>HLOOKUP(AH$7,$I$66:$DJ$120,ROWS($A$10:$A18)+2,FALSE)</f>
        <v>0</v>
      </c>
      <c r="AI18" s="25">
        <f>HLOOKUP(AI$7,$I$66:$DJ$120,ROWS($A$10:$A18)+2,FALSE)</f>
        <v>539</v>
      </c>
      <c r="AJ18" s="25">
        <f>HLOOKUP(AJ$7,$I$66:$DJ$120,ROWS($A$10:$A18)+2,FALSE)</f>
        <v>73</v>
      </c>
      <c r="AK18" s="25">
        <f>HLOOKUP(AK$7,$I$66:$DJ$120,ROWS($A$10:$A18)+2,FALSE)</f>
        <v>0</v>
      </c>
      <c r="AL18" s="25">
        <f>HLOOKUP(AL$7,$I$66:$DJ$120,ROWS($A$10:$A18)+2,FALSE)</f>
        <v>106</v>
      </c>
      <c r="AM18" s="25">
        <f>HLOOKUP(AM$7,$I$66:$DJ$120,ROWS($A$10:$A18)+2,FALSE)</f>
        <v>139</v>
      </c>
      <c r="AN18" s="25">
        <f>HLOOKUP(AN$7,$I$66:$DJ$120,ROWS($A$10:$A18)+2,FALSE)</f>
        <v>3678</v>
      </c>
      <c r="AO18" s="25">
        <f>HLOOKUP(AO$7,$I$66:$DJ$120,ROWS($A$10:$A18)+2,FALSE)</f>
        <v>59</v>
      </c>
      <c r="AP18" s="25">
        <f>HLOOKUP(AP$7,$I$66:$DJ$120,ROWS($A$10:$A18)+2,FALSE)</f>
        <v>4251</v>
      </c>
      <c r="AQ18" s="25">
        <f>HLOOKUP(AQ$7,$I$66:$DJ$120,ROWS($A$10:$A18)+2,FALSE)</f>
        <v>424</v>
      </c>
      <c r="AR18" s="25">
        <f>HLOOKUP(AR$7,$I$66:$DJ$120,ROWS($A$10:$A18)+2,FALSE)</f>
        <v>0</v>
      </c>
      <c r="AS18" s="25">
        <f>HLOOKUP(AS$7,$I$66:$DJ$120,ROWS($A$10:$A18)+2,FALSE)</f>
        <v>325</v>
      </c>
      <c r="AT18" s="25">
        <f>HLOOKUP(AT$7,$I$66:$DJ$120,ROWS($A$10:$A18)+2,FALSE)</f>
        <v>0</v>
      </c>
      <c r="AU18" s="25">
        <f>HLOOKUP(AU$7,$I$66:$DJ$120,ROWS($A$10:$A18)+2,FALSE)</f>
        <v>0</v>
      </c>
      <c r="AV18" s="25">
        <f>HLOOKUP(AV$7,$I$66:$DJ$120,ROWS($A$10:$A18)+2,FALSE)</f>
        <v>7318</v>
      </c>
      <c r="AW18" s="25">
        <f>HLOOKUP(AW$7,$I$66:$DJ$120,ROWS($A$10:$A18)+2,FALSE)</f>
        <v>149</v>
      </c>
      <c r="AX18" s="25">
        <f>HLOOKUP(AX$7,$I$66:$DJ$120,ROWS($A$10:$A18)+2,FALSE)</f>
        <v>195</v>
      </c>
      <c r="AY18" s="25">
        <f>HLOOKUP(AY$7,$I$66:$DJ$120,ROWS($A$10:$A18)+2,FALSE)</f>
        <v>0</v>
      </c>
      <c r="AZ18" s="25">
        <f>HLOOKUP(AZ$7,$I$66:$DJ$120,ROWS($A$10:$A18)+2,FALSE)</f>
        <v>146</v>
      </c>
      <c r="BA18" s="25">
        <f>HLOOKUP(BA$7,$I$66:$DJ$120,ROWS($A$10:$A18)+2,FALSE)</f>
        <v>178</v>
      </c>
      <c r="BB18" s="25">
        <f>HLOOKUP(BB$7,$I$66:$DJ$120,ROWS($A$10:$A18)+2,FALSE)</f>
        <v>0</v>
      </c>
      <c r="BC18" s="25">
        <f>HLOOKUP(BC$7,$I$66:$DJ$120,ROWS($A$10:$A18)+2,FALSE)</f>
        <v>0</v>
      </c>
      <c r="BD18" s="25">
        <f>HLOOKUP(BD$7,$I$66:$DJ$120,ROWS($A$10:$A18)+2,FALSE)</f>
        <v>1051</v>
      </c>
      <c r="BE18" s="25">
        <f>HLOOKUP(BE$7,$I$66:$DJ$120,ROWS($A$10:$A18)+2,FALSE)</f>
        <v>377</v>
      </c>
      <c r="BF18" s="25">
        <f>HLOOKUP(BF$7,$I$66:$DJ$120,ROWS($A$10:$A18)+2,FALSE)</f>
        <v>0</v>
      </c>
      <c r="BG18" s="25">
        <f>HLOOKUP(BG$7,$I$66:$DJ$120,ROWS($A$10:$A18)+2,FALSE)</f>
        <v>0</v>
      </c>
      <c r="BH18" s="25">
        <f>HLOOKUP(BH$7,$I$66:$DJ$120,ROWS($A$10:$A18)+2,FALSE)</f>
        <v>0</v>
      </c>
      <c r="BI18" s="25">
        <f>HLOOKUP(BI$7,$I$66:$DJ$120,ROWS($A$10:$A18)+2,FALSE)</f>
        <v>954</v>
      </c>
      <c r="BJ18" s="34">
        <f>HLOOKUP(BJ$7+0.5,$I$66:$DJ$120,ROWS($A$10:$A18)+2,FALSE)</f>
        <v>4030</v>
      </c>
      <c r="BK18" s="34">
        <f>HLOOKUP(BK$7+0.5,$I$66:$DJ$120,ROWS($A$10:$A18)+2,FALSE)</f>
        <v>211</v>
      </c>
      <c r="BL18" s="34">
        <f>HLOOKUP(BL$7+0.5,$I$66:$DJ$120,ROWS($A$10:$A18)+2,FALSE)</f>
        <v>111</v>
      </c>
      <c r="BM18" s="34">
        <f>HLOOKUP(BM$7+0.5,$I$66:$DJ$120,ROWS($A$10:$A18)+2,FALSE)</f>
        <v>78</v>
      </c>
      <c r="BN18" s="34">
        <f>HLOOKUP(BN$7+0.5,$I$66:$DJ$120,ROWS($A$10:$A18)+2,FALSE)</f>
        <v>265</v>
      </c>
      <c r="BO18" s="34">
        <f>HLOOKUP(BO$7+0.5,$I$66:$DJ$120,ROWS($A$10:$A18)+2,FALSE)</f>
        <v>290</v>
      </c>
      <c r="BP18" s="34">
        <f>HLOOKUP(BP$7+0.5,$I$66:$DJ$120,ROWS($A$10:$A18)+2,FALSE)</f>
        <v>249</v>
      </c>
      <c r="BQ18" s="34">
        <f>HLOOKUP(BQ$7+0.5,$I$66:$DJ$120,ROWS($A$10:$A18)+2,FALSE)</f>
        <v>693</v>
      </c>
      <c r="BR18" s="34" t="str">
        <f>HLOOKUP(BR$7+0.5,$I$66:$DJ$120,ROWS($A$10:$A18)+2,FALSE)</f>
        <v>N/A</v>
      </c>
      <c r="BS18" s="34">
        <f>HLOOKUP(BS$7+0.5,$I$66:$DJ$120,ROWS($A$10:$A18)+2,FALSE)</f>
        <v>467</v>
      </c>
      <c r="BT18" s="34">
        <f>HLOOKUP(BT$7+0.5,$I$66:$DJ$120,ROWS($A$10:$A18)+2,FALSE)</f>
        <v>996</v>
      </c>
      <c r="BU18" s="34">
        <f>HLOOKUP(BU$7+0.5,$I$66:$DJ$120,ROWS($A$10:$A18)+2,FALSE)</f>
        <v>575</v>
      </c>
      <c r="BV18" s="34">
        <f>HLOOKUP(BV$7+0.5,$I$66:$DJ$120,ROWS($A$10:$A18)+2,FALSE)</f>
        <v>265</v>
      </c>
      <c r="BW18" s="34">
        <f>HLOOKUP(BW$7+0.5,$I$66:$DJ$120,ROWS($A$10:$A18)+2,FALSE)</f>
        <v>265</v>
      </c>
      <c r="BX18" s="34">
        <f>HLOOKUP(BX$7+0.5,$I$66:$DJ$120,ROWS($A$10:$A18)+2,FALSE)</f>
        <v>583</v>
      </c>
      <c r="BY18" s="34">
        <f>HLOOKUP(BY$7+0.5,$I$66:$DJ$120,ROWS($A$10:$A18)+2,FALSE)</f>
        <v>265</v>
      </c>
      <c r="BZ18" s="34">
        <f>HLOOKUP(BZ$7+0.5,$I$66:$DJ$120,ROWS($A$10:$A18)+2,FALSE)</f>
        <v>265</v>
      </c>
      <c r="CA18" s="34">
        <f>HLOOKUP(CA$7+0.5,$I$66:$DJ$120,ROWS($A$10:$A18)+2,FALSE)</f>
        <v>47</v>
      </c>
      <c r="CB18" s="34">
        <f>HLOOKUP(CB$7+0.5,$I$66:$DJ$120,ROWS($A$10:$A18)+2,FALSE)</f>
        <v>273</v>
      </c>
      <c r="CC18" s="34">
        <f>HLOOKUP(CC$7+0.5,$I$66:$DJ$120,ROWS($A$10:$A18)+2,FALSE)</f>
        <v>265</v>
      </c>
      <c r="CD18" s="34">
        <f>HLOOKUP(CD$7+0.5,$I$66:$DJ$120,ROWS($A$10:$A18)+2,FALSE)</f>
        <v>406</v>
      </c>
      <c r="CE18" s="34">
        <f>HLOOKUP(CE$7+0.5,$I$66:$DJ$120,ROWS($A$10:$A18)+2,FALSE)</f>
        <v>1144</v>
      </c>
      <c r="CF18" s="34">
        <f>HLOOKUP(CF$7+0.5,$I$66:$DJ$120,ROWS($A$10:$A18)+2,FALSE)</f>
        <v>538</v>
      </c>
      <c r="CG18" s="34">
        <f>HLOOKUP(CG$7+0.5,$I$66:$DJ$120,ROWS($A$10:$A18)+2,FALSE)</f>
        <v>102</v>
      </c>
      <c r="CH18" s="34">
        <f>HLOOKUP(CH$7+0.5,$I$66:$DJ$120,ROWS($A$10:$A18)+2,FALSE)</f>
        <v>92</v>
      </c>
      <c r="CI18" s="34">
        <f>HLOOKUP(CI$7+0.5,$I$66:$DJ$120,ROWS($A$10:$A18)+2,FALSE)</f>
        <v>265</v>
      </c>
      <c r="CJ18" s="34">
        <f>HLOOKUP(CJ$7+0.5,$I$66:$DJ$120,ROWS($A$10:$A18)+2,FALSE)</f>
        <v>842</v>
      </c>
      <c r="CK18" s="34">
        <f>HLOOKUP(CK$7+0.5,$I$66:$DJ$120,ROWS($A$10:$A18)+2,FALSE)</f>
        <v>120</v>
      </c>
      <c r="CL18" s="34">
        <f>HLOOKUP(CL$7+0.5,$I$66:$DJ$120,ROWS($A$10:$A18)+2,FALSE)</f>
        <v>265</v>
      </c>
      <c r="CM18" s="34">
        <f>HLOOKUP(CM$7+0.5,$I$66:$DJ$120,ROWS($A$10:$A18)+2,FALSE)</f>
        <v>183</v>
      </c>
      <c r="CN18" s="34">
        <f>HLOOKUP(CN$7+0.5,$I$66:$DJ$120,ROWS($A$10:$A18)+2,FALSE)</f>
        <v>246</v>
      </c>
      <c r="CO18" s="34">
        <f>HLOOKUP(CO$7+0.5,$I$66:$DJ$120,ROWS($A$10:$A18)+2,FALSE)</f>
        <v>935</v>
      </c>
      <c r="CP18" s="34">
        <f>HLOOKUP(CP$7+0.5,$I$66:$DJ$120,ROWS($A$10:$A18)+2,FALSE)</f>
        <v>98</v>
      </c>
      <c r="CQ18" s="34">
        <f>HLOOKUP(CQ$7+0.5,$I$66:$DJ$120,ROWS($A$10:$A18)+2,FALSE)</f>
        <v>1555</v>
      </c>
      <c r="CR18" s="34">
        <f>HLOOKUP(CR$7+0.5,$I$66:$DJ$120,ROWS($A$10:$A18)+2,FALSE)</f>
        <v>466</v>
      </c>
      <c r="CS18" s="34">
        <f>HLOOKUP(CS$7+0.5,$I$66:$DJ$120,ROWS($A$10:$A18)+2,FALSE)</f>
        <v>265</v>
      </c>
      <c r="CT18" s="34">
        <f>HLOOKUP(CT$7+0.5,$I$66:$DJ$120,ROWS($A$10:$A18)+2,FALSE)</f>
        <v>339</v>
      </c>
      <c r="CU18" s="34">
        <f>HLOOKUP(CU$7+0.5,$I$66:$DJ$120,ROWS($A$10:$A18)+2,FALSE)</f>
        <v>265</v>
      </c>
      <c r="CV18" s="34">
        <f>HLOOKUP(CV$7+0.5,$I$66:$DJ$120,ROWS($A$10:$A18)+2,FALSE)</f>
        <v>265</v>
      </c>
      <c r="CW18" s="34">
        <f>HLOOKUP(CW$7+0.5,$I$66:$DJ$120,ROWS($A$10:$A18)+2,FALSE)</f>
        <v>2368</v>
      </c>
      <c r="CX18" s="34">
        <f>HLOOKUP(CX$7+0.5,$I$66:$DJ$120,ROWS($A$10:$A18)+2,FALSE)</f>
        <v>241</v>
      </c>
      <c r="CY18" s="34">
        <f>HLOOKUP(CY$7+0.5,$I$66:$DJ$120,ROWS($A$10:$A18)+2,FALSE)</f>
        <v>272</v>
      </c>
      <c r="CZ18" s="34">
        <f>HLOOKUP(CZ$7+0.5,$I$66:$DJ$120,ROWS($A$10:$A18)+2,FALSE)</f>
        <v>265</v>
      </c>
      <c r="DA18" s="34">
        <f>HLOOKUP(DA$7+0.5,$I$66:$DJ$120,ROWS($A$10:$A18)+2,FALSE)</f>
        <v>248</v>
      </c>
      <c r="DB18" s="34">
        <f>HLOOKUP(DB$7+0.5,$I$66:$DJ$120,ROWS($A$10:$A18)+2,FALSE)</f>
        <v>313</v>
      </c>
      <c r="DC18" s="34">
        <f>HLOOKUP(DC$7+0.5,$I$66:$DJ$120,ROWS($A$10:$A18)+2,FALSE)</f>
        <v>265</v>
      </c>
      <c r="DD18" s="34">
        <f>HLOOKUP(DD$7+0.5,$I$66:$DJ$120,ROWS($A$10:$A18)+2,FALSE)</f>
        <v>265</v>
      </c>
      <c r="DE18" s="34">
        <f>HLOOKUP(DE$7+0.5,$I$66:$DJ$120,ROWS($A$10:$A18)+2,FALSE)</f>
        <v>538</v>
      </c>
      <c r="DF18" s="34">
        <f>HLOOKUP(DF$7+0.5,$I$66:$DJ$120,ROWS($A$10:$A18)+2,FALSE)</f>
        <v>280</v>
      </c>
      <c r="DG18" s="34">
        <f>HLOOKUP(DG$7+0.5,$I$66:$DJ$120,ROWS($A$10:$A18)+2,FALSE)</f>
        <v>265</v>
      </c>
      <c r="DH18" s="34">
        <f>HLOOKUP(DH$7+0.5,$I$66:$DJ$120,ROWS($A$10:$A18)+2,FALSE)</f>
        <v>265</v>
      </c>
      <c r="DI18" s="34">
        <f>HLOOKUP(DI$7+0.5,$I$66:$DJ$120,ROWS($A$10:$A18)+2,FALSE)</f>
        <v>265</v>
      </c>
      <c r="DJ18" s="34">
        <f>HLOOKUP(DJ$7+0.5,$I$66:$DJ$120,ROWS($A$10:$A18)+2,FALSE)</f>
        <v>1095</v>
      </c>
    </row>
    <row r="19" spans="2:114" x14ac:dyDescent="0.25">
      <c r="B19" s="38" t="s">
        <v>15</v>
      </c>
      <c r="C19" s="16">
        <v>596747</v>
      </c>
      <c r="D19" s="17">
        <v>1124</v>
      </c>
      <c r="E19" s="16">
        <v>474676</v>
      </c>
      <c r="F19" s="17">
        <v>8281</v>
      </c>
      <c r="G19" s="16">
        <v>63766</v>
      </c>
      <c r="H19" s="17">
        <v>6163</v>
      </c>
      <c r="I19" s="36">
        <f>HLOOKUP(I$7,$I$66:$DJ$120,ROWS($A$10:$A19)+2,FALSE)</f>
        <v>51244</v>
      </c>
      <c r="J19" s="25">
        <f>HLOOKUP(J$7,$I$66:$DJ$120,ROWS($A$10:$A19)+2,FALSE)</f>
        <v>360</v>
      </c>
      <c r="K19" s="25">
        <f>HLOOKUP(K$7,$I$66:$DJ$120,ROWS($A$10:$A19)+2,FALSE)</f>
        <v>591</v>
      </c>
      <c r="L19" s="25">
        <f>HLOOKUP(L$7,$I$66:$DJ$120,ROWS($A$10:$A19)+2,FALSE)</f>
        <v>662</v>
      </c>
      <c r="M19" s="25">
        <f>HLOOKUP(M$7,$I$66:$DJ$120,ROWS($A$10:$A19)+2,FALSE)</f>
        <v>155</v>
      </c>
      <c r="N19" s="25">
        <f>HLOOKUP(N$7,$I$66:$DJ$120,ROWS($A$10:$A19)+2,FALSE)</f>
        <v>4205</v>
      </c>
      <c r="O19" s="25">
        <f>HLOOKUP(O$7,$I$66:$DJ$120,ROWS($A$10:$A19)+2,FALSE)</f>
        <v>656</v>
      </c>
      <c r="P19" s="25">
        <f>HLOOKUP(P$7,$I$66:$DJ$120,ROWS($A$10:$A19)+2,FALSE)</f>
        <v>926</v>
      </c>
      <c r="Q19" s="25">
        <f>HLOOKUP(Q$7,$I$66:$DJ$120,ROWS($A$10:$A19)+2,FALSE)</f>
        <v>0</v>
      </c>
      <c r="R19" s="25" t="str">
        <f>HLOOKUP(R$7,$I$66:$DJ$120,ROWS($A$10:$A19)+2,FALSE)</f>
        <v>N/A</v>
      </c>
      <c r="S19" s="25">
        <f>HLOOKUP(S$7,$I$66:$DJ$120,ROWS($A$10:$A19)+2,FALSE)</f>
        <v>1100</v>
      </c>
      <c r="T19" s="25">
        <f>HLOOKUP(T$7,$I$66:$DJ$120,ROWS($A$10:$A19)+2,FALSE)</f>
        <v>1597</v>
      </c>
      <c r="U19" s="25">
        <f>HLOOKUP(U$7,$I$66:$DJ$120,ROWS($A$10:$A19)+2,FALSE)</f>
        <v>0</v>
      </c>
      <c r="V19" s="25">
        <f>HLOOKUP(V$7,$I$66:$DJ$120,ROWS($A$10:$A19)+2,FALSE)</f>
        <v>0</v>
      </c>
      <c r="W19" s="25">
        <f>HLOOKUP(W$7,$I$66:$DJ$120,ROWS($A$10:$A19)+2,FALSE)</f>
        <v>615</v>
      </c>
      <c r="X19" s="25">
        <f>HLOOKUP(X$7,$I$66:$DJ$120,ROWS($A$10:$A19)+2,FALSE)</f>
        <v>711</v>
      </c>
      <c r="Y19" s="25">
        <f>HLOOKUP(Y$7,$I$66:$DJ$120,ROWS($A$10:$A19)+2,FALSE)</f>
        <v>392</v>
      </c>
      <c r="Z19" s="25">
        <f>HLOOKUP(Z$7,$I$66:$DJ$120,ROWS($A$10:$A19)+2,FALSE)</f>
        <v>83</v>
      </c>
      <c r="AA19" s="25">
        <f>HLOOKUP(AA$7,$I$66:$DJ$120,ROWS($A$10:$A19)+2,FALSE)</f>
        <v>94</v>
      </c>
      <c r="AB19" s="25">
        <f>HLOOKUP(AB$7,$I$66:$DJ$120,ROWS($A$10:$A19)+2,FALSE)</f>
        <v>0</v>
      </c>
      <c r="AC19" s="25">
        <f>HLOOKUP(AC$7,$I$66:$DJ$120,ROWS($A$10:$A19)+2,FALSE)</f>
        <v>76</v>
      </c>
      <c r="AD19" s="25">
        <f>HLOOKUP(AD$7,$I$66:$DJ$120,ROWS($A$10:$A19)+2,FALSE)</f>
        <v>13503</v>
      </c>
      <c r="AE19" s="25">
        <f>HLOOKUP(AE$7,$I$66:$DJ$120,ROWS($A$10:$A19)+2,FALSE)</f>
        <v>1376</v>
      </c>
      <c r="AF19" s="25">
        <f>HLOOKUP(AF$7,$I$66:$DJ$120,ROWS($A$10:$A19)+2,FALSE)</f>
        <v>126</v>
      </c>
      <c r="AG19" s="25">
        <f>HLOOKUP(AG$7,$I$66:$DJ$120,ROWS($A$10:$A19)+2,FALSE)</f>
        <v>87</v>
      </c>
      <c r="AH19" s="25">
        <f>HLOOKUP(AH$7,$I$66:$DJ$120,ROWS($A$10:$A19)+2,FALSE)</f>
        <v>0</v>
      </c>
      <c r="AI19" s="25">
        <f>HLOOKUP(AI$7,$I$66:$DJ$120,ROWS($A$10:$A19)+2,FALSE)</f>
        <v>272</v>
      </c>
      <c r="AJ19" s="25">
        <f>HLOOKUP(AJ$7,$I$66:$DJ$120,ROWS($A$10:$A19)+2,FALSE)</f>
        <v>0</v>
      </c>
      <c r="AK19" s="25">
        <f>HLOOKUP(AK$7,$I$66:$DJ$120,ROWS($A$10:$A19)+2,FALSE)</f>
        <v>62</v>
      </c>
      <c r="AL19" s="25">
        <f>HLOOKUP(AL$7,$I$66:$DJ$120,ROWS($A$10:$A19)+2,FALSE)</f>
        <v>0</v>
      </c>
      <c r="AM19" s="25">
        <f>HLOOKUP(AM$7,$I$66:$DJ$120,ROWS($A$10:$A19)+2,FALSE)</f>
        <v>137</v>
      </c>
      <c r="AN19" s="25">
        <f>HLOOKUP(AN$7,$I$66:$DJ$120,ROWS($A$10:$A19)+2,FALSE)</f>
        <v>1924</v>
      </c>
      <c r="AO19" s="25">
        <f>HLOOKUP(AO$7,$I$66:$DJ$120,ROWS($A$10:$A19)+2,FALSE)</f>
        <v>61</v>
      </c>
      <c r="AP19" s="25">
        <f>HLOOKUP(AP$7,$I$66:$DJ$120,ROWS($A$10:$A19)+2,FALSE)</f>
        <v>3852</v>
      </c>
      <c r="AQ19" s="25">
        <f>HLOOKUP(AQ$7,$I$66:$DJ$120,ROWS($A$10:$A19)+2,FALSE)</f>
        <v>1897</v>
      </c>
      <c r="AR19" s="25">
        <f>HLOOKUP(AR$7,$I$66:$DJ$120,ROWS($A$10:$A19)+2,FALSE)</f>
        <v>98</v>
      </c>
      <c r="AS19" s="25">
        <f>HLOOKUP(AS$7,$I$66:$DJ$120,ROWS($A$10:$A19)+2,FALSE)</f>
        <v>598</v>
      </c>
      <c r="AT19" s="25">
        <f>HLOOKUP(AT$7,$I$66:$DJ$120,ROWS($A$10:$A19)+2,FALSE)</f>
        <v>0</v>
      </c>
      <c r="AU19" s="25">
        <f>HLOOKUP(AU$7,$I$66:$DJ$120,ROWS($A$10:$A19)+2,FALSE)</f>
        <v>601</v>
      </c>
      <c r="AV19" s="25">
        <f>HLOOKUP(AV$7,$I$66:$DJ$120,ROWS($A$10:$A19)+2,FALSE)</f>
        <v>2378</v>
      </c>
      <c r="AW19" s="25">
        <f>HLOOKUP(AW$7,$I$66:$DJ$120,ROWS($A$10:$A19)+2,FALSE)</f>
        <v>249</v>
      </c>
      <c r="AX19" s="25">
        <f>HLOOKUP(AX$7,$I$66:$DJ$120,ROWS($A$10:$A19)+2,FALSE)</f>
        <v>380</v>
      </c>
      <c r="AY19" s="25">
        <f>HLOOKUP(AY$7,$I$66:$DJ$120,ROWS($A$10:$A19)+2,FALSE)</f>
        <v>0</v>
      </c>
      <c r="AZ19" s="25">
        <f>HLOOKUP(AZ$7,$I$66:$DJ$120,ROWS($A$10:$A19)+2,FALSE)</f>
        <v>591</v>
      </c>
      <c r="BA19" s="25">
        <f>HLOOKUP(BA$7,$I$66:$DJ$120,ROWS($A$10:$A19)+2,FALSE)</f>
        <v>1180</v>
      </c>
      <c r="BB19" s="25">
        <f>HLOOKUP(BB$7,$I$66:$DJ$120,ROWS($A$10:$A19)+2,FALSE)</f>
        <v>0</v>
      </c>
      <c r="BC19" s="25">
        <f>HLOOKUP(BC$7,$I$66:$DJ$120,ROWS($A$10:$A19)+2,FALSE)</f>
        <v>199</v>
      </c>
      <c r="BD19" s="25">
        <f>HLOOKUP(BD$7,$I$66:$DJ$120,ROWS($A$10:$A19)+2,FALSE)</f>
        <v>7915</v>
      </c>
      <c r="BE19" s="25">
        <f>HLOOKUP(BE$7,$I$66:$DJ$120,ROWS($A$10:$A19)+2,FALSE)</f>
        <v>284</v>
      </c>
      <c r="BF19" s="25">
        <f>HLOOKUP(BF$7,$I$66:$DJ$120,ROWS($A$10:$A19)+2,FALSE)</f>
        <v>860</v>
      </c>
      <c r="BG19" s="25">
        <f>HLOOKUP(BG$7,$I$66:$DJ$120,ROWS($A$10:$A19)+2,FALSE)</f>
        <v>391</v>
      </c>
      <c r="BH19" s="25">
        <f>HLOOKUP(BH$7,$I$66:$DJ$120,ROWS($A$10:$A19)+2,FALSE)</f>
        <v>0</v>
      </c>
      <c r="BI19" s="25">
        <f>HLOOKUP(BI$7,$I$66:$DJ$120,ROWS($A$10:$A19)+2,FALSE)</f>
        <v>0</v>
      </c>
      <c r="BJ19" s="34">
        <f>HLOOKUP(BJ$7+0.5,$I$66:$DJ$120,ROWS($A$10:$A19)+2,FALSE)</f>
        <v>4828</v>
      </c>
      <c r="BK19" s="34">
        <f>HLOOKUP(BK$7+0.5,$I$66:$DJ$120,ROWS($A$10:$A19)+2,FALSE)</f>
        <v>418</v>
      </c>
      <c r="BL19" s="34">
        <f>HLOOKUP(BL$7+0.5,$I$66:$DJ$120,ROWS($A$10:$A19)+2,FALSE)</f>
        <v>529</v>
      </c>
      <c r="BM19" s="34">
        <f>HLOOKUP(BM$7+0.5,$I$66:$DJ$120,ROWS($A$10:$A19)+2,FALSE)</f>
        <v>466</v>
      </c>
      <c r="BN19" s="34">
        <f>HLOOKUP(BN$7+0.5,$I$66:$DJ$120,ROWS($A$10:$A19)+2,FALSE)</f>
        <v>195</v>
      </c>
      <c r="BO19" s="34">
        <f>HLOOKUP(BO$7+0.5,$I$66:$DJ$120,ROWS($A$10:$A19)+2,FALSE)</f>
        <v>1255</v>
      </c>
      <c r="BP19" s="34">
        <f>HLOOKUP(BP$7+0.5,$I$66:$DJ$120,ROWS($A$10:$A19)+2,FALSE)</f>
        <v>637</v>
      </c>
      <c r="BQ19" s="34">
        <f>HLOOKUP(BQ$7+0.5,$I$66:$DJ$120,ROWS($A$10:$A19)+2,FALSE)</f>
        <v>592</v>
      </c>
      <c r="BR19" s="34">
        <f>HLOOKUP(BR$7+0.5,$I$66:$DJ$120,ROWS($A$10:$A19)+2,FALSE)</f>
        <v>292</v>
      </c>
      <c r="BS19" s="34" t="str">
        <f>HLOOKUP(BS$7+0.5,$I$66:$DJ$120,ROWS($A$10:$A19)+2,FALSE)</f>
        <v>N/A</v>
      </c>
      <c r="BT19" s="34">
        <f>HLOOKUP(BT$7+0.5,$I$66:$DJ$120,ROWS($A$10:$A19)+2,FALSE)</f>
        <v>609</v>
      </c>
      <c r="BU19" s="34">
        <f>HLOOKUP(BU$7+0.5,$I$66:$DJ$120,ROWS($A$10:$A19)+2,FALSE)</f>
        <v>795</v>
      </c>
      <c r="BV19" s="34">
        <f>HLOOKUP(BV$7+0.5,$I$66:$DJ$120,ROWS($A$10:$A19)+2,FALSE)</f>
        <v>292</v>
      </c>
      <c r="BW19" s="34">
        <f>HLOOKUP(BW$7+0.5,$I$66:$DJ$120,ROWS($A$10:$A19)+2,FALSE)</f>
        <v>292</v>
      </c>
      <c r="BX19" s="34">
        <f>HLOOKUP(BX$7+0.5,$I$66:$DJ$120,ROWS($A$10:$A19)+2,FALSE)</f>
        <v>373</v>
      </c>
      <c r="BY19" s="34">
        <f>HLOOKUP(BY$7+0.5,$I$66:$DJ$120,ROWS($A$10:$A19)+2,FALSE)</f>
        <v>461</v>
      </c>
      <c r="BZ19" s="34">
        <f>HLOOKUP(BZ$7+0.5,$I$66:$DJ$120,ROWS($A$10:$A19)+2,FALSE)</f>
        <v>377</v>
      </c>
      <c r="CA19" s="34">
        <f>HLOOKUP(CA$7+0.5,$I$66:$DJ$120,ROWS($A$10:$A19)+2,FALSE)</f>
        <v>137</v>
      </c>
      <c r="CB19" s="34">
        <f>HLOOKUP(CB$7+0.5,$I$66:$DJ$120,ROWS($A$10:$A19)+2,FALSE)</f>
        <v>155</v>
      </c>
      <c r="CC19" s="34">
        <f>HLOOKUP(CC$7+0.5,$I$66:$DJ$120,ROWS($A$10:$A19)+2,FALSE)</f>
        <v>292</v>
      </c>
      <c r="CD19" s="34">
        <f>HLOOKUP(CD$7+0.5,$I$66:$DJ$120,ROWS($A$10:$A19)+2,FALSE)</f>
        <v>121</v>
      </c>
      <c r="CE19" s="34">
        <f>HLOOKUP(CE$7+0.5,$I$66:$DJ$120,ROWS($A$10:$A19)+2,FALSE)</f>
        <v>2647</v>
      </c>
      <c r="CF19" s="34">
        <f>HLOOKUP(CF$7+0.5,$I$66:$DJ$120,ROWS($A$10:$A19)+2,FALSE)</f>
        <v>540</v>
      </c>
      <c r="CG19" s="34">
        <f>HLOOKUP(CG$7+0.5,$I$66:$DJ$120,ROWS($A$10:$A19)+2,FALSE)</f>
        <v>153</v>
      </c>
      <c r="CH19" s="34">
        <f>HLOOKUP(CH$7+0.5,$I$66:$DJ$120,ROWS($A$10:$A19)+2,FALSE)</f>
        <v>105</v>
      </c>
      <c r="CI19" s="34">
        <f>HLOOKUP(CI$7+0.5,$I$66:$DJ$120,ROWS($A$10:$A19)+2,FALSE)</f>
        <v>292</v>
      </c>
      <c r="CJ19" s="34">
        <f>HLOOKUP(CJ$7+0.5,$I$66:$DJ$120,ROWS($A$10:$A19)+2,FALSE)</f>
        <v>371</v>
      </c>
      <c r="CK19" s="34">
        <f>HLOOKUP(CK$7+0.5,$I$66:$DJ$120,ROWS($A$10:$A19)+2,FALSE)</f>
        <v>292</v>
      </c>
      <c r="CL19" s="34">
        <f>HLOOKUP(CL$7+0.5,$I$66:$DJ$120,ROWS($A$10:$A19)+2,FALSE)</f>
        <v>103</v>
      </c>
      <c r="CM19" s="34">
        <f>HLOOKUP(CM$7+0.5,$I$66:$DJ$120,ROWS($A$10:$A19)+2,FALSE)</f>
        <v>292</v>
      </c>
      <c r="CN19" s="34">
        <f>HLOOKUP(CN$7+0.5,$I$66:$DJ$120,ROWS($A$10:$A19)+2,FALSE)</f>
        <v>136</v>
      </c>
      <c r="CO19" s="34">
        <f>HLOOKUP(CO$7+0.5,$I$66:$DJ$120,ROWS($A$10:$A19)+2,FALSE)</f>
        <v>694</v>
      </c>
      <c r="CP19" s="34">
        <f>HLOOKUP(CP$7+0.5,$I$66:$DJ$120,ROWS($A$10:$A19)+2,FALSE)</f>
        <v>100</v>
      </c>
      <c r="CQ19" s="34">
        <f>HLOOKUP(CQ$7+0.5,$I$66:$DJ$120,ROWS($A$10:$A19)+2,FALSE)</f>
        <v>1325</v>
      </c>
      <c r="CR19" s="34">
        <f>HLOOKUP(CR$7+0.5,$I$66:$DJ$120,ROWS($A$10:$A19)+2,FALSE)</f>
        <v>1089</v>
      </c>
      <c r="CS19" s="34">
        <f>HLOOKUP(CS$7+0.5,$I$66:$DJ$120,ROWS($A$10:$A19)+2,FALSE)</f>
        <v>165</v>
      </c>
      <c r="CT19" s="34">
        <f>HLOOKUP(CT$7+0.5,$I$66:$DJ$120,ROWS($A$10:$A19)+2,FALSE)</f>
        <v>359</v>
      </c>
      <c r="CU19" s="34">
        <f>HLOOKUP(CU$7+0.5,$I$66:$DJ$120,ROWS($A$10:$A19)+2,FALSE)</f>
        <v>292</v>
      </c>
      <c r="CV19" s="34">
        <f>HLOOKUP(CV$7+0.5,$I$66:$DJ$120,ROWS($A$10:$A19)+2,FALSE)</f>
        <v>520</v>
      </c>
      <c r="CW19" s="34">
        <f>HLOOKUP(CW$7+0.5,$I$66:$DJ$120,ROWS($A$10:$A19)+2,FALSE)</f>
        <v>771</v>
      </c>
      <c r="CX19" s="34">
        <f>HLOOKUP(CX$7+0.5,$I$66:$DJ$120,ROWS($A$10:$A19)+2,FALSE)</f>
        <v>206</v>
      </c>
      <c r="CY19" s="34">
        <f>HLOOKUP(CY$7+0.5,$I$66:$DJ$120,ROWS($A$10:$A19)+2,FALSE)</f>
        <v>339</v>
      </c>
      <c r="CZ19" s="34">
        <f>HLOOKUP(CZ$7+0.5,$I$66:$DJ$120,ROWS($A$10:$A19)+2,FALSE)</f>
        <v>292</v>
      </c>
      <c r="DA19" s="34">
        <f>HLOOKUP(DA$7+0.5,$I$66:$DJ$120,ROWS($A$10:$A19)+2,FALSE)</f>
        <v>543</v>
      </c>
      <c r="DB19" s="34">
        <f>HLOOKUP(DB$7+0.5,$I$66:$DJ$120,ROWS($A$10:$A19)+2,FALSE)</f>
        <v>605</v>
      </c>
      <c r="DC19" s="34">
        <f>HLOOKUP(DC$7+0.5,$I$66:$DJ$120,ROWS($A$10:$A19)+2,FALSE)</f>
        <v>292</v>
      </c>
      <c r="DD19" s="34">
        <f>HLOOKUP(DD$7+0.5,$I$66:$DJ$120,ROWS($A$10:$A19)+2,FALSE)</f>
        <v>245</v>
      </c>
      <c r="DE19" s="34">
        <f>HLOOKUP(DE$7+0.5,$I$66:$DJ$120,ROWS($A$10:$A19)+2,FALSE)</f>
        <v>1638</v>
      </c>
      <c r="DF19" s="34">
        <f>HLOOKUP(DF$7+0.5,$I$66:$DJ$120,ROWS($A$10:$A19)+2,FALSE)</f>
        <v>220</v>
      </c>
      <c r="DG19" s="34">
        <f>HLOOKUP(DG$7+0.5,$I$66:$DJ$120,ROWS($A$10:$A19)+2,FALSE)</f>
        <v>754</v>
      </c>
      <c r="DH19" s="34">
        <f>HLOOKUP(DH$7+0.5,$I$66:$DJ$120,ROWS($A$10:$A19)+2,FALSE)</f>
        <v>325</v>
      </c>
      <c r="DI19" s="34">
        <f>HLOOKUP(DI$7+0.5,$I$66:$DJ$120,ROWS($A$10:$A19)+2,FALSE)</f>
        <v>292</v>
      </c>
      <c r="DJ19" s="34">
        <f>HLOOKUP(DJ$7+0.5,$I$66:$DJ$120,ROWS($A$10:$A19)+2,FALSE)</f>
        <v>292</v>
      </c>
    </row>
    <row r="20" spans="2:114" x14ac:dyDescent="0.25">
      <c r="B20" s="38" t="s">
        <v>16</v>
      </c>
      <c r="C20" s="16">
        <v>18647600</v>
      </c>
      <c r="D20" s="17">
        <v>7733</v>
      </c>
      <c r="E20" s="16">
        <v>15554008</v>
      </c>
      <c r="F20" s="17">
        <v>45602</v>
      </c>
      <c r="G20" s="16">
        <v>2459530</v>
      </c>
      <c r="H20" s="17">
        <v>38387</v>
      </c>
      <c r="I20" s="36">
        <f>HLOOKUP(I$7,$I$66:$DJ$120,ROWS($A$10:$A20)+2,FALSE)</f>
        <v>482889</v>
      </c>
      <c r="J20" s="25">
        <f>HLOOKUP(J$7,$I$66:$DJ$120,ROWS($A$10:$A20)+2,FALSE)</f>
        <v>15830</v>
      </c>
      <c r="K20" s="25">
        <f>HLOOKUP(K$7,$I$66:$DJ$120,ROWS($A$10:$A20)+2,FALSE)</f>
        <v>5887</v>
      </c>
      <c r="L20" s="25">
        <f>HLOOKUP(L$7,$I$66:$DJ$120,ROWS($A$10:$A20)+2,FALSE)</f>
        <v>3907</v>
      </c>
      <c r="M20" s="25">
        <f>HLOOKUP(M$7,$I$66:$DJ$120,ROWS($A$10:$A20)+2,FALSE)</f>
        <v>3611</v>
      </c>
      <c r="N20" s="25">
        <f>HLOOKUP(N$7,$I$66:$DJ$120,ROWS($A$10:$A20)+2,FALSE)</f>
        <v>22130</v>
      </c>
      <c r="O20" s="25">
        <f>HLOOKUP(O$7,$I$66:$DJ$120,ROWS($A$10:$A20)+2,FALSE)</f>
        <v>6428</v>
      </c>
      <c r="P20" s="25">
        <f>HLOOKUP(P$7,$I$66:$DJ$120,ROWS($A$10:$A20)+2,FALSE)</f>
        <v>11183</v>
      </c>
      <c r="Q20" s="25">
        <f>HLOOKUP(Q$7,$I$66:$DJ$120,ROWS($A$10:$A20)+2,FALSE)</f>
        <v>3099</v>
      </c>
      <c r="R20" s="25">
        <f>HLOOKUP(R$7,$I$66:$DJ$120,ROWS($A$10:$A20)+2,FALSE)</f>
        <v>1110</v>
      </c>
      <c r="S20" s="25" t="str">
        <f>HLOOKUP(S$7,$I$66:$DJ$120,ROWS($A$10:$A20)+2,FALSE)</f>
        <v>N/A</v>
      </c>
      <c r="T20" s="25">
        <f>HLOOKUP(T$7,$I$66:$DJ$120,ROWS($A$10:$A20)+2,FALSE)</f>
        <v>35615</v>
      </c>
      <c r="U20" s="25">
        <f>HLOOKUP(U$7,$I$66:$DJ$120,ROWS($A$10:$A20)+2,FALSE)</f>
        <v>2021</v>
      </c>
      <c r="V20" s="25">
        <f>HLOOKUP(V$7,$I$66:$DJ$120,ROWS($A$10:$A20)+2,FALSE)</f>
        <v>884</v>
      </c>
      <c r="W20" s="25">
        <f>HLOOKUP(W$7,$I$66:$DJ$120,ROWS($A$10:$A20)+2,FALSE)</f>
        <v>17432</v>
      </c>
      <c r="X20" s="25">
        <f>HLOOKUP(X$7,$I$66:$DJ$120,ROWS($A$10:$A20)+2,FALSE)</f>
        <v>9030</v>
      </c>
      <c r="Y20" s="25">
        <f>HLOOKUP(Y$7,$I$66:$DJ$120,ROWS($A$10:$A20)+2,FALSE)</f>
        <v>2921</v>
      </c>
      <c r="Z20" s="25">
        <f>HLOOKUP(Z$7,$I$66:$DJ$120,ROWS($A$10:$A20)+2,FALSE)</f>
        <v>4136</v>
      </c>
      <c r="AA20" s="25">
        <f>HLOOKUP(AA$7,$I$66:$DJ$120,ROWS($A$10:$A20)+2,FALSE)</f>
        <v>6321</v>
      </c>
      <c r="AB20" s="25">
        <f>HLOOKUP(AB$7,$I$66:$DJ$120,ROWS($A$10:$A20)+2,FALSE)</f>
        <v>7232</v>
      </c>
      <c r="AC20" s="25">
        <f>HLOOKUP(AC$7,$I$66:$DJ$120,ROWS($A$10:$A20)+2,FALSE)</f>
        <v>5497</v>
      </c>
      <c r="AD20" s="25">
        <f>HLOOKUP(AD$7,$I$66:$DJ$120,ROWS($A$10:$A20)+2,FALSE)</f>
        <v>13241</v>
      </c>
      <c r="AE20" s="25">
        <f>HLOOKUP(AE$7,$I$66:$DJ$120,ROWS($A$10:$A20)+2,FALSE)</f>
        <v>13900</v>
      </c>
      <c r="AF20" s="25">
        <f>HLOOKUP(AF$7,$I$66:$DJ$120,ROWS($A$10:$A20)+2,FALSE)</f>
        <v>21359</v>
      </c>
      <c r="AG20" s="25">
        <f>HLOOKUP(AG$7,$I$66:$DJ$120,ROWS($A$10:$A20)+2,FALSE)</f>
        <v>5439</v>
      </c>
      <c r="AH20" s="25">
        <f>HLOOKUP(AH$7,$I$66:$DJ$120,ROWS($A$10:$A20)+2,FALSE)</f>
        <v>7929</v>
      </c>
      <c r="AI20" s="25">
        <f>HLOOKUP(AI$7,$I$66:$DJ$120,ROWS($A$10:$A20)+2,FALSE)</f>
        <v>7984</v>
      </c>
      <c r="AJ20" s="25">
        <f>HLOOKUP(AJ$7,$I$66:$DJ$120,ROWS($A$10:$A20)+2,FALSE)</f>
        <v>338</v>
      </c>
      <c r="AK20" s="25">
        <f>HLOOKUP(AK$7,$I$66:$DJ$120,ROWS($A$10:$A20)+2,FALSE)</f>
        <v>1544</v>
      </c>
      <c r="AL20" s="25">
        <f>HLOOKUP(AL$7,$I$66:$DJ$120,ROWS($A$10:$A20)+2,FALSE)</f>
        <v>7050</v>
      </c>
      <c r="AM20" s="25">
        <f>HLOOKUP(AM$7,$I$66:$DJ$120,ROWS($A$10:$A20)+2,FALSE)</f>
        <v>3645</v>
      </c>
      <c r="AN20" s="25">
        <f>HLOOKUP(AN$7,$I$66:$DJ$120,ROWS($A$10:$A20)+2,FALSE)</f>
        <v>22344</v>
      </c>
      <c r="AO20" s="25">
        <f>HLOOKUP(AO$7,$I$66:$DJ$120,ROWS($A$10:$A20)+2,FALSE)</f>
        <v>900</v>
      </c>
      <c r="AP20" s="25">
        <f>HLOOKUP(AP$7,$I$66:$DJ$120,ROWS($A$10:$A20)+2,FALSE)</f>
        <v>55011</v>
      </c>
      <c r="AQ20" s="25">
        <f>HLOOKUP(AQ$7,$I$66:$DJ$120,ROWS($A$10:$A20)+2,FALSE)</f>
        <v>19108</v>
      </c>
      <c r="AR20" s="25">
        <f>HLOOKUP(AR$7,$I$66:$DJ$120,ROWS($A$10:$A20)+2,FALSE)</f>
        <v>794</v>
      </c>
      <c r="AS20" s="25">
        <f>HLOOKUP(AS$7,$I$66:$DJ$120,ROWS($A$10:$A20)+2,FALSE)</f>
        <v>21047</v>
      </c>
      <c r="AT20" s="25">
        <f>HLOOKUP(AT$7,$I$66:$DJ$120,ROWS($A$10:$A20)+2,FALSE)</f>
        <v>3466</v>
      </c>
      <c r="AU20" s="25">
        <f>HLOOKUP(AU$7,$I$66:$DJ$120,ROWS($A$10:$A20)+2,FALSE)</f>
        <v>1655</v>
      </c>
      <c r="AV20" s="25">
        <f>HLOOKUP(AV$7,$I$66:$DJ$120,ROWS($A$10:$A20)+2,FALSE)</f>
        <v>19935</v>
      </c>
      <c r="AW20" s="25">
        <f>HLOOKUP(AW$7,$I$66:$DJ$120,ROWS($A$10:$A20)+2,FALSE)</f>
        <v>1982</v>
      </c>
      <c r="AX20" s="25">
        <f>HLOOKUP(AX$7,$I$66:$DJ$120,ROWS($A$10:$A20)+2,FALSE)</f>
        <v>10759</v>
      </c>
      <c r="AY20" s="25">
        <f>HLOOKUP(AY$7,$I$66:$DJ$120,ROWS($A$10:$A20)+2,FALSE)</f>
        <v>430</v>
      </c>
      <c r="AZ20" s="25">
        <f>HLOOKUP(AZ$7,$I$66:$DJ$120,ROWS($A$10:$A20)+2,FALSE)</f>
        <v>12882</v>
      </c>
      <c r="BA20" s="25">
        <f>HLOOKUP(BA$7,$I$66:$DJ$120,ROWS($A$10:$A20)+2,FALSE)</f>
        <v>24039</v>
      </c>
      <c r="BB20" s="25">
        <f>HLOOKUP(BB$7,$I$66:$DJ$120,ROWS($A$10:$A20)+2,FALSE)</f>
        <v>2833</v>
      </c>
      <c r="BC20" s="25">
        <f>HLOOKUP(BC$7,$I$66:$DJ$120,ROWS($A$10:$A20)+2,FALSE)</f>
        <v>1442</v>
      </c>
      <c r="BD20" s="25">
        <f>HLOOKUP(BD$7,$I$66:$DJ$120,ROWS($A$10:$A20)+2,FALSE)</f>
        <v>20080</v>
      </c>
      <c r="BE20" s="25">
        <f>HLOOKUP(BE$7,$I$66:$DJ$120,ROWS($A$10:$A20)+2,FALSE)</f>
        <v>3573</v>
      </c>
      <c r="BF20" s="25">
        <f>HLOOKUP(BF$7,$I$66:$DJ$120,ROWS($A$10:$A20)+2,FALSE)</f>
        <v>5634</v>
      </c>
      <c r="BG20" s="25">
        <f>HLOOKUP(BG$7,$I$66:$DJ$120,ROWS($A$10:$A20)+2,FALSE)</f>
        <v>8081</v>
      </c>
      <c r="BH20" s="25">
        <f>HLOOKUP(BH$7,$I$66:$DJ$120,ROWS($A$10:$A20)+2,FALSE)</f>
        <v>191</v>
      </c>
      <c r="BI20" s="25">
        <f>HLOOKUP(BI$7,$I$66:$DJ$120,ROWS($A$10:$A20)+2,FALSE)</f>
        <v>12968</v>
      </c>
      <c r="BJ20" s="34">
        <f>HLOOKUP(BJ$7+0.5,$I$66:$DJ$120,ROWS($A$10:$A20)+2,FALSE)</f>
        <v>22701</v>
      </c>
      <c r="BK20" s="34">
        <f>HLOOKUP(BK$7+0.5,$I$66:$DJ$120,ROWS($A$10:$A20)+2,FALSE)</f>
        <v>3829</v>
      </c>
      <c r="BL20" s="34">
        <f>HLOOKUP(BL$7+0.5,$I$66:$DJ$120,ROWS($A$10:$A20)+2,FALSE)</f>
        <v>2502</v>
      </c>
      <c r="BM20" s="34">
        <f>HLOOKUP(BM$7+0.5,$I$66:$DJ$120,ROWS($A$10:$A20)+2,FALSE)</f>
        <v>1463</v>
      </c>
      <c r="BN20" s="34">
        <f>HLOOKUP(BN$7+0.5,$I$66:$DJ$120,ROWS($A$10:$A20)+2,FALSE)</f>
        <v>1562</v>
      </c>
      <c r="BO20" s="34">
        <f>HLOOKUP(BO$7+0.5,$I$66:$DJ$120,ROWS($A$10:$A20)+2,FALSE)</f>
        <v>3867</v>
      </c>
      <c r="BP20" s="34">
        <f>HLOOKUP(BP$7+0.5,$I$66:$DJ$120,ROWS($A$10:$A20)+2,FALSE)</f>
        <v>1941</v>
      </c>
      <c r="BQ20" s="34">
        <f>HLOOKUP(BQ$7+0.5,$I$66:$DJ$120,ROWS($A$10:$A20)+2,FALSE)</f>
        <v>2730</v>
      </c>
      <c r="BR20" s="34">
        <f>HLOOKUP(BR$7+0.5,$I$66:$DJ$120,ROWS($A$10:$A20)+2,FALSE)</f>
        <v>1603</v>
      </c>
      <c r="BS20" s="34">
        <f>HLOOKUP(BS$7+0.5,$I$66:$DJ$120,ROWS($A$10:$A20)+2,FALSE)</f>
        <v>564</v>
      </c>
      <c r="BT20" s="34" t="str">
        <f>HLOOKUP(BT$7+0.5,$I$66:$DJ$120,ROWS($A$10:$A20)+2,FALSE)</f>
        <v>N/A</v>
      </c>
      <c r="BU20" s="34">
        <f>HLOOKUP(BU$7+0.5,$I$66:$DJ$120,ROWS($A$10:$A20)+2,FALSE)</f>
        <v>5500</v>
      </c>
      <c r="BV20" s="34">
        <f>HLOOKUP(BV$7+0.5,$I$66:$DJ$120,ROWS($A$10:$A20)+2,FALSE)</f>
        <v>990</v>
      </c>
      <c r="BW20" s="34">
        <f>HLOOKUP(BW$7+0.5,$I$66:$DJ$120,ROWS($A$10:$A20)+2,FALSE)</f>
        <v>747</v>
      </c>
      <c r="BX20" s="34">
        <f>HLOOKUP(BX$7+0.5,$I$66:$DJ$120,ROWS($A$10:$A20)+2,FALSE)</f>
        <v>3007</v>
      </c>
      <c r="BY20" s="34">
        <f>HLOOKUP(BY$7+0.5,$I$66:$DJ$120,ROWS($A$10:$A20)+2,FALSE)</f>
        <v>2849</v>
      </c>
      <c r="BZ20" s="34">
        <f>HLOOKUP(BZ$7+0.5,$I$66:$DJ$120,ROWS($A$10:$A20)+2,FALSE)</f>
        <v>1091</v>
      </c>
      <c r="CA20" s="34">
        <f>HLOOKUP(CA$7+0.5,$I$66:$DJ$120,ROWS($A$10:$A20)+2,FALSE)</f>
        <v>2062</v>
      </c>
      <c r="CB20" s="34">
        <f>HLOOKUP(CB$7+0.5,$I$66:$DJ$120,ROWS($A$10:$A20)+2,FALSE)</f>
        <v>1902</v>
      </c>
      <c r="CC20" s="34">
        <f>HLOOKUP(CC$7+0.5,$I$66:$DJ$120,ROWS($A$10:$A20)+2,FALSE)</f>
        <v>2781</v>
      </c>
      <c r="CD20" s="34">
        <f>HLOOKUP(CD$7+0.5,$I$66:$DJ$120,ROWS($A$10:$A20)+2,FALSE)</f>
        <v>1861</v>
      </c>
      <c r="CE20" s="34">
        <f>HLOOKUP(CE$7+0.5,$I$66:$DJ$120,ROWS($A$10:$A20)+2,FALSE)</f>
        <v>2929</v>
      </c>
      <c r="CF20" s="34">
        <f>HLOOKUP(CF$7+0.5,$I$66:$DJ$120,ROWS($A$10:$A20)+2,FALSE)</f>
        <v>2269</v>
      </c>
      <c r="CG20" s="34">
        <f>HLOOKUP(CG$7+0.5,$I$66:$DJ$120,ROWS($A$10:$A20)+2,FALSE)</f>
        <v>4622</v>
      </c>
      <c r="CH20" s="34">
        <f>HLOOKUP(CH$7+0.5,$I$66:$DJ$120,ROWS($A$10:$A20)+2,FALSE)</f>
        <v>2349</v>
      </c>
      <c r="CI20" s="34">
        <f>HLOOKUP(CI$7+0.5,$I$66:$DJ$120,ROWS($A$10:$A20)+2,FALSE)</f>
        <v>3596</v>
      </c>
      <c r="CJ20" s="34">
        <f>HLOOKUP(CJ$7+0.5,$I$66:$DJ$120,ROWS($A$10:$A20)+2,FALSE)</f>
        <v>2232</v>
      </c>
      <c r="CK20" s="34">
        <f>HLOOKUP(CK$7+0.5,$I$66:$DJ$120,ROWS($A$10:$A20)+2,FALSE)</f>
        <v>289</v>
      </c>
      <c r="CL20" s="34">
        <f>HLOOKUP(CL$7+0.5,$I$66:$DJ$120,ROWS($A$10:$A20)+2,FALSE)</f>
        <v>1314</v>
      </c>
      <c r="CM20" s="34">
        <f>HLOOKUP(CM$7+0.5,$I$66:$DJ$120,ROWS($A$10:$A20)+2,FALSE)</f>
        <v>3281</v>
      </c>
      <c r="CN20" s="34">
        <f>HLOOKUP(CN$7+0.5,$I$66:$DJ$120,ROWS($A$10:$A20)+2,FALSE)</f>
        <v>1193</v>
      </c>
      <c r="CO20" s="34">
        <f>HLOOKUP(CO$7+0.5,$I$66:$DJ$120,ROWS($A$10:$A20)+2,FALSE)</f>
        <v>3256</v>
      </c>
      <c r="CP20" s="34">
        <f>HLOOKUP(CP$7+0.5,$I$66:$DJ$120,ROWS($A$10:$A20)+2,FALSE)</f>
        <v>872</v>
      </c>
      <c r="CQ20" s="34">
        <f>HLOOKUP(CQ$7+0.5,$I$66:$DJ$120,ROWS($A$10:$A20)+2,FALSE)</f>
        <v>6848</v>
      </c>
      <c r="CR20" s="34">
        <f>HLOOKUP(CR$7+0.5,$I$66:$DJ$120,ROWS($A$10:$A20)+2,FALSE)</f>
        <v>3464</v>
      </c>
      <c r="CS20" s="34">
        <f>HLOOKUP(CS$7+0.5,$I$66:$DJ$120,ROWS($A$10:$A20)+2,FALSE)</f>
        <v>720</v>
      </c>
      <c r="CT20" s="34">
        <f>HLOOKUP(CT$7+0.5,$I$66:$DJ$120,ROWS($A$10:$A20)+2,FALSE)</f>
        <v>3825</v>
      </c>
      <c r="CU20" s="34">
        <f>HLOOKUP(CU$7+0.5,$I$66:$DJ$120,ROWS($A$10:$A20)+2,FALSE)</f>
        <v>1518</v>
      </c>
      <c r="CV20" s="34">
        <f>HLOOKUP(CV$7+0.5,$I$66:$DJ$120,ROWS($A$10:$A20)+2,FALSE)</f>
        <v>1187</v>
      </c>
      <c r="CW20" s="34">
        <f>HLOOKUP(CW$7+0.5,$I$66:$DJ$120,ROWS($A$10:$A20)+2,FALSE)</f>
        <v>3976</v>
      </c>
      <c r="CX20" s="34">
        <f>HLOOKUP(CX$7+0.5,$I$66:$DJ$120,ROWS($A$10:$A20)+2,FALSE)</f>
        <v>813</v>
      </c>
      <c r="CY20" s="34">
        <f>HLOOKUP(CY$7+0.5,$I$66:$DJ$120,ROWS($A$10:$A20)+2,FALSE)</f>
        <v>2906</v>
      </c>
      <c r="CZ20" s="34">
        <f>HLOOKUP(CZ$7+0.5,$I$66:$DJ$120,ROWS($A$10:$A20)+2,FALSE)</f>
        <v>473</v>
      </c>
      <c r="DA20" s="34">
        <f>HLOOKUP(DA$7+0.5,$I$66:$DJ$120,ROWS($A$10:$A20)+2,FALSE)</f>
        <v>2482</v>
      </c>
      <c r="DB20" s="34">
        <f>HLOOKUP(DB$7+0.5,$I$66:$DJ$120,ROWS($A$10:$A20)+2,FALSE)</f>
        <v>5038</v>
      </c>
      <c r="DC20" s="34">
        <f>HLOOKUP(DC$7+0.5,$I$66:$DJ$120,ROWS($A$10:$A20)+2,FALSE)</f>
        <v>1249</v>
      </c>
      <c r="DD20" s="34">
        <f>HLOOKUP(DD$7+0.5,$I$66:$DJ$120,ROWS($A$10:$A20)+2,FALSE)</f>
        <v>935</v>
      </c>
      <c r="DE20" s="34">
        <f>HLOOKUP(DE$7+0.5,$I$66:$DJ$120,ROWS($A$10:$A20)+2,FALSE)</f>
        <v>4137</v>
      </c>
      <c r="DF20" s="34">
        <f>HLOOKUP(DF$7+0.5,$I$66:$DJ$120,ROWS($A$10:$A20)+2,FALSE)</f>
        <v>1239</v>
      </c>
      <c r="DG20" s="34">
        <f>HLOOKUP(DG$7+0.5,$I$66:$DJ$120,ROWS($A$10:$A20)+2,FALSE)</f>
        <v>2872</v>
      </c>
      <c r="DH20" s="34">
        <f>HLOOKUP(DH$7+0.5,$I$66:$DJ$120,ROWS($A$10:$A20)+2,FALSE)</f>
        <v>2929</v>
      </c>
      <c r="DI20" s="34">
        <f>HLOOKUP(DI$7+0.5,$I$66:$DJ$120,ROWS($A$10:$A20)+2,FALSE)</f>
        <v>258</v>
      </c>
      <c r="DJ20" s="34">
        <f>HLOOKUP(DJ$7+0.5,$I$66:$DJ$120,ROWS($A$10:$A20)+2,FALSE)</f>
        <v>4149</v>
      </c>
    </row>
    <row r="21" spans="2:114" x14ac:dyDescent="0.25">
      <c r="B21" s="38" t="s">
        <v>17</v>
      </c>
      <c r="C21" s="16">
        <v>9587237</v>
      </c>
      <c r="D21" s="17">
        <v>5924</v>
      </c>
      <c r="E21" s="16">
        <v>8015409</v>
      </c>
      <c r="F21" s="17">
        <v>37393</v>
      </c>
      <c r="G21" s="16">
        <v>1278548</v>
      </c>
      <c r="H21" s="17">
        <v>36794</v>
      </c>
      <c r="I21" s="36">
        <f>HLOOKUP(I$7,$I$66:$DJ$120,ROWS($A$10:$A21)+2,FALSE)</f>
        <v>249459</v>
      </c>
      <c r="J21" s="25">
        <f>HLOOKUP(J$7,$I$66:$DJ$120,ROWS($A$10:$A21)+2,FALSE)</f>
        <v>13840</v>
      </c>
      <c r="K21" s="25">
        <f>HLOOKUP(K$7,$I$66:$DJ$120,ROWS($A$10:$A21)+2,FALSE)</f>
        <v>3645</v>
      </c>
      <c r="L21" s="25">
        <f>HLOOKUP(L$7,$I$66:$DJ$120,ROWS($A$10:$A21)+2,FALSE)</f>
        <v>2554</v>
      </c>
      <c r="M21" s="25">
        <f>HLOOKUP(M$7,$I$66:$DJ$120,ROWS($A$10:$A21)+2,FALSE)</f>
        <v>599</v>
      </c>
      <c r="N21" s="25">
        <f>HLOOKUP(N$7,$I$66:$DJ$120,ROWS($A$10:$A21)+2,FALSE)</f>
        <v>8909</v>
      </c>
      <c r="O21" s="25">
        <f>HLOOKUP(O$7,$I$66:$DJ$120,ROWS($A$10:$A21)+2,FALSE)</f>
        <v>3224</v>
      </c>
      <c r="P21" s="25">
        <f>HLOOKUP(P$7,$I$66:$DJ$120,ROWS($A$10:$A21)+2,FALSE)</f>
        <v>2619</v>
      </c>
      <c r="Q21" s="25">
        <f>HLOOKUP(Q$7,$I$66:$DJ$120,ROWS($A$10:$A21)+2,FALSE)</f>
        <v>837</v>
      </c>
      <c r="R21" s="25">
        <f>HLOOKUP(R$7,$I$66:$DJ$120,ROWS($A$10:$A21)+2,FALSE)</f>
        <v>1708</v>
      </c>
      <c r="S21" s="25">
        <f>HLOOKUP(S$7,$I$66:$DJ$120,ROWS($A$10:$A21)+2,FALSE)</f>
        <v>49901</v>
      </c>
      <c r="T21" s="25" t="str">
        <f>HLOOKUP(T$7,$I$66:$DJ$120,ROWS($A$10:$A21)+2,FALSE)</f>
        <v>N/A</v>
      </c>
      <c r="U21" s="25">
        <f>HLOOKUP(U$7,$I$66:$DJ$120,ROWS($A$10:$A21)+2,FALSE)</f>
        <v>1040</v>
      </c>
      <c r="V21" s="25">
        <f>HLOOKUP(V$7,$I$66:$DJ$120,ROWS($A$10:$A21)+2,FALSE)</f>
        <v>414</v>
      </c>
      <c r="W21" s="25">
        <f>HLOOKUP(W$7,$I$66:$DJ$120,ROWS($A$10:$A21)+2,FALSE)</f>
        <v>9736</v>
      </c>
      <c r="X21" s="25">
        <f>HLOOKUP(X$7,$I$66:$DJ$120,ROWS($A$10:$A21)+2,FALSE)</f>
        <v>2649</v>
      </c>
      <c r="Y21" s="25">
        <f>HLOOKUP(Y$7,$I$66:$DJ$120,ROWS($A$10:$A21)+2,FALSE)</f>
        <v>1096</v>
      </c>
      <c r="Z21" s="25">
        <f>HLOOKUP(Z$7,$I$66:$DJ$120,ROWS($A$10:$A21)+2,FALSE)</f>
        <v>1355</v>
      </c>
      <c r="AA21" s="25">
        <f>HLOOKUP(AA$7,$I$66:$DJ$120,ROWS($A$10:$A21)+2,FALSE)</f>
        <v>6525</v>
      </c>
      <c r="AB21" s="25">
        <f>HLOOKUP(AB$7,$I$66:$DJ$120,ROWS($A$10:$A21)+2,FALSE)</f>
        <v>3645</v>
      </c>
      <c r="AC21" s="25">
        <f>HLOOKUP(AC$7,$I$66:$DJ$120,ROWS($A$10:$A21)+2,FALSE)</f>
        <v>0</v>
      </c>
      <c r="AD21" s="25">
        <f>HLOOKUP(AD$7,$I$66:$DJ$120,ROWS($A$10:$A21)+2,FALSE)</f>
        <v>5382</v>
      </c>
      <c r="AE21" s="25">
        <f>HLOOKUP(AE$7,$I$66:$DJ$120,ROWS($A$10:$A21)+2,FALSE)</f>
        <v>3910</v>
      </c>
      <c r="AF21" s="25">
        <f>HLOOKUP(AF$7,$I$66:$DJ$120,ROWS($A$10:$A21)+2,FALSE)</f>
        <v>6857</v>
      </c>
      <c r="AG21" s="25">
        <f>HLOOKUP(AG$7,$I$66:$DJ$120,ROWS($A$10:$A21)+2,FALSE)</f>
        <v>1169</v>
      </c>
      <c r="AH21" s="25">
        <f>HLOOKUP(AH$7,$I$66:$DJ$120,ROWS($A$10:$A21)+2,FALSE)</f>
        <v>2380</v>
      </c>
      <c r="AI21" s="25">
        <f>HLOOKUP(AI$7,$I$66:$DJ$120,ROWS($A$10:$A21)+2,FALSE)</f>
        <v>3072</v>
      </c>
      <c r="AJ21" s="25">
        <f>HLOOKUP(AJ$7,$I$66:$DJ$120,ROWS($A$10:$A21)+2,FALSE)</f>
        <v>52</v>
      </c>
      <c r="AK21" s="25">
        <f>HLOOKUP(AK$7,$I$66:$DJ$120,ROWS($A$10:$A21)+2,FALSE)</f>
        <v>148</v>
      </c>
      <c r="AL21" s="25">
        <f>HLOOKUP(AL$7,$I$66:$DJ$120,ROWS($A$10:$A21)+2,FALSE)</f>
        <v>1155</v>
      </c>
      <c r="AM21" s="25">
        <f>HLOOKUP(AM$7,$I$66:$DJ$120,ROWS($A$10:$A21)+2,FALSE)</f>
        <v>162</v>
      </c>
      <c r="AN21" s="25">
        <f>HLOOKUP(AN$7,$I$66:$DJ$120,ROWS($A$10:$A21)+2,FALSE)</f>
        <v>4151</v>
      </c>
      <c r="AO21" s="25">
        <f>HLOOKUP(AO$7,$I$66:$DJ$120,ROWS($A$10:$A21)+2,FALSE)</f>
        <v>826</v>
      </c>
      <c r="AP21" s="25">
        <f>HLOOKUP(AP$7,$I$66:$DJ$120,ROWS($A$10:$A21)+2,FALSE)</f>
        <v>12472</v>
      </c>
      <c r="AQ21" s="25">
        <f>HLOOKUP(AQ$7,$I$66:$DJ$120,ROWS($A$10:$A21)+2,FALSE)</f>
        <v>15361</v>
      </c>
      <c r="AR21" s="25">
        <f>HLOOKUP(AR$7,$I$66:$DJ$120,ROWS($A$10:$A21)+2,FALSE)</f>
        <v>0</v>
      </c>
      <c r="AS21" s="25">
        <f>HLOOKUP(AS$7,$I$66:$DJ$120,ROWS($A$10:$A21)+2,FALSE)</f>
        <v>9323</v>
      </c>
      <c r="AT21" s="25">
        <f>HLOOKUP(AT$7,$I$66:$DJ$120,ROWS($A$10:$A21)+2,FALSE)</f>
        <v>2070</v>
      </c>
      <c r="AU21" s="25">
        <f>HLOOKUP(AU$7,$I$66:$DJ$120,ROWS($A$10:$A21)+2,FALSE)</f>
        <v>843</v>
      </c>
      <c r="AV21" s="25">
        <f>HLOOKUP(AV$7,$I$66:$DJ$120,ROWS($A$10:$A21)+2,FALSE)</f>
        <v>6294</v>
      </c>
      <c r="AW21" s="25">
        <f>HLOOKUP(AW$7,$I$66:$DJ$120,ROWS($A$10:$A21)+2,FALSE)</f>
        <v>43</v>
      </c>
      <c r="AX21" s="25">
        <f>HLOOKUP(AX$7,$I$66:$DJ$120,ROWS($A$10:$A21)+2,FALSE)</f>
        <v>15562</v>
      </c>
      <c r="AY21" s="25">
        <f>HLOOKUP(AY$7,$I$66:$DJ$120,ROWS($A$10:$A21)+2,FALSE)</f>
        <v>557</v>
      </c>
      <c r="AZ21" s="25">
        <f>HLOOKUP(AZ$7,$I$66:$DJ$120,ROWS($A$10:$A21)+2,FALSE)</f>
        <v>14445</v>
      </c>
      <c r="BA21" s="25">
        <f>HLOOKUP(BA$7,$I$66:$DJ$120,ROWS($A$10:$A21)+2,FALSE)</f>
        <v>11424</v>
      </c>
      <c r="BB21" s="25">
        <f>HLOOKUP(BB$7,$I$66:$DJ$120,ROWS($A$10:$A21)+2,FALSE)</f>
        <v>380</v>
      </c>
      <c r="BC21" s="25">
        <f>HLOOKUP(BC$7,$I$66:$DJ$120,ROWS($A$10:$A21)+2,FALSE)</f>
        <v>361</v>
      </c>
      <c r="BD21" s="25">
        <f>HLOOKUP(BD$7,$I$66:$DJ$120,ROWS($A$10:$A21)+2,FALSE)</f>
        <v>8393</v>
      </c>
      <c r="BE21" s="25">
        <f>HLOOKUP(BE$7,$I$66:$DJ$120,ROWS($A$10:$A21)+2,FALSE)</f>
        <v>4495</v>
      </c>
      <c r="BF21" s="25">
        <f>HLOOKUP(BF$7,$I$66:$DJ$120,ROWS($A$10:$A21)+2,FALSE)</f>
        <v>358</v>
      </c>
      <c r="BG21" s="25">
        <f>HLOOKUP(BG$7,$I$66:$DJ$120,ROWS($A$10:$A21)+2,FALSE)</f>
        <v>3416</v>
      </c>
      <c r="BH21" s="25">
        <f>HLOOKUP(BH$7,$I$66:$DJ$120,ROWS($A$10:$A21)+2,FALSE)</f>
        <v>102</v>
      </c>
      <c r="BI21" s="25">
        <f>HLOOKUP(BI$7,$I$66:$DJ$120,ROWS($A$10:$A21)+2,FALSE)</f>
        <v>1010</v>
      </c>
      <c r="BJ21" s="34">
        <f>HLOOKUP(BJ$7+0.5,$I$66:$DJ$120,ROWS($A$10:$A21)+2,FALSE)</f>
        <v>15858</v>
      </c>
      <c r="BK21" s="34">
        <f>HLOOKUP(BK$7+0.5,$I$66:$DJ$120,ROWS($A$10:$A21)+2,FALSE)</f>
        <v>2473</v>
      </c>
      <c r="BL21" s="34">
        <f>HLOOKUP(BL$7+0.5,$I$66:$DJ$120,ROWS($A$10:$A21)+2,FALSE)</f>
        <v>1932</v>
      </c>
      <c r="BM21" s="34">
        <f>HLOOKUP(BM$7+0.5,$I$66:$DJ$120,ROWS($A$10:$A21)+2,FALSE)</f>
        <v>1303</v>
      </c>
      <c r="BN21" s="34">
        <f>HLOOKUP(BN$7+0.5,$I$66:$DJ$120,ROWS($A$10:$A21)+2,FALSE)</f>
        <v>436</v>
      </c>
      <c r="BO21" s="34">
        <f>HLOOKUP(BO$7+0.5,$I$66:$DJ$120,ROWS($A$10:$A21)+2,FALSE)</f>
        <v>2412</v>
      </c>
      <c r="BP21" s="34">
        <f>HLOOKUP(BP$7+0.5,$I$66:$DJ$120,ROWS($A$10:$A21)+2,FALSE)</f>
        <v>2058</v>
      </c>
      <c r="BQ21" s="34">
        <f>HLOOKUP(BQ$7+0.5,$I$66:$DJ$120,ROWS($A$10:$A21)+2,FALSE)</f>
        <v>1473</v>
      </c>
      <c r="BR21" s="34">
        <f>HLOOKUP(BR$7+0.5,$I$66:$DJ$120,ROWS($A$10:$A21)+2,FALSE)</f>
        <v>753</v>
      </c>
      <c r="BS21" s="34">
        <f>HLOOKUP(BS$7+0.5,$I$66:$DJ$120,ROWS($A$10:$A21)+2,FALSE)</f>
        <v>1278</v>
      </c>
      <c r="BT21" s="34">
        <f>HLOOKUP(BT$7+0.5,$I$66:$DJ$120,ROWS($A$10:$A21)+2,FALSE)</f>
        <v>5558</v>
      </c>
      <c r="BU21" s="34" t="str">
        <f>HLOOKUP(BU$7+0.5,$I$66:$DJ$120,ROWS($A$10:$A21)+2,FALSE)</f>
        <v>N/A</v>
      </c>
      <c r="BV21" s="34">
        <f>HLOOKUP(BV$7+0.5,$I$66:$DJ$120,ROWS($A$10:$A21)+2,FALSE)</f>
        <v>658</v>
      </c>
      <c r="BW21" s="34">
        <f>HLOOKUP(BW$7+0.5,$I$66:$DJ$120,ROWS($A$10:$A21)+2,FALSE)</f>
        <v>478</v>
      </c>
      <c r="BX21" s="34">
        <f>HLOOKUP(BX$7+0.5,$I$66:$DJ$120,ROWS($A$10:$A21)+2,FALSE)</f>
        <v>3665</v>
      </c>
      <c r="BY21" s="34">
        <f>HLOOKUP(BY$7+0.5,$I$66:$DJ$120,ROWS($A$10:$A21)+2,FALSE)</f>
        <v>1023</v>
      </c>
      <c r="BZ21" s="34">
        <f>HLOOKUP(BZ$7+0.5,$I$66:$DJ$120,ROWS($A$10:$A21)+2,FALSE)</f>
        <v>821</v>
      </c>
      <c r="CA21" s="34">
        <f>HLOOKUP(CA$7+0.5,$I$66:$DJ$120,ROWS($A$10:$A21)+2,FALSE)</f>
        <v>1097</v>
      </c>
      <c r="CB21" s="34">
        <f>HLOOKUP(CB$7+0.5,$I$66:$DJ$120,ROWS($A$10:$A21)+2,FALSE)</f>
        <v>2248</v>
      </c>
      <c r="CC21" s="34">
        <f>HLOOKUP(CC$7+0.5,$I$66:$DJ$120,ROWS($A$10:$A21)+2,FALSE)</f>
        <v>1604</v>
      </c>
      <c r="CD21" s="34">
        <f>HLOOKUP(CD$7+0.5,$I$66:$DJ$120,ROWS($A$10:$A21)+2,FALSE)</f>
        <v>300</v>
      </c>
      <c r="CE21" s="34">
        <f>HLOOKUP(CE$7+0.5,$I$66:$DJ$120,ROWS($A$10:$A21)+2,FALSE)</f>
        <v>1767</v>
      </c>
      <c r="CF21" s="34">
        <f>HLOOKUP(CF$7+0.5,$I$66:$DJ$120,ROWS($A$10:$A21)+2,FALSE)</f>
        <v>2127</v>
      </c>
      <c r="CG21" s="34">
        <f>HLOOKUP(CG$7+0.5,$I$66:$DJ$120,ROWS($A$10:$A21)+2,FALSE)</f>
        <v>1831</v>
      </c>
      <c r="CH21" s="34">
        <f>HLOOKUP(CH$7+0.5,$I$66:$DJ$120,ROWS($A$10:$A21)+2,FALSE)</f>
        <v>718</v>
      </c>
      <c r="CI21" s="34">
        <f>HLOOKUP(CI$7+0.5,$I$66:$DJ$120,ROWS($A$10:$A21)+2,FALSE)</f>
        <v>959</v>
      </c>
      <c r="CJ21" s="34">
        <f>HLOOKUP(CJ$7+0.5,$I$66:$DJ$120,ROWS($A$10:$A21)+2,FALSE)</f>
        <v>1087</v>
      </c>
      <c r="CK21" s="34">
        <f>HLOOKUP(CK$7+0.5,$I$66:$DJ$120,ROWS($A$10:$A21)+2,FALSE)</f>
        <v>92</v>
      </c>
      <c r="CL21" s="34">
        <f>HLOOKUP(CL$7+0.5,$I$66:$DJ$120,ROWS($A$10:$A21)+2,FALSE)</f>
        <v>139</v>
      </c>
      <c r="CM21" s="34">
        <f>HLOOKUP(CM$7+0.5,$I$66:$DJ$120,ROWS($A$10:$A21)+2,FALSE)</f>
        <v>684</v>
      </c>
      <c r="CN21" s="34">
        <f>HLOOKUP(CN$7+0.5,$I$66:$DJ$120,ROWS($A$10:$A21)+2,FALSE)</f>
        <v>161</v>
      </c>
      <c r="CO21" s="34">
        <f>HLOOKUP(CO$7+0.5,$I$66:$DJ$120,ROWS($A$10:$A21)+2,FALSE)</f>
        <v>1203</v>
      </c>
      <c r="CP21" s="34">
        <f>HLOOKUP(CP$7+0.5,$I$66:$DJ$120,ROWS($A$10:$A21)+2,FALSE)</f>
        <v>509</v>
      </c>
      <c r="CQ21" s="34">
        <f>HLOOKUP(CQ$7+0.5,$I$66:$DJ$120,ROWS($A$10:$A21)+2,FALSE)</f>
        <v>2568</v>
      </c>
      <c r="CR21" s="34">
        <f>HLOOKUP(CR$7+0.5,$I$66:$DJ$120,ROWS($A$10:$A21)+2,FALSE)</f>
        <v>3426</v>
      </c>
      <c r="CS21" s="34">
        <f>HLOOKUP(CS$7+0.5,$I$66:$DJ$120,ROWS($A$10:$A21)+2,FALSE)</f>
        <v>300</v>
      </c>
      <c r="CT21" s="34">
        <f>HLOOKUP(CT$7+0.5,$I$66:$DJ$120,ROWS($A$10:$A21)+2,FALSE)</f>
        <v>2446</v>
      </c>
      <c r="CU21" s="34">
        <f>HLOOKUP(CU$7+0.5,$I$66:$DJ$120,ROWS($A$10:$A21)+2,FALSE)</f>
        <v>1458</v>
      </c>
      <c r="CV21" s="34">
        <f>HLOOKUP(CV$7+0.5,$I$66:$DJ$120,ROWS($A$10:$A21)+2,FALSE)</f>
        <v>626</v>
      </c>
      <c r="CW21" s="34">
        <f>HLOOKUP(CW$7+0.5,$I$66:$DJ$120,ROWS($A$10:$A21)+2,FALSE)</f>
        <v>1914</v>
      </c>
      <c r="CX21" s="34">
        <f>HLOOKUP(CX$7+0.5,$I$66:$DJ$120,ROWS($A$10:$A21)+2,FALSE)</f>
        <v>70</v>
      </c>
      <c r="CY21" s="34">
        <f>HLOOKUP(CY$7+0.5,$I$66:$DJ$120,ROWS($A$10:$A21)+2,FALSE)</f>
        <v>3592</v>
      </c>
      <c r="CZ21" s="34">
        <f>HLOOKUP(CZ$7+0.5,$I$66:$DJ$120,ROWS($A$10:$A21)+2,FALSE)</f>
        <v>540</v>
      </c>
      <c r="DA21" s="34">
        <f>HLOOKUP(DA$7+0.5,$I$66:$DJ$120,ROWS($A$10:$A21)+2,FALSE)</f>
        <v>3273</v>
      </c>
      <c r="DB21" s="34">
        <f>HLOOKUP(DB$7+0.5,$I$66:$DJ$120,ROWS($A$10:$A21)+2,FALSE)</f>
        <v>2574</v>
      </c>
      <c r="DC21" s="34">
        <f>HLOOKUP(DC$7+0.5,$I$66:$DJ$120,ROWS($A$10:$A21)+2,FALSE)</f>
        <v>291</v>
      </c>
      <c r="DD21" s="34">
        <f>HLOOKUP(DD$7+0.5,$I$66:$DJ$120,ROWS($A$10:$A21)+2,FALSE)</f>
        <v>458</v>
      </c>
      <c r="DE21" s="34">
        <f>HLOOKUP(DE$7+0.5,$I$66:$DJ$120,ROWS($A$10:$A21)+2,FALSE)</f>
        <v>2087</v>
      </c>
      <c r="DF21" s="34">
        <f>HLOOKUP(DF$7+0.5,$I$66:$DJ$120,ROWS($A$10:$A21)+2,FALSE)</f>
        <v>2034</v>
      </c>
      <c r="DG21" s="34">
        <f>HLOOKUP(DG$7+0.5,$I$66:$DJ$120,ROWS($A$10:$A21)+2,FALSE)</f>
        <v>295</v>
      </c>
      <c r="DH21" s="34">
        <f>HLOOKUP(DH$7+0.5,$I$66:$DJ$120,ROWS($A$10:$A21)+2,FALSE)</f>
        <v>2022</v>
      </c>
      <c r="DI21" s="34">
        <f>HLOOKUP(DI$7+0.5,$I$66:$DJ$120,ROWS($A$10:$A21)+2,FALSE)</f>
        <v>118</v>
      </c>
      <c r="DJ21" s="34">
        <f>HLOOKUP(DJ$7+0.5,$I$66:$DJ$120,ROWS($A$10:$A21)+2,FALSE)</f>
        <v>742</v>
      </c>
    </row>
    <row r="22" spans="2:114" x14ac:dyDescent="0.25">
      <c r="B22" s="38" t="s">
        <v>18</v>
      </c>
      <c r="C22" s="16">
        <v>1346274</v>
      </c>
      <c r="D22" s="17">
        <v>1690</v>
      </c>
      <c r="E22" s="16">
        <v>1140572</v>
      </c>
      <c r="F22" s="17">
        <v>10422</v>
      </c>
      <c r="G22" s="16">
        <v>134315</v>
      </c>
      <c r="H22" s="17">
        <v>9295</v>
      </c>
      <c r="I22" s="36">
        <f>HLOOKUP(I$7,$I$66:$DJ$120,ROWS($A$10:$A22)+2,FALSE)</f>
        <v>53581</v>
      </c>
      <c r="J22" s="25">
        <f>HLOOKUP(J$7,$I$66:$DJ$120,ROWS($A$10:$A22)+2,FALSE)</f>
        <v>749</v>
      </c>
      <c r="K22" s="25">
        <f>HLOOKUP(K$7,$I$66:$DJ$120,ROWS($A$10:$A22)+2,FALSE)</f>
        <v>743</v>
      </c>
      <c r="L22" s="25">
        <f>HLOOKUP(L$7,$I$66:$DJ$120,ROWS($A$10:$A22)+2,FALSE)</f>
        <v>1398</v>
      </c>
      <c r="M22" s="25">
        <f>HLOOKUP(M$7,$I$66:$DJ$120,ROWS($A$10:$A22)+2,FALSE)</f>
        <v>0</v>
      </c>
      <c r="N22" s="25">
        <f>HLOOKUP(N$7,$I$66:$DJ$120,ROWS($A$10:$A22)+2,FALSE)</f>
        <v>12677</v>
      </c>
      <c r="O22" s="25">
        <f>HLOOKUP(O$7,$I$66:$DJ$120,ROWS($A$10:$A22)+2,FALSE)</f>
        <v>1073</v>
      </c>
      <c r="P22" s="25">
        <f>HLOOKUP(P$7,$I$66:$DJ$120,ROWS($A$10:$A22)+2,FALSE)</f>
        <v>307</v>
      </c>
      <c r="Q22" s="25">
        <f>HLOOKUP(Q$7,$I$66:$DJ$120,ROWS($A$10:$A22)+2,FALSE)</f>
        <v>0</v>
      </c>
      <c r="R22" s="25">
        <f>HLOOKUP(R$7,$I$66:$DJ$120,ROWS($A$10:$A22)+2,FALSE)</f>
        <v>0</v>
      </c>
      <c r="S22" s="25">
        <f>HLOOKUP(S$7,$I$66:$DJ$120,ROWS($A$10:$A22)+2,FALSE)</f>
        <v>4599</v>
      </c>
      <c r="T22" s="25">
        <f>HLOOKUP(T$7,$I$66:$DJ$120,ROWS($A$10:$A22)+2,FALSE)</f>
        <v>2013</v>
      </c>
      <c r="U22" s="25" t="str">
        <f>HLOOKUP(U$7,$I$66:$DJ$120,ROWS($A$10:$A22)+2,FALSE)</f>
        <v>N/A</v>
      </c>
      <c r="V22" s="25">
        <f>HLOOKUP(V$7,$I$66:$DJ$120,ROWS($A$10:$A22)+2,FALSE)</f>
        <v>42</v>
      </c>
      <c r="W22" s="25">
        <f>HLOOKUP(W$7,$I$66:$DJ$120,ROWS($A$10:$A22)+2,FALSE)</f>
        <v>715</v>
      </c>
      <c r="X22" s="25">
        <f>HLOOKUP(X$7,$I$66:$DJ$120,ROWS($A$10:$A22)+2,FALSE)</f>
        <v>192</v>
      </c>
      <c r="Y22" s="25">
        <f>HLOOKUP(Y$7,$I$66:$DJ$120,ROWS($A$10:$A22)+2,FALSE)</f>
        <v>68</v>
      </c>
      <c r="Z22" s="25">
        <f>HLOOKUP(Z$7,$I$66:$DJ$120,ROWS($A$10:$A22)+2,FALSE)</f>
        <v>387</v>
      </c>
      <c r="AA22" s="25">
        <f>HLOOKUP(AA$7,$I$66:$DJ$120,ROWS($A$10:$A22)+2,FALSE)</f>
        <v>95</v>
      </c>
      <c r="AB22" s="25">
        <f>HLOOKUP(AB$7,$I$66:$DJ$120,ROWS($A$10:$A22)+2,FALSE)</f>
        <v>88</v>
      </c>
      <c r="AC22" s="25">
        <f>HLOOKUP(AC$7,$I$66:$DJ$120,ROWS($A$10:$A22)+2,FALSE)</f>
        <v>89</v>
      </c>
      <c r="AD22" s="25">
        <f>HLOOKUP(AD$7,$I$66:$DJ$120,ROWS($A$10:$A22)+2,FALSE)</f>
        <v>990</v>
      </c>
      <c r="AE22" s="25">
        <f>HLOOKUP(AE$7,$I$66:$DJ$120,ROWS($A$10:$A22)+2,FALSE)</f>
        <v>1283</v>
      </c>
      <c r="AF22" s="25">
        <f>HLOOKUP(AF$7,$I$66:$DJ$120,ROWS($A$10:$A22)+2,FALSE)</f>
        <v>627</v>
      </c>
      <c r="AG22" s="25">
        <f>HLOOKUP(AG$7,$I$66:$DJ$120,ROWS($A$10:$A22)+2,FALSE)</f>
        <v>476</v>
      </c>
      <c r="AH22" s="25">
        <f>HLOOKUP(AH$7,$I$66:$DJ$120,ROWS($A$10:$A22)+2,FALSE)</f>
        <v>234</v>
      </c>
      <c r="AI22" s="25">
        <f>HLOOKUP(AI$7,$I$66:$DJ$120,ROWS($A$10:$A22)+2,FALSE)</f>
        <v>170</v>
      </c>
      <c r="AJ22" s="25">
        <f>HLOOKUP(AJ$7,$I$66:$DJ$120,ROWS($A$10:$A22)+2,FALSE)</f>
        <v>150</v>
      </c>
      <c r="AK22" s="25">
        <f>HLOOKUP(AK$7,$I$66:$DJ$120,ROWS($A$10:$A22)+2,FALSE)</f>
        <v>0</v>
      </c>
      <c r="AL22" s="25">
        <f>HLOOKUP(AL$7,$I$66:$DJ$120,ROWS($A$10:$A22)+2,FALSE)</f>
        <v>1925</v>
      </c>
      <c r="AM22" s="25">
        <f>HLOOKUP(AM$7,$I$66:$DJ$120,ROWS($A$10:$A22)+2,FALSE)</f>
        <v>496</v>
      </c>
      <c r="AN22" s="25">
        <f>HLOOKUP(AN$7,$I$66:$DJ$120,ROWS($A$10:$A22)+2,FALSE)</f>
        <v>443</v>
      </c>
      <c r="AO22" s="25">
        <f>HLOOKUP(AO$7,$I$66:$DJ$120,ROWS($A$10:$A22)+2,FALSE)</f>
        <v>11</v>
      </c>
      <c r="AP22" s="25">
        <f>HLOOKUP(AP$7,$I$66:$DJ$120,ROWS($A$10:$A22)+2,FALSE)</f>
        <v>1339</v>
      </c>
      <c r="AQ22" s="25">
        <f>HLOOKUP(AQ$7,$I$66:$DJ$120,ROWS($A$10:$A22)+2,FALSE)</f>
        <v>1510</v>
      </c>
      <c r="AR22" s="25">
        <f>HLOOKUP(AR$7,$I$66:$DJ$120,ROWS($A$10:$A22)+2,FALSE)</f>
        <v>69</v>
      </c>
      <c r="AS22" s="25">
        <f>HLOOKUP(AS$7,$I$66:$DJ$120,ROWS($A$10:$A22)+2,FALSE)</f>
        <v>625</v>
      </c>
      <c r="AT22" s="25">
        <f>HLOOKUP(AT$7,$I$66:$DJ$120,ROWS($A$10:$A22)+2,FALSE)</f>
        <v>57</v>
      </c>
      <c r="AU22" s="25">
        <f>HLOOKUP(AU$7,$I$66:$DJ$120,ROWS($A$10:$A22)+2,FALSE)</f>
        <v>1834</v>
      </c>
      <c r="AV22" s="25">
        <f>HLOOKUP(AV$7,$I$66:$DJ$120,ROWS($A$10:$A22)+2,FALSE)</f>
        <v>553</v>
      </c>
      <c r="AW22" s="25">
        <f>HLOOKUP(AW$7,$I$66:$DJ$120,ROWS($A$10:$A22)+2,FALSE)</f>
        <v>644</v>
      </c>
      <c r="AX22" s="25">
        <f>HLOOKUP(AX$7,$I$66:$DJ$120,ROWS($A$10:$A22)+2,FALSE)</f>
        <v>322</v>
      </c>
      <c r="AY22" s="25">
        <f>HLOOKUP(AY$7,$I$66:$DJ$120,ROWS($A$10:$A22)+2,FALSE)</f>
        <v>267</v>
      </c>
      <c r="AZ22" s="25">
        <f>HLOOKUP(AZ$7,$I$66:$DJ$120,ROWS($A$10:$A22)+2,FALSE)</f>
        <v>142</v>
      </c>
      <c r="BA22" s="25">
        <f>HLOOKUP(BA$7,$I$66:$DJ$120,ROWS($A$10:$A22)+2,FALSE)</f>
        <v>6694</v>
      </c>
      <c r="BB22" s="25">
        <f>HLOOKUP(BB$7,$I$66:$DJ$120,ROWS($A$10:$A22)+2,FALSE)</f>
        <v>467</v>
      </c>
      <c r="BC22" s="25">
        <f>HLOOKUP(BC$7,$I$66:$DJ$120,ROWS($A$10:$A22)+2,FALSE)</f>
        <v>0</v>
      </c>
      <c r="BD22" s="25">
        <f>HLOOKUP(BD$7,$I$66:$DJ$120,ROWS($A$10:$A22)+2,FALSE)</f>
        <v>2644</v>
      </c>
      <c r="BE22" s="25">
        <f>HLOOKUP(BE$7,$I$66:$DJ$120,ROWS($A$10:$A22)+2,FALSE)</f>
        <v>2705</v>
      </c>
      <c r="BF22" s="25">
        <f>HLOOKUP(BF$7,$I$66:$DJ$120,ROWS($A$10:$A22)+2,FALSE)</f>
        <v>483</v>
      </c>
      <c r="BG22" s="25">
        <f>HLOOKUP(BG$7,$I$66:$DJ$120,ROWS($A$10:$A22)+2,FALSE)</f>
        <v>1168</v>
      </c>
      <c r="BH22" s="25">
        <f>HLOOKUP(BH$7,$I$66:$DJ$120,ROWS($A$10:$A22)+2,FALSE)</f>
        <v>18</v>
      </c>
      <c r="BI22" s="25">
        <f>HLOOKUP(BI$7,$I$66:$DJ$120,ROWS($A$10:$A22)+2,FALSE)</f>
        <v>0</v>
      </c>
      <c r="BJ22" s="34">
        <f>HLOOKUP(BJ$7+0.5,$I$66:$DJ$120,ROWS($A$10:$A22)+2,FALSE)</f>
        <v>6065</v>
      </c>
      <c r="BK22" s="34">
        <f>HLOOKUP(BK$7+0.5,$I$66:$DJ$120,ROWS($A$10:$A22)+2,FALSE)</f>
        <v>542</v>
      </c>
      <c r="BL22" s="34">
        <f>HLOOKUP(BL$7+0.5,$I$66:$DJ$120,ROWS($A$10:$A22)+2,FALSE)</f>
        <v>609</v>
      </c>
      <c r="BM22" s="34">
        <f>HLOOKUP(BM$7+0.5,$I$66:$DJ$120,ROWS($A$10:$A22)+2,FALSE)</f>
        <v>849</v>
      </c>
      <c r="BN22" s="34">
        <f>HLOOKUP(BN$7+0.5,$I$66:$DJ$120,ROWS($A$10:$A22)+2,FALSE)</f>
        <v>275</v>
      </c>
      <c r="BO22" s="34">
        <f>HLOOKUP(BO$7+0.5,$I$66:$DJ$120,ROWS($A$10:$A22)+2,FALSE)</f>
        <v>2325</v>
      </c>
      <c r="BP22" s="34">
        <f>HLOOKUP(BP$7+0.5,$I$66:$DJ$120,ROWS($A$10:$A22)+2,FALSE)</f>
        <v>667</v>
      </c>
      <c r="BQ22" s="34">
        <f>HLOOKUP(BQ$7+0.5,$I$66:$DJ$120,ROWS($A$10:$A22)+2,FALSE)</f>
        <v>392</v>
      </c>
      <c r="BR22" s="34">
        <f>HLOOKUP(BR$7+0.5,$I$66:$DJ$120,ROWS($A$10:$A22)+2,FALSE)</f>
        <v>275</v>
      </c>
      <c r="BS22" s="34">
        <f>HLOOKUP(BS$7+0.5,$I$66:$DJ$120,ROWS($A$10:$A22)+2,FALSE)</f>
        <v>275</v>
      </c>
      <c r="BT22" s="34">
        <f>HLOOKUP(BT$7+0.5,$I$66:$DJ$120,ROWS($A$10:$A22)+2,FALSE)</f>
        <v>2610</v>
      </c>
      <c r="BU22" s="34">
        <f>HLOOKUP(BU$7+0.5,$I$66:$DJ$120,ROWS($A$10:$A22)+2,FALSE)</f>
        <v>1185</v>
      </c>
      <c r="BV22" s="34" t="str">
        <f>HLOOKUP(BV$7+0.5,$I$66:$DJ$120,ROWS($A$10:$A22)+2,FALSE)</f>
        <v>N/A</v>
      </c>
      <c r="BW22" s="34">
        <f>HLOOKUP(BW$7+0.5,$I$66:$DJ$120,ROWS($A$10:$A22)+2,FALSE)</f>
        <v>70</v>
      </c>
      <c r="BX22" s="34">
        <f>HLOOKUP(BX$7+0.5,$I$66:$DJ$120,ROWS($A$10:$A22)+2,FALSE)</f>
        <v>412</v>
      </c>
      <c r="BY22" s="34">
        <f>HLOOKUP(BY$7+0.5,$I$66:$DJ$120,ROWS($A$10:$A22)+2,FALSE)</f>
        <v>209</v>
      </c>
      <c r="BZ22" s="34">
        <f>HLOOKUP(BZ$7+0.5,$I$66:$DJ$120,ROWS($A$10:$A22)+2,FALSE)</f>
        <v>118</v>
      </c>
      <c r="CA22" s="34">
        <f>HLOOKUP(CA$7+0.5,$I$66:$DJ$120,ROWS($A$10:$A22)+2,FALSE)</f>
        <v>345</v>
      </c>
      <c r="CB22" s="34">
        <f>HLOOKUP(CB$7+0.5,$I$66:$DJ$120,ROWS($A$10:$A22)+2,FALSE)</f>
        <v>159</v>
      </c>
      <c r="CC22" s="34">
        <f>HLOOKUP(CC$7+0.5,$I$66:$DJ$120,ROWS($A$10:$A22)+2,FALSE)</f>
        <v>151</v>
      </c>
      <c r="CD22" s="34">
        <f>HLOOKUP(CD$7+0.5,$I$66:$DJ$120,ROWS($A$10:$A22)+2,FALSE)</f>
        <v>145</v>
      </c>
      <c r="CE22" s="34">
        <f>HLOOKUP(CE$7+0.5,$I$66:$DJ$120,ROWS($A$10:$A22)+2,FALSE)</f>
        <v>737</v>
      </c>
      <c r="CF22" s="34">
        <f>HLOOKUP(CF$7+0.5,$I$66:$DJ$120,ROWS($A$10:$A22)+2,FALSE)</f>
        <v>944</v>
      </c>
      <c r="CG22" s="34">
        <f>HLOOKUP(CG$7+0.5,$I$66:$DJ$120,ROWS($A$10:$A22)+2,FALSE)</f>
        <v>548</v>
      </c>
      <c r="CH22" s="34">
        <f>HLOOKUP(CH$7+0.5,$I$66:$DJ$120,ROWS($A$10:$A22)+2,FALSE)</f>
        <v>350</v>
      </c>
      <c r="CI22" s="34">
        <f>HLOOKUP(CI$7+0.5,$I$66:$DJ$120,ROWS($A$10:$A22)+2,FALSE)</f>
        <v>368</v>
      </c>
      <c r="CJ22" s="34">
        <f>HLOOKUP(CJ$7+0.5,$I$66:$DJ$120,ROWS($A$10:$A22)+2,FALSE)</f>
        <v>171</v>
      </c>
      <c r="CK22" s="34">
        <f>HLOOKUP(CK$7+0.5,$I$66:$DJ$120,ROWS($A$10:$A22)+2,FALSE)</f>
        <v>261</v>
      </c>
      <c r="CL22" s="34">
        <f>HLOOKUP(CL$7+0.5,$I$66:$DJ$120,ROWS($A$10:$A22)+2,FALSE)</f>
        <v>275</v>
      </c>
      <c r="CM22" s="34">
        <f>HLOOKUP(CM$7+0.5,$I$66:$DJ$120,ROWS($A$10:$A22)+2,FALSE)</f>
        <v>1184</v>
      </c>
      <c r="CN22" s="34">
        <f>HLOOKUP(CN$7+0.5,$I$66:$DJ$120,ROWS($A$10:$A22)+2,FALSE)</f>
        <v>685</v>
      </c>
      <c r="CO22" s="34">
        <f>HLOOKUP(CO$7+0.5,$I$66:$DJ$120,ROWS($A$10:$A22)+2,FALSE)</f>
        <v>417</v>
      </c>
      <c r="CP22" s="34">
        <f>HLOOKUP(CP$7+0.5,$I$66:$DJ$120,ROWS($A$10:$A22)+2,FALSE)</f>
        <v>19</v>
      </c>
      <c r="CQ22" s="34">
        <f>HLOOKUP(CQ$7+0.5,$I$66:$DJ$120,ROWS($A$10:$A22)+2,FALSE)</f>
        <v>794</v>
      </c>
      <c r="CR22" s="34">
        <f>HLOOKUP(CR$7+0.5,$I$66:$DJ$120,ROWS($A$10:$A22)+2,FALSE)</f>
        <v>994</v>
      </c>
      <c r="CS22" s="34">
        <f>HLOOKUP(CS$7+0.5,$I$66:$DJ$120,ROWS($A$10:$A22)+2,FALSE)</f>
        <v>116</v>
      </c>
      <c r="CT22" s="34">
        <f>HLOOKUP(CT$7+0.5,$I$66:$DJ$120,ROWS($A$10:$A22)+2,FALSE)</f>
        <v>515</v>
      </c>
      <c r="CU22" s="34">
        <f>HLOOKUP(CU$7+0.5,$I$66:$DJ$120,ROWS($A$10:$A22)+2,FALSE)</f>
        <v>94</v>
      </c>
      <c r="CV22" s="34">
        <f>HLOOKUP(CV$7+0.5,$I$66:$DJ$120,ROWS($A$10:$A22)+2,FALSE)</f>
        <v>958</v>
      </c>
      <c r="CW22" s="34">
        <f>HLOOKUP(CW$7+0.5,$I$66:$DJ$120,ROWS($A$10:$A22)+2,FALSE)</f>
        <v>478</v>
      </c>
      <c r="CX22" s="34">
        <f>HLOOKUP(CX$7+0.5,$I$66:$DJ$120,ROWS($A$10:$A22)+2,FALSE)</f>
        <v>829</v>
      </c>
      <c r="CY22" s="34">
        <f>HLOOKUP(CY$7+0.5,$I$66:$DJ$120,ROWS($A$10:$A22)+2,FALSE)</f>
        <v>378</v>
      </c>
      <c r="CZ22" s="34">
        <f>HLOOKUP(CZ$7+0.5,$I$66:$DJ$120,ROWS($A$10:$A22)+2,FALSE)</f>
        <v>380</v>
      </c>
      <c r="DA22" s="34">
        <f>HLOOKUP(DA$7+0.5,$I$66:$DJ$120,ROWS($A$10:$A22)+2,FALSE)</f>
        <v>205</v>
      </c>
      <c r="DB22" s="34">
        <f>HLOOKUP(DB$7+0.5,$I$66:$DJ$120,ROWS($A$10:$A22)+2,FALSE)</f>
        <v>2760</v>
      </c>
      <c r="DC22" s="34">
        <f>HLOOKUP(DC$7+0.5,$I$66:$DJ$120,ROWS($A$10:$A22)+2,FALSE)</f>
        <v>369</v>
      </c>
      <c r="DD22" s="34">
        <f>HLOOKUP(DD$7+0.5,$I$66:$DJ$120,ROWS($A$10:$A22)+2,FALSE)</f>
        <v>275</v>
      </c>
      <c r="DE22" s="34">
        <f>HLOOKUP(DE$7+0.5,$I$66:$DJ$120,ROWS($A$10:$A22)+2,FALSE)</f>
        <v>1136</v>
      </c>
      <c r="DF22" s="34">
        <f>HLOOKUP(DF$7+0.5,$I$66:$DJ$120,ROWS($A$10:$A22)+2,FALSE)</f>
        <v>883</v>
      </c>
      <c r="DG22" s="34">
        <f>HLOOKUP(DG$7+0.5,$I$66:$DJ$120,ROWS($A$10:$A22)+2,FALSE)</f>
        <v>782</v>
      </c>
      <c r="DH22" s="34">
        <f>HLOOKUP(DH$7+0.5,$I$66:$DJ$120,ROWS($A$10:$A22)+2,FALSE)</f>
        <v>1133</v>
      </c>
      <c r="DI22" s="34">
        <f>HLOOKUP(DI$7+0.5,$I$66:$DJ$120,ROWS($A$10:$A22)+2,FALSE)</f>
        <v>33</v>
      </c>
      <c r="DJ22" s="34">
        <f>HLOOKUP(DJ$7+0.5,$I$66:$DJ$120,ROWS($A$10:$A22)+2,FALSE)</f>
        <v>275</v>
      </c>
    </row>
    <row r="23" spans="2:114" x14ac:dyDescent="0.25">
      <c r="B23" s="38" t="s">
        <v>19</v>
      </c>
      <c r="C23" s="16">
        <v>1550967</v>
      </c>
      <c r="D23" s="17">
        <v>1954</v>
      </c>
      <c r="E23" s="16">
        <v>1279856</v>
      </c>
      <c r="F23" s="17">
        <v>12606</v>
      </c>
      <c r="G23" s="16">
        <v>209272</v>
      </c>
      <c r="H23" s="17">
        <v>10887</v>
      </c>
      <c r="I23" s="36">
        <f>HLOOKUP(I$7,$I$66:$DJ$120,ROWS($A$10:$A23)+2,FALSE)</f>
        <v>55638</v>
      </c>
      <c r="J23" s="25">
        <f>HLOOKUP(J$7,$I$66:$DJ$120,ROWS($A$10:$A23)+2,FALSE)</f>
        <v>376</v>
      </c>
      <c r="K23" s="25">
        <f>HLOOKUP(K$7,$I$66:$DJ$120,ROWS($A$10:$A23)+2,FALSE)</f>
        <v>3264</v>
      </c>
      <c r="L23" s="25">
        <f>HLOOKUP(L$7,$I$66:$DJ$120,ROWS($A$10:$A23)+2,FALSE)</f>
        <v>3086</v>
      </c>
      <c r="M23" s="25">
        <f>HLOOKUP(M$7,$I$66:$DJ$120,ROWS($A$10:$A23)+2,FALSE)</f>
        <v>45</v>
      </c>
      <c r="N23" s="25">
        <f>HLOOKUP(N$7,$I$66:$DJ$120,ROWS($A$10:$A23)+2,FALSE)</f>
        <v>8932</v>
      </c>
      <c r="O23" s="25">
        <f>HLOOKUP(O$7,$I$66:$DJ$120,ROWS($A$10:$A23)+2,FALSE)</f>
        <v>1372</v>
      </c>
      <c r="P23" s="25">
        <f>HLOOKUP(P$7,$I$66:$DJ$120,ROWS($A$10:$A23)+2,FALSE)</f>
        <v>0</v>
      </c>
      <c r="Q23" s="25">
        <f>HLOOKUP(Q$7,$I$66:$DJ$120,ROWS($A$10:$A23)+2,FALSE)</f>
        <v>0</v>
      </c>
      <c r="R23" s="25">
        <f>HLOOKUP(R$7,$I$66:$DJ$120,ROWS($A$10:$A23)+2,FALSE)</f>
        <v>144</v>
      </c>
      <c r="S23" s="25">
        <f>HLOOKUP(S$7,$I$66:$DJ$120,ROWS($A$10:$A23)+2,FALSE)</f>
        <v>612</v>
      </c>
      <c r="T23" s="25">
        <f>HLOOKUP(T$7,$I$66:$DJ$120,ROWS($A$10:$A23)+2,FALSE)</f>
        <v>313</v>
      </c>
      <c r="U23" s="25">
        <f>HLOOKUP(U$7,$I$66:$DJ$120,ROWS($A$10:$A23)+2,FALSE)</f>
        <v>123</v>
      </c>
      <c r="V23" s="25" t="str">
        <f>HLOOKUP(V$7,$I$66:$DJ$120,ROWS($A$10:$A23)+2,FALSE)</f>
        <v>N/A</v>
      </c>
      <c r="W23" s="25">
        <f>HLOOKUP(W$7,$I$66:$DJ$120,ROWS($A$10:$A23)+2,FALSE)</f>
        <v>169</v>
      </c>
      <c r="X23" s="25">
        <f>HLOOKUP(X$7,$I$66:$DJ$120,ROWS($A$10:$A23)+2,FALSE)</f>
        <v>132</v>
      </c>
      <c r="Y23" s="25">
        <f>HLOOKUP(Y$7,$I$66:$DJ$120,ROWS($A$10:$A23)+2,FALSE)</f>
        <v>773</v>
      </c>
      <c r="Z23" s="25">
        <f>HLOOKUP(Z$7,$I$66:$DJ$120,ROWS($A$10:$A23)+2,FALSE)</f>
        <v>422</v>
      </c>
      <c r="AA23" s="25">
        <f>HLOOKUP(AA$7,$I$66:$DJ$120,ROWS($A$10:$A23)+2,FALSE)</f>
        <v>315</v>
      </c>
      <c r="AB23" s="25">
        <f>HLOOKUP(AB$7,$I$66:$DJ$120,ROWS($A$10:$A23)+2,FALSE)</f>
        <v>59</v>
      </c>
      <c r="AC23" s="25">
        <f>HLOOKUP(AC$7,$I$66:$DJ$120,ROWS($A$10:$A23)+2,FALSE)</f>
        <v>202</v>
      </c>
      <c r="AD23" s="25">
        <f>HLOOKUP(AD$7,$I$66:$DJ$120,ROWS($A$10:$A23)+2,FALSE)</f>
        <v>44</v>
      </c>
      <c r="AE23" s="25">
        <f>HLOOKUP(AE$7,$I$66:$DJ$120,ROWS($A$10:$A23)+2,FALSE)</f>
        <v>115</v>
      </c>
      <c r="AF23" s="25">
        <f>HLOOKUP(AF$7,$I$66:$DJ$120,ROWS($A$10:$A23)+2,FALSE)</f>
        <v>427</v>
      </c>
      <c r="AG23" s="25">
        <f>HLOOKUP(AG$7,$I$66:$DJ$120,ROWS($A$10:$A23)+2,FALSE)</f>
        <v>465</v>
      </c>
      <c r="AH23" s="25">
        <f>HLOOKUP(AH$7,$I$66:$DJ$120,ROWS($A$10:$A23)+2,FALSE)</f>
        <v>37</v>
      </c>
      <c r="AI23" s="25">
        <f>HLOOKUP(AI$7,$I$66:$DJ$120,ROWS($A$10:$A23)+2,FALSE)</f>
        <v>425</v>
      </c>
      <c r="AJ23" s="25">
        <f>HLOOKUP(AJ$7,$I$66:$DJ$120,ROWS($A$10:$A23)+2,FALSE)</f>
        <v>1509</v>
      </c>
      <c r="AK23" s="25">
        <f>HLOOKUP(AK$7,$I$66:$DJ$120,ROWS($A$10:$A23)+2,FALSE)</f>
        <v>0</v>
      </c>
      <c r="AL23" s="25">
        <f>HLOOKUP(AL$7,$I$66:$DJ$120,ROWS($A$10:$A23)+2,FALSE)</f>
        <v>2110</v>
      </c>
      <c r="AM23" s="25">
        <f>HLOOKUP(AM$7,$I$66:$DJ$120,ROWS($A$10:$A23)+2,FALSE)</f>
        <v>109</v>
      </c>
      <c r="AN23" s="25">
        <f>HLOOKUP(AN$7,$I$66:$DJ$120,ROWS($A$10:$A23)+2,FALSE)</f>
        <v>97</v>
      </c>
      <c r="AO23" s="25">
        <f>HLOOKUP(AO$7,$I$66:$DJ$120,ROWS($A$10:$A23)+2,FALSE)</f>
        <v>694</v>
      </c>
      <c r="AP23" s="25">
        <f>HLOOKUP(AP$7,$I$66:$DJ$120,ROWS($A$10:$A23)+2,FALSE)</f>
        <v>155</v>
      </c>
      <c r="AQ23" s="25">
        <f>HLOOKUP(AQ$7,$I$66:$DJ$120,ROWS($A$10:$A23)+2,FALSE)</f>
        <v>134</v>
      </c>
      <c r="AR23" s="25">
        <f>HLOOKUP(AR$7,$I$66:$DJ$120,ROWS($A$10:$A23)+2,FALSE)</f>
        <v>96</v>
      </c>
      <c r="AS23" s="25">
        <f>HLOOKUP(AS$7,$I$66:$DJ$120,ROWS($A$10:$A23)+2,FALSE)</f>
        <v>325</v>
      </c>
      <c r="AT23" s="25">
        <f>HLOOKUP(AT$7,$I$66:$DJ$120,ROWS($A$10:$A23)+2,FALSE)</f>
        <v>711</v>
      </c>
      <c r="AU23" s="25">
        <f>HLOOKUP(AU$7,$I$66:$DJ$120,ROWS($A$10:$A23)+2,FALSE)</f>
        <v>3202</v>
      </c>
      <c r="AV23" s="25">
        <f>HLOOKUP(AV$7,$I$66:$DJ$120,ROWS($A$10:$A23)+2,FALSE)</f>
        <v>172</v>
      </c>
      <c r="AW23" s="25">
        <f>HLOOKUP(AW$7,$I$66:$DJ$120,ROWS($A$10:$A23)+2,FALSE)</f>
        <v>0</v>
      </c>
      <c r="AX23" s="25">
        <f>HLOOKUP(AX$7,$I$66:$DJ$120,ROWS($A$10:$A23)+2,FALSE)</f>
        <v>0</v>
      </c>
      <c r="AY23" s="25">
        <f>HLOOKUP(AY$7,$I$66:$DJ$120,ROWS($A$10:$A23)+2,FALSE)</f>
        <v>296</v>
      </c>
      <c r="AZ23" s="25">
        <f>HLOOKUP(AZ$7,$I$66:$DJ$120,ROWS($A$10:$A23)+2,FALSE)</f>
        <v>1153</v>
      </c>
      <c r="BA23" s="25">
        <f>HLOOKUP(BA$7,$I$66:$DJ$120,ROWS($A$10:$A23)+2,FALSE)</f>
        <v>1746</v>
      </c>
      <c r="BB23" s="25">
        <f>HLOOKUP(BB$7,$I$66:$DJ$120,ROWS($A$10:$A23)+2,FALSE)</f>
        <v>8014</v>
      </c>
      <c r="BC23" s="25">
        <f>HLOOKUP(BC$7,$I$66:$DJ$120,ROWS($A$10:$A23)+2,FALSE)</f>
        <v>0</v>
      </c>
      <c r="BD23" s="25">
        <f>HLOOKUP(BD$7,$I$66:$DJ$120,ROWS($A$10:$A23)+2,FALSE)</f>
        <v>611</v>
      </c>
      <c r="BE23" s="25">
        <f>HLOOKUP(BE$7,$I$66:$DJ$120,ROWS($A$10:$A23)+2,FALSE)</f>
        <v>10876</v>
      </c>
      <c r="BF23" s="25">
        <f>HLOOKUP(BF$7,$I$66:$DJ$120,ROWS($A$10:$A23)+2,FALSE)</f>
        <v>133</v>
      </c>
      <c r="BG23" s="25">
        <f>HLOOKUP(BG$7,$I$66:$DJ$120,ROWS($A$10:$A23)+2,FALSE)</f>
        <v>233</v>
      </c>
      <c r="BH23" s="25">
        <f>HLOOKUP(BH$7,$I$66:$DJ$120,ROWS($A$10:$A23)+2,FALSE)</f>
        <v>1410</v>
      </c>
      <c r="BI23" s="25">
        <f>HLOOKUP(BI$7,$I$66:$DJ$120,ROWS($A$10:$A23)+2,FALSE)</f>
        <v>233</v>
      </c>
      <c r="BJ23" s="34">
        <f>HLOOKUP(BJ$7+0.5,$I$66:$DJ$120,ROWS($A$10:$A23)+2,FALSE)</f>
        <v>6079</v>
      </c>
      <c r="BK23" s="34">
        <f>HLOOKUP(BK$7+0.5,$I$66:$DJ$120,ROWS($A$10:$A23)+2,FALSE)</f>
        <v>369</v>
      </c>
      <c r="BL23" s="34">
        <f>HLOOKUP(BL$7+0.5,$I$66:$DJ$120,ROWS($A$10:$A23)+2,FALSE)</f>
        <v>1813</v>
      </c>
      <c r="BM23" s="34">
        <f>HLOOKUP(BM$7+0.5,$I$66:$DJ$120,ROWS($A$10:$A23)+2,FALSE)</f>
        <v>2015</v>
      </c>
      <c r="BN23" s="34">
        <f>HLOOKUP(BN$7+0.5,$I$66:$DJ$120,ROWS($A$10:$A23)+2,FALSE)</f>
        <v>73</v>
      </c>
      <c r="BO23" s="34">
        <f>HLOOKUP(BO$7+0.5,$I$66:$DJ$120,ROWS($A$10:$A23)+2,FALSE)</f>
        <v>2415</v>
      </c>
      <c r="BP23" s="34">
        <f>HLOOKUP(BP$7+0.5,$I$66:$DJ$120,ROWS($A$10:$A23)+2,FALSE)</f>
        <v>867</v>
      </c>
      <c r="BQ23" s="34">
        <f>HLOOKUP(BQ$7+0.5,$I$66:$DJ$120,ROWS($A$10:$A23)+2,FALSE)</f>
        <v>267</v>
      </c>
      <c r="BR23" s="34">
        <f>HLOOKUP(BR$7+0.5,$I$66:$DJ$120,ROWS($A$10:$A23)+2,FALSE)</f>
        <v>267</v>
      </c>
      <c r="BS23" s="34">
        <f>HLOOKUP(BS$7+0.5,$I$66:$DJ$120,ROWS($A$10:$A23)+2,FALSE)</f>
        <v>233</v>
      </c>
      <c r="BT23" s="34">
        <f>HLOOKUP(BT$7+0.5,$I$66:$DJ$120,ROWS($A$10:$A23)+2,FALSE)</f>
        <v>508</v>
      </c>
      <c r="BU23" s="34">
        <f>HLOOKUP(BU$7+0.5,$I$66:$DJ$120,ROWS($A$10:$A23)+2,FALSE)</f>
        <v>280</v>
      </c>
      <c r="BV23" s="34">
        <f>HLOOKUP(BV$7+0.5,$I$66:$DJ$120,ROWS($A$10:$A23)+2,FALSE)</f>
        <v>206</v>
      </c>
      <c r="BW23" s="34" t="str">
        <f>HLOOKUP(BW$7+0.5,$I$66:$DJ$120,ROWS($A$10:$A23)+2,FALSE)</f>
        <v>N/A</v>
      </c>
      <c r="BX23" s="34">
        <f>HLOOKUP(BX$7+0.5,$I$66:$DJ$120,ROWS($A$10:$A23)+2,FALSE)</f>
        <v>236</v>
      </c>
      <c r="BY23" s="34">
        <f>HLOOKUP(BY$7+0.5,$I$66:$DJ$120,ROWS($A$10:$A23)+2,FALSE)</f>
        <v>133</v>
      </c>
      <c r="BZ23" s="34">
        <f>HLOOKUP(BZ$7+0.5,$I$66:$DJ$120,ROWS($A$10:$A23)+2,FALSE)</f>
        <v>470</v>
      </c>
      <c r="CA23" s="34">
        <f>HLOOKUP(CA$7+0.5,$I$66:$DJ$120,ROWS($A$10:$A23)+2,FALSE)</f>
        <v>415</v>
      </c>
      <c r="CB23" s="34">
        <f>HLOOKUP(CB$7+0.5,$I$66:$DJ$120,ROWS($A$10:$A23)+2,FALSE)</f>
        <v>272</v>
      </c>
      <c r="CC23" s="34">
        <f>HLOOKUP(CC$7+0.5,$I$66:$DJ$120,ROWS($A$10:$A23)+2,FALSE)</f>
        <v>102</v>
      </c>
      <c r="CD23" s="34">
        <f>HLOOKUP(CD$7+0.5,$I$66:$DJ$120,ROWS($A$10:$A23)+2,FALSE)</f>
        <v>272</v>
      </c>
      <c r="CE23" s="34">
        <f>HLOOKUP(CE$7+0.5,$I$66:$DJ$120,ROWS($A$10:$A23)+2,FALSE)</f>
        <v>73</v>
      </c>
      <c r="CF23" s="34">
        <f>HLOOKUP(CF$7+0.5,$I$66:$DJ$120,ROWS($A$10:$A23)+2,FALSE)</f>
        <v>135</v>
      </c>
      <c r="CG23" s="34">
        <f>HLOOKUP(CG$7+0.5,$I$66:$DJ$120,ROWS($A$10:$A23)+2,FALSE)</f>
        <v>363</v>
      </c>
      <c r="CH23" s="34">
        <f>HLOOKUP(CH$7+0.5,$I$66:$DJ$120,ROWS($A$10:$A23)+2,FALSE)</f>
        <v>613</v>
      </c>
      <c r="CI23" s="34">
        <f>HLOOKUP(CI$7+0.5,$I$66:$DJ$120,ROWS($A$10:$A23)+2,FALSE)</f>
        <v>61</v>
      </c>
      <c r="CJ23" s="34">
        <f>HLOOKUP(CJ$7+0.5,$I$66:$DJ$120,ROWS($A$10:$A23)+2,FALSE)</f>
        <v>345</v>
      </c>
      <c r="CK23" s="34">
        <f>HLOOKUP(CK$7+0.5,$I$66:$DJ$120,ROWS($A$10:$A23)+2,FALSE)</f>
        <v>584</v>
      </c>
      <c r="CL23" s="34">
        <f>HLOOKUP(CL$7+0.5,$I$66:$DJ$120,ROWS($A$10:$A23)+2,FALSE)</f>
        <v>267</v>
      </c>
      <c r="CM23" s="34">
        <f>HLOOKUP(CM$7+0.5,$I$66:$DJ$120,ROWS($A$10:$A23)+2,FALSE)</f>
        <v>1061</v>
      </c>
      <c r="CN23" s="34">
        <f>HLOOKUP(CN$7+0.5,$I$66:$DJ$120,ROWS($A$10:$A23)+2,FALSE)</f>
        <v>147</v>
      </c>
      <c r="CO23" s="34">
        <f>HLOOKUP(CO$7+0.5,$I$66:$DJ$120,ROWS($A$10:$A23)+2,FALSE)</f>
        <v>148</v>
      </c>
      <c r="CP23" s="34">
        <f>HLOOKUP(CP$7+0.5,$I$66:$DJ$120,ROWS($A$10:$A23)+2,FALSE)</f>
        <v>811</v>
      </c>
      <c r="CQ23" s="34">
        <f>HLOOKUP(CQ$7+0.5,$I$66:$DJ$120,ROWS($A$10:$A23)+2,FALSE)</f>
        <v>169</v>
      </c>
      <c r="CR23" s="34">
        <f>HLOOKUP(CR$7+0.5,$I$66:$DJ$120,ROWS($A$10:$A23)+2,FALSE)</f>
        <v>164</v>
      </c>
      <c r="CS23" s="34">
        <f>HLOOKUP(CS$7+0.5,$I$66:$DJ$120,ROWS($A$10:$A23)+2,FALSE)</f>
        <v>112</v>
      </c>
      <c r="CT23" s="34">
        <f>HLOOKUP(CT$7+0.5,$I$66:$DJ$120,ROWS($A$10:$A23)+2,FALSE)</f>
        <v>261</v>
      </c>
      <c r="CU23" s="34">
        <f>HLOOKUP(CU$7+0.5,$I$66:$DJ$120,ROWS($A$10:$A23)+2,FALSE)</f>
        <v>702</v>
      </c>
      <c r="CV23" s="34">
        <f>HLOOKUP(CV$7+0.5,$I$66:$DJ$120,ROWS($A$10:$A23)+2,FALSE)</f>
        <v>1259</v>
      </c>
      <c r="CW23" s="34">
        <f>HLOOKUP(CW$7+0.5,$I$66:$DJ$120,ROWS($A$10:$A23)+2,FALSE)</f>
        <v>206</v>
      </c>
      <c r="CX23" s="34">
        <f>HLOOKUP(CX$7+0.5,$I$66:$DJ$120,ROWS($A$10:$A23)+2,FALSE)</f>
        <v>267</v>
      </c>
      <c r="CY23" s="34">
        <f>HLOOKUP(CY$7+0.5,$I$66:$DJ$120,ROWS($A$10:$A23)+2,FALSE)</f>
        <v>267</v>
      </c>
      <c r="CZ23" s="34">
        <f>HLOOKUP(CZ$7+0.5,$I$66:$DJ$120,ROWS($A$10:$A23)+2,FALSE)</f>
        <v>375</v>
      </c>
      <c r="DA23" s="34">
        <f>HLOOKUP(DA$7+0.5,$I$66:$DJ$120,ROWS($A$10:$A23)+2,FALSE)</f>
        <v>995</v>
      </c>
      <c r="DB23" s="34">
        <f>HLOOKUP(DB$7+0.5,$I$66:$DJ$120,ROWS($A$10:$A23)+2,FALSE)</f>
        <v>951</v>
      </c>
      <c r="DC23" s="34">
        <f>HLOOKUP(DC$7+0.5,$I$66:$DJ$120,ROWS($A$10:$A23)+2,FALSE)</f>
        <v>2403</v>
      </c>
      <c r="DD23" s="34">
        <f>HLOOKUP(DD$7+0.5,$I$66:$DJ$120,ROWS($A$10:$A23)+2,FALSE)</f>
        <v>267</v>
      </c>
      <c r="DE23" s="34">
        <f>HLOOKUP(DE$7+0.5,$I$66:$DJ$120,ROWS($A$10:$A23)+2,FALSE)</f>
        <v>662</v>
      </c>
      <c r="DF23" s="34">
        <f>HLOOKUP(DF$7+0.5,$I$66:$DJ$120,ROWS($A$10:$A23)+2,FALSE)</f>
        <v>2438</v>
      </c>
      <c r="DG23" s="34">
        <f>HLOOKUP(DG$7+0.5,$I$66:$DJ$120,ROWS($A$10:$A23)+2,FALSE)</f>
        <v>158</v>
      </c>
      <c r="DH23" s="34">
        <f>HLOOKUP(DH$7+0.5,$I$66:$DJ$120,ROWS($A$10:$A23)+2,FALSE)</f>
        <v>292</v>
      </c>
      <c r="DI23" s="34">
        <f>HLOOKUP(DI$7+0.5,$I$66:$DJ$120,ROWS($A$10:$A23)+2,FALSE)</f>
        <v>723</v>
      </c>
      <c r="DJ23" s="34">
        <f>HLOOKUP(DJ$7+0.5,$I$66:$DJ$120,ROWS($A$10:$A23)+2,FALSE)</f>
        <v>374</v>
      </c>
    </row>
    <row r="24" spans="2:114" x14ac:dyDescent="0.25">
      <c r="B24" s="38" t="s">
        <v>20</v>
      </c>
      <c r="C24" s="16">
        <v>12680126</v>
      </c>
      <c r="D24" s="17">
        <v>5467</v>
      </c>
      <c r="E24" s="16">
        <v>11009852</v>
      </c>
      <c r="F24" s="17">
        <v>32636</v>
      </c>
      <c r="G24" s="16">
        <v>1404525</v>
      </c>
      <c r="H24" s="17">
        <v>28126</v>
      </c>
      <c r="I24" s="36">
        <f>HLOOKUP(I$7,$I$66:$DJ$120,ROWS($A$10:$A24)+2,FALSE)</f>
        <v>203959</v>
      </c>
      <c r="J24" s="25">
        <f>HLOOKUP(J$7,$I$66:$DJ$120,ROWS($A$10:$A24)+2,FALSE)</f>
        <v>1397</v>
      </c>
      <c r="K24" s="25">
        <f>HLOOKUP(K$7,$I$66:$DJ$120,ROWS($A$10:$A24)+2,FALSE)</f>
        <v>1764</v>
      </c>
      <c r="L24" s="25">
        <f>HLOOKUP(L$7,$I$66:$DJ$120,ROWS($A$10:$A24)+2,FALSE)</f>
        <v>5921</v>
      </c>
      <c r="M24" s="25">
        <f>HLOOKUP(M$7,$I$66:$DJ$120,ROWS($A$10:$A24)+2,FALSE)</f>
        <v>1194</v>
      </c>
      <c r="N24" s="25">
        <f>HLOOKUP(N$7,$I$66:$DJ$120,ROWS($A$10:$A24)+2,FALSE)</f>
        <v>16205</v>
      </c>
      <c r="O24" s="25">
        <f>HLOOKUP(O$7,$I$66:$DJ$120,ROWS($A$10:$A24)+2,FALSE)</f>
        <v>3850</v>
      </c>
      <c r="P24" s="25">
        <f>HLOOKUP(P$7,$I$66:$DJ$120,ROWS($A$10:$A24)+2,FALSE)</f>
        <v>2264</v>
      </c>
      <c r="Q24" s="25">
        <f>HLOOKUP(Q$7,$I$66:$DJ$120,ROWS($A$10:$A24)+2,FALSE)</f>
        <v>56</v>
      </c>
      <c r="R24" s="25">
        <f>HLOOKUP(R$7,$I$66:$DJ$120,ROWS($A$10:$A24)+2,FALSE)</f>
        <v>1047</v>
      </c>
      <c r="S24" s="25">
        <f>HLOOKUP(S$7,$I$66:$DJ$120,ROWS($A$10:$A24)+2,FALSE)</f>
        <v>8051</v>
      </c>
      <c r="T24" s="25">
        <f>HLOOKUP(T$7,$I$66:$DJ$120,ROWS($A$10:$A24)+2,FALSE)</f>
        <v>6781</v>
      </c>
      <c r="U24" s="25">
        <f>HLOOKUP(U$7,$I$66:$DJ$120,ROWS($A$10:$A24)+2,FALSE)</f>
        <v>1224</v>
      </c>
      <c r="V24" s="25">
        <f>HLOOKUP(V$7,$I$66:$DJ$120,ROWS($A$10:$A24)+2,FALSE)</f>
        <v>313</v>
      </c>
      <c r="W24" s="25" t="str">
        <f>HLOOKUP(W$7,$I$66:$DJ$120,ROWS($A$10:$A24)+2,FALSE)</f>
        <v>N/A</v>
      </c>
      <c r="X24" s="25">
        <f>HLOOKUP(X$7,$I$66:$DJ$120,ROWS($A$10:$A24)+2,FALSE)</f>
        <v>21918</v>
      </c>
      <c r="Y24" s="25">
        <f>HLOOKUP(Y$7,$I$66:$DJ$120,ROWS($A$10:$A24)+2,FALSE)</f>
        <v>9141</v>
      </c>
      <c r="Z24" s="25">
        <f>HLOOKUP(Z$7,$I$66:$DJ$120,ROWS($A$10:$A24)+2,FALSE)</f>
        <v>1970</v>
      </c>
      <c r="AA24" s="25">
        <f>HLOOKUP(AA$7,$I$66:$DJ$120,ROWS($A$10:$A24)+2,FALSE)</f>
        <v>2921</v>
      </c>
      <c r="AB24" s="25">
        <f>HLOOKUP(AB$7,$I$66:$DJ$120,ROWS($A$10:$A24)+2,FALSE)</f>
        <v>1419</v>
      </c>
      <c r="AC24" s="25">
        <f>HLOOKUP(AC$7,$I$66:$DJ$120,ROWS($A$10:$A24)+2,FALSE)</f>
        <v>55</v>
      </c>
      <c r="AD24" s="25">
        <f>HLOOKUP(AD$7,$I$66:$DJ$120,ROWS($A$10:$A24)+2,FALSE)</f>
        <v>1985</v>
      </c>
      <c r="AE24" s="25">
        <f>HLOOKUP(AE$7,$I$66:$DJ$120,ROWS($A$10:$A24)+2,FALSE)</f>
        <v>2811</v>
      </c>
      <c r="AF24" s="25">
        <f>HLOOKUP(AF$7,$I$66:$DJ$120,ROWS($A$10:$A24)+2,FALSE)</f>
        <v>11865</v>
      </c>
      <c r="AG24" s="25">
        <f>HLOOKUP(AG$7,$I$66:$DJ$120,ROWS($A$10:$A24)+2,FALSE)</f>
        <v>4300</v>
      </c>
      <c r="AH24" s="25">
        <f>HLOOKUP(AH$7,$I$66:$DJ$120,ROWS($A$10:$A24)+2,FALSE)</f>
        <v>1093</v>
      </c>
      <c r="AI24" s="25">
        <f>HLOOKUP(AI$7,$I$66:$DJ$120,ROWS($A$10:$A24)+2,FALSE)</f>
        <v>16703</v>
      </c>
      <c r="AJ24" s="25">
        <f>HLOOKUP(AJ$7,$I$66:$DJ$120,ROWS($A$10:$A24)+2,FALSE)</f>
        <v>928</v>
      </c>
      <c r="AK24" s="25">
        <f>HLOOKUP(AK$7,$I$66:$DJ$120,ROWS($A$10:$A24)+2,FALSE)</f>
        <v>546</v>
      </c>
      <c r="AL24" s="25">
        <f>HLOOKUP(AL$7,$I$66:$DJ$120,ROWS($A$10:$A24)+2,FALSE)</f>
        <v>2541</v>
      </c>
      <c r="AM24" s="25">
        <f>HLOOKUP(AM$7,$I$66:$DJ$120,ROWS($A$10:$A24)+2,FALSE)</f>
        <v>206</v>
      </c>
      <c r="AN24" s="25">
        <f>HLOOKUP(AN$7,$I$66:$DJ$120,ROWS($A$10:$A24)+2,FALSE)</f>
        <v>2331</v>
      </c>
      <c r="AO24" s="25">
        <f>HLOOKUP(AO$7,$I$66:$DJ$120,ROWS($A$10:$A24)+2,FALSE)</f>
        <v>996</v>
      </c>
      <c r="AP24" s="25">
        <f>HLOOKUP(AP$7,$I$66:$DJ$120,ROWS($A$10:$A24)+2,FALSE)</f>
        <v>8479</v>
      </c>
      <c r="AQ24" s="25">
        <f>HLOOKUP(AQ$7,$I$66:$DJ$120,ROWS($A$10:$A24)+2,FALSE)</f>
        <v>5504</v>
      </c>
      <c r="AR24" s="25">
        <f>HLOOKUP(AR$7,$I$66:$DJ$120,ROWS($A$10:$A24)+2,FALSE)</f>
        <v>1112</v>
      </c>
      <c r="AS24" s="25">
        <f>HLOOKUP(AS$7,$I$66:$DJ$120,ROWS($A$10:$A24)+2,FALSE)</f>
        <v>5103</v>
      </c>
      <c r="AT24" s="25">
        <f>HLOOKUP(AT$7,$I$66:$DJ$120,ROWS($A$10:$A24)+2,FALSE)</f>
        <v>1459</v>
      </c>
      <c r="AU24" s="25">
        <f>HLOOKUP(AU$7,$I$66:$DJ$120,ROWS($A$10:$A24)+2,FALSE)</f>
        <v>1224</v>
      </c>
      <c r="AV24" s="25">
        <f>HLOOKUP(AV$7,$I$66:$DJ$120,ROWS($A$10:$A24)+2,FALSE)</f>
        <v>5190</v>
      </c>
      <c r="AW24" s="25">
        <f>HLOOKUP(AW$7,$I$66:$DJ$120,ROWS($A$10:$A24)+2,FALSE)</f>
        <v>838</v>
      </c>
      <c r="AX24" s="25">
        <f>HLOOKUP(AX$7,$I$66:$DJ$120,ROWS($A$10:$A24)+2,FALSE)</f>
        <v>1565</v>
      </c>
      <c r="AY24" s="25">
        <f>HLOOKUP(AY$7,$I$66:$DJ$120,ROWS($A$10:$A24)+2,FALSE)</f>
        <v>292</v>
      </c>
      <c r="AZ24" s="25">
        <f>HLOOKUP(AZ$7,$I$66:$DJ$120,ROWS($A$10:$A24)+2,FALSE)</f>
        <v>3999</v>
      </c>
      <c r="BA24" s="25">
        <f>HLOOKUP(BA$7,$I$66:$DJ$120,ROWS($A$10:$A24)+2,FALSE)</f>
        <v>12245</v>
      </c>
      <c r="BB24" s="25">
        <f>HLOOKUP(BB$7,$I$66:$DJ$120,ROWS($A$10:$A24)+2,FALSE)</f>
        <v>658</v>
      </c>
      <c r="BC24" s="25">
        <f>HLOOKUP(BC$7,$I$66:$DJ$120,ROWS($A$10:$A24)+2,FALSE)</f>
        <v>260</v>
      </c>
      <c r="BD24" s="25">
        <f>HLOOKUP(BD$7,$I$66:$DJ$120,ROWS($A$10:$A24)+2,FALSE)</f>
        <v>3831</v>
      </c>
      <c r="BE24" s="25">
        <f>HLOOKUP(BE$7,$I$66:$DJ$120,ROWS($A$10:$A24)+2,FALSE)</f>
        <v>1642</v>
      </c>
      <c r="BF24" s="25">
        <f>HLOOKUP(BF$7,$I$66:$DJ$120,ROWS($A$10:$A24)+2,FALSE)</f>
        <v>812</v>
      </c>
      <c r="BG24" s="25">
        <f>HLOOKUP(BG$7,$I$66:$DJ$120,ROWS($A$10:$A24)+2,FALSE)</f>
        <v>15364</v>
      </c>
      <c r="BH24" s="25">
        <f>HLOOKUP(BH$7,$I$66:$DJ$120,ROWS($A$10:$A24)+2,FALSE)</f>
        <v>586</v>
      </c>
      <c r="BI24" s="25">
        <f>HLOOKUP(BI$7,$I$66:$DJ$120,ROWS($A$10:$A24)+2,FALSE)</f>
        <v>2055</v>
      </c>
      <c r="BJ24" s="34">
        <f>HLOOKUP(BJ$7+0.5,$I$66:$DJ$120,ROWS($A$10:$A24)+2,FALSE)</f>
        <v>11573</v>
      </c>
      <c r="BK24" s="34">
        <f>HLOOKUP(BK$7+0.5,$I$66:$DJ$120,ROWS($A$10:$A24)+2,FALSE)</f>
        <v>596</v>
      </c>
      <c r="BL24" s="34">
        <f>HLOOKUP(BL$7+0.5,$I$66:$DJ$120,ROWS($A$10:$A24)+2,FALSE)</f>
        <v>1078</v>
      </c>
      <c r="BM24" s="34">
        <f>HLOOKUP(BM$7+0.5,$I$66:$DJ$120,ROWS($A$10:$A24)+2,FALSE)</f>
        <v>1897</v>
      </c>
      <c r="BN24" s="34">
        <f>HLOOKUP(BN$7+0.5,$I$66:$DJ$120,ROWS($A$10:$A24)+2,FALSE)</f>
        <v>665</v>
      </c>
      <c r="BO24" s="34">
        <f>HLOOKUP(BO$7+0.5,$I$66:$DJ$120,ROWS($A$10:$A24)+2,FALSE)</f>
        <v>3236</v>
      </c>
      <c r="BP24" s="34">
        <f>HLOOKUP(BP$7+0.5,$I$66:$DJ$120,ROWS($A$10:$A24)+2,FALSE)</f>
        <v>1360</v>
      </c>
      <c r="BQ24" s="34">
        <f>HLOOKUP(BQ$7+0.5,$I$66:$DJ$120,ROWS($A$10:$A24)+2,FALSE)</f>
        <v>1125</v>
      </c>
      <c r="BR24" s="34">
        <f>HLOOKUP(BR$7+0.5,$I$66:$DJ$120,ROWS($A$10:$A24)+2,FALSE)</f>
        <v>57</v>
      </c>
      <c r="BS24" s="34">
        <f>HLOOKUP(BS$7+0.5,$I$66:$DJ$120,ROWS($A$10:$A24)+2,FALSE)</f>
        <v>581</v>
      </c>
      <c r="BT24" s="34">
        <f>HLOOKUP(BT$7+0.5,$I$66:$DJ$120,ROWS($A$10:$A24)+2,FALSE)</f>
        <v>1715</v>
      </c>
      <c r="BU24" s="34">
        <f>HLOOKUP(BU$7+0.5,$I$66:$DJ$120,ROWS($A$10:$A24)+2,FALSE)</f>
        <v>2524</v>
      </c>
      <c r="BV24" s="34">
        <f>HLOOKUP(BV$7+0.5,$I$66:$DJ$120,ROWS($A$10:$A24)+2,FALSE)</f>
        <v>776</v>
      </c>
      <c r="BW24" s="34">
        <f>HLOOKUP(BW$7+0.5,$I$66:$DJ$120,ROWS($A$10:$A24)+2,FALSE)</f>
        <v>258</v>
      </c>
      <c r="BX24" s="34" t="str">
        <f>HLOOKUP(BX$7+0.5,$I$66:$DJ$120,ROWS($A$10:$A24)+2,FALSE)</f>
        <v>N/A</v>
      </c>
      <c r="BY24" s="34">
        <f>HLOOKUP(BY$7+0.5,$I$66:$DJ$120,ROWS($A$10:$A24)+2,FALSE)</f>
        <v>4147</v>
      </c>
      <c r="BZ24" s="34">
        <f>HLOOKUP(BZ$7+0.5,$I$66:$DJ$120,ROWS($A$10:$A24)+2,FALSE)</f>
        <v>1866</v>
      </c>
      <c r="CA24" s="34">
        <f>HLOOKUP(CA$7+0.5,$I$66:$DJ$120,ROWS($A$10:$A24)+2,FALSE)</f>
        <v>991</v>
      </c>
      <c r="CB24" s="34">
        <f>HLOOKUP(CB$7+0.5,$I$66:$DJ$120,ROWS($A$10:$A24)+2,FALSE)</f>
        <v>831</v>
      </c>
      <c r="CC24" s="34">
        <f>HLOOKUP(CC$7+0.5,$I$66:$DJ$120,ROWS($A$10:$A24)+2,FALSE)</f>
        <v>687</v>
      </c>
      <c r="CD24" s="34">
        <f>HLOOKUP(CD$7+0.5,$I$66:$DJ$120,ROWS($A$10:$A24)+2,FALSE)</f>
        <v>93</v>
      </c>
      <c r="CE24" s="34">
        <f>HLOOKUP(CE$7+0.5,$I$66:$DJ$120,ROWS($A$10:$A24)+2,FALSE)</f>
        <v>1210</v>
      </c>
      <c r="CF24" s="34">
        <f>HLOOKUP(CF$7+0.5,$I$66:$DJ$120,ROWS($A$10:$A24)+2,FALSE)</f>
        <v>1111</v>
      </c>
      <c r="CG24" s="34">
        <f>HLOOKUP(CG$7+0.5,$I$66:$DJ$120,ROWS($A$10:$A24)+2,FALSE)</f>
        <v>2138</v>
      </c>
      <c r="CH24" s="34">
        <f>HLOOKUP(CH$7+0.5,$I$66:$DJ$120,ROWS($A$10:$A24)+2,FALSE)</f>
        <v>1815</v>
      </c>
      <c r="CI24" s="34">
        <f>HLOOKUP(CI$7+0.5,$I$66:$DJ$120,ROWS($A$10:$A24)+2,FALSE)</f>
        <v>861</v>
      </c>
      <c r="CJ24" s="34">
        <f>HLOOKUP(CJ$7+0.5,$I$66:$DJ$120,ROWS($A$10:$A24)+2,FALSE)</f>
        <v>3325</v>
      </c>
      <c r="CK24" s="34">
        <f>HLOOKUP(CK$7+0.5,$I$66:$DJ$120,ROWS($A$10:$A24)+2,FALSE)</f>
        <v>937</v>
      </c>
      <c r="CL24" s="34">
        <f>HLOOKUP(CL$7+0.5,$I$66:$DJ$120,ROWS($A$10:$A24)+2,FALSE)</f>
        <v>373</v>
      </c>
      <c r="CM24" s="34">
        <f>HLOOKUP(CM$7+0.5,$I$66:$DJ$120,ROWS($A$10:$A24)+2,FALSE)</f>
        <v>1214</v>
      </c>
      <c r="CN24" s="34">
        <f>HLOOKUP(CN$7+0.5,$I$66:$DJ$120,ROWS($A$10:$A24)+2,FALSE)</f>
        <v>202</v>
      </c>
      <c r="CO24" s="34">
        <f>HLOOKUP(CO$7+0.5,$I$66:$DJ$120,ROWS($A$10:$A24)+2,FALSE)</f>
        <v>1262</v>
      </c>
      <c r="CP24" s="34">
        <f>HLOOKUP(CP$7+0.5,$I$66:$DJ$120,ROWS($A$10:$A24)+2,FALSE)</f>
        <v>709</v>
      </c>
      <c r="CQ24" s="34">
        <f>HLOOKUP(CQ$7+0.5,$I$66:$DJ$120,ROWS($A$10:$A24)+2,FALSE)</f>
        <v>2555</v>
      </c>
      <c r="CR24" s="34">
        <f>HLOOKUP(CR$7+0.5,$I$66:$DJ$120,ROWS($A$10:$A24)+2,FALSE)</f>
        <v>2479</v>
      </c>
      <c r="CS24" s="34">
        <f>HLOOKUP(CS$7+0.5,$I$66:$DJ$120,ROWS($A$10:$A24)+2,FALSE)</f>
        <v>788</v>
      </c>
      <c r="CT24" s="34">
        <f>HLOOKUP(CT$7+0.5,$I$66:$DJ$120,ROWS($A$10:$A24)+2,FALSE)</f>
        <v>1201</v>
      </c>
      <c r="CU24" s="34">
        <f>HLOOKUP(CU$7+0.5,$I$66:$DJ$120,ROWS($A$10:$A24)+2,FALSE)</f>
        <v>777</v>
      </c>
      <c r="CV24" s="34">
        <f>HLOOKUP(CV$7+0.5,$I$66:$DJ$120,ROWS($A$10:$A24)+2,FALSE)</f>
        <v>789</v>
      </c>
      <c r="CW24" s="34">
        <f>HLOOKUP(CW$7+0.5,$I$66:$DJ$120,ROWS($A$10:$A24)+2,FALSE)</f>
        <v>1822</v>
      </c>
      <c r="CX24" s="34">
        <f>HLOOKUP(CX$7+0.5,$I$66:$DJ$120,ROWS($A$10:$A24)+2,FALSE)</f>
        <v>643</v>
      </c>
      <c r="CY24" s="34">
        <f>HLOOKUP(CY$7+0.5,$I$66:$DJ$120,ROWS($A$10:$A24)+2,FALSE)</f>
        <v>787</v>
      </c>
      <c r="CZ24" s="34">
        <f>HLOOKUP(CZ$7+0.5,$I$66:$DJ$120,ROWS($A$10:$A24)+2,FALSE)</f>
        <v>264</v>
      </c>
      <c r="DA24" s="34">
        <f>HLOOKUP(DA$7+0.5,$I$66:$DJ$120,ROWS($A$10:$A24)+2,FALSE)</f>
        <v>1131</v>
      </c>
      <c r="DB24" s="34">
        <f>HLOOKUP(DB$7+0.5,$I$66:$DJ$120,ROWS($A$10:$A24)+2,FALSE)</f>
        <v>3113</v>
      </c>
      <c r="DC24" s="34">
        <f>HLOOKUP(DC$7+0.5,$I$66:$DJ$120,ROWS($A$10:$A24)+2,FALSE)</f>
        <v>427</v>
      </c>
      <c r="DD24" s="34">
        <f>HLOOKUP(DD$7+0.5,$I$66:$DJ$120,ROWS($A$10:$A24)+2,FALSE)</f>
        <v>257</v>
      </c>
      <c r="DE24" s="34">
        <f>HLOOKUP(DE$7+0.5,$I$66:$DJ$120,ROWS($A$10:$A24)+2,FALSE)</f>
        <v>1241</v>
      </c>
      <c r="DF24" s="34">
        <f>HLOOKUP(DF$7+0.5,$I$66:$DJ$120,ROWS($A$10:$A24)+2,FALSE)</f>
        <v>707</v>
      </c>
      <c r="DG24" s="34">
        <f>HLOOKUP(DG$7+0.5,$I$66:$DJ$120,ROWS($A$10:$A24)+2,FALSE)</f>
        <v>523</v>
      </c>
      <c r="DH24" s="34">
        <f>HLOOKUP(DH$7+0.5,$I$66:$DJ$120,ROWS($A$10:$A24)+2,FALSE)</f>
        <v>2866</v>
      </c>
      <c r="DI24" s="34">
        <f>HLOOKUP(DI$7+0.5,$I$66:$DJ$120,ROWS($A$10:$A24)+2,FALSE)</f>
        <v>432</v>
      </c>
      <c r="DJ24" s="34">
        <f>HLOOKUP(DJ$7+0.5,$I$66:$DJ$120,ROWS($A$10:$A24)+2,FALSE)</f>
        <v>820</v>
      </c>
    </row>
    <row r="25" spans="2:114" x14ac:dyDescent="0.25">
      <c r="B25" s="38" t="s">
        <v>21</v>
      </c>
      <c r="C25" s="16">
        <v>6414862</v>
      </c>
      <c r="D25" s="17">
        <v>4257</v>
      </c>
      <c r="E25" s="16">
        <v>5431015</v>
      </c>
      <c r="F25" s="17">
        <v>24897</v>
      </c>
      <c r="G25" s="16">
        <v>833086</v>
      </c>
      <c r="H25" s="17">
        <v>22796</v>
      </c>
      <c r="I25" s="36">
        <f>HLOOKUP(I$7,$I$66:$DJ$120,ROWS($A$10:$A25)+2,FALSE)</f>
        <v>127353</v>
      </c>
      <c r="J25" s="25">
        <f>HLOOKUP(J$7,$I$66:$DJ$120,ROWS($A$10:$A25)+2,FALSE)</f>
        <v>1502</v>
      </c>
      <c r="K25" s="25">
        <f>HLOOKUP(K$7,$I$66:$DJ$120,ROWS($A$10:$A25)+2,FALSE)</f>
        <v>177</v>
      </c>
      <c r="L25" s="25">
        <f>HLOOKUP(L$7,$I$66:$DJ$120,ROWS($A$10:$A25)+2,FALSE)</f>
        <v>2210</v>
      </c>
      <c r="M25" s="25">
        <f>HLOOKUP(M$7,$I$66:$DJ$120,ROWS($A$10:$A25)+2,FALSE)</f>
        <v>1548</v>
      </c>
      <c r="N25" s="25">
        <f>HLOOKUP(N$7,$I$66:$DJ$120,ROWS($A$10:$A25)+2,FALSE)</f>
        <v>8959</v>
      </c>
      <c r="O25" s="25">
        <f>HLOOKUP(O$7,$I$66:$DJ$120,ROWS($A$10:$A25)+2,FALSE)</f>
        <v>1362</v>
      </c>
      <c r="P25" s="25">
        <f>HLOOKUP(P$7,$I$66:$DJ$120,ROWS($A$10:$A25)+2,FALSE)</f>
        <v>544</v>
      </c>
      <c r="Q25" s="25">
        <f>HLOOKUP(Q$7,$I$66:$DJ$120,ROWS($A$10:$A25)+2,FALSE)</f>
        <v>0</v>
      </c>
      <c r="R25" s="25">
        <f>HLOOKUP(R$7,$I$66:$DJ$120,ROWS($A$10:$A25)+2,FALSE)</f>
        <v>181</v>
      </c>
      <c r="S25" s="25">
        <f>HLOOKUP(S$7,$I$66:$DJ$120,ROWS($A$10:$A25)+2,FALSE)</f>
        <v>5496</v>
      </c>
      <c r="T25" s="25">
        <f>HLOOKUP(T$7,$I$66:$DJ$120,ROWS($A$10:$A25)+2,FALSE)</f>
        <v>1623</v>
      </c>
      <c r="U25" s="25">
        <f>HLOOKUP(U$7,$I$66:$DJ$120,ROWS($A$10:$A25)+2,FALSE)</f>
        <v>267</v>
      </c>
      <c r="V25" s="25">
        <f>HLOOKUP(V$7,$I$66:$DJ$120,ROWS($A$10:$A25)+2,FALSE)</f>
        <v>772</v>
      </c>
      <c r="W25" s="25">
        <f>HLOOKUP(W$7,$I$66:$DJ$120,ROWS($A$10:$A25)+2,FALSE)</f>
        <v>27950</v>
      </c>
      <c r="X25" s="25" t="str">
        <f>HLOOKUP(X$7,$I$66:$DJ$120,ROWS($A$10:$A25)+2,FALSE)</f>
        <v>N/A</v>
      </c>
      <c r="Y25" s="25">
        <f>HLOOKUP(Y$7,$I$66:$DJ$120,ROWS($A$10:$A25)+2,FALSE)</f>
        <v>1885</v>
      </c>
      <c r="Z25" s="25">
        <f>HLOOKUP(Z$7,$I$66:$DJ$120,ROWS($A$10:$A25)+2,FALSE)</f>
        <v>1582</v>
      </c>
      <c r="AA25" s="25">
        <f>HLOOKUP(AA$7,$I$66:$DJ$120,ROWS($A$10:$A25)+2,FALSE)</f>
        <v>10643</v>
      </c>
      <c r="AB25" s="25">
        <f>HLOOKUP(AB$7,$I$66:$DJ$120,ROWS($A$10:$A25)+2,FALSE)</f>
        <v>749</v>
      </c>
      <c r="AC25" s="25">
        <f>HLOOKUP(AC$7,$I$66:$DJ$120,ROWS($A$10:$A25)+2,FALSE)</f>
        <v>30</v>
      </c>
      <c r="AD25" s="25">
        <f>HLOOKUP(AD$7,$I$66:$DJ$120,ROWS($A$10:$A25)+2,FALSE)</f>
        <v>1641</v>
      </c>
      <c r="AE25" s="25">
        <f>HLOOKUP(AE$7,$I$66:$DJ$120,ROWS($A$10:$A25)+2,FALSE)</f>
        <v>103</v>
      </c>
      <c r="AF25" s="25">
        <f>HLOOKUP(AF$7,$I$66:$DJ$120,ROWS($A$10:$A25)+2,FALSE)</f>
        <v>9361</v>
      </c>
      <c r="AG25" s="25">
        <f>HLOOKUP(AG$7,$I$66:$DJ$120,ROWS($A$10:$A25)+2,FALSE)</f>
        <v>916</v>
      </c>
      <c r="AH25" s="25">
        <f>HLOOKUP(AH$7,$I$66:$DJ$120,ROWS($A$10:$A25)+2,FALSE)</f>
        <v>270</v>
      </c>
      <c r="AI25" s="25">
        <f>HLOOKUP(AI$7,$I$66:$DJ$120,ROWS($A$10:$A25)+2,FALSE)</f>
        <v>3893</v>
      </c>
      <c r="AJ25" s="25">
        <f>HLOOKUP(AJ$7,$I$66:$DJ$120,ROWS($A$10:$A25)+2,FALSE)</f>
        <v>164</v>
      </c>
      <c r="AK25" s="25">
        <f>HLOOKUP(AK$7,$I$66:$DJ$120,ROWS($A$10:$A25)+2,FALSE)</f>
        <v>705</v>
      </c>
      <c r="AL25" s="25">
        <f>HLOOKUP(AL$7,$I$66:$DJ$120,ROWS($A$10:$A25)+2,FALSE)</f>
        <v>227</v>
      </c>
      <c r="AM25" s="25">
        <f>HLOOKUP(AM$7,$I$66:$DJ$120,ROWS($A$10:$A25)+2,FALSE)</f>
        <v>114</v>
      </c>
      <c r="AN25" s="25">
        <f>HLOOKUP(AN$7,$I$66:$DJ$120,ROWS($A$10:$A25)+2,FALSE)</f>
        <v>1876</v>
      </c>
      <c r="AO25" s="25">
        <f>HLOOKUP(AO$7,$I$66:$DJ$120,ROWS($A$10:$A25)+2,FALSE)</f>
        <v>188</v>
      </c>
      <c r="AP25" s="25">
        <f>HLOOKUP(AP$7,$I$66:$DJ$120,ROWS($A$10:$A25)+2,FALSE)</f>
        <v>2564</v>
      </c>
      <c r="AQ25" s="25">
        <f>HLOOKUP(AQ$7,$I$66:$DJ$120,ROWS($A$10:$A25)+2,FALSE)</f>
        <v>2828</v>
      </c>
      <c r="AR25" s="25">
        <f>HLOOKUP(AR$7,$I$66:$DJ$120,ROWS($A$10:$A25)+2,FALSE)</f>
        <v>0</v>
      </c>
      <c r="AS25" s="25">
        <f>HLOOKUP(AS$7,$I$66:$DJ$120,ROWS($A$10:$A25)+2,FALSE)</f>
        <v>13272</v>
      </c>
      <c r="AT25" s="25">
        <f>HLOOKUP(AT$7,$I$66:$DJ$120,ROWS($A$10:$A25)+2,FALSE)</f>
        <v>681</v>
      </c>
      <c r="AU25" s="25">
        <f>HLOOKUP(AU$7,$I$66:$DJ$120,ROWS($A$10:$A25)+2,FALSE)</f>
        <v>423</v>
      </c>
      <c r="AV25" s="25">
        <f>HLOOKUP(AV$7,$I$66:$DJ$120,ROWS($A$10:$A25)+2,FALSE)</f>
        <v>2668</v>
      </c>
      <c r="AW25" s="25">
        <f>HLOOKUP(AW$7,$I$66:$DJ$120,ROWS($A$10:$A25)+2,FALSE)</f>
        <v>174</v>
      </c>
      <c r="AX25" s="25">
        <f>HLOOKUP(AX$7,$I$66:$DJ$120,ROWS($A$10:$A25)+2,FALSE)</f>
        <v>584</v>
      </c>
      <c r="AY25" s="25">
        <f>HLOOKUP(AY$7,$I$66:$DJ$120,ROWS($A$10:$A25)+2,FALSE)</f>
        <v>216</v>
      </c>
      <c r="AZ25" s="25">
        <f>HLOOKUP(AZ$7,$I$66:$DJ$120,ROWS($A$10:$A25)+2,FALSE)</f>
        <v>3093</v>
      </c>
      <c r="BA25" s="25">
        <f>HLOOKUP(BA$7,$I$66:$DJ$120,ROWS($A$10:$A25)+2,FALSE)</f>
        <v>6335</v>
      </c>
      <c r="BB25" s="25">
        <f>HLOOKUP(BB$7,$I$66:$DJ$120,ROWS($A$10:$A25)+2,FALSE)</f>
        <v>444</v>
      </c>
      <c r="BC25" s="25">
        <f>HLOOKUP(BC$7,$I$66:$DJ$120,ROWS($A$10:$A25)+2,FALSE)</f>
        <v>45</v>
      </c>
      <c r="BD25" s="25">
        <f>HLOOKUP(BD$7,$I$66:$DJ$120,ROWS($A$10:$A25)+2,FALSE)</f>
        <v>3673</v>
      </c>
      <c r="BE25" s="25">
        <f>HLOOKUP(BE$7,$I$66:$DJ$120,ROWS($A$10:$A25)+2,FALSE)</f>
        <v>571</v>
      </c>
      <c r="BF25" s="25">
        <f>HLOOKUP(BF$7,$I$66:$DJ$120,ROWS($A$10:$A25)+2,FALSE)</f>
        <v>669</v>
      </c>
      <c r="BG25" s="25">
        <f>HLOOKUP(BG$7,$I$66:$DJ$120,ROWS($A$10:$A25)+2,FALSE)</f>
        <v>1762</v>
      </c>
      <c r="BH25" s="25">
        <f>HLOOKUP(BH$7,$I$66:$DJ$120,ROWS($A$10:$A25)+2,FALSE)</f>
        <v>413</v>
      </c>
      <c r="BI25" s="25">
        <f>HLOOKUP(BI$7,$I$66:$DJ$120,ROWS($A$10:$A25)+2,FALSE)</f>
        <v>572</v>
      </c>
      <c r="BJ25" s="34">
        <f>HLOOKUP(BJ$7+0.5,$I$66:$DJ$120,ROWS($A$10:$A25)+2,FALSE)</f>
        <v>8463</v>
      </c>
      <c r="BK25" s="34">
        <f>HLOOKUP(BK$7+0.5,$I$66:$DJ$120,ROWS($A$10:$A25)+2,FALSE)</f>
        <v>1110</v>
      </c>
      <c r="BL25" s="34">
        <f>HLOOKUP(BL$7+0.5,$I$66:$DJ$120,ROWS($A$10:$A25)+2,FALSE)</f>
        <v>143</v>
      </c>
      <c r="BM25" s="34">
        <f>HLOOKUP(BM$7+0.5,$I$66:$DJ$120,ROWS($A$10:$A25)+2,FALSE)</f>
        <v>914</v>
      </c>
      <c r="BN25" s="34">
        <f>HLOOKUP(BN$7+0.5,$I$66:$DJ$120,ROWS($A$10:$A25)+2,FALSE)</f>
        <v>1104</v>
      </c>
      <c r="BO25" s="34">
        <f>HLOOKUP(BO$7+0.5,$I$66:$DJ$120,ROWS($A$10:$A25)+2,FALSE)</f>
        <v>2863</v>
      </c>
      <c r="BP25" s="34">
        <f>HLOOKUP(BP$7+0.5,$I$66:$DJ$120,ROWS($A$10:$A25)+2,FALSE)</f>
        <v>658</v>
      </c>
      <c r="BQ25" s="34">
        <f>HLOOKUP(BQ$7+0.5,$I$66:$DJ$120,ROWS($A$10:$A25)+2,FALSE)</f>
        <v>404</v>
      </c>
      <c r="BR25" s="34">
        <f>HLOOKUP(BR$7+0.5,$I$66:$DJ$120,ROWS($A$10:$A25)+2,FALSE)</f>
        <v>267</v>
      </c>
      <c r="BS25" s="34">
        <f>HLOOKUP(BS$7+0.5,$I$66:$DJ$120,ROWS($A$10:$A25)+2,FALSE)</f>
        <v>156</v>
      </c>
      <c r="BT25" s="34">
        <f>HLOOKUP(BT$7+0.5,$I$66:$DJ$120,ROWS($A$10:$A25)+2,FALSE)</f>
        <v>1564</v>
      </c>
      <c r="BU25" s="34">
        <f>HLOOKUP(BU$7+0.5,$I$66:$DJ$120,ROWS($A$10:$A25)+2,FALSE)</f>
        <v>913</v>
      </c>
      <c r="BV25" s="34">
        <f>HLOOKUP(BV$7+0.5,$I$66:$DJ$120,ROWS($A$10:$A25)+2,FALSE)</f>
        <v>316</v>
      </c>
      <c r="BW25" s="34">
        <f>HLOOKUP(BW$7+0.5,$I$66:$DJ$120,ROWS($A$10:$A25)+2,FALSE)</f>
        <v>604</v>
      </c>
      <c r="BX25" s="34">
        <f>HLOOKUP(BX$7+0.5,$I$66:$DJ$120,ROWS($A$10:$A25)+2,FALSE)</f>
        <v>4658</v>
      </c>
      <c r="BY25" s="34" t="str">
        <f>HLOOKUP(BY$7+0.5,$I$66:$DJ$120,ROWS($A$10:$A25)+2,FALSE)</f>
        <v>N/A</v>
      </c>
      <c r="BZ25" s="34">
        <f>HLOOKUP(BZ$7+0.5,$I$66:$DJ$120,ROWS($A$10:$A25)+2,FALSE)</f>
        <v>1191</v>
      </c>
      <c r="CA25" s="34">
        <f>HLOOKUP(CA$7+0.5,$I$66:$DJ$120,ROWS($A$10:$A25)+2,FALSE)</f>
        <v>996</v>
      </c>
      <c r="CB25" s="34">
        <f>HLOOKUP(CB$7+0.5,$I$66:$DJ$120,ROWS($A$10:$A25)+2,FALSE)</f>
        <v>2402</v>
      </c>
      <c r="CC25" s="34">
        <f>HLOOKUP(CC$7+0.5,$I$66:$DJ$120,ROWS($A$10:$A25)+2,FALSE)</f>
        <v>599</v>
      </c>
      <c r="CD25" s="34">
        <f>HLOOKUP(CD$7+0.5,$I$66:$DJ$120,ROWS($A$10:$A25)+2,FALSE)</f>
        <v>50</v>
      </c>
      <c r="CE25" s="34">
        <f>HLOOKUP(CE$7+0.5,$I$66:$DJ$120,ROWS($A$10:$A25)+2,FALSE)</f>
        <v>950</v>
      </c>
      <c r="CF25" s="34">
        <f>HLOOKUP(CF$7+0.5,$I$66:$DJ$120,ROWS($A$10:$A25)+2,FALSE)</f>
        <v>135</v>
      </c>
      <c r="CG25" s="34">
        <f>HLOOKUP(CG$7+0.5,$I$66:$DJ$120,ROWS($A$10:$A25)+2,FALSE)</f>
        <v>1837</v>
      </c>
      <c r="CH25" s="34">
        <f>HLOOKUP(CH$7+0.5,$I$66:$DJ$120,ROWS($A$10:$A25)+2,FALSE)</f>
        <v>385</v>
      </c>
      <c r="CI25" s="34">
        <f>HLOOKUP(CI$7+0.5,$I$66:$DJ$120,ROWS($A$10:$A25)+2,FALSE)</f>
        <v>255</v>
      </c>
      <c r="CJ25" s="34">
        <f>HLOOKUP(CJ$7+0.5,$I$66:$DJ$120,ROWS($A$10:$A25)+2,FALSE)</f>
        <v>2531</v>
      </c>
      <c r="CK25" s="34">
        <f>HLOOKUP(CK$7+0.5,$I$66:$DJ$120,ROWS($A$10:$A25)+2,FALSE)</f>
        <v>201</v>
      </c>
      <c r="CL25" s="34">
        <f>HLOOKUP(CL$7+0.5,$I$66:$DJ$120,ROWS($A$10:$A25)+2,FALSE)</f>
        <v>654</v>
      </c>
      <c r="CM25" s="34">
        <f>HLOOKUP(CM$7+0.5,$I$66:$DJ$120,ROWS($A$10:$A25)+2,FALSE)</f>
        <v>239</v>
      </c>
      <c r="CN25" s="34">
        <f>HLOOKUP(CN$7+0.5,$I$66:$DJ$120,ROWS($A$10:$A25)+2,FALSE)</f>
        <v>134</v>
      </c>
      <c r="CO25" s="34">
        <f>HLOOKUP(CO$7+0.5,$I$66:$DJ$120,ROWS($A$10:$A25)+2,FALSE)</f>
        <v>1526</v>
      </c>
      <c r="CP25" s="34">
        <f>HLOOKUP(CP$7+0.5,$I$66:$DJ$120,ROWS($A$10:$A25)+2,FALSE)</f>
        <v>229</v>
      </c>
      <c r="CQ25" s="34">
        <f>HLOOKUP(CQ$7+0.5,$I$66:$DJ$120,ROWS($A$10:$A25)+2,FALSE)</f>
        <v>952</v>
      </c>
      <c r="CR25" s="34">
        <f>HLOOKUP(CR$7+0.5,$I$66:$DJ$120,ROWS($A$10:$A25)+2,FALSE)</f>
        <v>1141</v>
      </c>
      <c r="CS25" s="34">
        <f>HLOOKUP(CS$7+0.5,$I$66:$DJ$120,ROWS($A$10:$A25)+2,FALSE)</f>
        <v>267</v>
      </c>
      <c r="CT25" s="34">
        <f>HLOOKUP(CT$7+0.5,$I$66:$DJ$120,ROWS($A$10:$A25)+2,FALSE)</f>
        <v>2750</v>
      </c>
      <c r="CU25" s="34">
        <f>HLOOKUP(CU$7+0.5,$I$66:$DJ$120,ROWS($A$10:$A25)+2,FALSE)</f>
        <v>563</v>
      </c>
      <c r="CV25" s="34">
        <f>HLOOKUP(CV$7+0.5,$I$66:$DJ$120,ROWS($A$10:$A25)+2,FALSE)</f>
        <v>380</v>
      </c>
      <c r="CW25" s="34">
        <f>HLOOKUP(CW$7+0.5,$I$66:$DJ$120,ROWS($A$10:$A25)+2,FALSE)</f>
        <v>1128</v>
      </c>
      <c r="CX25" s="34">
        <f>HLOOKUP(CX$7+0.5,$I$66:$DJ$120,ROWS($A$10:$A25)+2,FALSE)</f>
        <v>284</v>
      </c>
      <c r="CY25" s="34">
        <f>HLOOKUP(CY$7+0.5,$I$66:$DJ$120,ROWS($A$10:$A25)+2,FALSE)</f>
        <v>405</v>
      </c>
      <c r="CZ25" s="34">
        <f>HLOOKUP(CZ$7+0.5,$I$66:$DJ$120,ROWS($A$10:$A25)+2,FALSE)</f>
        <v>258</v>
      </c>
      <c r="DA25" s="34">
        <f>HLOOKUP(DA$7+0.5,$I$66:$DJ$120,ROWS($A$10:$A25)+2,FALSE)</f>
        <v>1261</v>
      </c>
      <c r="DB25" s="34">
        <f>HLOOKUP(DB$7+0.5,$I$66:$DJ$120,ROWS($A$10:$A25)+2,FALSE)</f>
        <v>1643</v>
      </c>
      <c r="DC25" s="34">
        <f>HLOOKUP(DC$7+0.5,$I$66:$DJ$120,ROWS($A$10:$A25)+2,FALSE)</f>
        <v>432</v>
      </c>
      <c r="DD25" s="34">
        <f>HLOOKUP(DD$7+0.5,$I$66:$DJ$120,ROWS($A$10:$A25)+2,FALSE)</f>
        <v>73</v>
      </c>
      <c r="DE25" s="34">
        <f>HLOOKUP(DE$7+0.5,$I$66:$DJ$120,ROWS($A$10:$A25)+2,FALSE)</f>
        <v>1633</v>
      </c>
      <c r="DF25" s="34">
        <f>HLOOKUP(DF$7+0.5,$I$66:$DJ$120,ROWS($A$10:$A25)+2,FALSE)</f>
        <v>340</v>
      </c>
      <c r="DG25" s="34">
        <f>HLOOKUP(DG$7+0.5,$I$66:$DJ$120,ROWS($A$10:$A25)+2,FALSE)</f>
        <v>562</v>
      </c>
      <c r="DH25" s="34">
        <f>HLOOKUP(DH$7+0.5,$I$66:$DJ$120,ROWS($A$10:$A25)+2,FALSE)</f>
        <v>893</v>
      </c>
      <c r="DI25" s="34">
        <f>HLOOKUP(DI$7+0.5,$I$66:$DJ$120,ROWS($A$10:$A25)+2,FALSE)</f>
        <v>403</v>
      </c>
      <c r="DJ25" s="34">
        <f>HLOOKUP(DJ$7+0.5,$I$66:$DJ$120,ROWS($A$10:$A25)+2,FALSE)</f>
        <v>457</v>
      </c>
    </row>
    <row r="26" spans="2:114" x14ac:dyDescent="0.25">
      <c r="B26" s="38" t="s">
        <v>22</v>
      </c>
      <c r="C26" s="16">
        <v>3013053</v>
      </c>
      <c r="D26" s="17">
        <v>2381</v>
      </c>
      <c r="E26" s="16">
        <v>2553210</v>
      </c>
      <c r="F26" s="17">
        <v>15158</v>
      </c>
      <c r="G26" s="16">
        <v>375650</v>
      </c>
      <c r="H26" s="17">
        <v>12448</v>
      </c>
      <c r="I26" s="36">
        <f>HLOOKUP(I$7,$I$66:$DJ$120,ROWS($A$10:$A26)+2,FALSE)</f>
        <v>72557</v>
      </c>
      <c r="J26" s="25">
        <f>HLOOKUP(J$7,$I$66:$DJ$120,ROWS($A$10:$A26)+2,FALSE)</f>
        <v>330</v>
      </c>
      <c r="K26" s="25">
        <f>HLOOKUP(K$7,$I$66:$DJ$120,ROWS($A$10:$A26)+2,FALSE)</f>
        <v>519</v>
      </c>
      <c r="L26" s="25">
        <f>HLOOKUP(L$7,$I$66:$DJ$120,ROWS($A$10:$A26)+2,FALSE)</f>
        <v>1483</v>
      </c>
      <c r="M26" s="25">
        <f>HLOOKUP(M$7,$I$66:$DJ$120,ROWS($A$10:$A26)+2,FALSE)</f>
        <v>247</v>
      </c>
      <c r="N26" s="25">
        <f>HLOOKUP(N$7,$I$66:$DJ$120,ROWS($A$10:$A26)+2,FALSE)</f>
        <v>2847</v>
      </c>
      <c r="O26" s="25">
        <f>HLOOKUP(O$7,$I$66:$DJ$120,ROWS($A$10:$A26)+2,FALSE)</f>
        <v>2554</v>
      </c>
      <c r="P26" s="25">
        <f>HLOOKUP(P$7,$I$66:$DJ$120,ROWS($A$10:$A26)+2,FALSE)</f>
        <v>114</v>
      </c>
      <c r="Q26" s="25">
        <f>HLOOKUP(Q$7,$I$66:$DJ$120,ROWS($A$10:$A26)+2,FALSE)</f>
        <v>0</v>
      </c>
      <c r="R26" s="25">
        <f>HLOOKUP(R$7,$I$66:$DJ$120,ROWS($A$10:$A26)+2,FALSE)</f>
        <v>53</v>
      </c>
      <c r="S26" s="25">
        <f>HLOOKUP(S$7,$I$66:$DJ$120,ROWS($A$10:$A26)+2,FALSE)</f>
        <v>1364</v>
      </c>
      <c r="T26" s="25">
        <f>HLOOKUP(T$7,$I$66:$DJ$120,ROWS($A$10:$A26)+2,FALSE)</f>
        <v>973</v>
      </c>
      <c r="U26" s="25">
        <f>HLOOKUP(U$7,$I$66:$DJ$120,ROWS($A$10:$A26)+2,FALSE)</f>
        <v>866</v>
      </c>
      <c r="V26" s="25">
        <f>HLOOKUP(V$7,$I$66:$DJ$120,ROWS($A$10:$A26)+2,FALSE)</f>
        <v>315</v>
      </c>
      <c r="W26" s="25">
        <f>HLOOKUP(W$7,$I$66:$DJ$120,ROWS($A$10:$A26)+2,FALSE)</f>
        <v>17016</v>
      </c>
      <c r="X26" s="25">
        <f>HLOOKUP(X$7,$I$66:$DJ$120,ROWS($A$10:$A26)+2,FALSE)</f>
        <v>1710</v>
      </c>
      <c r="Y26" s="25" t="str">
        <f>HLOOKUP(Y$7,$I$66:$DJ$120,ROWS($A$10:$A26)+2,FALSE)</f>
        <v>N/A</v>
      </c>
      <c r="Z26" s="25">
        <f>HLOOKUP(Z$7,$I$66:$DJ$120,ROWS($A$10:$A26)+2,FALSE)</f>
        <v>1520</v>
      </c>
      <c r="AA26" s="25">
        <f>HLOOKUP(AA$7,$I$66:$DJ$120,ROWS($A$10:$A26)+2,FALSE)</f>
        <v>334</v>
      </c>
      <c r="AB26" s="25">
        <f>HLOOKUP(AB$7,$I$66:$DJ$120,ROWS($A$10:$A26)+2,FALSE)</f>
        <v>315</v>
      </c>
      <c r="AC26" s="25">
        <f>HLOOKUP(AC$7,$I$66:$DJ$120,ROWS($A$10:$A26)+2,FALSE)</f>
        <v>0</v>
      </c>
      <c r="AD26" s="25">
        <f>HLOOKUP(AD$7,$I$66:$DJ$120,ROWS($A$10:$A26)+2,FALSE)</f>
        <v>134</v>
      </c>
      <c r="AE26" s="25">
        <f>HLOOKUP(AE$7,$I$66:$DJ$120,ROWS($A$10:$A26)+2,FALSE)</f>
        <v>189</v>
      </c>
      <c r="AF26" s="25">
        <f>HLOOKUP(AF$7,$I$66:$DJ$120,ROWS($A$10:$A26)+2,FALSE)</f>
        <v>1439</v>
      </c>
      <c r="AG26" s="25">
        <f>HLOOKUP(AG$7,$I$66:$DJ$120,ROWS($A$10:$A26)+2,FALSE)</f>
        <v>7564</v>
      </c>
      <c r="AH26" s="25">
        <f>HLOOKUP(AH$7,$I$66:$DJ$120,ROWS($A$10:$A26)+2,FALSE)</f>
        <v>117</v>
      </c>
      <c r="AI26" s="25">
        <f>HLOOKUP(AI$7,$I$66:$DJ$120,ROWS($A$10:$A26)+2,FALSE)</f>
        <v>6031</v>
      </c>
      <c r="AJ26" s="25">
        <f>HLOOKUP(AJ$7,$I$66:$DJ$120,ROWS($A$10:$A26)+2,FALSE)</f>
        <v>836</v>
      </c>
      <c r="AK26" s="25">
        <f>HLOOKUP(AK$7,$I$66:$DJ$120,ROWS($A$10:$A26)+2,FALSE)</f>
        <v>4783</v>
      </c>
      <c r="AL26" s="25">
        <f>HLOOKUP(AL$7,$I$66:$DJ$120,ROWS($A$10:$A26)+2,FALSE)</f>
        <v>623</v>
      </c>
      <c r="AM26" s="25">
        <f>HLOOKUP(AM$7,$I$66:$DJ$120,ROWS($A$10:$A26)+2,FALSE)</f>
        <v>381</v>
      </c>
      <c r="AN26" s="25">
        <f>HLOOKUP(AN$7,$I$66:$DJ$120,ROWS($A$10:$A26)+2,FALSE)</f>
        <v>472</v>
      </c>
      <c r="AO26" s="25">
        <f>HLOOKUP(AO$7,$I$66:$DJ$120,ROWS($A$10:$A26)+2,FALSE)</f>
        <v>492</v>
      </c>
      <c r="AP26" s="25">
        <f>HLOOKUP(AP$7,$I$66:$DJ$120,ROWS($A$10:$A26)+2,FALSE)</f>
        <v>273</v>
      </c>
      <c r="AQ26" s="25">
        <f>HLOOKUP(AQ$7,$I$66:$DJ$120,ROWS($A$10:$A26)+2,FALSE)</f>
        <v>1123</v>
      </c>
      <c r="AR26" s="25">
        <f>HLOOKUP(AR$7,$I$66:$DJ$120,ROWS($A$10:$A26)+2,FALSE)</f>
        <v>601</v>
      </c>
      <c r="AS26" s="25">
        <f>HLOOKUP(AS$7,$I$66:$DJ$120,ROWS($A$10:$A26)+2,FALSE)</f>
        <v>632</v>
      </c>
      <c r="AT26" s="25">
        <f>HLOOKUP(AT$7,$I$66:$DJ$120,ROWS($A$10:$A26)+2,FALSE)</f>
        <v>679</v>
      </c>
      <c r="AU26" s="25">
        <f>HLOOKUP(AU$7,$I$66:$DJ$120,ROWS($A$10:$A26)+2,FALSE)</f>
        <v>1071</v>
      </c>
      <c r="AV26" s="25">
        <f>HLOOKUP(AV$7,$I$66:$DJ$120,ROWS($A$10:$A26)+2,FALSE)</f>
        <v>378</v>
      </c>
      <c r="AW26" s="25">
        <f>HLOOKUP(AW$7,$I$66:$DJ$120,ROWS($A$10:$A26)+2,FALSE)</f>
        <v>0</v>
      </c>
      <c r="AX26" s="25">
        <f>HLOOKUP(AX$7,$I$66:$DJ$120,ROWS($A$10:$A26)+2,FALSE)</f>
        <v>591</v>
      </c>
      <c r="AY26" s="25">
        <f>HLOOKUP(AY$7,$I$66:$DJ$120,ROWS($A$10:$A26)+2,FALSE)</f>
        <v>1992</v>
      </c>
      <c r="AZ26" s="25">
        <f>HLOOKUP(AZ$7,$I$66:$DJ$120,ROWS($A$10:$A26)+2,FALSE)</f>
        <v>1617</v>
      </c>
      <c r="BA26" s="25">
        <f>HLOOKUP(BA$7,$I$66:$DJ$120,ROWS($A$10:$A26)+2,FALSE)</f>
        <v>4131</v>
      </c>
      <c r="BB26" s="25">
        <f>HLOOKUP(BB$7,$I$66:$DJ$120,ROWS($A$10:$A26)+2,FALSE)</f>
        <v>146</v>
      </c>
      <c r="BC26" s="25">
        <f>HLOOKUP(BC$7,$I$66:$DJ$120,ROWS($A$10:$A26)+2,FALSE)</f>
        <v>45</v>
      </c>
      <c r="BD26" s="25">
        <f>HLOOKUP(BD$7,$I$66:$DJ$120,ROWS($A$10:$A26)+2,FALSE)</f>
        <v>303</v>
      </c>
      <c r="BE26" s="25">
        <f>HLOOKUP(BE$7,$I$66:$DJ$120,ROWS($A$10:$A26)+2,FALSE)</f>
        <v>538</v>
      </c>
      <c r="BF26" s="25">
        <f>HLOOKUP(BF$7,$I$66:$DJ$120,ROWS($A$10:$A26)+2,FALSE)</f>
        <v>0</v>
      </c>
      <c r="BG26" s="25">
        <f>HLOOKUP(BG$7,$I$66:$DJ$120,ROWS($A$10:$A26)+2,FALSE)</f>
        <v>2705</v>
      </c>
      <c r="BH26" s="25">
        <f>HLOOKUP(BH$7,$I$66:$DJ$120,ROWS($A$10:$A26)+2,FALSE)</f>
        <v>111</v>
      </c>
      <c r="BI26" s="25">
        <f>HLOOKUP(BI$7,$I$66:$DJ$120,ROWS($A$10:$A26)+2,FALSE)</f>
        <v>149</v>
      </c>
      <c r="BJ26" s="34">
        <f>HLOOKUP(BJ$7+0.5,$I$66:$DJ$120,ROWS($A$10:$A26)+2,FALSE)</f>
        <v>5707</v>
      </c>
      <c r="BK26" s="34">
        <f>HLOOKUP(BK$7+0.5,$I$66:$DJ$120,ROWS($A$10:$A26)+2,FALSE)</f>
        <v>202</v>
      </c>
      <c r="BL26" s="34">
        <f>HLOOKUP(BL$7+0.5,$I$66:$DJ$120,ROWS($A$10:$A26)+2,FALSE)</f>
        <v>407</v>
      </c>
      <c r="BM26" s="34">
        <f>HLOOKUP(BM$7+0.5,$I$66:$DJ$120,ROWS($A$10:$A26)+2,FALSE)</f>
        <v>623</v>
      </c>
      <c r="BN26" s="34">
        <f>HLOOKUP(BN$7+0.5,$I$66:$DJ$120,ROWS($A$10:$A26)+2,FALSE)</f>
        <v>190</v>
      </c>
      <c r="BO26" s="34">
        <f>HLOOKUP(BO$7+0.5,$I$66:$DJ$120,ROWS($A$10:$A26)+2,FALSE)</f>
        <v>1227</v>
      </c>
      <c r="BP26" s="34">
        <f>HLOOKUP(BP$7+0.5,$I$66:$DJ$120,ROWS($A$10:$A26)+2,FALSE)</f>
        <v>865</v>
      </c>
      <c r="BQ26" s="34">
        <f>HLOOKUP(BQ$7+0.5,$I$66:$DJ$120,ROWS($A$10:$A26)+2,FALSE)</f>
        <v>155</v>
      </c>
      <c r="BR26" s="34">
        <f>HLOOKUP(BR$7+0.5,$I$66:$DJ$120,ROWS($A$10:$A26)+2,FALSE)</f>
        <v>228</v>
      </c>
      <c r="BS26" s="34">
        <f>HLOOKUP(BS$7+0.5,$I$66:$DJ$120,ROWS($A$10:$A26)+2,FALSE)</f>
        <v>85</v>
      </c>
      <c r="BT26" s="34">
        <f>HLOOKUP(BT$7+0.5,$I$66:$DJ$120,ROWS($A$10:$A26)+2,FALSE)</f>
        <v>573</v>
      </c>
      <c r="BU26" s="34">
        <f>HLOOKUP(BU$7+0.5,$I$66:$DJ$120,ROWS($A$10:$A26)+2,FALSE)</f>
        <v>472</v>
      </c>
      <c r="BV26" s="34">
        <f>HLOOKUP(BV$7+0.5,$I$66:$DJ$120,ROWS($A$10:$A26)+2,FALSE)</f>
        <v>651</v>
      </c>
      <c r="BW26" s="34">
        <f>HLOOKUP(BW$7+0.5,$I$66:$DJ$120,ROWS($A$10:$A26)+2,FALSE)</f>
        <v>415</v>
      </c>
      <c r="BX26" s="34">
        <f>HLOOKUP(BX$7+0.5,$I$66:$DJ$120,ROWS($A$10:$A26)+2,FALSE)</f>
        <v>2840</v>
      </c>
      <c r="BY26" s="34">
        <f>HLOOKUP(BY$7+0.5,$I$66:$DJ$120,ROWS($A$10:$A26)+2,FALSE)</f>
        <v>917</v>
      </c>
      <c r="BZ26" s="34" t="str">
        <f>HLOOKUP(BZ$7+0.5,$I$66:$DJ$120,ROWS($A$10:$A26)+2,FALSE)</f>
        <v>N/A</v>
      </c>
      <c r="CA26" s="34">
        <f>HLOOKUP(CA$7+0.5,$I$66:$DJ$120,ROWS($A$10:$A26)+2,FALSE)</f>
        <v>741</v>
      </c>
      <c r="CB26" s="34">
        <f>HLOOKUP(CB$7+0.5,$I$66:$DJ$120,ROWS($A$10:$A26)+2,FALSE)</f>
        <v>377</v>
      </c>
      <c r="CC26" s="34">
        <f>HLOOKUP(CC$7+0.5,$I$66:$DJ$120,ROWS($A$10:$A26)+2,FALSE)</f>
        <v>384</v>
      </c>
      <c r="CD26" s="34">
        <f>HLOOKUP(CD$7+0.5,$I$66:$DJ$120,ROWS($A$10:$A26)+2,FALSE)</f>
        <v>228</v>
      </c>
      <c r="CE26" s="34">
        <f>HLOOKUP(CE$7+0.5,$I$66:$DJ$120,ROWS($A$10:$A26)+2,FALSE)</f>
        <v>156</v>
      </c>
      <c r="CF26" s="34">
        <f>HLOOKUP(CF$7+0.5,$I$66:$DJ$120,ROWS($A$10:$A26)+2,FALSE)</f>
        <v>175</v>
      </c>
      <c r="CG26" s="34">
        <f>HLOOKUP(CG$7+0.5,$I$66:$DJ$120,ROWS($A$10:$A26)+2,FALSE)</f>
        <v>652</v>
      </c>
      <c r="CH26" s="34">
        <f>HLOOKUP(CH$7+0.5,$I$66:$DJ$120,ROWS($A$10:$A26)+2,FALSE)</f>
        <v>1722</v>
      </c>
      <c r="CI26" s="34">
        <f>HLOOKUP(CI$7+0.5,$I$66:$DJ$120,ROWS($A$10:$A26)+2,FALSE)</f>
        <v>138</v>
      </c>
      <c r="CJ26" s="34">
        <f>HLOOKUP(CJ$7+0.5,$I$66:$DJ$120,ROWS($A$10:$A26)+2,FALSE)</f>
        <v>2253</v>
      </c>
      <c r="CK26" s="34">
        <f>HLOOKUP(CK$7+0.5,$I$66:$DJ$120,ROWS($A$10:$A26)+2,FALSE)</f>
        <v>743</v>
      </c>
      <c r="CL26" s="34">
        <f>HLOOKUP(CL$7+0.5,$I$66:$DJ$120,ROWS($A$10:$A26)+2,FALSE)</f>
        <v>1799</v>
      </c>
      <c r="CM26" s="34">
        <f>HLOOKUP(CM$7+0.5,$I$66:$DJ$120,ROWS($A$10:$A26)+2,FALSE)</f>
        <v>371</v>
      </c>
      <c r="CN26" s="34">
        <f>HLOOKUP(CN$7+0.5,$I$66:$DJ$120,ROWS($A$10:$A26)+2,FALSE)</f>
        <v>531</v>
      </c>
      <c r="CO26" s="34">
        <f>HLOOKUP(CO$7+0.5,$I$66:$DJ$120,ROWS($A$10:$A26)+2,FALSE)</f>
        <v>405</v>
      </c>
      <c r="CP26" s="34">
        <f>HLOOKUP(CP$7+0.5,$I$66:$DJ$120,ROWS($A$10:$A26)+2,FALSE)</f>
        <v>490</v>
      </c>
      <c r="CQ26" s="34">
        <f>HLOOKUP(CQ$7+0.5,$I$66:$DJ$120,ROWS($A$10:$A26)+2,FALSE)</f>
        <v>270</v>
      </c>
      <c r="CR26" s="34">
        <f>HLOOKUP(CR$7+0.5,$I$66:$DJ$120,ROWS($A$10:$A26)+2,FALSE)</f>
        <v>744</v>
      </c>
      <c r="CS26" s="34">
        <f>HLOOKUP(CS$7+0.5,$I$66:$DJ$120,ROWS($A$10:$A26)+2,FALSE)</f>
        <v>617</v>
      </c>
      <c r="CT26" s="34">
        <f>HLOOKUP(CT$7+0.5,$I$66:$DJ$120,ROWS($A$10:$A26)+2,FALSE)</f>
        <v>421</v>
      </c>
      <c r="CU26" s="34">
        <f>HLOOKUP(CU$7+0.5,$I$66:$DJ$120,ROWS($A$10:$A26)+2,FALSE)</f>
        <v>491</v>
      </c>
      <c r="CV26" s="34">
        <f>HLOOKUP(CV$7+0.5,$I$66:$DJ$120,ROWS($A$10:$A26)+2,FALSE)</f>
        <v>568</v>
      </c>
      <c r="CW26" s="34">
        <f>HLOOKUP(CW$7+0.5,$I$66:$DJ$120,ROWS($A$10:$A26)+2,FALSE)</f>
        <v>242</v>
      </c>
      <c r="CX26" s="34">
        <f>HLOOKUP(CX$7+0.5,$I$66:$DJ$120,ROWS($A$10:$A26)+2,FALSE)</f>
        <v>228</v>
      </c>
      <c r="CY26" s="34">
        <f>HLOOKUP(CY$7+0.5,$I$66:$DJ$120,ROWS($A$10:$A26)+2,FALSE)</f>
        <v>442</v>
      </c>
      <c r="CZ26" s="34">
        <f>HLOOKUP(CZ$7+0.5,$I$66:$DJ$120,ROWS($A$10:$A26)+2,FALSE)</f>
        <v>980</v>
      </c>
      <c r="DA26" s="34">
        <f>HLOOKUP(DA$7+0.5,$I$66:$DJ$120,ROWS($A$10:$A26)+2,FALSE)</f>
        <v>1222</v>
      </c>
      <c r="DB26" s="34">
        <f>HLOOKUP(DB$7+0.5,$I$66:$DJ$120,ROWS($A$10:$A26)+2,FALSE)</f>
        <v>1470</v>
      </c>
      <c r="DC26" s="34">
        <f>HLOOKUP(DC$7+0.5,$I$66:$DJ$120,ROWS($A$10:$A26)+2,FALSE)</f>
        <v>156</v>
      </c>
      <c r="DD26" s="34">
        <f>HLOOKUP(DD$7+0.5,$I$66:$DJ$120,ROWS($A$10:$A26)+2,FALSE)</f>
        <v>81</v>
      </c>
      <c r="DE26" s="34">
        <f>HLOOKUP(DE$7+0.5,$I$66:$DJ$120,ROWS($A$10:$A26)+2,FALSE)</f>
        <v>329</v>
      </c>
      <c r="DF26" s="34">
        <f>HLOOKUP(DF$7+0.5,$I$66:$DJ$120,ROWS($A$10:$A26)+2,FALSE)</f>
        <v>365</v>
      </c>
      <c r="DG26" s="34">
        <f>HLOOKUP(DG$7+0.5,$I$66:$DJ$120,ROWS($A$10:$A26)+2,FALSE)</f>
        <v>228</v>
      </c>
      <c r="DH26" s="34">
        <f>HLOOKUP(DH$7+0.5,$I$66:$DJ$120,ROWS($A$10:$A26)+2,FALSE)</f>
        <v>1206</v>
      </c>
      <c r="DI26" s="34">
        <f>HLOOKUP(DI$7+0.5,$I$66:$DJ$120,ROWS($A$10:$A26)+2,FALSE)</f>
        <v>119</v>
      </c>
      <c r="DJ26" s="34">
        <f>HLOOKUP(DJ$7+0.5,$I$66:$DJ$120,ROWS($A$10:$A26)+2,FALSE)</f>
        <v>176</v>
      </c>
    </row>
    <row r="27" spans="2:114" x14ac:dyDescent="0.25">
      <c r="B27" s="38" t="s">
        <v>23</v>
      </c>
      <c r="C27" s="16">
        <v>2820894</v>
      </c>
      <c r="D27" s="17">
        <v>2731</v>
      </c>
      <c r="E27" s="16">
        <v>2341401</v>
      </c>
      <c r="F27" s="17">
        <v>17752</v>
      </c>
      <c r="G27" s="16">
        <v>372161</v>
      </c>
      <c r="H27" s="17">
        <v>15608</v>
      </c>
      <c r="I27" s="36">
        <f>HLOOKUP(I$7,$I$66:$DJ$120,ROWS($A$10:$A27)+2,FALSE)</f>
        <v>95059</v>
      </c>
      <c r="J27" s="25">
        <f>HLOOKUP(J$7,$I$66:$DJ$120,ROWS($A$10:$A27)+2,FALSE)</f>
        <v>44</v>
      </c>
      <c r="K27" s="25">
        <f>HLOOKUP(K$7,$I$66:$DJ$120,ROWS($A$10:$A27)+2,FALSE)</f>
        <v>1050</v>
      </c>
      <c r="L27" s="25">
        <f>HLOOKUP(L$7,$I$66:$DJ$120,ROWS($A$10:$A27)+2,FALSE)</f>
        <v>2238</v>
      </c>
      <c r="M27" s="25">
        <f>HLOOKUP(M$7,$I$66:$DJ$120,ROWS($A$10:$A27)+2,FALSE)</f>
        <v>1596</v>
      </c>
      <c r="N27" s="25">
        <f>HLOOKUP(N$7,$I$66:$DJ$120,ROWS($A$10:$A27)+2,FALSE)</f>
        <v>6125</v>
      </c>
      <c r="O27" s="25">
        <f>HLOOKUP(O$7,$I$66:$DJ$120,ROWS($A$10:$A27)+2,FALSE)</f>
        <v>6022</v>
      </c>
      <c r="P27" s="25">
        <f>HLOOKUP(P$7,$I$66:$DJ$120,ROWS($A$10:$A27)+2,FALSE)</f>
        <v>85</v>
      </c>
      <c r="Q27" s="25">
        <f>HLOOKUP(Q$7,$I$66:$DJ$120,ROWS($A$10:$A27)+2,FALSE)</f>
        <v>238</v>
      </c>
      <c r="R27" s="25">
        <f>HLOOKUP(R$7,$I$66:$DJ$120,ROWS($A$10:$A27)+2,FALSE)</f>
        <v>0</v>
      </c>
      <c r="S27" s="25">
        <f>HLOOKUP(S$7,$I$66:$DJ$120,ROWS($A$10:$A27)+2,FALSE)</f>
        <v>2863</v>
      </c>
      <c r="T27" s="25">
        <f>HLOOKUP(T$7,$I$66:$DJ$120,ROWS($A$10:$A27)+2,FALSE)</f>
        <v>1916</v>
      </c>
      <c r="U27" s="25">
        <f>HLOOKUP(U$7,$I$66:$DJ$120,ROWS($A$10:$A27)+2,FALSE)</f>
        <v>128</v>
      </c>
      <c r="V27" s="25">
        <f>HLOOKUP(V$7,$I$66:$DJ$120,ROWS($A$10:$A27)+2,FALSE)</f>
        <v>398</v>
      </c>
      <c r="W27" s="25">
        <f>HLOOKUP(W$7,$I$66:$DJ$120,ROWS($A$10:$A27)+2,FALSE)</f>
        <v>2943</v>
      </c>
      <c r="X27" s="25">
        <f>HLOOKUP(X$7,$I$66:$DJ$120,ROWS($A$10:$A27)+2,FALSE)</f>
        <v>1544</v>
      </c>
      <c r="Y27" s="25">
        <f>HLOOKUP(Y$7,$I$66:$DJ$120,ROWS($A$10:$A27)+2,FALSE)</f>
        <v>1875</v>
      </c>
      <c r="Z27" s="25" t="str">
        <f>HLOOKUP(Z$7,$I$66:$DJ$120,ROWS($A$10:$A27)+2,FALSE)</f>
        <v>N/A</v>
      </c>
      <c r="AA27" s="25">
        <f>HLOOKUP(AA$7,$I$66:$DJ$120,ROWS($A$10:$A27)+2,FALSE)</f>
        <v>1048</v>
      </c>
      <c r="AB27" s="25">
        <f>HLOOKUP(AB$7,$I$66:$DJ$120,ROWS($A$10:$A27)+2,FALSE)</f>
        <v>890</v>
      </c>
      <c r="AC27" s="25">
        <f>HLOOKUP(AC$7,$I$66:$DJ$120,ROWS($A$10:$A27)+2,FALSE)</f>
        <v>0</v>
      </c>
      <c r="AD27" s="25">
        <f>HLOOKUP(AD$7,$I$66:$DJ$120,ROWS($A$10:$A27)+2,FALSE)</f>
        <v>1369</v>
      </c>
      <c r="AE27" s="25">
        <f>HLOOKUP(AE$7,$I$66:$DJ$120,ROWS($A$10:$A27)+2,FALSE)</f>
        <v>100</v>
      </c>
      <c r="AF27" s="25">
        <f>HLOOKUP(AF$7,$I$66:$DJ$120,ROWS($A$10:$A27)+2,FALSE)</f>
        <v>806</v>
      </c>
      <c r="AG27" s="25">
        <f>HLOOKUP(AG$7,$I$66:$DJ$120,ROWS($A$10:$A27)+2,FALSE)</f>
        <v>1562</v>
      </c>
      <c r="AH27" s="25">
        <f>HLOOKUP(AH$7,$I$66:$DJ$120,ROWS($A$10:$A27)+2,FALSE)</f>
        <v>167</v>
      </c>
      <c r="AI27" s="25">
        <f>HLOOKUP(AI$7,$I$66:$DJ$120,ROWS($A$10:$A27)+2,FALSE)</f>
        <v>23384</v>
      </c>
      <c r="AJ27" s="25">
        <f>HLOOKUP(AJ$7,$I$66:$DJ$120,ROWS($A$10:$A27)+2,FALSE)</f>
        <v>289</v>
      </c>
      <c r="AK27" s="25">
        <f>HLOOKUP(AK$7,$I$66:$DJ$120,ROWS($A$10:$A27)+2,FALSE)</f>
        <v>2678</v>
      </c>
      <c r="AL27" s="25">
        <f>HLOOKUP(AL$7,$I$66:$DJ$120,ROWS($A$10:$A27)+2,FALSE)</f>
        <v>1318</v>
      </c>
      <c r="AM27" s="25">
        <f>HLOOKUP(AM$7,$I$66:$DJ$120,ROWS($A$10:$A27)+2,FALSE)</f>
        <v>76</v>
      </c>
      <c r="AN27" s="25">
        <f>HLOOKUP(AN$7,$I$66:$DJ$120,ROWS($A$10:$A27)+2,FALSE)</f>
        <v>1743</v>
      </c>
      <c r="AO27" s="25">
        <f>HLOOKUP(AO$7,$I$66:$DJ$120,ROWS($A$10:$A27)+2,FALSE)</f>
        <v>873</v>
      </c>
      <c r="AP27" s="25">
        <f>HLOOKUP(AP$7,$I$66:$DJ$120,ROWS($A$10:$A27)+2,FALSE)</f>
        <v>2390</v>
      </c>
      <c r="AQ27" s="25">
        <f>HLOOKUP(AQ$7,$I$66:$DJ$120,ROWS($A$10:$A27)+2,FALSE)</f>
        <v>1083</v>
      </c>
      <c r="AR27" s="25">
        <f>HLOOKUP(AR$7,$I$66:$DJ$120,ROWS($A$10:$A27)+2,FALSE)</f>
        <v>225</v>
      </c>
      <c r="AS27" s="25">
        <f>HLOOKUP(AS$7,$I$66:$DJ$120,ROWS($A$10:$A27)+2,FALSE)</f>
        <v>1509</v>
      </c>
      <c r="AT27" s="25">
        <f>HLOOKUP(AT$7,$I$66:$DJ$120,ROWS($A$10:$A27)+2,FALSE)</f>
        <v>7568</v>
      </c>
      <c r="AU27" s="25">
        <f>HLOOKUP(AU$7,$I$66:$DJ$120,ROWS($A$10:$A27)+2,FALSE)</f>
        <v>514</v>
      </c>
      <c r="AV27" s="25">
        <f>HLOOKUP(AV$7,$I$66:$DJ$120,ROWS($A$10:$A27)+2,FALSE)</f>
        <v>563</v>
      </c>
      <c r="AW27" s="25">
        <f>HLOOKUP(AW$7,$I$66:$DJ$120,ROWS($A$10:$A27)+2,FALSE)</f>
        <v>39</v>
      </c>
      <c r="AX27" s="25">
        <f>HLOOKUP(AX$7,$I$66:$DJ$120,ROWS($A$10:$A27)+2,FALSE)</f>
        <v>137</v>
      </c>
      <c r="AY27" s="25">
        <f>HLOOKUP(AY$7,$I$66:$DJ$120,ROWS($A$10:$A27)+2,FALSE)</f>
        <v>352</v>
      </c>
      <c r="AZ27" s="25">
        <f>HLOOKUP(AZ$7,$I$66:$DJ$120,ROWS($A$10:$A27)+2,FALSE)</f>
        <v>1152</v>
      </c>
      <c r="BA27" s="25">
        <f>HLOOKUP(BA$7,$I$66:$DJ$120,ROWS($A$10:$A27)+2,FALSE)</f>
        <v>9217</v>
      </c>
      <c r="BB27" s="25">
        <f>HLOOKUP(BB$7,$I$66:$DJ$120,ROWS($A$10:$A27)+2,FALSE)</f>
        <v>238</v>
      </c>
      <c r="BC27" s="25">
        <f>HLOOKUP(BC$7,$I$66:$DJ$120,ROWS($A$10:$A27)+2,FALSE)</f>
        <v>75</v>
      </c>
      <c r="BD27" s="25">
        <f>HLOOKUP(BD$7,$I$66:$DJ$120,ROWS($A$10:$A27)+2,FALSE)</f>
        <v>1648</v>
      </c>
      <c r="BE27" s="25">
        <f>HLOOKUP(BE$7,$I$66:$DJ$120,ROWS($A$10:$A27)+2,FALSE)</f>
        <v>1175</v>
      </c>
      <c r="BF27" s="25">
        <f>HLOOKUP(BF$7,$I$66:$DJ$120,ROWS($A$10:$A27)+2,FALSE)</f>
        <v>0</v>
      </c>
      <c r="BG27" s="25">
        <f>HLOOKUP(BG$7,$I$66:$DJ$120,ROWS($A$10:$A27)+2,FALSE)</f>
        <v>1233</v>
      </c>
      <c r="BH27" s="25">
        <f>HLOOKUP(BH$7,$I$66:$DJ$120,ROWS($A$10:$A27)+2,FALSE)</f>
        <v>573</v>
      </c>
      <c r="BI27" s="25">
        <f>HLOOKUP(BI$7,$I$66:$DJ$120,ROWS($A$10:$A27)+2,FALSE)</f>
        <v>68</v>
      </c>
      <c r="BJ27" s="34">
        <f>HLOOKUP(BJ$7+0.5,$I$66:$DJ$120,ROWS($A$10:$A27)+2,FALSE)</f>
        <v>7804</v>
      </c>
      <c r="BK27" s="34">
        <f>HLOOKUP(BK$7+0.5,$I$66:$DJ$120,ROWS($A$10:$A27)+2,FALSE)</f>
        <v>75</v>
      </c>
      <c r="BL27" s="34">
        <f>HLOOKUP(BL$7+0.5,$I$66:$DJ$120,ROWS($A$10:$A27)+2,FALSE)</f>
        <v>697</v>
      </c>
      <c r="BM27" s="34">
        <f>HLOOKUP(BM$7+0.5,$I$66:$DJ$120,ROWS($A$10:$A27)+2,FALSE)</f>
        <v>878</v>
      </c>
      <c r="BN27" s="34">
        <f>HLOOKUP(BN$7+0.5,$I$66:$DJ$120,ROWS($A$10:$A27)+2,FALSE)</f>
        <v>1073</v>
      </c>
      <c r="BO27" s="34">
        <f>HLOOKUP(BO$7+0.5,$I$66:$DJ$120,ROWS($A$10:$A27)+2,FALSE)</f>
        <v>1459</v>
      </c>
      <c r="BP27" s="34">
        <f>HLOOKUP(BP$7+0.5,$I$66:$DJ$120,ROWS($A$10:$A27)+2,FALSE)</f>
        <v>2519</v>
      </c>
      <c r="BQ27" s="34">
        <f>HLOOKUP(BQ$7+0.5,$I$66:$DJ$120,ROWS($A$10:$A27)+2,FALSE)</f>
        <v>140</v>
      </c>
      <c r="BR27" s="34">
        <f>HLOOKUP(BR$7+0.5,$I$66:$DJ$120,ROWS($A$10:$A27)+2,FALSE)</f>
        <v>275</v>
      </c>
      <c r="BS27" s="34">
        <f>HLOOKUP(BS$7+0.5,$I$66:$DJ$120,ROWS($A$10:$A27)+2,FALSE)</f>
        <v>248</v>
      </c>
      <c r="BT27" s="34">
        <f>HLOOKUP(BT$7+0.5,$I$66:$DJ$120,ROWS($A$10:$A27)+2,FALSE)</f>
        <v>1848</v>
      </c>
      <c r="BU27" s="34">
        <f>HLOOKUP(BU$7+0.5,$I$66:$DJ$120,ROWS($A$10:$A27)+2,FALSE)</f>
        <v>1039</v>
      </c>
      <c r="BV27" s="34">
        <f>HLOOKUP(BV$7+0.5,$I$66:$DJ$120,ROWS($A$10:$A27)+2,FALSE)</f>
        <v>154</v>
      </c>
      <c r="BW27" s="34">
        <f>HLOOKUP(BW$7+0.5,$I$66:$DJ$120,ROWS($A$10:$A27)+2,FALSE)</f>
        <v>407</v>
      </c>
      <c r="BX27" s="34">
        <f>HLOOKUP(BX$7+0.5,$I$66:$DJ$120,ROWS($A$10:$A27)+2,FALSE)</f>
        <v>1096</v>
      </c>
      <c r="BY27" s="34">
        <f>HLOOKUP(BY$7+0.5,$I$66:$DJ$120,ROWS($A$10:$A27)+2,FALSE)</f>
        <v>859</v>
      </c>
      <c r="BZ27" s="34">
        <f>HLOOKUP(BZ$7+0.5,$I$66:$DJ$120,ROWS($A$10:$A27)+2,FALSE)</f>
        <v>1184</v>
      </c>
      <c r="CA27" s="34" t="str">
        <f>HLOOKUP(CA$7+0.5,$I$66:$DJ$120,ROWS($A$10:$A27)+2,FALSE)</f>
        <v>N/A</v>
      </c>
      <c r="CB27" s="34">
        <f>HLOOKUP(CB$7+0.5,$I$66:$DJ$120,ROWS($A$10:$A27)+2,FALSE)</f>
        <v>1402</v>
      </c>
      <c r="CC27" s="34">
        <f>HLOOKUP(CC$7+0.5,$I$66:$DJ$120,ROWS($A$10:$A27)+2,FALSE)</f>
        <v>580</v>
      </c>
      <c r="CD27" s="34">
        <f>HLOOKUP(CD$7+0.5,$I$66:$DJ$120,ROWS($A$10:$A27)+2,FALSE)</f>
        <v>248</v>
      </c>
      <c r="CE27" s="34">
        <f>HLOOKUP(CE$7+0.5,$I$66:$DJ$120,ROWS($A$10:$A27)+2,FALSE)</f>
        <v>1103</v>
      </c>
      <c r="CF27" s="34">
        <f>HLOOKUP(CF$7+0.5,$I$66:$DJ$120,ROWS($A$10:$A27)+2,FALSE)</f>
        <v>120</v>
      </c>
      <c r="CG27" s="34">
        <f>HLOOKUP(CG$7+0.5,$I$66:$DJ$120,ROWS($A$10:$A27)+2,FALSE)</f>
        <v>457</v>
      </c>
      <c r="CH27" s="34">
        <f>HLOOKUP(CH$7+0.5,$I$66:$DJ$120,ROWS($A$10:$A27)+2,FALSE)</f>
        <v>1147</v>
      </c>
      <c r="CI27" s="34">
        <f>HLOOKUP(CI$7+0.5,$I$66:$DJ$120,ROWS($A$10:$A27)+2,FALSE)</f>
        <v>146</v>
      </c>
      <c r="CJ27" s="34">
        <f>HLOOKUP(CJ$7+0.5,$I$66:$DJ$120,ROWS($A$10:$A27)+2,FALSE)</f>
        <v>3524</v>
      </c>
      <c r="CK27" s="34">
        <f>HLOOKUP(CK$7+0.5,$I$66:$DJ$120,ROWS($A$10:$A27)+2,FALSE)</f>
        <v>318</v>
      </c>
      <c r="CL27" s="34">
        <f>HLOOKUP(CL$7+0.5,$I$66:$DJ$120,ROWS($A$10:$A27)+2,FALSE)</f>
        <v>875</v>
      </c>
      <c r="CM27" s="34">
        <f>HLOOKUP(CM$7+0.5,$I$66:$DJ$120,ROWS($A$10:$A27)+2,FALSE)</f>
        <v>1245</v>
      </c>
      <c r="CN27" s="34">
        <f>HLOOKUP(CN$7+0.5,$I$66:$DJ$120,ROWS($A$10:$A27)+2,FALSE)</f>
        <v>130</v>
      </c>
      <c r="CO27" s="34">
        <f>HLOOKUP(CO$7+0.5,$I$66:$DJ$120,ROWS($A$10:$A27)+2,FALSE)</f>
        <v>1236</v>
      </c>
      <c r="CP27" s="34">
        <f>HLOOKUP(CP$7+0.5,$I$66:$DJ$120,ROWS($A$10:$A27)+2,FALSE)</f>
        <v>580</v>
      </c>
      <c r="CQ27" s="34">
        <f>HLOOKUP(CQ$7+0.5,$I$66:$DJ$120,ROWS($A$10:$A27)+2,FALSE)</f>
        <v>1235</v>
      </c>
      <c r="CR27" s="34">
        <f>HLOOKUP(CR$7+0.5,$I$66:$DJ$120,ROWS($A$10:$A27)+2,FALSE)</f>
        <v>649</v>
      </c>
      <c r="CS27" s="34">
        <f>HLOOKUP(CS$7+0.5,$I$66:$DJ$120,ROWS($A$10:$A27)+2,FALSE)</f>
        <v>373</v>
      </c>
      <c r="CT27" s="34">
        <f>HLOOKUP(CT$7+0.5,$I$66:$DJ$120,ROWS($A$10:$A27)+2,FALSE)</f>
        <v>1127</v>
      </c>
      <c r="CU27" s="34">
        <f>HLOOKUP(CU$7+0.5,$I$66:$DJ$120,ROWS($A$10:$A27)+2,FALSE)</f>
        <v>2302</v>
      </c>
      <c r="CV27" s="34">
        <f>HLOOKUP(CV$7+0.5,$I$66:$DJ$120,ROWS($A$10:$A27)+2,FALSE)</f>
        <v>610</v>
      </c>
      <c r="CW27" s="34">
        <f>HLOOKUP(CW$7+0.5,$I$66:$DJ$120,ROWS($A$10:$A27)+2,FALSE)</f>
        <v>537</v>
      </c>
      <c r="CX27" s="34">
        <f>HLOOKUP(CX$7+0.5,$I$66:$DJ$120,ROWS($A$10:$A27)+2,FALSE)</f>
        <v>79</v>
      </c>
      <c r="CY27" s="34">
        <f>HLOOKUP(CY$7+0.5,$I$66:$DJ$120,ROWS($A$10:$A27)+2,FALSE)</f>
        <v>211</v>
      </c>
      <c r="CZ27" s="34">
        <f>HLOOKUP(CZ$7+0.5,$I$66:$DJ$120,ROWS($A$10:$A27)+2,FALSE)</f>
        <v>227</v>
      </c>
      <c r="DA27" s="34">
        <f>HLOOKUP(DA$7+0.5,$I$66:$DJ$120,ROWS($A$10:$A27)+2,FALSE)</f>
        <v>821</v>
      </c>
      <c r="DB27" s="34">
        <f>HLOOKUP(DB$7+0.5,$I$66:$DJ$120,ROWS($A$10:$A27)+2,FALSE)</f>
        <v>2824</v>
      </c>
      <c r="DC27" s="34">
        <f>HLOOKUP(DC$7+0.5,$I$66:$DJ$120,ROWS($A$10:$A27)+2,FALSE)</f>
        <v>298</v>
      </c>
      <c r="DD27" s="34">
        <f>HLOOKUP(DD$7+0.5,$I$66:$DJ$120,ROWS($A$10:$A27)+2,FALSE)</f>
        <v>126</v>
      </c>
      <c r="DE27" s="34">
        <f>HLOOKUP(DE$7+0.5,$I$66:$DJ$120,ROWS($A$10:$A27)+2,FALSE)</f>
        <v>934</v>
      </c>
      <c r="DF27" s="34">
        <f>HLOOKUP(DF$7+0.5,$I$66:$DJ$120,ROWS($A$10:$A27)+2,FALSE)</f>
        <v>792</v>
      </c>
      <c r="DG27" s="34">
        <f>HLOOKUP(DG$7+0.5,$I$66:$DJ$120,ROWS($A$10:$A27)+2,FALSE)</f>
        <v>248</v>
      </c>
      <c r="DH27" s="34">
        <f>HLOOKUP(DH$7+0.5,$I$66:$DJ$120,ROWS($A$10:$A27)+2,FALSE)</f>
        <v>898</v>
      </c>
      <c r="DI27" s="34">
        <f>HLOOKUP(DI$7+0.5,$I$66:$DJ$120,ROWS($A$10:$A27)+2,FALSE)</f>
        <v>531</v>
      </c>
      <c r="DJ27" s="34">
        <f>HLOOKUP(DJ$7+0.5,$I$66:$DJ$120,ROWS($A$10:$A27)+2,FALSE)</f>
        <v>88</v>
      </c>
    </row>
    <row r="28" spans="2:114" x14ac:dyDescent="0.25">
      <c r="B28" s="38" t="s">
        <v>24</v>
      </c>
      <c r="C28" s="16">
        <v>4296639</v>
      </c>
      <c r="D28" s="17">
        <v>3389</v>
      </c>
      <c r="E28" s="16">
        <v>3638259</v>
      </c>
      <c r="F28" s="17">
        <v>20337</v>
      </c>
      <c r="G28" s="16">
        <v>519887</v>
      </c>
      <c r="H28" s="17">
        <v>18955</v>
      </c>
      <c r="I28" s="36">
        <f>HLOOKUP(I$7,$I$66:$DJ$120,ROWS($A$10:$A28)+2,FALSE)</f>
        <v>118443</v>
      </c>
      <c r="J28" s="25">
        <f>HLOOKUP(J$7,$I$66:$DJ$120,ROWS($A$10:$A28)+2,FALSE)</f>
        <v>2161</v>
      </c>
      <c r="K28" s="25">
        <f>HLOOKUP(K$7,$I$66:$DJ$120,ROWS($A$10:$A28)+2,FALSE)</f>
        <v>3017</v>
      </c>
      <c r="L28" s="25">
        <f>HLOOKUP(L$7,$I$66:$DJ$120,ROWS($A$10:$A28)+2,FALSE)</f>
        <v>2598</v>
      </c>
      <c r="M28" s="25">
        <f>HLOOKUP(M$7,$I$66:$DJ$120,ROWS($A$10:$A28)+2,FALSE)</f>
        <v>558</v>
      </c>
      <c r="N28" s="25">
        <f>HLOOKUP(N$7,$I$66:$DJ$120,ROWS($A$10:$A28)+2,FALSE)</f>
        <v>3779</v>
      </c>
      <c r="O28" s="25">
        <f>HLOOKUP(O$7,$I$66:$DJ$120,ROWS($A$10:$A28)+2,FALSE)</f>
        <v>329</v>
      </c>
      <c r="P28" s="25">
        <f>HLOOKUP(P$7,$I$66:$DJ$120,ROWS($A$10:$A28)+2,FALSE)</f>
        <v>698</v>
      </c>
      <c r="Q28" s="25">
        <f>HLOOKUP(Q$7,$I$66:$DJ$120,ROWS($A$10:$A28)+2,FALSE)</f>
        <v>38</v>
      </c>
      <c r="R28" s="25">
        <f>HLOOKUP(R$7,$I$66:$DJ$120,ROWS($A$10:$A28)+2,FALSE)</f>
        <v>147</v>
      </c>
      <c r="S28" s="25">
        <f>HLOOKUP(S$7,$I$66:$DJ$120,ROWS($A$10:$A28)+2,FALSE)</f>
        <v>10119</v>
      </c>
      <c r="T28" s="25">
        <f>HLOOKUP(T$7,$I$66:$DJ$120,ROWS($A$10:$A28)+2,FALSE)</f>
        <v>6397</v>
      </c>
      <c r="U28" s="25">
        <f>HLOOKUP(U$7,$I$66:$DJ$120,ROWS($A$10:$A28)+2,FALSE)</f>
        <v>520</v>
      </c>
      <c r="V28" s="25">
        <f>HLOOKUP(V$7,$I$66:$DJ$120,ROWS($A$10:$A28)+2,FALSE)</f>
        <v>71</v>
      </c>
      <c r="W28" s="25">
        <f>HLOOKUP(W$7,$I$66:$DJ$120,ROWS($A$10:$A28)+2,FALSE)</f>
        <v>4659</v>
      </c>
      <c r="X28" s="25">
        <f>HLOOKUP(X$7,$I$66:$DJ$120,ROWS($A$10:$A28)+2,FALSE)</f>
        <v>11906</v>
      </c>
      <c r="Y28" s="25">
        <f>HLOOKUP(Y$7,$I$66:$DJ$120,ROWS($A$10:$A28)+2,FALSE)</f>
        <v>656</v>
      </c>
      <c r="Z28" s="25">
        <f>HLOOKUP(Z$7,$I$66:$DJ$120,ROWS($A$10:$A28)+2,FALSE)</f>
        <v>1109</v>
      </c>
      <c r="AA28" s="25" t="str">
        <f>HLOOKUP(AA$7,$I$66:$DJ$120,ROWS($A$10:$A28)+2,FALSE)</f>
        <v>N/A</v>
      </c>
      <c r="AB28" s="25">
        <f>HLOOKUP(AB$7,$I$66:$DJ$120,ROWS($A$10:$A28)+2,FALSE)</f>
        <v>437</v>
      </c>
      <c r="AC28" s="25">
        <f>HLOOKUP(AC$7,$I$66:$DJ$120,ROWS($A$10:$A28)+2,FALSE)</f>
        <v>0</v>
      </c>
      <c r="AD28" s="25">
        <f>HLOOKUP(AD$7,$I$66:$DJ$120,ROWS($A$10:$A28)+2,FALSE)</f>
        <v>1395</v>
      </c>
      <c r="AE28" s="25">
        <f>HLOOKUP(AE$7,$I$66:$DJ$120,ROWS($A$10:$A28)+2,FALSE)</f>
        <v>1036</v>
      </c>
      <c r="AF28" s="25">
        <f>HLOOKUP(AF$7,$I$66:$DJ$120,ROWS($A$10:$A28)+2,FALSE)</f>
        <v>4672</v>
      </c>
      <c r="AG28" s="25">
        <f>HLOOKUP(AG$7,$I$66:$DJ$120,ROWS($A$10:$A28)+2,FALSE)</f>
        <v>930</v>
      </c>
      <c r="AH28" s="25">
        <f>HLOOKUP(AH$7,$I$66:$DJ$120,ROWS($A$10:$A28)+2,FALSE)</f>
        <v>1442</v>
      </c>
      <c r="AI28" s="25">
        <f>HLOOKUP(AI$7,$I$66:$DJ$120,ROWS($A$10:$A28)+2,FALSE)</f>
        <v>3153</v>
      </c>
      <c r="AJ28" s="25">
        <f>HLOOKUP(AJ$7,$I$66:$DJ$120,ROWS($A$10:$A28)+2,FALSE)</f>
        <v>0</v>
      </c>
      <c r="AK28" s="25">
        <f>HLOOKUP(AK$7,$I$66:$DJ$120,ROWS($A$10:$A28)+2,FALSE)</f>
        <v>858</v>
      </c>
      <c r="AL28" s="25">
        <f>HLOOKUP(AL$7,$I$66:$DJ$120,ROWS($A$10:$A28)+2,FALSE)</f>
        <v>76</v>
      </c>
      <c r="AM28" s="25">
        <f>HLOOKUP(AM$7,$I$66:$DJ$120,ROWS($A$10:$A28)+2,FALSE)</f>
        <v>0</v>
      </c>
      <c r="AN28" s="25">
        <f>HLOOKUP(AN$7,$I$66:$DJ$120,ROWS($A$10:$A28)+2,FALSE)</f>
        <v>1147</v>
      </c>
      <c r="AO28" s="25">
        <f>HLOOKUP(AO$7,$I$66:$DJ$120,ROWS($A$10:$A28)+2,FALSE)</f>
        <v>122</v>
      </c>
      <c r="AP28" s="25">
        <f>HLOOKUP(AP$7,$I$66:$DJ$120,ROWS($A$10:$A28)+2,FALSE)</f>
        <v>2057</v>
      </c>
      <c r="AQ28" s="25">
        <f>HLOOKUP(AQ$7,$I$66:$DJ$120,ROWS($A$10:$A28)+2,FALSE)</f>
        <v>3758</v>
      </c>
      <c r="AR28" s="25">
        <f>HLOOKUP(AR$7,$I$66:$DJ$120,ROWS($A$10:$A28)+2,FALSE)</f>
        <v>0</v>
      </c>
      <c r="AS28" s="25">
        <f>HLOOKUP(AS$7,$I$66:$DJ$120,ROWS($A$10:$A28)+2,FALSE)</f>
        <v>15598</v>
      </c>
      <c r="AT28" s="25">
        <f>HLOOKUP(AT$7,$I$66:$DJ$120,ROWS($A$10:$A28)+2,FALSE)</f>
        <v>1153</v>
      </c>
      <c r="AU28" s="25">
        <f>HLOOKUP(AU$7,$I$66:$DJ$120,ROWS($A$10:$A28)+2,FALSE)</f>
        <v>181</v>
      </c>
      <c r="AV28" s="25">
        <f>HLOOKUP(AV$7,$I$66:$DJ$120,ROWS($A$10:$A28)+2,FALSE)</f>
        <v>2618</v>
      </c>
      <c r="AW28" s="25">
        <f>HLOOKUP(AW$7,$I$66:$DJ$120,ROWS($A$10:$A28)+2,FALSE)</f>
        <v>289</v>
      </c>
      <c r="AX28" s="25">
        <f>HLOOKUP(AX$7,$I$66:$DJ$120,ROWS($A$10:$A28)+2,FALSE)</f>
        <v>1286</v>
      </c>
      <c r="AY28" s="25">
        <f>HLOOKUP(AY$7,$I$66:$DJ$120,ROWS($A$10:$A28)+2,FALSE)</f>
        <v>163</v>
      </c>
      <c r="AZ28" s="25">
        <f>HLOOKUP(AZ$7,$I$66:$DJ$120,ROWS($A$10:$A28)+2,FALSE)</f>
        <v>11153</v>
      </c>
      <c r="BA28" s="25">
        <f>HLOOKUP(BA$7,$I$66:$DJ$120,ROWS($A$10:$A28)+2,FALSE)</f>
        <v>5758</v>
      </c>
      <c r="BB28" s="25">
        <f>HLOOKUP(BB$7,$I$66:$DJ$120,ROWS($A$10:$A28)+2,FALSE)</f>
        <v>905</v>
      </c>
      <c r="BC28" s="25">
        <f>HLOOKUP(BC$7,$I$66:$DJ$120,ROWS($A$10:$A28)+2,FALSE)</f>
        <v>525</v>
      </c>
      <c r="BD28" s="25">
        <f>HLOOKUP(BD$7,$I$66:$DJ$120,ROWS($A$10:$A28)+2,FALSE)</f>
        <v>3671</v>
      </c>
      <c r="BE28" s="25">
        <f>HLOOKUP(BE$7,$I$66:$DJ$120,ROWS($A$10:$A28)+2,FALSE)</f>
        <v>716</v>
      </c>
      <c r="BF28" s="25">
        <f>HLOOKUP(BF$7,$I$66:$DJ$120,ROWS($A$10:$A28)+2,FALSE)</f>
        <v>2297</v>
      </c>
      <c r="BG28" s="25">
        <f>HLOOKUP(BG$7,$I$66:$DJ$120,ROWS($A$10:$A28)+2,FALSE)</f>
        <v>1993</v>
      </c>
      <c r="BH28" s="25">
        <f>HLOOKUP(BH$7,$I$66:$DJ$120,ROWS($A$10:$A28)+2,FALSE)</f>
        <v>292</v>
      </c>
      <c r="BI28" s="25">
        <f>HLOOKUP(BI$7,$I$66:$DJ$120,ROWS($A$10:$A28)+2,FALSE)</f>
        <v>179</v>
      </c>
      <c r="BJ28" s="34">
        <f>HLOOKUP(BJ$7+0.5,$I$66:$DJ$120,ROWS($A$10:$A28)+2,FALSE)</f>
        <v>8947</v>
      </c>
      <c r="BK28" s="34">
        <f>HLOOKUP(BK$7+0.5,$I$66:$DJ$120,ROWS($A$10:$A28)+2,FALSE)</f>
        <v>871</v>
      </c>
      <c r="BL28" s="34">
        <f>HLOOKUP(BL$7+0.5,$I$66:$DJ$120,ROWS($A$10:$A28)+2,FALSE)</f>
        <v>2024</v>
      </c>
      <c r="BM28" s="34">
        <f>HLOOKUP(BM$7+0.5,$I$66:$DJ$120,ROWS($A$10:$A28)+2,FALSE)</f>
        <v>1483</v>
      </c>
      <c r="BN28" s="34">
        <f>HLOOKUP(BN$7+0.5,$I$66:$DJ$120,ROWS($A$10:$A28)+2,FALSE)</f>
        <v>547</v>
      </c>
      <c r="BO28" s="34">
        <f>HLOOKUP(BO$7+0.5,$I$66:$DJ$120,ROWS($A$10:$A28)+2,FALSE)</f>
        <v>1387</v>
      </c>
      <c r="BP28" s="34">
        <f>HLOOKUP(BP$7+0.5,$I$66:$DJ$120,ROWS($A$10:$A28)+2,FALSE)</f>
        <v>363</v>
      </c>
      <c r="BQ28" s="34">
        <f>HLOOKUP(BQ$7+0.5,$I$66:$DJ$120,ROWS($A$10:$A28)+2,FALSE)</f>
        <v>710</v>
      </c>
      <c r="BR28" s="34">
        <f>HLOOKUP(BR$7+0.5,$I$66:$DJ$120,ROWS($A$10:$A28)+2,FALSE)</f>
        <v>64</v>
      </c>
      <c r="BS28" s="34">
        <f>HLOOKUP(BS$7+0.5,$I$66:$DJ$120,ROWS($A$10:$A28)+2,FALSE)</f>
        <v>210</v>
      </c>
      <c r="BT28" s="34">
        <f>HLOOKUP(BT$7+0.5,$I$66:$DJ$120,ROWS($A$10:$A28)+2,FALSE)</f>
        <v>2893</v>
      </c>
      <c r="BU28" s="34">
        <f>HLOOKUP(BU$7+0.5,$I$66:$DJ$120,ROWS($A$10:$A28)+2,FALSE)</f>
        <v>2093</v>
      </c>
      <c r="BV28" s="34">
        <f>HLOOKUP(BV$7+0.5,$I$66:$DJ$120,ROWS($A$10:$A28)+2,FALSE)</f>
        <v>520</v>
      </c>
      <c r="BW28" s="34">
        <f>HLOOKUP(BW$7+0.5,$I$66:$DJ$120,ROWS($A$10:$A28)+2,FALSE)</f>
        <v>119</v>
      </c>
      <c r="BX28" s="34">
        <f>HLOOKUP(BX$7+0.5,$I$66:$DJ$120,ROWS($A$10:$A28)+2,FALSE)</f>
        <v>1887</v>
      </c>
      <c r="BY28" s="34">
        <f>HLOOKUP(BY$7+0.5,$I$66:$DJ$120,ROWS($A$10:$A28)+2,FALSE)</f>
        <v>2334</v>
      </c>
      <c r="BZ28" s="34">
        <f>HLOOKUP(BZ$7+0.5,$I$66:$DJ$120,ROWS($A$10:$A28)+2,FALSE)</f>
        <v>788</v>
      </c>
      <c r="CA28" s="34">
        <f>HLOOKUP(CA$7+0.5,$I$66:$DJ$120,ROWS($A$10:$A28)+2,FALSE)</f>
        <v>1031</v>
      </c>
      <c r="CB28" s="34" t="str">
        <f>HLOOKUP(CB$7+0.5,$I$66:$DJ$120,ROWS($A$10:$A28)+2,FALSE)</f>
        <v>N/A</v>
      </c>
      <c r="CC28" s="34">
        <f>HLOOKUP(CC$7+0.5,$I$66:$DJ$120,ROWS($A$10:$A28)+2,FALSE)</f>
        <v>435</v>
      </c>
      <c r="CD28" s="34">
        <f>HLOOKUP(CD$7+0.5,$I$66:$DJ$120,ROWS($A$10:$A28)+2,FALSE)</f>
        <v>271</v>
      </c>
      <c r="CE28" s="34">
        <f>HLOOKUP(CE$7+0.5,$I$66:$DJ$120,ROWS($A$10:$A28)+2,FALSE)</f>
        <v>995</v>
      </c>
      <c r="CF28" s="34">
        <f>HLOOKUP(CF$7+0.5,$I$66:$DJ$120,ROWS($A$10:$A28)+2,FALSE)</f>
        <v>738</v>
      </c>
      <c r="CG28" s="34">
        <f>HLOOKUP(CG$7+0.5,$I$66:$DJ$120,ROWS($A$10:$A28)+2,FALSE)</f>
        <v>1897</v>
      </c>
      <c r="CH28" s="34">
        <f>HLOOKUP(CH$7+0.5,$I$66:$DJ$120,ROWS($A$10:$A28)+2,FALSE)</f>
        <v>781</v>
      </c>
      <c r="CI28" s="34">
        <f>HLOOKUP(CI$7+0.5,$I$66:$DJ$120,ROWS($A$10:$A28)+2,FALSE)</f>
        <v>917</v>
      </c>
      <c r="CJ28" s="34">
        <f>HLOOKUP(CJ$7+0.5,$I$66:$DJ$120,ROWS($A$10:$A28)+2,FALSE)</f>
        <v>1147</v>
      </c>
      <c r="CK28" s="34">
        <f>HLOOKUP(CK$7+0.5,$I$66:$DJ$120,ROWS($A$10:$A28)+2,FALSE)</f>
        <v>271</v>
      </c>
      <c r="CL28" s="34">
        <f>HLOOKUP(CL$7+0.5,$I$66:$DJ$120,ROWS($A$10:$A28)+2,FALSE)</f>
        <v>809</v>
      </c>
      <c r="CM28" s="34">
        <f>HLOOKUP(CM$7+0.5,$I$66:$DJ$120,ROWS($A$10:$A28)+2,FALSE)</f>
        <v>129</v>
      </c>
      <c r="CN28" s="34">
        <f>HLOOKUP(CN$7+0.5,$I$66:$DJ$120,ROWS($A$10:$A28)+2,FALSE)</f>
        <v>271</v>
      </c>
      <c r="CO28" s="34">
        <f>HLOOKUP(CO$7+0.5,$I$66:$DJ$120,ROWS($A$10:$A28)+2,FALSE)</f>
        <v>807</v>
      </c>
      <c r="CP28" s="34">
        <f>HLOOKUP(CP$7+0.5,$I$66:$DJ$120,ROWS($A$10:$A28)+2,FALSE)</f>
        <v>189</v>
      </c>
      <c r="CQ28" s="34">
        <f>HLOOKUP(CQ$7+0.5,$I$66:$DJ$120,ROWS($A$10:$A28)+2,FALSE)</f>
        <v>1057</v>
      </c>
      <c r="CR28" s="34">
        <f>HLOOKUP(CR$7+0.5,$I$66:$DJ$120,ROWS($A$10:$A28)+2,FALSE)</f>
        <v>1216</v>
      </c>
      <c r="CS28" s="34">
        <f>HLOOKUP(CS$7+0.5,$I$66:$DJ$120,ROWS($A$10:$A28)+2,FALSE)</f>
        <v>271</v>
      </c>
      <c r="CT28" s="34">
        <f>HLOOKUP(CT$7+0.5,$I$66:$DJ$120,ROWS($A$10:$A28)+2,FALSE)</f>
        <v>2549</v>
      </c>
      <c r="CU28" s="34">
        <f>HLOOKUP(CU$7+0.5,$I$66:$DJ$120,ROWS($A$10:$A28)+2,FALSE)</f>
        <v>900</v>
      </c>
      <c r="CV28" s="34">
        <f>HLOOKUP(CV$7+0.5,$I$66:$DJ$120,ROWS($A$10:$A28)+2,FALSE)</f>
        <v>220</v>
      </c>
      <c r="CW28" s="34">
        <f>HLOOKUP(CW$7+0.5,$I$66:$DJ$120,ROWS($A$10:$A28)+2,FALSE)</f>
        <v>1480</v>
      </c>
      <c r="CX28" s="34">
        <f>HLOOKUP(CX$7+0.5,$I$66:$DJ$120,ROWS($A$10:$A28)+2,FALSE)</f>
        <v>381</v>
      </c>
      <c r="CY28" s="34">
        <f>HLOOKUP(CY$7+0.5,$I$66:$DJ$120,ROWS($A$10:$A28)+2,FALSE)</f>
        <v>741</v>
      </c>
      <c r="CZ28" s="34">
        <f>HLOOKUP(CZ$7+0.5,$I$66:$DJ$120,ROWS($A$10:$A28)+2,FALSE)</f>
        <v>262</v>
      </c>
      <c r="DA28" s="34">
        <f>HLOOKUP(DA$7+0.5,$I$66:$DJ$120,ROWS($A$10:$A28)+2,FALSE)</f>
        <v>3003</v>
      </c>
      <c r="DB28" s="34">
        <f>HLOOKUP(DB$7+0.5,$I$66:$DJ$120,ROWS($A$10:$A28)+2,FALSE)</f>
        <v>1631</v>
      </c>
      <c r="DC28" s="34">
        <f>HLOOKUP(DC$7+0.5,$I$66:$DJ$120,ROWS($A$10:$A28)+2,FALSE)</f>
        <v>721</v>
      </c>
      <c r="DD28" s="34">
        <f>HLOOKUP(DD$7+0.5,$I$66:$DJ$120,ROWS($A$10:$A28)+2,FALSE)</f>
        <v>515</v>
      </c>
      <c r="DE28" s="34">
        <f>HLOOKUP(DE$7+0.5,$I$66:$DJ$120,ROWS($A$10:$A28)+2,FALSE)</f>
        <v>1981</v>
      </c>
      <c r="DF28" s="34">
        <f>HLOOKUP(DF$7+0.5,$I$66:$DJ$120,ROWS($A$10:$A28)+2,FALSE)</f>
        <v>599</v>
      </c>
      <c r="DG28" s="34">
        <f>HLOOKUP(DG$7+0.5,$I$66:$DJ$120,ROWS($A$10:$A28)+2,FALSE)</f>
        <v>1276</v>
      </c>
      <c r="DH28" s="34">
        <f>HLOOKUP(DH$7+0.5,$I$66:$DJ$120,ROWS($A$10:$A28)+2,FALSE)</f>
        <v>1413</v>
      </c>
      <c r="DI28" s="34">
        <f>HLOOKUP(DI$7+0.5,$I$66:$DJ$120,ROWS($A$10:$A28)+2,FALSE)</f>
        <v>462</v>
      </c>
      <c r="DJ28" s="34">
        <f>HLOOKUP(DJ$7+0.5,$I$66:$DJ$120,ROWS($A$10:$A28)+2,FALSE)</f>
        <v>240</v>
      </c>
    </row>
    <row r="29" spans="2:114" x14ac:dyDescent="0.25">
      <c r="B29" s="38" t="s">
        <v>25</v>
      </c>
      <c r="C29" s="16">
        <v>4483529</v>
      </c>
      <c r="D29" s="17">
        <v>3720</v>
      </c>
      <c r="E29" s="16">
        <v>3826390</v>
      </c>
      <c r="F29" s="17">
        <v>25103</v>
      </c>
      <c r="G29" s="16">
        <v>547291</v>
      </c>
      <c r="H29" s="17">
        <v>22645</v>
      </c>
      <c r="I29" s="36">
        <f>HLOOKUP(I$7,$I$66:$DJ$120,ROWS($A$10:$A29)+2,FALSE)</f>
        <v>97889</v>
      </c>
      <c r="J29" s="25">
        <f>HLOOKUP(J$7,$I$66:$DJ$120,ROWS($A$10:$A29)+2,FALSE)</f>
        <v>5740</v>
      </c>
      <c r="K29" s="25">
        <f>HLOOKUP(K$7,$I$66:$DJ$120,ROWS($A$10:$A29)+2,FALSE)</f>
        <v>1504</v>
      </c>
      <c r="L29" s="25">
        <f>HLOOKUP(L$7,$I$66:$DJ$120,ROWS($A$10:$A29)+2,FALSE)</f>
        <v>1960</v>
      </c>
      <c r="M29" s="25">
        <f>HLOOKUP(M$7,$I$66:$DJ$120,ROWS($A$10:$A29)+2,FALSE)</f>
        <v>2382</v>
      </c>
      <c r="N29" s="25">
        <f>HLOOKUP(N$7,$I$66:$DJ$120,ROWS($A$10:$A29)+2,FALSE)</f>
        <v>5751</v>
      </c>
      <c r="O29" s="25">
        <f>HLOOKUP(O$7,$I$66:$DJ$120,ROWS($A$10:$A29)+2,FALSE)</f>
        <v>1215</v>
      </c>
      <c r="P29" s="25">
        <f>HLOOKUP(P$7,$I$66:$DJ$120,ROWS($A$10:$A29)+2,FALSE)</f>
        <v>89</v>
      </c>
      <c r="Q29" s="25">
        <f>HLOOKUP(Q$7,$I$66:$DJ$120,ROWS($A$10:$A29)+2,FALSE)</f>
        <v>0</v>
      </c>
      <c r="R29" s="25">
        <f>HLOOKUP(R$7,$I$66:$DJ$120,ROWS($A$10:$A29)+2,FALSE)</f>
        <v>264</v>
      </c>
      <c r="S29" s="25">
        <f>HLOOKUP(S$7,$I$66:$DJ$120,ROWS($A$10:$A29)+2,FALSE)</f>
        <v>9394</v>
      </c>
      <c r="T29" s="25">
        <f>HLOOKUP(T$7,$I$66:$DJ$120,ROWS($A$10:$A29)+2,FALSE)</f>
        <v>5766</v>
      </c>
      <c r="U29" s="25">
        <f>HLOOKUP(U$7,$I$66:$DJ$120,ROWS($A$10:$A29)+2,FALSE)</f>
        <v>342</v>
      </c>
      <c r="V29" s="25">
        <f>HLOOKUP(V$7,$I$66:$DJ$120,ROWS($A$10:$A29)+2,FALSE)</f>
        <v>202</v>
      </c>
      <c r="W29" s="25">
        <f>HLOOKUP(W$7,$I$66:$DJ$120,ROWS($A$10:$A29)+2,FALSE)</f>
        <v>2131</v>
      </c>
      <c r="X29" s="25">
        <f>HLOOKUP(X$7,$I$66:$DJ$120,ROWS($A$10:$A29)+2,FALSE)</f>
        <v>948</v>
      </c>
      <c r="Y29" s="25">
        <f>HLOOKUP(Y$7,$I$66:$DJ$120,ROWS($A$10:$A29)+2,FALSE)</f>
        <v>625</v>
      </c>
      <c r="Z29" s="25">
        <f>HLOOKUP(Z$7,$I$66:$DJ$120,ROWS($A$10:$A29)+2,FALSE)</f>
        <v>706</v>
      </c>
      <c r="AA29" s="25">
        <f>HLOOKUP(AA$7,$I$66:$DJ$120,ROWS($A$10:$A29)+2,FALSE)</f>
        <v>1656</v>
      </c>
      <c r="AB29" s="25" t="str">
        <f>HLOOKUP(AB$7,$I$66:$DJ$120,ROWS($A$10:$A29)+2,FALSE)</f>
        <v>N/A</v>
      </c>
      <c r="AC29" s="25">
        <f>HLOOKUP(AC$7,$I$66:$DJ$120,ROWS($A$10:$A29)+2,FALSE)</f>
        <v>162</v>
      </c>
      <c r="AD29" s="25">
        <f>HLOOKUP(AD$7,$I$66:$DJ$120,ROWS($A$10:$A29)+2,FALSE)</f>
        <v>963</v>
      </c>
      <c r="AE29" s="25">
        <f>HLOOKUP(AE$7,$I$66:$DJ$120,ROWS($A$10:$A29)+2,FALSE)</f>
        <v>995</v>
      </c>
      <c r="AF29" s="25">
        <f>HLOOKUP(AF$7,$I$66:$DJ$120,ROWS($A$10:$A29)+2,FALSE)</f>
        <v>1301</v>
      </c>
      <c r="AG29" s="25">
        <f>HLOOKUP(AG$7,$I$66:$DJ$120,ROWS($A$10:$A29)+2,FALSE)</f>
        <v>569</v>
      </c>
      <c r="AH29" s="25">
        <f>HLOOKUP(AH$7,$I$66:$DJ$120,ROWS($A$10:$A29)+2,FALSE)</f>
        <v>7032</v>
      </c>
      <c r="AI29" s="25">
        <f>HLOOKUP(AI$7,$I$66:$DJ$120,ROWS($A$10:$A29)+2,FALSE)</f>
        <v>2852</v>
      </c>
      <c r="AJ29" s="25">
        <f>HLOOKUP(AJ$7,$I$66:$DJ$120,ROWS($A$10:$A29)+2,FALSE)</f>
        <v>40</v>
      </c>
      <c r="AK29" s="25">
        <f>HLOOKUP(AK$7,$I$66:$DJ$120,ROWS($A$10:$A29)+2,FALSE)</f>
        <v>119</v>
      </c>
      <c r="AL29" s="25">
        <f>HLOOKUP(AL$7,$I$66:$DJ$120,ROWS($A$10:$A29)+2,FALSE)</f>
        <v>1552</v>
      </c>
      <c r="AM29" s="25">
        <f>HLOOKUP(AM$7,$I$66:$DJ$120,ROWS($A$10:$A29)+2,FALSE)</f>
        <v>462</v>
      </c>
      <c r="AN29" s="25">
        <f>HLOOKUP(AN$7,$I$66:$DJ$120,ROWS($A$10:$A29)+2,FALSE)</f>
        <v>171</v>
      </c>
      <c r="AO29" s="25">
        <f>HLOOKUP(AO$7,$I$66:$DJ$120,ROWS($A$10:$A29)+2,FALSE)</f>
        <v>294</v>
      </c>
      <c r="AP29" s="25">
        <f>HLOOKUP(AP$7,$I$66:$DJ$120,ROWS($A$10:$A29)+2,FALSE)</f>
        <v>2161</v>
      </c>
      <c r="AQ29" s="25">
        <f>HLOOKUP(AQ$7,$I$66:$DJ$120,ROWS($A$10:$A29)+2,FALSE)</f>
        <v>1443</v>
      </c>
      <c r="AR29" s="25">
        <f>HLOOKUP(AR$7,$I$66:$DJ$120,ROWS($A$10:$A29)+2,FALSE)</f>
        <v>438</v>
      </c>
      <c r="AS29" s="25">
        <f>HLOOKUP(AS$7,$I$66:$DJ$120,ROWS($A$10:$A29)+2,FALSE)</f>
        <v>1100</v>
      </c>
      <c r="AT29" s="25">
        <f>HLOOKUP(AT$7,$I$66:$DJ$120,ROWS($A$10:$A29)+2,FALSE)</f>
        <v>1074</v>
      </c>
      <c r="AU29" s="25">
        <f>HLOOKUP(AU$7,$I$66:$DJ$120,ROWS($A$10:$A29)+2,FALSE)</f>
        <v>281</v>
      </c>
      <c r="AV29" s="25">
        <f>HLOOKUP(AV$7,$I$66:$DJ$120,ROWS($A$10:$A29)+2,FALSE)</f>
        <v>1350</v>
      </c>
      <c r="AW29" s="25">
        <f>HLOOKUP(AW$7,$I$66:$DJ$120,ROWS($A$10:$A29)+2,FALSE)</f>
        <v>0</v>
      </c>
      <c r="AX29" s="25">
        <f>HLOOKUP(AX$7,$I$66:$DJ$120,ROWS($A$10:$A29)+2,FALSE)</f>
        <v>1130</v>
      </c>
      <c r="AY29" s="25">
        <f>HLOOKUP(AY$7,$I$66:$DJ$120,ROWS($A$10:$A29)+2,FALSE)</f>
        <v>0</v>
      </c>
      <c r="AZ29" s="25">
        <f>HLOOKUP(AZ$7,$I$66:$DJ$120,ROWS($A$10:$A29)+2,FALSE)</f>
        <v>1853</v>
      </c>
      <c r="BA29" s="25">
        <f>HLOOKUP(BA$7,$I$66:$DJ$120,ROWS($A$10:$A29)+2,FALSE)</f>
        <v>26134</v>
      </c>
      <c r="BB29" s="25">
        <f>HLOOKUP(BB$7,$I$66:$DJ$120,ROWS($A$10:$A29)+2,FALSE)</f>
        <v>473</v>
      </c>
      <c r="BC29" s="25">
        <f>HLOOKUP(BC$7,$I$66:$DJ$120,ROWS($A$10:$A29)+2,FALSE)</f>
        <v>0</v>
      </c>
      <c r="BD29" s="25">
        <f>HLOOKUP(BD$7,$I$66:$DJ$120,ROWS($A$10:$A29)+2,FALSE)</f>
        <v>1278</v>
      </c>
      <c r="BE29" s="25">
        <f>HLOOKUP(BE$7,$I$66:$DJ$120,ROWS($A$10:$A29)+2,FALSE)</f>
        <v>1509</v>
      </c>
      <c r="BF29" s="25">
        <f>HLOOKUP(BF$7,$I$66:$DJ$120,ROWS($A$10:$A29)+2,FALSE)</f>
        <v>210</v>
      </c>
      <c r="BG29" s="25">
        <f>HLOOKUP(BG$7,$I$66:$DJ$120,ROWS($A$10:$A29)+2,FALSE)</f>
        <v>237</v>
      </c>
      <c r="BH29" s="25">
        <f>HLOOKUP(BH$7,$I$66:$DJ$120,ROWS($A$10:$A29)+2,FALSE)</f>
        <v>31</v>
      </c>
      <c r="BI29" s="25">
        <f>HLOOKUP(BI$7,$I$66:$DJ$120,ROWS($A$10:$A29)+2,FALSE)</f>
        <v>402</v>
      </c>
      <c r="BJ29" s="34">
        <f>HLOOKUP(BJ$7+0.5,$I$66:$DJ$120,ROWS($A$10:$A29)+2,FALSE)</f>
        <v>8319</v>
      </c>
      <c r="BK29" s="34">
        <f>HLOOKUP(BK$7+0.5,$I$66:$DJ$120,ROWS($A$10:$A29)+2,FALSE)</f>
        <v>2537</v>
      </c>
      <c r="BL29" s="34">
        <f>HLOOKUP(BL$7+0.5,$I$66:$DJ$120,ROWS($A$10:$A29)+2,FALSE)</f>
        <v>922</v>
      </c>
      <c r="BM29" s="34">
        <f>HLOOKUP(BM$7+0.5,$I$66:$DJ$120,ROWS($A$10:$A29)+2,FALSE)</f>
        <v>1204</v>
      </c>
      <c r="BN29" s="34">
        <f>HLOOKUP(BN$7+0.5,$I$66:$DJ$120,ROWS($A$10:$A29)+2,FALSE)</f>
        <v>1114</v>
      </c>
      <c r="BO29" s="34">
        <f>HLOOKUP(BO$7+0.5,$I$66:$DJ$120,ROWS($A$10:$A29)+2,FALSE)</f>
        <v>1933</v>
      </c>
      <c r="BP29" s="34">
        <f>HLOOKUP(BP$7+0.5,$I$66:$DJ$120,ROWS($A$10:$A29)+2,FALSE)</f>
        <v>567</v>
      </c>
      <c r="BQ29" s="34">
        <f>HLOOKUP(BQ$7+0.5,$I$66:$DJ$120,ROWS($A$10:$A29)+2,FALSE)</f>
        <v>120</v>
      </c>
      <c r="BR29" s="34">
        <f>HLOOKUP(BR$7+0.5,$I$66:$DJ$120,ROWS($A$10:$A29)+2,FALSE)</f>
        <v>281</v>
      </c>
      <c r="BS29" s="34">
        <f>HLOOKUP(BS$7+0.5,$I$66:$DJ$120,ROWS($A$10:$A29)+2,FALSE)</f>
        <v>228</v>
      </c>
      <c r="BT29" s="34">
        <f>HLOOKUP(BT$7+0.5,$I$66:$DJ$120,ROWS($A$10:$A29)+2,FALSE)</f>
        <v>2799</v>
      </c>
      <c r="BU29" s="34">
        <f>HLOOKUP(BU$7+0.5,$I$66:$DJ$120,ROWS($A$10:$A29)+2,FALSE)</f>
        <v>1868</v>
      </c>
      <c r="BV29" s="34">
        <f>HLOOKUP(BV$7+0.5,$I$66:$DJ$120,ROWS($A$10:$A29)+2,FALSE)</f>
        <v>502</v>
      </c>
      <c r="BW29" s="34">
        <f>HLOOKUP(BW$7+0.5,$I$66:$DJ$120,ROWS($A$10:$A29)+2,FALSE)</f>
        <v>205</v>
      </c>
      <c r="BX29" s="34">
        <f>HLOOKUP(BX$7+0.5,$I$66:$DJ$120,ROWS($A$10:$A29)+2,FALSE)</f>
        <v>1394</v>
      </c>
      <c r="BY29" s="34">
        <f>HLOOKUP(BY$7+0.5,$I$66:$DJ$120,ROWS($A$10:$A29)+2,FALSE)</f>
        <v>651</v>
      </c>
      <c r="BZ29" s="34">
        <f>HLOOKUP(BZ$7+0.5,$I$66:$DJ$120,ROWS($A$10:$A29)+2,FALSE)</f>
        <v>656</v>
      </c>
      <c r="CA29" s="34">
        <f>HLOOKUP(CA$7+0.5,$I$66:$DJ$120,ROWS($A$10:$A29)+2,FALSE)</f>
        <v>483</v>
      </c>
      <c r="CB29" s="34">
        <f>HLOOKUP(CB$7+0.5,$I$66:$DJ$120,ROWS($A$10:$A29)+2,FALSE)</f>
        <v>1093</v>
      </c>
      <c r="CC29" s="34" t="str">
        <f>HLOOKUP(CC$7+0.5,$I$66:$DJ$120,ROWS($A$10:$A29)+2,FALSE)</f>
        <v>N/A</v>
      </c>
      <c r="CD29" s="34">
        <f>HLOOKUP(CD$7+0.5,$I$66:$DJ$120,ROWS($A$10:$A29)+2,FALSE)</f>
        <v>269</v>
      </c>
      <c r="CE29" s="34">
        <f>HLOOKUP(CE$7+0.5,$I$66:$DJ$120,ROWS($A$10:$A29)+2,FALSE)</f>
        <v>699</v>
      </c>
      <c r="CF29" s="34">
        <f>HLOOKUP(CF$7+0.5,$I$66:$DJ$120,ROWS($A$10:$A29)+2,FALSE)</f>
        <v>702</v>
      </c>
      <c r="CG29" s="34">
        <f>HLOOKUP(CG$7+0.5,$I$66:$DJ$120,ROWS($A$10:$A29)+2,FALSE)</f>
        <v>886</v>
      </c>
      <c r="CH29" s="34">
        <f>HLOOKUP(CH$7+0.5,$I$66:$DJ$120,ROWS($A$10:$A29)+2,FALSE)</f>
        <v>513</v>
      </c>
      <c r="CI29" s="34">
        <f>HLOOKUP(CI$7+0.5,$I$66:$DJ$120,ROWS($A$10:$A29)+2,FALSE)</f>
        <v>2217</v>
      </c>
      <c r="CJ29" s="34">
        <f>HLOOKUP(CJ$7+0.5,$I$66:$DJ$120,ROWS($A$10:$A29)+2,FALSE)</f>
        <v>1534</v>
      </c>
      <c r="CK29" s="34">
        <f>HLOOKUP(CK$7+0.5,$I$66:$DJ$120,ROWS($A$10:$A29)+2,FALSE)</f>
        <v>72</v>
      </c>
      <c r="CL29" s="34">
        <f>HLOOKUP(CL$7+0.5,$I$66:$DJ$120,ROWS($A$10:$A29)+2,FALSE)</f>
        <v>193</v>
      </c>
      <c r="CM29" s="34">
        <f>HLOOKUP(CM$7+0.5,$I$66:$DJ$120,ROWS($A$10:$A29)+2,FALSE)</f>
        <v>785</v>
      </c>
      <c r="CN29" s="34">
        <f>HLOOKUP(CN$7+0.5,$I$66:$DJ$120,ROWS($A$10:$A29)+2,FALSE)</f>
        <v>427</v>
      </c>
      <c r="CO29" s="34">
        <f>HLOOKUP(CO$7+0.5,$I$66:$DJ$120,ROWS($A$10:$A29)+2,FALSE)</f>
        <v>249</v>
      </c>
      <c r="CP29" s="34">
        <f>HLOOKUP(CP$7+0.5,$I$66:$DJ$120,ROWS($A$10:$A29)+2,FALSE)</f>
        <v>256</v>
      </c>
      <c r="CQ29" s="34">
        <f>HLOOKUP(CQ$7+0.5,$I$66:$DJ$120,ROWS($A$10:$A29)+2,FALSE)</f>
        <v>822</v>
      </c>
      <c r="CR29" s="34">
        <f>HLOOKUP(CR$7+0.5,$I$66:$DJ$120,ROWS($A$10:$A29)+2,FALSE)</f>
        <v>686</v>
      </c>
      <c r="CS29" s="34">
        <f>HLOOKUP(CS$7+0.5,$I$66:$DJ$120,ROWS($A$10:$A29)+2,FALSE)</f>
        <v>514</v>
      </c>
      <c r="CT29" s="34">
        <f>HLOOKUP(CT$7+0.5,$I$66:$DJ$120,ROWS($A$10:$A29)+2,FALSE)</f>
        <v>774</v>
      </c>
      <c r="CU29" s="34">
        <f>HLOOKUP(CU$7+0.5,$I$66:$DJ$120,ROWS($A$10:$A29)+2,FALSE)</f>
        <v>675</v>
      </c>
      <c r="CV29" s="34">
        <f>HLOOKUP(CV$7+0.5,$I$66:$DJ$120,ROWS($A$10:$A29)+2,FALSE)</f>
        <v>277</v>
      </c>
      <c r="CW29" s="34">
        <f>HLOOKUP(CW$7+0.5,$I$66:$DJ$120,ROWS($A$10:$A29)+2,FALSE)</f>
        <v>747</v>
      </c>
      <c r="CX29" s="34">
        <f>HLOOKUP(CX$7+0.5,$I$66:$DJ$120,ROWS($A$10:$A29)+2,FALSE)</f>
        <v>281</v>
      </c>
      <c r="CY29" s="34">
        <f>HLOOKUP(CY$7+0.5,$I$66:$DJ$120,ROWS($A$10:$A29)+2,FALSE)</f>
        <v>706</v>
      </c>
      <c r="CZ29" s="34">
        <f>HLOOKUP(CZ$7+0.5,$I$66:$DJ$120,ROWS($A$10:$A29)+2,FALSE)</f>
        <v>281</v>
      </c>
      <c r="DA29" s="34">
        <f>HLOOKUP(DA$7+0.5,$I$66:$DJ$120,ROWS($A$10:$A29)+2,FALSE)</f>
        <v>621</v>
      </c>
      <c r="DB29" s="34">
        <f>HLOOKUP(DB$7+0.5,$I$66:$DJ$120,ROWS($A$10:$A29)+2,FALSE)</f>
        <v>3903</v>
      </c>
      <c r="DC29" s="34">
        <f>HLOOKUP(DC$7+0.5,$I$66:$DJ$120,ROWS($A$10:$A29)+2,FALSE)</f>
        <v>380</v>
      </c>
      <c r="DD29" s="34">
        <f>HLOOKUP(DD$7+0.5,$I$66:$DJ$120,ROWS($A$10:$A29)+2,FALSE)</f>
        <v>281</v>
      </c>
      <c r="DE29" s="34">
        <f>HLOOKUP(DE$7+0.5,$I$66:$DJ$120,ROWS($A$10:$A29)+2,FALSE)</f>
        <v>733</v>
      </c>
      <c r="DF29" s="34">
        <f>HLOOKUP(DF$7+0.5,$I$66:$DJ$120,ROWS($A$10:$A29)+2,FALSE)</f>
        <v>1126</v>
      </c>
      <c r="DG29" s="34">
        <f>HLOOKUP(DG$7+0.5,$I$66:$DJ$120,ROWS($A$10:$A29)+2,FALSE)</f>
        <v>254</v>
      </c>
      <c r="DH29" s="34">
        <f>HLOOKUP(DH$7+0.5,$I$66:$DJ$120,ROWS($A$10:$A29)+2,FALSE)</f>
        <v>229</v>
      </c>
      <c r="DI29" s="34">
        <f>HLOOKUP(DI$7+0.5,$I$66:$DJ$120,ROWS($A$10:$A29)+2,FALSE)</f>
        <v>67</v>
      </c>
      <c r="DJ29" s="34">
        <f>HLOOKUP(DJ$7+0.5,$I$66:$DJ$120,ROWS($A$10:$A29)+2,FALSE)</f>
        <v>285</v>
      </c>
    </row>
    <row r="30" spans="2:114" x14ac:dyDescent="0.25">
      <c r="B30" s="38" t="s">
        <v>26</v>
      </c>
      <c r="C30" s="16">
        <v>1313902</v>
      </c>
      <c r="D30" s="17">
        <v>1878</v>
      </c>
      <c r="E30" s="16">
        <v>1136780</v>
      </c>
      <c r="F30" s="17">
        <v>8034</v>
      </c>
      <c r="G30" s="16">
        <v>146735</v>
      </c>
      <c r="H30" s="17">
        <v>7677</v>
      </c>
      <c r="I30" s="36">
        <f>HLOOKUP(I$7,$I$66:$DJ$120,ROWS($A$10:$A30)+2,FALSE)</f>
        <v>27758</v>
      </c>
      <c r="J30" s="25">
        <f>HLOOKUP(J$7,$I$66:$DJ$120,ROWS($A$10:$A30)+2,FALSE)</f>
        <v>402</v>
      </c>
      <c r="K30" s="25">
        <f>HLOOKUP(K$7,$I$66:$DJ$120,ROWS($A$10:$A30)+2,FALSE)</f>
        <v>424</v>
      </c>
      <c r="L30" s="25">
        <f>HLOOKUP(L$7,$I$66:$DJ$120,ROWS($A$10:$A30)+2,FALSE)</f>
        <v>254</v>
      </c>
      <c r="M30" s="25">
        <f>HLOOKUP(M$7,$I$66:$DJ$120,ROWS($A$10:$A30)+2,FALSE)</f>
        <v>67</v>
      </c>
      <c r="N30" s="25">
        <f>HLOOKUP(N$7,$I$66:$DJ$120,ROWS($A$10:$A30)+2,FALSE)</f>
        <v>1066</v>
      </c>
      <c r="O30" s="25">
        <f>HLOOKUP(O$7,$I$66:$DJ$120,ROWS($A$10:$A30)+2,FALSE)</f>
        <v>478</v>
      </c>
      <c r="P30" s="25">
        <f>HLOOKUP(P$7,$I$66:$DJ$120,ROWS($A$10:$A30)+2,FALSE)</f>
        <v>1361</v>
      </c>
      <c r="Q30" s="25">
        <f>HLOOKUP(Q$7,$I$66:$DJ$120,ROWS($A$10:$A30)+2,FALSE)</f>
        <v>174</v>
      </c>
      <c r="R30" s="25">
        <f>HLOOKUP(R$7,$I$66:$DJ$120,ROWS($A$10:$A30)+2,FALSE)</f>
        <v>55</v>
      </c>
      <c r="S30" s="25">
        <f>HLOOKUP(S$7,$I$66:$DJ$120,ROWS($A$10:$A30)+2,FALSE)</f>
        <v>3025</v>
      </c>
      <c r="T30" s="25">
        <f>HLOOKUP(T$7,$I$66:$DJ$120,ROWS($A$10:$A30)+2,FALSE)</f>
        <v>844</v>
      </c>
      <c r="U30" s="25">
        <f>HLOOKUP(U$7,$I$66:$DJ$120,ROWS($A$10:$A30)+2,FALSE)</f>
        <v>62</v>
      </c>
      <c r="V30" s="25">
        <f>HLOOKUP(V$7,$I$66:$DJ$120,ROWS($A$10:$A30)+2,FALSE)</f>
        <v>0</v>
      </c>
      <c r="W30" s="25">
        <f>HLOOKUP(W$7,$I$66:$DJ$120,ROWS($A$10:$A30)+2,FALSE)</f>
        <v>311</v>
      </c>
      <c r="X30" s="25">
        <f>HLOOKUP(X$7,$I$66:$DJ$120,ROWS($A$10:$A30)+2,FALSE)</f>
        <v>259</v>
      </c>
      <c r="Y30" s="25">
        <f>HLOOKUP(Y$7,$I$66:$DJ$120,ROWS($A$10:$A30)+2,FALSE)</f>
        <v>337</v>
      </c>
      <c r="Z30" s="25">
        <f>HLOOKUP(Z$7,$I$66:$DJ$120,ROWS($A$10:$A30)+2,FALSE)</f>
        <v>56</v>
      </c>
      <c r="AA30" s="25">
        <f>HLOOKUP(AA$7,$I$66:$DJ$120,ROWS($A$10:$A30)+2,FALSE)</f>
        <v>484</v>
      </c>
      <c r="AB30" s="25">
        <f>HLOOKUP(AB$7,$I$66:$DJ$120,ROWS($A$10:$A30)+2,FALSE)</f>
        <v>115</v>
      </c>
      <c r="AC30" s="25" t="str">
        <f>HLOOKUP(AC$7,$I$66:$DJ$120,ROWS($A$10:$A30)+2,FALSE)</f>
        <v>N/A</v>
      </c>
      <c r="AD30" s="25">
        <f>HLOOKUP(AD$7,$I$66:$DJ$120,ROWS($A$10:$A30)+2,FALSE)</f>
        <v>243</v>
      </c>
      <c r="AE30" s="25">
        <f>HLOOKUP(AE$7,$I$66:$DJ$120,ROWS($A$10:$A30)+2,FALSE)</f>
        <v>3521</v>
      </c>
      <c r="AF30" s="25">
        <f>HLOOKUP(AF$7,$I$66:$DJ$120,ROWS($A$10:$A30)+2,FALSE)</f>
        <v>122</v>
      </c>
      <c r="AG30" s="25">
        <f>HLOOKUP(AG$7,$I$66:$DJ$120,ROWS($A$10:$A30)+2,FALSE)</f>
        <v>91</v>
      </c>
      <c r="AH30" s="25">
        <f>HLOOKUP(AH$7,$I$66:$DJ$120,ROWS($A$10:$A30)+2,FALSE)</f>
        <v>0</v>
      </c>
      <c r="AI30" s="25">
        <f>HLOOKUP(AI$7,$I$66:$DJ$120,ROWS($A$10:$A30)+2,FALSE)</f>
        <v>201</v>
      </c>
      <c r="AJ30" s="25">
        <f>HLOOKUP(AJ$7,$I$66:$DJ$120,ROWS($A$10:$A30)+2,FALSE)</f>
        <v>275</v>
      </c>
      <c r="AK30" s="25">
        <f>HLOOKUP(AK$7,$I$66:$DJ$120,ROWS($A$10:$A30)+2,FALSE)</f>
        <v>204</v>
      </c>
      <c r="AL30" s="25">
        <f>HLOOKUP(AL$7,$I$66:$DJ$120,ROWS($A$10:$A30)+2,FALSE)</f>
        <v>345</v>
      </c>
      <c r="AM30" s="25">
        <f>HLOOKUP(AM$7,$I$66:$DJ$120,ROWS($A$10:$A30)+2,FALSE)</f>
        <v>4058</v>
      </c>
      <c r="AN30" s="25">
        <f>HLOOKUP(AN$7,$I$66:$DJ$120,ROWS($A$10:$A30)+2,FALSE)</f>
        <v>902</v>
      </c>
      <c r="AO30" s="25">
        <f>HLOOKUP(AO$7,$I$66:$DJ$120,ROWS($A$10:$A30)+2,FALSE)</f>
        <v>234</v>
      </c>
      <c r="AP30" s="25">
        <f>HLOOKUP(AP$7,$I$66:$DJ$120,ROWS($A$10:$A30)+2,FALSE)</f>
        <v>2339</v>
      </c>
      <c r="AQ30" s="25">
        <f>HLOOKUP(AQ$7,$I$66:$DJ$120,ROWS($A$10:$A30)+2,FALSE)</f>
        <v>1001</v>
      </c>
      <c r="AR30" s="25">
        <f>HLOOKUP(AR$7,$I$66:$DJ$120,ROWS($A$10:$A30)+2,FALSE)</f>
        <v>55</v>
      </c>
      <c r="AS30" s="25">
        <f>HLOOKUP(AS$7,$I$66:$DJ$120,ROWS($A$10:$A30)+2,FALSE)</f>
        <v>315</v>
      </c>
      <c r="AT30" s="25">
        <f>HLOOKUP(AT$7,$I$66:$DJ$120,ROWS($A$10:$A30)+2,FALSE)</f>
        <v>124</v>
      </c>
      <c r="AU30" s="25">
        <f>HLOOKUP(AU$7,$I$66:$DJ$120,ROWS($A$10:$A30)+2,FALSE)</f>
        <v>0</v>
      </c>
      <c r="AV30" s="25">
        <f>HLOOKUP(AV$7,$I$66:$DJ$120,ROWS($A$10:$A30)+2,FALSE)</f>
        <v>375</v>
      </c>
      <c r="AW30" s="25">
        <f>HLOOKUP(AW$7,$I$66:$DJ$120,ROWS($A$10:$A30)+2,FALSE)</f>
        <v>379</v>
      </c>
      <c r="AX30" s="25">
        <f>HLOOKUP(AX$7,$I$66:$DJ$120,ROWS($A$10:$A30)+2,FALSE)</f>
        <v>148</v>
      </c>
      <c r="AY30" s="25">
        <f>HLOOKUP(AY$7,$I$66:$DJ$120,ROWS($A$10:$A30)+2,FALSE)</f>
        <v>0</v>
      </c>
      <c r="AZ30" s="25">
        <f>HLOOKUP(AZ$7,$I$66:$DJ$120,ROWS($A$10:$A30)+2,FALSE)</f>
        <v>249</v>
      </c>
      <c r="BA30" s="25">
        <f>HLOOKUP(BA$7,$I$66:$DJ$120,ROWS($A$10:$A30)+2,FALSE)</f>
        <v>458</v>
      </c>
      <c r="BB30" s="25">
        <f>HLOOKUP(BB$7,$I$66:$DJ$120,ROWS($A$10:$A30)+2,FALSE)</f>
        <v>390</v>
      </c>
      <c r="BC30" s="25">
        <f>HLOOKUP(BC$7,$I$66:$DJ$120,ROWS($A$10:$A30)+2,FALSE)</f>
        <v>420</v>
      </c>
      <c r="BD30" s="25">
        <f>HLOOKUP(BD$7,$I$66:$DJ$120,ROWS($A$10:$A30)+2,FALSE)</f>
        <v>654</v>
      </c>
      <c r="BE30" s="25">
        <f>HLOOKUP(BE$7,$I$66:$DJ$120,ROWS($A$10:$A30)+2,FALSE)</f>
        <v>381</v>
      </c>
      <c r="BF30" s="25">
        <f>HLOOKUP(BF$7,$I$66:$DJ$120,ROWS($A$10:$A30)+2,FALSE)</f>
        <v>0</v>
      </c>
      <c r="BG30" s="25">
        <f>HLOOKUP(BG$7,$I$66:$DJ$120,ROWS($A$10:$A30)+2,FALSE)</f>
        <v>0</v>
      </c>
      <c r="BH30" s="25">
        <f>HLOOKUP(BH$7,$I$66:$DJ$120,ROWS($A$10:$A30)+2,FALSE)</f>
        <v>500</v>
      </c>
      <c r="BI30" s="25">
        <f>HLOOKUP(BI$7,$I$66:$DJ$120,ROWS($A$10:$A30)+2,FALSE)</f>
        <v>204</v>
      </c>
      <c r="BJ30" s="34">
        <f>HLOOKUP(BJ$7+0.5,$I$66:$DJ$120,ROWS($A$10:$A30)+2,FALSE)</f>
        <v>3059</v>
      </c>
      <c r="BK30" s="34">
        <f>HLOOKUP(BK$7+0.5,$I$66:$DJ$120,ROWS($A$10:$A30)+2,FALSE)</f>
        <v>311</v>
      </c>
      <c r="BL30" s="34">
        <f>HLOOKUP(BL$7+0.5,$I$66:$DJ$120,ROWS($A$10:$A30)+2,FALSE)</f>
        <v>439</v>
      </c>
      <c r="BM30" s="34">
        <f>HLOOKUP(BM$7+0.5,$I$66:$DJ$120,ROWS($A$10:$A30)+2,FALSE)</f>
        <v>290</v>
      </c>
      <c r="BN30" s="34">
        <f>HLOOKUP(BN$7+0.5,$I$66:$DJ$120,ROWS($A$10:$A30)+2,FALSE)</f>
        <v>112</v>
      </c>
      <c r="BO30" s="34">
        <f>HLOOKUP(BO$7+0.5,$I$66:$DJ$120,ROWS($A$10:$A30)+2,FALSE)</f>
        <v>740</v>
      </c>
      <c r="BP30" s="34">
        <f>HLOOKUP(BP$7+0.5,$I$66:$DJ$120,ROWS($A$10:$A30)+2,FALSE)</f>
        <v>377</v>
      </c>
      <c r="BQ30" s="34">
        <f>HLOOKUP(BQ$7+0.5,$I$66:$DJ$120,ROWS($A$10:$A30)+2,FALSE)</f>
        <v>689</v>
      </c>
      <c r="BR30" s="34">
        <f>HLOOKUP(BR$7+0.5,$I$66:$DJ$120,ROWS($A$10:$A30)+2,FALSE)</f>
        <v>229</v>
      </c>
      <c r="BS30" s="34">
        <f>HLOOKUP(BS$7+0.5,$I$66:$DJ$120,ROWS($A$10:$A30)+2,FALSE)</f>
        <v>89</v>
      </c>
      <c r="BT30" s="34">
        <f>HLOOKUP(BT$7+0.5,$I$66:$DJ$120,ROWS($A$10:$A30)+2,FALSE)</f>
        <v>924</v>
      </c>
      <c r="BU30" s="34">
        <f>HLOOKUP(BU$7+0.5,$I$66:$DJ$120,ROWS($A$10:$A30)+2,FALSE)</f>
        <v>817</v>
      </c>
      <c r="BV30" s="34">
        <f>HLOOKUP(BV$7+0.5,$I$66:$DJ$120,ROWS($A$10:$A30)+2,FALSE)</f>
        <v>102</v>
      </c>
      <c r="BW30" s="34">
        <f>HLOOKUP(BW$7+0.5,$I$66:$DJ$120,ROWS($A$10:$A30)+2,FALSE)</f>
        <v>230</v>
      </c>
      <c r="BX30" s="34">
        <f>HLOOKUP(BX$7+0.5,$I$66:$DJ$120,ROWS($A$10:$A30)+2,FALSE)</f>
        <v>251</v>
      </c>
      <c r="BY30" s="34">
        <f>HLOOKUP(BY$7+0.5,$I$66:$DJ$120,ROWS($A$10:$A30)+2,FALSE)</f>
        <v>379</v>
      </c>
      <c r="BZ30" s="34">
        <f>HLOOKUP(BZ$7+0.5,$I$66:$DJ$120,ROWS($A$10:$A30)+2,FALSE)</f>
        <v>561</v>
      </c>
      <c r="CA30" s="34">
        <f>HLOOKUP(CA$7+0.5,$I$66:$DJ$120,ROWS($A$10:$A30)+2,FALSE)</f>
        <v>92</v>
      </c>
      <c r="CB30" s="34">
        <f>HLOOKUP(CB$7+0.5,$I$66:$DJ$120,ROWS($A$10:$A30)+2,FALSE)</f>
        <v>643</v>
      </c>
      <c r="CC30" s="34">
        <f>HLOOKUP(CC$7+0.5,$I$66:$DJ$120,ROWS($A$10:$A30)+2,FALSE)</f>
        <v>211</v>
      </c>
      <c r="CD30" s="34" t="str">
        <f>HLOOKUP(CD$7+0.5,$I$66:$DJ$120,ROWS($A$10:$A30)+2,FALSE)</f>
        <v>N/A</v>
      </c>
      <c r="CE30" s="34">
        <f>HLOOKUP(CE$7+0.5,$I$66:$DJ$120,ROWS($A$10:$A30)+2,FALSE)</f>
        <v>223</v>
      </c>
      <c r="CF30" s="34">
        <f>HLOOKUP(CF$7+0.5,$I$66:$DJ$120,ROWS($A$10:$A30)+2,FALSE)</f>
        <v>958</v>
      </c>
      <c r="CG30" s="34">
        <f>HLOOKUP(CG$7+0.5,$I$66:$DJ$120,ROWS($A$10:$A30)+2,FALSE)</f>
        <v>133</v>
      </c>
      <c r="CH30" s="34">
        <f>HLOOKUP(CH$7+0.5,$I$66:$DJ$120,ROWS($A$10:$A30)+2,FALSE)</f>
        <v>109</v>
      </c>
      <c r="CI30" s="34">
        <f>HLOOKUP(CI$7+0.5,$I$66:$DJ$120,ROWS($A$10:$A30)+2,FALSE)</f>
        <v>230</v>
      </c>
      <c r="CJ30" s="34">
        <f>HLOOKUP(CJ$7+0.5,$I$66:$DJ$120,ROWS($A$10:$A30)+2,FALSE)</f>
        <v>260</v>
      </c>
      <c r="CK30" s="34">
        <f>HLOOKUP(CK$7+0.5,$I$66:$DJ$120,ROWS($A$10:$A30)+2,FALSE)</f>
        <v>335</v>
      </c>
      <c r="CL30" s="34">
        <f>HLOOKUP(CL$7+0.5,$I$66:$DJ$120,ROWS($A$10:$A30)+2,FALSE)</f>
        <v>283</v>
      </c>
      <c r="CM30" s="34">
        <f>HLOOKUP(CM$7+0.5,$I$66:$DJ$120,ROWS($A$10:$A30)+2,FALSE)</f>
        <v>344</v>
      </c>
      <c r="CN30" s="34">
        <f>HLOOKUP(CN$7+0.5,$I$66:$DJ$120,ROWS($A$10:$A30)+2,FALSE)</f>
        <v>1966</v>
      </c>
      <c r="CO30" s="34">
        <f>HLOOKUP(CO$7+0.5,$I$66:$DJ$120,ROWS($A$10:$A30)+2,FALSE)</f>
        <v>508</v>
      </c>
      <c r="CP30" s="34">
        <f>HLOOKUP(CP$7+0.5,$I$66:$DJ$120,ROWS($A$10:$A30)+2,FALSE)</f>
        <v>298</v>
      </c>
      <c r="CQ30" s="34">
        <f>HLOOKUP(CQ$7+0.5,$I$66:$DJ$120,ROWS($A$10:$A30)+2,FALSE)</f>
        <v>962</v>
      </c>
      <c r="CR30" s="34">
        <f>HLOOKUP(CR$7+0.5,$I$66:$DJ$120,ROWS($A$10:$A30)+2,FALSE)</f>
        <v>1161</v>
      </c>
      <c r="CS30" s="34">
        <f>HLOOKUP(CS$7+0.5,$I$66:$DJ$120,ROWS($A$10:$A30)+2,FALSE)</f>
        <v>89</v>
      </c>
      <c r="CT30" s="34">
        <f>HLOOKUP(CT$7+0.5,$I$66:$DJ$120,ROWS($A$10:$A30)+2,FALSE)</f>
        <v>362</v>
      </c>
      <c r="CU30" s="34">
        <f>HLOOKUP(CU$7+0.5,$I$66:$DJ$120,ROWS($A$10:$A30)+2,FALSE)</f>
        <v>215</v>
      </c>
      <c r="CV30" s="34">
        <f>HLOOKUP(CV$7+0.5,$I$66:$DJ$120,ROWS($A$10:$A30)+2,FALSE)</f>
        <v>230</v>
      </c>
      <c r="CW30" s="34">
        <f>HLOOKUP(CW$7+0.5,$I$66:$DJ$120,ROWS($A$10:$A30)+2,FALSE)</f>
        <v>287</v>
      </c>
      <c r="CX30" s="34">
        <f>HLOOKUP(CX$7+0.5,$I$66:$DJ$120,ROWS($A$10:$A30)+2,FALSE)</f>
        <v>284</v>
      </c>
      <c r="CY30" s="34">
        <f>HLOOKUP(CY$7+0.5,$I$66:$DJ$120,ROWS($A$10:$A30)+2,FALSE)</f>
        <v>160</v>
      </c>
      <c r="CZ30" s="34">
        <f>HLOOKUP(CZ$7+0.5,$I$66:$DJ$120,ROWS($A$10:$A30)+2,FALSE)</f>
        <v>230</v>
      </c>
      <c r="DA30" s="34">
        <f>HLOOKUP(DA$7+0.5,$I$66:$DJ$120,ROWS($A$10:$A30)+2,FALSE)</f>
        <v>231</v>
      </c>
      <c r="DB30" s="34">
        <f>HLOOKUP(DB$7+0.5,$I$66:$DJ$120,ROWS($A$10:$A30)+2,FALSE)</f>
        <v>327</v>
      </c>
      <c r="DC30" s="34">
        <f>HLOOKUP(DC$7+0.5,$I$66:$DJ$120,ROWS($A$10:$A30)+2,FALSE)</f>
        <v>427</v>
      </c>
      <c r="DD30" s="34">
        <f>HLOOKUP(DD$7+0.5,$I$66:$DJ$120,ROWS($A$10:$A30)+2,FALSE)</f>
        <v>368</v>
      </c>
      <c r="DE30" s="34">
        <f>HLOOKUP(DE$7+0.5,$I$66:$DJ$120,ROWS($A$10:$A30)+2,FALSE)</f>
        <v>307</v>
      </c>
      <c r="DF30" s="34">
        <f>HLOOKUP(DF$7+0.5,$I$66:$DJ$120,ROWS($A$10:$A30)+2,FALSE)</f>
        <v>533</v>
      </c>
      <c r="DG30" s="34">
        <f>HLOOKUP(DG$7+0.5,$I$66:$DJ$120,ROWS($A$10:$A30)+2,FALSE)</f>
        <v>230</v>
      </c>
      <c r="DH30" s="34">
        <f>HLOOKUP(DH$7+0.5,$I$66:$DJ$120,ROWS($A$10:$A30)+2,FALSE)</f>
        <v>230</v>
      </c>
      <c r="DI30" s="34">
        <f>HLOOKUP(DI$7+0.5,$I$66:$DJ$120,ROWS($A$10:$A30)+2,FALSE)</f>
        <v>766</v>
      </c>
      <c r="DJ30" s="34">
        <f>HLOOKUP(DJ$7+0.5,$I$66:$DJ$120,ROWS($A$10:$A30)+2,FALSE)</f>
        <v>355</v>
      </c>
    </row>
    <row r="31" spans="2:114" x14ac:dyDescent="0.25">
      <c r="B31" s="38" t="s">
        <v>27</v>
      </c>
      <c r="C31" s="16">
        <v>5716785</v>
      </c>
      <c r="D31" s="17">
        <v>3648</v>
      </c>
      <c r="E31" s="16">
        <v>4917637</v>
      </c>
      <c r="F31" s="17">
        <v>22981</v>
      </c>
      <c r="G31" s="16">
        <v>588879</v>
      </c>
      <c r="H31" s="17">
        <v>20180</v>
      </c>
      <c r="I31" s="36">
        <f>HLOOKUP(I$7,$I$66:$DJ$120,ROWS($A$10:$A31)+2,FALSE)</f>
        <v>164484</v>
      </c>
      <c r="J31" s="25">
        <f>HLOOKUP(J$7,$I$66:$DJ$120,ROWS($A$10:$A31)+2,FALSE)</f>
        <v>1641</v>
      </c>
      <c r="K31" s="25">
        <f>HLOOKUP(K$7,$I$66:$DJ$120,ROWS($A$10:$A31)+2,FALSE)</f>
        <v>2672</v>
      </c>
      <c r="L31" s="25">
        <f>HLOOKUP(L$7,$I$66:$DJ$120,ROWS($A$10:$A31)+2,FALSE)</f>
        <v>1124</v>
      </c>
      <c r="M31" s="25">
        <f>HLOOKUP(M$7,$I$66:$DJ$120,ROWS($A$10:$A31)+2,FALSE)</f>
        <v>273</v>
      </c>
      <c r="N31" s="25">
        <f>HLOOKUP(N$7,$I$66:$DJ$120,ROWS($A$10:$A31)+2,FALSE)</f>
        <v>8206</v>
      </c>
      <c r="O31" s="25">
        <f>HLOOKUP(O$7,$I$66:$DJ$120,ROWS($A$10:$A31)+2,FALSE)</f>
        <v>2501</v>
      </c>
      <c r="P31" s="25">
        <f>HLOOKUP(P$7,$I$66:$DJ$120,ROWS($A$10:$A31)+2,FALSE)</f>
        <v>1603</v>
      </c>
      <c r="Q31" s="25">
        <f>HLOOKUP(Q$7,$I$66:$DJ$120,ROWS($A$10:$A31)+2,FALSE)</f>
        <v>8340</v>
      </c>
      <c r="R31" s="25">
        <f>HLOOKUP(R$7,$I$66:$DJ$120,ROWS($A$10:$A31)+2,FALSE)</f>
        <v>23202</v>
      </c>
      <c r="S31" s="25">
        <f>HLOOKUP(S$7,$I$66:$DJ$120,ROWS($A$10:$A31)+2,FALSE)</f>
        <v>6564</v>
      </c>
      <c r="T31" s="25">
        <f>HLOOKUP(T$7,$I$66:$DJ$120,ROWS($A$10:$A31)+2,FALSE)</f>
        <v>3454</v>
      </c>
      <c r="U31" s="25">
        <f>HLOOKUP(U$7,$I$66:$DJ$120,ROWS($A$10:$A31)+2,FALSE)</f>
        <v>422</v>
      </c>
      <c r="V31" s="25">
        <f>HLOOKUP(V$7,$I$66:$DJ$120,ROWS($A$10:$A31)+2,FALSE)</f>
        <v>357</v>
      </c>
      <c r="W31" s="25">
        <f>HLOOKUP(W$7,$I$66:$DJ$120,ROWS($A$10:$A31)+2,FALSE)</f>
        <v>3300</v>
      </c>
      <c r="X31" s="25">
        <f>HLOOKUP(X$7,$I$66:$DJ$120,ROWS($A$10:$A31)+2,FALSE)</f>
        <v>431</v>
      </c>
      <c r="Y31" s="25">
        <f>HLOOKUP(Y$7,$I$66:$DJ$120,ROWS($A$10:$A31)+2,FALSE)</f>
        <v>160</v>
      </c>
      <c r="Z31" s="25">
        <f>HLOOKUP(Z$7,$I$66:$DJ$120,ROWS($A$10:$A31)+2,FALSE)</f>
        <v>781</v>
      </c>
      <c r="AA31" s="25">
        <f>HLOOKUP(AA$7,$I$66:$DJ$120,ROWS($A$10:$A31)+2,FALSE)</f>
        <v>396</v>
      </c>
      <c r="AB31" s="25">
        <f>HLOOKUP(AB$7,$I$66:$DJ$120,ROWS($A$10:$A31)+2,FALSE)</f>
        <v>1376</v>
      </c>
      <c r="AC31" s="25">
        <f>HLOOKUP(AC$7,$I$66:$DJ$120,ROWS($A$10:$A31)+2,FALSE)</f>
        <v>53</v>
      </c>
      <c r="AD31" s="25" t="str">
        <f>HLOOKUP(AD$7,$I$66:$DJ$120,ROWS($A$10:$A31)+2,FALSE)</f>
        <v>N/A</v>
      </c>
      <c r="AE31" s="25">
        <f>HLOOKUP(AE$7,$I$66:$DJ$120,ROWS($A$10:$A31)+2,FALSE)</f>
        <v>1983</v>
      </c>
      <c r="AF31" s="25">
        <f>HLOOKUP(AF$7,$I$66:$DJ$120,ROWS($A$10:$A31)+2,FALSE)</f>
        <v>3572</v>
      </c>
      <c r="AG31" s="25">
        <f>HLOOKUP(AG$7,$I$66:$DJ$120,ROWS($A$10:$A31)+2,FALSE)</f>
        <v>820</v>
      </c>
      <c r="AH31" s="25">
        <f>HLOOKUP(AH$7,$I$66:$DJ$120,ROWS($A$10:$A31)+2,FALSE)</f>
        <v>403</v>
      </c>
      <c r="AI31" s="25">
        <f>HLOOKUP(AI$7,$I$66:$DJ$120,ROWS($A$10:$A31)+2,FALSE)</f>
        <v>1147</v>
      </c>
      <c r="AJ31" s="25">
        <f>HLOOKUP(AJ$7,$I$66:$DJ$120,ROWS($A$10:$A31)+2,FALSE)</f>
        <v>86</v>
      </c>
      <c r="AK31" s="25">
        <f>HLOOKUP(AK$7,$I$66:$DJ$120,ROWS($A$10:$A31)+2,FALSE)</f>
        <v>54</v>
      </c>
      <c r="AL31" s="25">
        <f>HLOOKUP(AL$7,$I$66:$DJ$120,ROWS($A$10:$A31)+2,FALSE)</f>
        <v>979</v>
      </c>
      <c r="AM31" s="25">
        <f>HLOOKUP(AM$7,$I$66:$DJ$120,ROWS($A$10:$A31)+2,FALSE)</f>
        <v>1369</v>
      </c>
      <c r="AN31" s="25">
        <f>HLOOKUP(AN$7,$I$66:$DJ$120,ROWS($A$10:$A31)+2,FALSE)</f>
        <v>9058</v>
      </c>
      <c r="AO31" s="25">
        <f>HLOOKUP(AO$7,$I$66:$DJ$120,ROWS($A$10:$A31)+2,FALSE)</f>
        <v>238</v>
      </c>
      <c r="AP31" s="25">
        <f>HLOOKUP(AP$7,$I$66:$DJ$120,ROWS($A$10:$A31)+2,FALSE)</f>
        <v>10736</v>
      </c>
      <c r="AQ31" s="25">
        <f>HLOOKUP(AQ$7,$I$66:$DJ$120,ROWS($A$10:$A31)+2,FALSE)</f>
        <v>5787</v>
      </c>
      <c r="AR31" s="25">
        <f>HLOOKUP(AR$7,$I$66:$DJ$120,ROWS($A$10:$A31)+2,FALSE)</f>
        <v>0</v>
      </c>
      <c r="AS31" s="25">
        <f>HLOOKUP(AS$7,$I$66:$DJ$120,ROWS($A$10:$A31)+2,FALSE)</f>
        <v>3277</v>
      </c>
      <c r="AT31" s="25">
        <f>HLOOKUP(AT$7,$I$66:$DJ$120,ROWS($A$10:$A31)+2,FALSE)</f>
        <v>607</v>
      </c>
      <c r="AU31" s="25">
        <f>HLOOKUP(AU$7,$I$66:$DJ$120,ROWS($A$10:$A31)+2,FALSE)</f>
        <v>723</v>
      </c>
      <c r="AV31" s="25">
        <f>HLOOKUP(AV$7,$I$66:$DJ$120,ROWS($A$10:$A31)+2,FALSE)</f>
        <v>13467</v>
      </c>
      <c r="AW31" s="25">
        <f>HLOOKUP(AW$7,$I$66:$DJ$120,ROWS($A$10:$A31)+2,FALSE)</f>
        <v>782</v>
      </c>
      <c r="AX31" s="25">
        <f>HLOOKUP(AX$7,$I$66:$DJ$120,ROWS($A$10:$A31)+2,FALSE)</f>
        <v>1710</v>
      </c>
      <c r="AY31" s="25">
        <f>HLOOKUP(AY$7,$I$66:$DJ$120,ROWS($A$10:$A31)+2,FALSE)</f>
        <v>49</v>
      </c>
      <c r="AZ31" s="25">
        <f>HLOOKUP(AZ$7,$I$66:$DJ$120,ROWS($A$10:$A31)+2,FALSE)</f>
        <v>2669</v>
      </c>
      <c r="BA31" s="25">
        <f>HLOOKUP(BA$7,$I$66:$DJ$120,ROWS($A$10:$A31)+2,FALSE)</f>
        <v>5883</v>
      </c>
      <c r="BB31" s="25">
        <f>HLOOKUP(BB$7,$I$66:$DJ$120,ROWS($A$10:$A31)+2,FALSE)</f>
        <v>655</v>
      </c>
      <c r="BC31" s="25">
        <f>HLOOKUP(BC$7,$I$66:$DJ$120,ROWS($A$10:$A31)+2,FALSE)</f>
        <v>350</v>
      </c>
      <c r="BD31" s="25">
        <f>HLOOKUP(BD$7,$I$66:$DJ$120,ROWS($A$10:$A31)+2,FALSE)</f>
        <v>24765</v>
      </c>
      <c r="BE31" s="25">
        <f>HLOOKUP(BE$7,$I$66:$DJ$120,ROWS($A$10:$A31)+2,FALSE)</f>
        <v>1542</v>
      </c>
      <c r="BF31" s="25">
        <f>HLOOKUP(BF$7,$I$66:$DJ$120,ROWS($A$10:$A31)+2,FALSE)</f>
        <v>4363</v>
      </c>
      <c r="BG31" s="25">
        <f>HLOOKUP(BG$7,$I$66:$DJ$120,ROWS($A$10:$A31)+2,FALSE)</f>
        <v>324</v>
      </c>
      <c r="BH31" s="25">
        <f>HLOOKUP(BH$7,$I$66:$DJ$120,ROWS($A$10:$A31)+2,FALSE)</f>
        <v>230</v>
      </c>
      <c r="BI31" s="25">
        <f>HLOOKUP(BI$7,$I$66:$DJ$120,ROWS($A$10:$A31)+2,FALSE)</f>
        <v>612</v>
      </c>
      <c r="BJ31" s="34">
        <f>HLOOKUP(BJ$7+0.5,$I$66:$DJ$120,ROWS($A$10:$A31)+2,FALSE)</f>
        <v>9180</v>
      </c>
      <c r="BK31" s="34">
        <f>HLOOKUP(BK$7+0.5,$I$66:$DJ$120,ROWS($A$10:$A31)+2,FALSE)</f>
        <v>1004</v>
      </c>
      <c r="BL31" s="34">
        <f>HLOOKUP(BL$7+0.5,$I$66:$DJ$120,ROWS($A$10:$A31)+2,FALSE)</f>
        <v>1268</v>
      </c>
      <c r="BM31" s="34">
        <f>HLOOKUP(BM$7+0.5,$I$66:$DJ$120,ROWS($A$10:$A31)+2,FALSE)</f>
        <v>770</v>
      </c>
      <c r="BN31" s="34">
        <f>HLOOKUP(BN$7+0.5,$I$66:$DJ$120,ROWS($A$10:$A31)+2,FALSE)</f>
        <v>418</v>
      </c>
      <c r="BO31" s="34">
        <f>HLOOKUP(BO$7+0.5,$I$66:$DJ$120,ROWS($A$10:$A31)+2,FALSE)</f>
        <v>2230</v>
      </c>
      <c r="BP31" s="34">
        <f>HLOOKUP(BP$7+0.5,$I$66:$DJ$120,ROWS($A$10:$A31)+2,FALSE)</f>
        <v>1523</v>
      </c>
      <c r="BQ31" s="34">
        <f>HLOOKUP(BQ$7+0.5,$I$66:$DJ$120,ROWS($A$10:$A31)+2,FALSE)</f>
        <v>798</v>
      </c>
      <c r="BR31" s="34">
        <f>HLOOKUP(BR$7+0.5,$I$66:$DJ$120,ROWS($A$10:$A31)+2,FALSE)</f>
        <v>3099</v>
      </c>
      <c r="BS31" s="34">
        <f>HLOOKUP(BS$7+0.5,$I$66:$DJ$120,ROWS($A$10:$A31)+2,FALSE)</f>
        <v>3764</v>
      </c>
      <c r="BT31" s="34">
        <f>HLOOKUP(BT$7+0.5,$I$66:$DJ$120,ROWS($A$10:$A31)+2,FALSE)</f>
        <v>1906</v>
      </c>
      <c r="BU31" s="34">
        <f>HLOOKUP(BU$7+0.5,$I$66:$DJ$120,ROWS($A$10:$A31)+2,FALSE)</f>
        <v>1271</v>
      </c>
      <c r="BV31" s="34">
        <f>HLOOKUP(BV$7+0.5,$I$66:$DJ$120,ROWS($A$10:$A31)+2,FALSE)</f>
        <v>439</v>
      </c>
      <c r="BW31" s="34">
        <f>HLOOKUP(BW$7+0.5,$I$66:$DJ$120,ROWS($A$10:$A31)+2,FALSE)</f>
        <v>415</v>
      </c>
      <c r="BX31" s="34">
        <f>HLOOKUP(BX$7+0.5,$I$66:$DJ$120,ROWS($A$10:$A31)+2,FALSE)</f>
        <v>1310</v>
      </c>
      <c r="BY31" s="34">
        <f>HLOOKUP(BY$7+0.5,$I$66:$DJ$120,ROWS($A$10:$A31)+2,FALSE)</f>
        <v>330</v>
      </c>
      <c r="BZ31" s="34">
        <f>HLOOKUP(BZ$7+0.5,$I$66:$DJ$120,ROWS($A$10:$A31)+2,FALSE)</f>
        <v>190</v>
      </c>
      <c r="CA31" s="34">
        <f>HLOOKUP(CA$7+0.5,$I$66:$DJ$120,ROWS($A$10:$A31)+2,FALSE)</f>
        <v>822</v>
      </c>
      <c r="CB31" s="34">
        <f>HLOOKUP(CB$7+0.5,$I$66:$DJ$120,ROWS($A$10:$A31)+2,FALSE)</f>
        <v>362</v>
      </c>
      <c r="CC31" s="34">
        <f>HLOOKUP(CC$7+0.5,$I$66:$DJ$120,ROWS($A$10:$A31)+2,FALSE)</f>
        <v>695</v>
      </c>
      <c r="CD31" s="34">
        <f>HLOOKUP(CD$7+0.5,$I$66:$DJ$120,ROWS($A$10:$A31)+2,FALSE)</f>
        <v>96</v>
      </c>
      <c r="CE31" s="34" t="str">
        <f>HLOOKUP(CE$7+0.5,$I$66:$DJ$120,ROWS($A$10:$A31)+2,FALSE)</f>
        <v>N/A</v>
      </c>
      <c r="CF31" s="34">
        <f>HLOOKUP(CF$7+0.5,$I$66:$DJ$120,ROWS($A$10:$A31)+2,FALSE)</f>
        <v>730</v>
      </c>
      <c r="CG31" s="34">
        <f>HLOOKUP(CG$7+0.5,$I$66:$DJ$120,ROWS($A$10:$A31)+2,FALSE)</f>
        <v>1269</v>
      </c>
      <c r="CH31" s="34">
        <f>HLOOKUP(CH$7+0.5,$I$66:$DJ$120,ROWS($A$10:$A31)+2,FALSE)</f>
        <v>543</v>
      </c>
      <c r="CI31" s="34">
        <f>HLOOKUP(CI$7+0.5,$I$66:$DJ$120,ROWS($A$10:$A31)+2,FALSE)</f>
        <v>383</v>
      </c>
      <c r="CJ31" s="34">
        <f>HLOOKUP(CJ$7+0.5,$I$66:$DJ$120,ROWS($A$10:$A31)+2,FALSE)</f>
        <v>633</v>
      </c>
      <c r="CK31" s="34">
        <f>HLOOKUP(CK$7+0.5,$I$66:$DJ$120,ROWS($A$10:$A31)+2,FALSE)</f>
        <v>106</v>
      </c>
      <c r="CL31" s="34">
        <f>HLOOKUP(CL$7+0.5,$I$66:$DJ$120,ROWS($A$10:$A31)+2,FALSE)</f>
        <v>88</v>
      </c>
      <c r="CM31" s="34">
        <f>HLOOKUP(CM$7+0.5,$I$66:$DJ$120,ROWS($A$10:$A31)+2,FALSE)</f>
        <v>800</v>
      </c>
      <c r="CN31" s="34">
        <f>HLOOKUP(CN$7+0.5,$I$66:$DJ$120,ROWS($A$10:$A31)+2,FALSE)</f>
        <v>1276</v>
      </c>
      <c r="CO31" s="34">
        <f>HLOOKUP(CO$7+0.5,$I$66:$DJ$120,ROWS($A$10:$A31)+2,FALSE)</f>
        <v>2330</v>
      </c>
      <c r="CP31" s="34">
        <f>HLOOKUP(CP$7+0.5,$I$66:$DJ$120,ROWS($A$10:$A31)+2,FALSE)</f>
        <v>287</v>
      </c>
      <c r="CQ31" s="34">
        <f>HLOOKUP(CQ$7+0.5,$I$66:$DJ$120,ROWS($A$10:$A31)+2,FALSE)</f>
        <v>2103</v>
      </c>
      <c r="CR31" s="34">
        <f>HLOOKUP(CR$7+0.5,$I$66:$DJ$120,ROWS($A$10:$A31)+2,FALSE)</f>
        <v>2059</v>
      </c>
      <c r="CS31" s="34">
        <f>HLOOKUP(CS$7+0.5,$I$66:$DJ$120,ROWS($A$10:$A31)+2,FALSE)</f>
        <v>289</v>
      </c>
      <c r="CT31" s="34">
        <f>HLOOKUP(CT$7+0.5,$I$66:$DJ$120,ROWS($A$10:$A31)+2,FALSE)</f>
        <v>1497</v>
      </c>
      <c r="CU31" s="34">
        <f>HLOOKUP(CU$7+0.5,$I$66:$DJ$120,ROWS($A$10:$A31)+2,FALSE)</f>
        <v>541</v>
      </c>
      <c r="CV31" s="34">
        <f>HLOOKUP(CV$7+0.5,$I$66:$DJ$120,ROWS($A$10:$A31)+2,FALSE)</f>
        <v>654</v>
      </c>
      <c r="CW31" s="34">
        <f>HLOOKUP(CW$7+0.5,$I$66:$DJ$120,ROWS($A$10:$A31)+2,FALSE)</f>
        <v>3147</v>
      </c>
      <c r="CX31" s="34">
        <f>HLOOKUP(CX$7+0.5,$I$66:$DJ$120,ROWS($A$10:$A31)+2,FALSE)</f>
        <v>626</v>
      </c>
      <c r="CY31" s="34">
        <f>HLOOKUP(CY$7+0.5,$I$66:$DJ$120,ROWS($A$10:$A31)+2,FALSE)</f>
        <v>852</v>
      </c>
      <c r="CZ31" s="34">
        <f>HLOOKUP(CZ$7+0.5,$I$66:$DJ$120,ROWS($A$10:$A31)+2,FALSE)</f>
        <v>81</v>
      </c>
      <c r="DA31" s="34">
        <f>HLOOKUP(DA$7+0.5,$I$66:$DJ$120,ROWS($A$10:$A31)+2,FALSE)</f>
        <v>1332</v>
      </c>
      <c r="DB31" s="34">
        <f>HLOOKUP(DB$7+0.5,$I$66:$DJ$120,ROWS($A$10:$A31)+2,FALSE)</f>
        <v>1511</v>
      </c>
      <c r="DC31" s="34">
        <f>HLOOKUP(DC$7+0.5,$I$66:$DJ$120,ROWS($A$10:$A31)+2,FALSE)</f>
        <v>451</v>
      </c>
      <c r="DD31" s="34">
        <f>HLOOKUP(DD$7+0.5,$I$66:$DJ$120,ROWS($A$10:$A31)+2,FALSE)</f>
        <v>328</v>
      </c>
      <c r="DE31" s="34">
        <f>HLOOKUP(DE$7+0.5,$I$66:$DJ$120,ROWS($A$10:$A31)+2,FALSE)</f>
        <v>4735</v>
      </c>
      <c r="DF31" s="34">
        <f>HLOOKUP(DF$7+0.5,$I$66:$DJ$120,ROWS($A$10:$A31)+2,FALSE)</f>
        <v>1004</v>
      </c>
      <c r="DG31" s="34">
        <f>HLOOKUP(DG$7+0.5,$I$66:$DJ$120,ROWS($A$10:$A31)+2,FALSE)</f>
        <v>1701</v>
      </c>
      <c r="DH31" s="34">
        <f>HLOOKUP(DH$7+0.5,$I$66:$DJ$120,ROWS($A$10:$A31)+2,FALSE)</f>
        <v>241</v>
      </c>
      <c r="DI31" s="34">
        <f>HLOOKUP(DI$7+0.5,$I$66:$DJ$120,ROWS($A$10:$A31)+2,FALSE)</f>
        <v>299</v>
      </c>
      <c r="DJ31" s="34">
        <f>HLOOKUP(DJ$7+0.5,$I$66:$DJ$120,ROWS($A$10:$A31)+2,FALSE)</f>
        <v>678</v>
      </c>
    </row>
    <row r="32" spans="2:114" x14ac:dyDescent="0.25">
      <c r="B32" s="38" t="s">
        <v>28</v>
      </c>
      <c r="C32" s="16">
        <v>6489250</v>
      </c>
      <c r="D32" s="17">
        <v>3528</v>
      </c>
      <c r="E32" s="16">
        <v>5583650</v>
      </c>
      <c r="F32" s="17">
        <v>23686</v>
      </c>
      <c r="G32" s="16">
        <v>706624</v>
      </c>
      <c r="H32" s="17">
        <v>22760</v>
      </c>
      <c r="I32" s="36">
        <f>HLOOKUP(I$7,$I$66:$DJ$120,ROWS($A$10:$A32)+2,FALSE)</f>
        <v>140162</v>
      </c>
      <c r="J32" s="25">
        <f>HLOOKUP(J$7,$I$66:$DJ$120,ROWS($A$10:$A32)+2,FALSE)</f>
        <v>583</v>
      </c>
      <c r="K32" s="25">
        <f>HLOOKUP(K$7,$I$66:$DJ$120,ROWS($A$10:$A32)+2,FALSE)</f>
        <v>1891</v>
      </c>
      <c r="L32" s="25">
        <f>HLOOKUP(L$7,$I$66:$DJ$120,ROWS($A$10:$A32)+2,FALSE)</f>
        <v>1572</v>
      </c>
      <c r="M32" s="25">
        <f>HLOOKUP(M$7,$I$66:$DJ$120,ROWS($A$10:$A32)+2,FALSE)</f>
        <v>206</v>
      </c>
      <c r="N32" s="25">
        <f>HLOOKUP(N$7,$I$66:$DJ$120,ROWS($A$10:$A32)+2,FALSE)</f>
        <v>14971</v>
      </c>
      <c r="O32" s="25">
        <f>HLOOKUP(O$7,$I$66:$DJ$120,ROWS($A$10:$A32)+2,FALSE)</f>
        <v>1051</v>
      </c>
      <c r="P32" s="25">
        <f>HLOOKUP(P$7,$I$66:$DJ$120,ROWS($A$10:$A32)+2,FALSE)</f>
        <v>13270</v>
      </c>
      <c r="Q32" s="25">
        <f>HLOOKUP(Q$7,$I$66:$DJ$120,ROWS($A$10:$A32)+2,FALSE)</f>
        <v>131</v>
      </c>
      <c r="R32" s="25">
        <f>HLOOKUP(R$7,$I$66:$DJ$120,ROWS($A$10:$A32)+2,FALSE)</f>
        <v>1539</v>
      </c>
      <c r="S32" s="25">
        <f>HLOOKUP(S$7,$I$66:$DJ$120,ROWS($A$10:$A32)+2,FALSE)</f>
        <v>11118</v>
      </c>
      <c r="T32" s="25">
        <f>HLOOKUP(T$7,$I$66:$DJ$120,ROWS($A$10:$A32)+2,FALSE)</f>
        <v>1409</v>
      </c>
      <c r="U32" s="25">
        <f>HLOOKUP(U$7,$I$66:$DJ$120,ROWS($A$10:$A32)+2,FALSE)</f>
        <v>682</v>
      </c>
      <c r="V32" s="25">
        <f>HLOOKUP(V$7,$I$66:$DJ$120,ROWS($A$10:$A32)+2,FALSE)</f>
        <v>79</v>
      </c>
      <c r="W32" s="25">
        <f>HLOOKUP(W$7,$I$66:$DJ$120,ROWS($A$10:$A32)+2,FALSE)</f>
        <v>2842</v>
      </c>
      <c r="X32" s="25">
        <f>HLOOKUP(X$7,$I$66:$DJ$120,ROWS($A$10:$A32)+2,FALSE)</f>
        <v>1891</v>
      </c>
      <c r="Y32" s="25">
        <f>HLOOKUP(Y$7,$I$66:$DJ$120,ROWS($A$10:$A32)+2,FALSE)</f>
        <v>307</v>
      </c>
      <c r="Z32" s="25">
        <f>HLOOKUP(Z$7,$I$66:$DJ$120,ROWS($A$10:$A32)+2,FALSE)</f>
        <v>0</v>
      </c>
      <c r="AA32" s="25">
        <f>HLOOKUP(AA$7,$I$66:$DJ$120,ROWS($A$10:$A32)+2,FALSE)</f>
        <v>340</v>
      </c>
      <c r="AB32" s="25">
        <f>HLOOKUP(AB$7,$I$66:$DJ$120,ROWS($A$10:$A32)+2,FALSE)</f>
        <v>0</v>
      </c>
      <c r="AC32" s="25">
        <f>HLOOKUP(AC$7,$I$66:$DJ$120,ROWS($A$10:$A32)+2,FALSE)</f>
        <v>4666</v>
      </c>
      <c r="AD32" s="25">
        <f>HLOOKUP(AD$7,$I$66:$DJ$120,ROWS($A$10:$A32)+2,FALSE)</f>
        <v>3660</v>
      </c>
      <c r="AE32" s="25" t="str">
        <f>HLOOKUP(AE$7,$I$66:$DJ$120,ROWS($A$10:$A32)+2,FALSE)</f>
        <v>N/A</v>
      </c>
      <c r="AF32" s="25">
        <f>HLOOKUP(AF$7,$I$66:$DJ$120,ROWS($A$10:$A32)+2,FALSE)</f>
        <v>1624</v>
      </c>
      <c r="AG32" s="25">
        <f>HLOOKUP(AG$7,$I$66:$DJ$120,ROWS($A$10:$A32)+2,FALSE)</f>
        <v>2185</v>
      </c>
      <c r="AH32" s="25">
        <f>HLOOKUP(AH$7,$I$66:$DJ$120,ROWS($A$10:$A32)+2,FALSE)</f>
        <v>453</v>
      </c>
      <c r="AI32" s="25">
        <f>HLOOKUP(AI$7,$I$66:$DJ$120,ROWS($A$10:$A32)+2,FALSE)</f>
        <v>1957</v>
      </c>
      <c r="AJ32" s="25">
        <f>HLOOKUP(AJ$7,$I$66:$DJ$120,ROWS($A$10:$A32)+2,FALSE)</f>
        <v>388</v>
      </c>
      <c r="AK32" s="25">
        <f>HLOOKUP(AK$7,$I$66:$DJ$120,ROWS($A$10:$A32)+2,FALSE)</f>
        <v>46</v>
      </c>
      <c r="AL32" s="25">
        <f>HLOOKUP(AL$7,$I$66:$DJ$120,ROWS($A$10:$A32)+2,FALSE)</f>
        <v>792</v>
      </c>
      <c r="AM32" s="25">
        <f>HLOOKUP(AM$7,$I$66:$DJ$120,ROWS($A$10:$A32)+2,FALSE)</f>
        <v>9911</v>
      </c>
      <c r="AN32" s="25">
        <f>HLOOKUP(AN$7,$I$66:$DJ$120,ROWS($A$10:$A32)+2,FALSE)</f>
        <v>4709</v>
      </c>
      <c r="AO32" s="25">
        <f>HLOOKUP(AO$7,$I$66:$DJ$120,ROWS($A$10:$A32)+2,FALSE)</f>
        <v>161</v>
      </c>
      <c r="AP32" s="25">
        <f>HLOOKUP(AP$7,$I$66:$DJ$120,ROWS($A$10:$A32)+2,FALSE)</f>
        <v>20002</v>
      </c>
      <c r="AQ32" s="25">
        <f>HLOOKUP(AQ$7,$I$66:$DJ$120,ROWS($A$10:$A32)+2,FALSE)</f>
        <v>2798</v>
      </c>
      <c r="AR32" s="25">
        <f>HLOOKUP(AR$7,$I$66:$DJ$120,ROWS($A$10:$A32)+2,FALSE)</f>
        <v>0</v>
      </c>
      <c r="AS32" s="25">
        <f>HLOOKUP(AS$7,$I$66:$DJ$120,ROWS($A$10:$A32)+2,FALSE)</f>
        <v>2163</v>
      </c>
      <c r="AT32" s="25">
        <f>HLOOKUP(AT$7,$I$66:$DJ$120,ROWS($A$10:$A32)+2,FALSE)</f>
        <v>158</v>
      </c>
      <c r="AU32" s="25">
        <f>HLOOKUP(AU$7,$I$66:$DJ$120,ROWS($A$10:$A32)+2,FALSE)</f>
        <v>228</v>
      </c>
      <c r="AV32" s="25">
        <f>HLOOKUP(AV$7,$I$66:$DJ$120,ROWS($A$10:$A32)+2,FALSE)</f>
        <v>5316</v>
      </c>
      <c r="AW32" s="25">
        <f>HLOOKUP(AW$7,$I$66:$DJ$120,ROWS($A$10:$A32)+2,FALSE)</f>
        <v>6965</v>
      </c>
      <c r="AX32" s="25">
        <f>HLOOKUP(AX$7,$I$66:$DJ$120,ROWS($A$10:$A32)+2,FALSE)</f>
        <v>1659</v>
      </c>
      <c r="AY32" s="25">
        <f>HLOOKUP(AY$7,$I$66:$DJ$120,ROWS($A$10:$A32)+2,FALSE)</f>
        <v>0</v>
      </c>
      <c r="AZ32" s="25">
        <f>HLOOKUP(AZ$7,$I$66:$DJ$120,ROWS($A$10:$A32)+2,FALSE)</f>
        <v>918</v>
      </c>
      <c r="BA32" s="25">
        <f>HLOOKUP(BA$7,$I$66:$DJ$120,ROWS($A$10:$A32)+2,FALSE)</f>
        <v>7073</v>
      </c>
      <c r="BB32" s="25">
        <f>HLOOKUP(BB$7,$I$66:$DJ$120,ROWS($A$10:$A32)+2,FALSE)</f>
        <v>207</v>
      </c>
      <c r="BC32" s="25">
        <f>HLOOKUP(BC$7,$I$66:$DJ$120,ROWS($A$10:$A32)+2,FALSE)</f>
        <v>1526</v>
      </c>
      <c r="BD32" s="25">
        <f>HLOOKUP(BD$7,$I$66:$DJ$120,ROWS($A$10:$A32)+2,FALSE)</f>
        <v>4542</v>
      </c>
      <c r="BE32" s="25">
        <f>HLOOKUP(BE$7,$I$66:$DJ$120,ROWS($A$10:$A32)+2,FALSE)</f>
        <v>1627</v>
      </c>
      <c r="BF32" s="25">
        <f>HLOOKUP(BF$7,$I$66:$DJ$120,ROWS($A$10:$A32)+2,FALSE)</f>
        <v>0</v>
      </c>
      <c r="BG32" s="25">
        <f>HLOOKUP(BG$7,$I$66:$DJ$120,ROWS($A$10:$A32)+2,FALSE)</f>
        <v>546</v>
      </c>
      <c r="BH32" s="25">
        <f>HLOOKUP(BH$7,$I$66:$DJ$120,ROWS($A$10:$A32)+2,FALSE)</f>
        <v>0</v>
      </c>
      <c r="BI32" s="25">
        <f>HLOOKUP(BI$7,$I$66:$DJ$120,ROWS($A$10:$A32)+2,FALSE)</f>
        <v>3085</v>
      </c>
      <c r="BJ32" s="34">
        <f>HLOOKUP(BJ$7+0.5,$I$66:$DJ$120,ROWS($A$10:$A32)+2,FALSE)</f>
        <v>8906</v>
      </c>
      <c r="BK32" s="34">
        <f>HLOOKUP(BK$7+0.5,$I$66:$DJ$120,ROWS($A$10:$A32)+2,FALSE)</f>
        <v>382</v>
      </c>
      <c r="BL32" s="34">
        <f>HLOOKUP(BL$7+0.5,$I$66:$DJ$120,ROWS($A$10:$A32)+2,FALSE)</f>
        <v>1205</v>
      </c>
      <c r="BM32" s="34">
        <f>HLOOKUP(BM$7+0.5,$I$66:$DJ$120,ROWS($A$10:$A32)+2,FALSE)</f>
        <v>1170</v>
      </c>
      <c r="BN32" s="34">
        <f>HLOOKUP(BN$7+0.5,$I$66:$DJ$120,ROWS($A$10:$A32)+2,FALSE)</f>
        <v>343</v>
      </c>
      <c r="BO32" s="34">
        <f>HLOOKUP(BO$7+0.5,$I$66:$DJ$120,ROWS($A$10:$A32)+2,FALSE)</f>
        <v>3388</v>
      </c>
      <c r="BP32" s="34">
        <f>HLOOKUP(BP$7+0.5,$I$66:$DJ$120,ROWS($A$10:$A32)+2,FALSE)</f>
        <v>527</v>
      </c>
      <c r="BQ32" s="34">
        <f>HLOOKUP(BQ$7+0.5,$I$66:$DJ$120,ROWS($A$10:$A32)+2,FALSE)</f>
        <v>2422</v>
      </c>
      <c r="BR32" s="34">
        <f>HLOOKUP(BR$7+0.5,$I$66:$DJ$120,ROWS($A$10:$A32)+2,FALSE)</f>
        <v>214</v>
      </c>
      <c r="BS32" s="34">
        <f>HLOOKUP(BS$7+0.5,$I$66:$DJ$120,ROWS($A$10:$A32)+2,FALSE)</f>
        <v>649</v>
      </c>
      <c r="BT32" s="34">
        <f>HLOOKUP(BT$7+0.5,$I$66:$DJ$120,ROWS($A$10:$A32)+2,FALSE)</f>
        <v>2520</v>
      </c>
      <c r="BU32" s="34">
        <f>HLOOKUP(BU$7+0.5,$I$66:$DJ$120,ROWS($A$10:$A32)+2,FALSE)</f>
        <v>612</v>
      </c>
      <c r="BV32" s="34">
        <f>HLOOKUP(BV$7+0.5,$I$66:$DJ$120,ROWS($A$10:$A32)+2,FALSE)</f>
        <v>598</v>
      </c>
      <c r="BW32" s="34">
        <f>HLOOKUP(BW$7+0.5,$I$66:$DJ$120,ROWS($A$10:$A32)+2,FALSE)</f>
        <v>128</v>
      </c>
      <c r="BX32" s="34">
        <f>HLOOKUP(BX$7+0.5,$I$66:$DJ$120,ROWS($A$10:$A32)+2,FALSE)</f>
        <v>1071</v>
      </c>
      <c r="BY32" s="34">
        <f>HLOOKUP(BY$7+0.5,$I$66:$DJ$120,ROWS($A$10:$A32)+2,FALSE)</f>
        <v>857</v>
      </c>
      <c r="BZ32" s="34">
        <f>HLOOKUP(BZ$7+0.5,$I$66:$DJ$120,ROWS($A$10:$A32)+2,FALSE)</f>
        <v>253</v>
      </c>
      <c r="CA32" s="34">
        <f>HLOOKUP(CA$7+0.5,$I$66:$DJ$120,ROWS($A$10:$A32)+2,FALSE)</f>
        <v>285</v>
      </c>
      <c r="CB32" s="34">
        <f>HLOOKUP(CB$7+0.5,$I$66:$DJ$120,ROWS($A$10:$A32)+2,FALSE)</f>
        <v>397</v>
      </c>
      <c r="CC32" s="34">
        <f>HLOOKUP(CC$7+0.5,$I$66:$DJ$120,ROWS($A$10:$A32)+2,FALSE)</f>
        <v>285</v>
      </c>
      <c r="CD32" s="34">
        <f>HLOOKUP(CD$7+0.5,$I$66:$DJ$120,ROWS($A$10:$A32)+2,FALSE)</f>
        <v>1266</v>
      </c>
      <c r="CE32" s="34">
        <f>HLOOKUP(CE$7+0.5,$I$66:$DJ$120,ROWS($A$10:$A32)+2,FALSE)</f>
        <v>1356</v>
      </c>
      <c r="CF32" s="34" t="str">
        <f>HLOOKUP(CF$7+0.5,$I$66:$DJ$120,ROWS($A$10:$A32)+2,FALSE)</f>
        <v>N/A</v>
      </c>
      <c r="CG32" s="34">
        <f>HLOOKUP(CG$7+0.5,$I$66:$DJ$120,ROWS($A$10:$A32)+2,FALSE)</f>
        <v>931</v>
      </c>
      <c r="CH32" s="34">
        <f>HLOOKUP(CH$7+0.5,$I$66:$DJ$120,ROWS($A$10:$A32)+2,FALSE)</f>
        <v>2035</v>
      </c>
      <c r="CI32" s="34">
        <f>HLOOKUP(CI$7+0.5,$I$66:$DJ$120,ROWS($A$10:$A32)+2,FALSE)</f>
        <v>534</v>
      </c>
      <c r="CJ32" s="34">
        <f>HLOOKUP(CJ$7+0.5,$I$66:$DJ$120,ROWS($A$10:$A32)+2,FALSE)</f>
        <v>1987</v>
      </c>
      <c r="CK32" s="34">
        <f>HLOOKUP(CK$7+0.5,$I$66:$DJ$120,ROWS($A$10:$A32)+2,FALSE)</f>
        <v>356</v>
      </c>
      <c r="CL32" s="34">
        <f>HLOOKUP(CL$7+0.5,$I$66:$DJ$120,ROWS($A$10:$A32)+2,FALSE)</f>
        <v>77</v>
      </c>
      <c r="CM32" s="34">
        <f>HLOOKUP(CM$7+0.5,$I$66:$DJ$120,ROWS($A$10:$A32)+2,FALSE)</f>
        <v>705</v>
      </c>
      <c r="CN32" s="34">
        <f>HLOOKUP(CN$7+0.5,$I$66:$DJ$120,ROWS($A$10:$A32)+2,FALSE)</f>
        <v>1876</v>
      </c>
      <c r="CO32" s="34">
        <f>HLOOKUP(CO$7+0.5,$I$66:$DJ$120,ROWS($A$10:$A32)+2,FALSE)</f>
        <v>1295</v>
      </c>
      <c r="CP32" s="34">
        <f>HLOOKUP(CP$7+0.5,$I$66:$DJ$120,ROWS($A$10:$A32)+2,FALSE)</f>
        <v>271</v>
      </c>
      <c r="CQ32" s="34">
        <f>HLOOKUP(CQ$7+0.5,$I$66:$DJ$120,ROWS($A$10:$A32)+2,FALSE)</f>
        <v>3186</v>
      </c>
      <c r="CR32" s="34">
        <f>HLOOKUP(CR$7+0.5,$I$66:$DJ$120,ROWS($A$10:$A32)+2,FALSE)</f>
        <v>1277</v>
      </c>
      <c r="CS32" s="34">
        <f>HLOOKUP(CS$7+0.5,$I$66:$DJ$120,ROWS($A$10:$A32)+2,FALSE)</f>
        <v>285</v>
      </c>
      <c r="CT32" s="34">
        <f>HLOOKUP(CT$7+0.5,$I$66:$DJ$120,ROWS($A$10:$A32)+2,FALSE)</f>
        <v>975</v>
      </c>
      <c r="CU32" s="34">
        <f>HLOOKUP(CU$7+0.5,$I$66:$DJ$120,ROWS($A$10:$A32)+2,FALSE)</f>
        <v>204</v>
      </c>
      <c r="CV32" s="34">
        <f>HLOOKUP(CV$7+0.5,$I$66:$DJ$120,ROWS($A$10:$A32)+2,FALSE)</f>
        <v>217</v>
      </c>
      <c r="CW32" s="34">
        <f>HLOOKUP(CW$7+0.5,$I$66:$DJ$120,ROWS($A$10:$A32)+2,FALSE)</f>
        <v>1681</v>
      </c>
      <c r="CX32" s="34">
        <f>HLOOKUP(CX$7+0.5,$I$66:$DJ$120,ROWS($A$10:$A32)+2,FALSE)</f>
        <v>1573</v>
      </c>
      <c r="CY32" s="34">
        <f>HLOOKUP(CY$7+0.5,$I$66:$DJ$120,ROWS($A$10:$A32)+2,FALSE)</f>
        <v>1086</v>
      </c>
      <c r="CZ32" s="34">
        <f>HLOOKUP(CZ$7+0.5,$I$66:$DJ$120,ROWS($A$10:$A32)+2,FALSE)</f>
        <v>285</v>
      </c>
      <c r="DA32" s="34">
        <f>HLOOKUP(DA$7+0.5,$I$66:$DJ$120,ROWS($A$10:$A32)+2,FALSE)</f>
        <v>591</v>
      </c>
      <c r="DB32" s="34">
        <f>HLOOKUP(DB$7+0.5,$I$66:$DJ$120,ROWS($A$10:$A32)+2,FALSE)</f>
        <v>2465</v>
      </c>
      <c r="DC32" s="34">
        <f>HLOOKUP(DC$7+0.5,$I$66:$DJ$120,ROWS($A$10:$A32)+2,FALSE)</f>
        <v>159</v>
      </c>
      <c r="DD32" s="34">
        <f>HLOOKUP(DD$7+0.5,$I$66:$DJ$120,ROWS($A$10:$A32)+2,FALSE)</f>
        <v>673</v>
      </c>
      <c r="DE32" s="34">
        <f>HLOOKUP(DE$7+0.5,$I$66:$DJ$120,ROWS($A$10:$A32)+2,FALSE)</f>
        <v>1704</v>
      </c>
      <c r="DF32" s="34">
        <f>HLOOKUP(DF$7+0.5,$I$66:$DJ$120,ROWS($A$10:$A32)+2,FALSE)</f>
        <v>791</v>
      </c>
      <c r="DG32" s="34">
        <f>HLOOKUP(DG$7+0.5,$I$66:$DJ$120,ROWS($A$10:$A32)+2,FALSE)</f>
        <v>285</v>
      </c>
      <c r="DH32" s="34">
        <f>HLOOKUP(DH$7+0.5,$I$66:$DJ$120,ROWS($A$10:$A32)+2,FALSE)</f>
        <v>404</v>
      </c>
      <c r="DI32" s="34">
        <f>HLOOKUP(DI$7+0.5,$I$66:$DJ$120,ROWS($A$10:$A32)+2,FALSE)</f>
        <v>285</v>
      </c>
      <c r="DJ32" s="34">
        <f>HLOOKUP(DJ$7+0.5,$I$66:$DJ$120,ROWS($A$10:$A32)+2,FALSE)</f>
        <v>1219</v>
      </c>
    </row>
    <row r="33" spans="2:114" x14ac:dyDescent="0.25">
      <c r="B33" s="38" t="s">
        <v>29</v>
      </c>
      <c r="C33" s="16">
        <v>9762127</v>
      </c>
      <c r="D33" s="17">
        <v>4595</v>
      </c>
      <c r="E33" s="16">
        <v>8310098</v>
      </c>
      <c r="F33" s="17">
        <v>29394</v>
      </c>
      <c r="G33" s="16">
        <v>1291901</v>
      </c>
      <c r="H33" s="17">
        <v>28130</v>
      </c>
      <c r="I33" s="36">
        <f>HLOOKUP(I$7,$I$66:$DJ$120,ROWS($A$10:$A33)+2,FALSE)</f>
        <v>116149</v>
      </c>
      <c r="J33" s="25">
        <f>HLOOKUP(J$7,$I$66:$DJ$120,ROWS($A$10:$A33)+2,FALSE)</f>
        <v>2403</v>
      </c>
      <c r="K33" s="25">
        <f>HLOOKUP(K$7,$I$66:$DJ$120,ROWS($A$10:$A33)+2,FALSE)</f>
        <v>1040</v>
      </c>
      <c r="L33" s="25">
        <f>HLOOKUP(L$7,$I$66:$DJ$120,ROWS($A$10:$A33)+2,FALSE)</f>
        <v>3197</v>
      </c>
      <c r="M33" s="25">
        <f>HLOOKUP(M$7,$I$66:$DJ$120,ROWS($A$10:$A33)+2,FALSE)</f>
        <v>636</v>
      </c>
      <c r="N33" s="25">
        <f>HLOOKUP(N$7,$I$66:$DJ$120,ROWS($A$10:$A33)+2,FALSE)</f>
        <v>6726</v>
      </c>
      <c r="O33" s="25">
        <f>HLOOKUP(O$7,$I$66:$DJ$120,ROWS($A$10:$A33)+2,FALSE)</f>
        <v>2031</v>
      </c>
      <c r="P33" s="25">
        <f>HLOOKUP(P$7,$I$66:$DJ$120,ROWS($A$10:$A33)+2,FALSE)</f>
        <v>277</v>
      </c>
      <c r="Q33" s="25">
        <f>HLOOKUP(Q$7,$I$66:$DJ$120,ROWS($A$10:$A33)+2,FALSE)</f>
        <v>167</v>
      </c>
      <c r="R33" s="25">
        <f>HLOOKUP(R$7,$I$66:$DJ$120,ROWS($A$10:$A33)+2,FALSE)</f>
        <v>471</v>
      </c>
      <c r="S33" s="25">
        <f>HLOOKUP(S$7,$I$66:$DJ$120,ROWS($A$10:$A33)+2,FALSE)</f>
        <v>11646</v>
      </c>
      <c r="T33" s="25">
        <f>HLOOKUP(T$7,$I$66:$DJ$120,ROWS($A$10:$A33)+2,FALSE)</f>
        <v>3913</v>
      </c>
      <c r="U33" s="25">
        <f>HLOOKUP(U$7,$I$66:$DJ$120,ROWS($A$10:$A33)+2,FALSE)</f>
        <v>313</v>
      </c>
      <c r="V33" s="25">
        <f>HLOOKUP(V$7,$I$66:$DJ$120,ROWS($A$10:$A33)+2,FALSE)</f>
        <v>66</v>
      </c>
      <c r="W33" s="25">
        <f>HLOOKUP(W$7,$I$66:$DJ$120,ROWS($A$10:$A33)+2,FALSE)</f>
        <v>10651</v>
      </c>
      <c r="X33" s="25">
        <f>HLOOKUP(X$7,$I$66:$DJ$120,ROWS($A$10:$A33)+2,FALSE)</f>
        <v>7816</v>
      </c>
      <c r="Y33" s="25">
        <f>HLOOKUP(Y$7,$I$66:$DJ$120,ROWS($A$10:$A33)+2,FALSE)</f>
        <v>758</v>
      </c>
      <c r="Z33" s="25">
        <f>HLOOKUP(Z$7,$I$66:$DJ$120,ROWS($A$10:$A33)+2,FALSE)</f>
        <v>640</v>
      </c>
      <c r="AA33" s="25">
        <f>HLOOKUP(AA$7,$I$66:$DJ$120,ROWS($A$10:$A33)+2,FALSE)</f>
        <v>2353</v>
      </c>
      <c r="AB33" s="25">
        <f>HLOOKUP(AB$7,$I$66:$DJ$120,ROWS($A$10:$A33)+2,FALSE)</f>
        <v>1342</v>
      </c>
      <c r="AC33" s="25">
        <f>HLOOKUP(AC$7,$I$66:$DJ$120,ROWS($A$10:$A33)+2,FALSE)</f>
        <v>645</v>
      </c>
      <c r="AD33" s="25">
        <f>HLOOKUP(AD$7,$I$66:$DJ$120,ROWS($A$10:$A33)+2,FALSE)</f>
        <v>620</v>
      </c>
      <c r="AE33" s="25">
        <f>HLOOKUP(AE$7,$I$66:$DJ$120,ROWS($A$10:$A33)+2,FALSE)</f>
        <v>1206</v>
      </c>
      <c r="AF33" s="25" t="str">
        <f>HLOOKUP(AF$7,$I$66:$DJ$120,ROWS($A$10:$A33)+2,FALSE)</f>
        <v>N/A</v>
      </c>
      <c r="AG33" s="25">
        <f>HLOOKUP(AG$7,$I$66:$DJ$120,ROWS($A$10:$A33)+2,FALSE)</f>
        <v>1275</v>
      </c>
      <c r="AH33" s="25">
        <f>HLOOKUP(AH$7,$I$66:$DJ$120,ROWS($A$10:$A33)+2,FALSE)</f>
        <v>656</v>
      </c>
      <c r="AI33" s="25">
        <f>HLOOKUP(AI$7,$I$66:$DJ$120,ROWS($A$10:$A33)+2,FALSE)</f>
        <v>2921</v>
      </c>
      <c r="AJ33" s="25">
        <f>HLOOKUP(AJ$7,$I$66:$DJ$120,ROWS($A$10:$A33)+2,FALSE)</f>
        <v>312</v>
      </c>
      <c r="AK33" s="25">
        <f>HLOOKUP(AK$7,$I$66:$DJ$120,ROWS($A$10:$A33)+2,FALSE)</f>
        <v>213</v>
      </c>
      <c r="AL33" s="25">
        <f>HLOOKUP(AL$7,$I$66:$DJ$120,ROWS($A$10:$A33)+2,FALSE)</f>
        <v>1874</v>
      </c>
      <c r="AM33" s="25">
        <f>HLOOKUP(AM$7,$I$66:$DJ$120,ROWS($A$10:$A33)+2,FALSE)</f>
        <v>437</v>
      </c>
      <c r="AN33" s="25">
        <f>HLOOKUP(AN$7,$I$66:$DJ$120,ROWS($A$10:$A33)+2,FALSE)</f>
        <v>1676</v>
      </c>
      <c r="AO33" s="25">
        <f>HLOOKUP(AO$7,$I$66:$DJ$120,ROWS($A$10:$A33)+2,FALSE)</f>
        <v>669</v>
      </c>
      <c r="AP33" s="25">
        <f>HLOOKUP(AP$7,$I$66:$DJ$120,ROWS($A$10:$A33)+2,FALSE)</f>
        <v>3135</v>
      </c>
      <c r="AQ33" s="25">
        <f>HLOOKUP(AQ$7,$I$66:$DJ$120,ROWS($A$10:$A33)+2,FALSE)</f>
        <v>2444</v>
      </c>
      <c r="AR33" s="25">
        <f>HLOOKUP(AR$7,$I$66:$DJ$120,ROWS($A$10:$A33)+2,FALSE)</f>
        <v>53</v>
      </c>
      <c r="AS33" s="25">
        <f>HLOOKUP(AS$7,$I$66:$DJ$120,ROWS($A$10:$A33)+2,FALSE)</f>
        <v>9783</v>
      </c>
      <c r="AT33" s="25">
        <f>HLOOKUP(AT$7,$I$66:$DJ$120,ROWS($A$10:$A33)+2,FALSE)</f>
        <v>2276</v>
      </c>
      <c r="AU33" s="25">
        <f>HLOOKUP(AU$7,$I$66:$DJ$120,ROWS($A$10:$A33)+2,FALSE)</f>
        <v>537</v>
      </c>
      <c r="AV33" s="25">
        <f>HLOOKUP(AV$7,$I$66:$DJ$120,ROWS($A$10:$A33)+2,FALSE)</f>
        <v>3134</v>
      </c>
      <c r="AW33" s="25">
        <f>HLOOKUP(AW$7,$I$66:$DJ$120,ROWS($A$10:$A33)+2,FALSE)</f>
        <v>653</v>
      </c>
      <c r="AX33" s="25">
        <f>HLOOKUP(AX$7,$I$66:$DJ$120,ROWS($A$10:$A33)+2,FALSE)</f>
        <v>1446</v>
      </c>
      <c r="AY33" s="25">
        <f>HLOOKUP(AY$7,$I$66:$DJ$120,ROWS($A$10:$A33)+2,FALSE)</f>
        <v>706</v>
      </c>
      <c r="AZ33" s="25">
        <f>HLOOKUP(AZ$7,$I$66:$DJ$120,ROWS($A$10:$A33)+2,FALSE)</f>
        <v>4453</v>
      </c>
      <c r="BA33" s="25">
        <f>HLOOKUP(BA$7,$I$66:$DJ$120,ROWS($A$10:$A33)+2,FALSE)</f>
        <v>7184</v>
      </c>
      <c r="BB33" s="25">
        <f>HLOOKUP(BB$7,$I$66:$DJ$120,ROWS($A$10:$A33)+2,FALSE)</f>
        <v>545</v>
      </c>
      <c r="BC33" s="25">
        <f>HLOOKUP(BC$7,$I$66:$DJ$120,ROWS($A$10:$A33)+2,FALSE)</f>
        <v>45</v>
      </c>
      <c r="BD33" s="25">
        <f>HLOOKUP(BD$7,$I$66:$DJ$120,ROWS($A$10:$A33)+2,FALSE)</f>
        <v>2073</v>
      </c>
      <c r="BE33" s="25">
        <f>HLOOKUP(BE$7,$I$66:$DJ$120,ROWS($A$10:$A33)+2,FALSE)</f>
        <v>1427</v>
      </c>
      <c r="BF33" s="25">
        <f>HLOOKUP(BF$7,$I$66:$DJ$120,ROWS($A$10:$A33)+2,FALSE)</f>
        <v>446</v>
      </c>
      <c r="BG33" s="25">
        <f>HLOOKUP(BG$7,$I$66:$DJ$120,ROWS($A$10:$A33)+2,FALSE)</f>
        <v>6291</v>
      </c>
      <c r="BH33" s="25">
        <f>HLOOKUP(BH$7,$I$66:$DJ$120,ROWS($A$10:$A33)+2,FALSE)</f>
        <v>568</v>
      </c>
      <c r="BI33" s="25">
        <f>HLOOKUP(BI$7,$I$66:$DJ$120,ROWS($A$10:$A33)+2,FALSE)</f>
        <v>1432</v>
      </c>
      <c r="BJ33" s="34">
        <f>HLOOKUP(BJ$7+0.5,$I$66:$DJ$120,ROWS($A$10:$A33)+2,FALSE)</f>
        <v>8123</v>
      </c>
      <c r="BK33" s="34">
        <f>HLOOKUP(BK$7+0.5,$I$66:$DJ$120,ROWS($A$10:$A33)+2,FALSE)</f>
        <v>1803</v>
      </c>
      <c r="BL33" s="34">
        <f>HLOOKUP(BL$7+0.5,$I$66:$DJ$120,ROWS($A$10:$A33)+2,FALSE)</f>
        <v>758</v>
      </c>
      <c r="BM33" s="34">
        <f>HLOOKUP(BM$7+0.5,$I$66:$DJ$120,ROWS($A$10:$A33)+2,FALSE)</f>
        <v>1076</v>
      </c>
      <c r="BN33" s="34">
        <f>HLOOKUP(BN$7+0.5,$I$66:$DJ$120,ROWS($A$10:$A33)+2,FALSE)</f>
        <v>434</v>
      </c>
      <c r="BO33" s="34">
        <f>HLOOKUP(BO$7+0.5,$I$66:$DJ$120,ROWS($A$10:$A33)+2,FALSE)</f>
        <v>2018</v>
      </c>
      <c r="BP33" s="34">
        <f>HLOOKUP(BP$7+0.5,$I$66:$DJ$120,ROWS($A$10:$A33)+2,FALSE)</f>
        <v>695</v>
      </c>
      <c r="BQ33" s="34">
        <f>HLOOKUP(BQ$7+0.5,$I$66:$DJ$120,ROWS($A$10:$A33)+2,FALSE)</f>
        <v>303</v>
      </c>
      <c r="BR33" s="34">
        <f>HLOOKUP(BR$7+0.5,$I$66:$DJ$120,ROWS($A$10:$A33)+2,FALSE)</f>
        <v>160</v>
      </c>
      <c r="BS33" s="34">
        <f>HLOOKUP(BS$7+0.5,$I$66:$DJ$120,ROWS($A$10:$A33)+2,FALSE)</f>
        <v>272</v>
      </c>
      <c r="BT33" s="34">
        <f>HLOOKUP(BT$7+0.5,$I$66:$DJ$120,ROWS($A$10:$A33)+2,FALSE)</f>
        <v>2178</v>
      </c>
      <c r="BU33" s="34">
        <f>HLOOKUP(BU$7+0.5,$I$66:$DJ$120,ROWS($A$10:$A33)+2,FALSE)</f>
        <v>1925</v>
      </c>
      <c r="BV33" s="34">
        <f>HLOOKUP(BV$7+0.5,$I$66:$DJ$120,ROWS($A$10:$A33)+2,FALSE)</f>
        <v>337</v>
      </c>
      <c r="BW33" s="34">
        <f>HLOOKUP(BW$7+0.5,$I$66:$DJ$120,ROWS($A$10:$A33)+2,FALSE)</f>
        <v>79</v>
      </c>
      <c r="BX33" s="34">
        <f>HLOOKUP(BX$7+0.5,$I$66:$DJ$120,ROWS($A$10:$A33)+2,FALSE)</f>
        <v>1903</v>
      </c>
      <c r="BY33" s="34">
        <f>HLOOKUP(BY$7+0.5,$I$66:$DJ$120,ROWS($A$10:$A33)+2,FALSE)</f>
        <v>2004</v>
      </c>
      <c r="BZ33" s="34">
        <f>HLOOKUP(BZ$7+0.5,$I$66:$DJ$120,ROWS($A$10:$A33)+2,FALSE)</f>
        <v>493</v>
      </c>
      <c r="CA33" s="34">
        <f>HLOOKUP(CA$7+0.5,$I$66:$DJ$120,ROWS($A$10:$A33)+2,FALSE)</f>
        <v>469</v>
      </c>
      <c r="CB33" s="34">
        <f>HLOOKUP(CB$7+0.5,$I$66:$DJ$120,ROWS($A$10:$A33)+2,FALSE)</f>
        <v>1473</v>
      </c>
      <c r="CC33" s="34">
        <f>HLOOKUP(CC$7+0.5,$I$66:$DJ$120,ROWS($A$10:$A33)+2,FALSE)</f>
        <v>747</v>
      </c>
      <c r="CD33" s="34">
        <f>HLOOKUP(CD$7+0.5,$I$66:$DJ$120,ROWS($A$10:$A33)+2,FALSE)</f>
        <v>477</v>
      </c>
      <c r="CE33" s="34">
        <f>HLOOKUP(CE$7+0.5,$I$66:$DJ$120,ROWS($A$10:$A33)+2,FALSE)</f>
        <v>428</v>
      </c>
      <c r="CF33" s="34">
        <f>HLOOKUP(CF$7+0.5,$I$66:$DJ$120,ROWS($A$10:$A33)+2,FALSE)</f>
        <v>574</v>
      </c>
      <c r="CG33" s="34" t="str">
        <f>HLOOKUP(CG$7+0.5,$I$66:$DJ$120,ROWS($A$10:$A33)+2,FALSE)</f>
        <v>N/A</v>
      </c>
      <c r="CH33" s="34">
        <f>HLOOKUP(CH$7+0.5,$I$66:$DJ$120,ROWS($A$10:$A33)+2,FALSE)</f>
        <v>646</v>
      </c>
      <c r="CI33" s="34">
        <f>HLOOKUP(CI$7+0.5,$I$66:$DJ$120,ROWS($A$10:$A33)+2,FALSE)</f>
        <v>474</v>
      </c>
      <c r="CJ33" s="34">
        <f>HLOOKUP(CJ$7+0.5,$I$66:$DJ$120,ROWS($A$10:$A33)+2,FALSE)</f>
        <v>1486</v>
      </c>
      <c r="CK33" s="34">
        <f>HLOOKUP(CK$7+0.5,$I$66:$DJ$120,ROWS($A$10:$A33)+2,FALSE)</f>
        <v>235</v>
      </c>
      <c r="CL33" s="34">
        <f>HLOOKUP(CL$7+0.5,$I$66:$DJ$120,ROWS($A$10:$A33)+2,FALSE)</f>
        <v>214</v>
      </c>
      <c r="CM33" s="34">
        <f>HLOOKUP(CM$7+0.5,$I$66:$DJ$120,ROWS($A$10:$A33)+2,FALSE)</f>
        <v>1028</v>
      </c>
      <c r="CN33" s="34">
        <f>HLOOKUP(CN$7+0.5,$I$66:$DJ$120,ROWS($A$10:$A33)+2,FALSE)</f>
        <v>357</v>
      </c>
      <c r="CO33" s="34">
        <f>HLOOKUP(CO$7+0.5,$I$66:$DJ$120,ROWS($A$10:$A33)+2,FALSE)</f>
        <v>861</v>
      </c>
      <c r="CP33" s="34">
        <f>HLOOKUP(CP$7+0.5,$I$66:$DJ$120,ROWS($A$10:$A33)+2,FALSE)</f>
        <v>411</v>
      </c>
      <c r="CQ33" s="34">
        <f>HLOOKUP(CQ$7+0.5,$I$66:$DJ$120,ROWS($A$10:$A33)+2,FALSE)</f>
        <v>871</v>
      </c>
      <c r="CR33" s="34">
        <f>HLOOKUP(CR$7+0.5,$I$66:$DJ$120,ROWS($A$10:$A33)+2,FALSE)</f>
        <v>903</v>
      </c>
      <c r="CS33" s="34">
        <f>HLOOKUP(CS$7+0.5,$I$66:$DJ$120,ROWS($A$10:$A33)+2,FALSE)</f>
        <v>71</v>
      </c>
      <c r="CT33" s="34">
        <f>HLOOKUP(CT$7+0.5,$I$66:$DJ$120,ROWS($A$10:$A33)+2,FALSE)</f>
        <v>1851</v>
      </c>
      <c r="CU33" s="34">
        <f>HLOOKUP(CU$7+0.5,$I$66:$DJ$120,ROWS($A$10:$A33)+2,FALSE)</f>
        <v>1296</v>
      </c>
      <c r="CV33" s="34">
        <f>HLOOKUP(CV$7+0.5,$I$66:$DJ$120,ROWS($A$10:$A33)+2,FALSE)</f>
        <v>341</v>
      </c>
      <c r="CW33" s="34">
        <f>HLOOKUP(CW$7+0.5,$I$66:$DJ$120,ROWS($A$10:$A33)+2,FALSE)</f>
        <v>1226</v>
      </c>
      <c r="CX33" s="34">
        <f>HLOOKUP(CX$7+0.5,$I$66:$DJ$120,ROWS($A$10:$A33)+2,FALSE)</f>
        <v>702</v>
      </c>
      <c r="CY33" s="34">
        <f>HLOOKUP(CY$7+0.5,$I$66:$DJ$120,ROWS($A$10:$A33)+2,FALSE)</f>
        <v>869</v>
      </c>
      <c r="CZ33" s="34">
        <f>HLOOKUP(CZ$7+0.5,$I$66:$DJ$120,ROWS($A$10:$A33)+2,FALSE)</f>
        <v>521</v>
      </c>
      <c r="DA33" s="34">
        <f>HLOOKUP(DA$7+0.5,$I$66:$DJ$120,ROWS($A$10:$A33)+2,FALSE)</f>
        <v>1559</v>
      </c>
      <c r="DB33" s="34">
        <f>HLOOKUP(DB$7+0.5,$I$66:$DJ$120,ROWS($A$10:$A33)+2,FALSE)</f>
        <v>2265</v>
      </c>
      <c r="DC33" s="34">
        <f>HLOOKUP(DC$7+0.5,$I$66:$DJ$120,ROWS($A$10:$A33)+2,FALSE)</f>
        <v>388</v>
      </c>
      <c r="DD33" s="34">
        <f>HLOOKUP(DD$7+0.5,$I$66:$DJ$120,ROWS($A$10:$A33)+2,FALSE)</f>
        <v>77</v>
      </c>
      <c r="DE33" s="34">
        <f>HLOOKUP(DE$7+0.5,$I$66:$DJ$120,ROWS($A$10:$A33)+2,FALSE)</f>
        <v>807</v>
      </c>
      <c r="DF33" s="34">
        <f>HLOOKUP(DF$7+0.5,$I$66:$DJ$120,ROWS($A$10:$A33)+2,FALSE)</f>
        <v>666</v>
      </c>
      <c r="DG33" s="34">
        <f>HLOOKUP(DG$7+0.5,$I$66:$DJ$120,ROWS($A$10:$A33)+2,FALSE)</f>
        <v>319</v>
      </c>
      <c r="DH33" s="34">
        <f>HLOOKUP(DH$7+0.5,$I$66:$DJ$120,ROWS($A$10:$A33)+2,FALSE)</f>
        <v>1731</v>
      </c>
      <c r="DI33" s="34">
        <f>HLOOKUP(DI$7+0.5,$I$66:$DJ$120,ROWS($A$10:$A33)+2,FALSE)</f>
        <v>429</v>
      </c>
      <c r="DJ33" s="34">
        <f>HLOOKUP(DJ$7+0.5,$I$66:$DJ$120,ROWS($A$10:$A33)+2,FALSE)</f>
        <v>1082</v>
      </c>
    </row>
    <row r="34" spans="2:114" x14ac:dyDescent="0.25">
      <c r="B34" s="38" t="s">
        <v>30</v>
      </c>
      <c r="C34" s="16">
        <v>5244256</v>
      </c>
      <c r="D34" s="17">
        <v>3049</v>
      </c>
      <c r="E34" s="16">
        <v>4480630</v>
      </c>
      <c r="F34" s="17">
        <v>17843</v>
      </c>
      <c r="G34" s="16">
        <v>647946</v>
      </c>
      <c r="H34" s="17">
        <v>16565</v>
      </c>
      <c r="I34" s="36">
        <f>HLOOKUP(I$7,$I$66:$DJ$120,ROWS($A$10:$A34)+2,FALSE)</f>
        <v>89872</v>
      </c>
      <c r="J34" s="25">
        <f>HLOOKUP(J$7,$I$66:$DJ$120,ROWS($A$10:$A34)+2,FALSE)</f>
        <v>266</v>
      </c>
      <c r="K34" s="25">
        <f>HLOOKUP(K$7,$I$66:$DJ$120,ROWS($A$10:$A34)+2,FALSE)</f>
        <v>1169</v>
      </c>
      <c r="L34" s="25">
        <f>HLOOKUP(L$7,$I$66:$DJ$120,ROWS($A$10:$A34)+2,FALSE)</f>
        <v>4165</v>
      </c>
      <c r="M34" s="25">
        <f>HLOOKUP(M$7,$I$66:$DJ$120,ROWS($A$10:$A34)+2,FALSE)</f>
        <v>279</v>
      </c>
      <c r="N34" s="25">
        <f>HLOOKUP(N$7,$I$66:$DJ$120,ROWS($A$10:$A34)+2,FALSE)</f>
        <v>6233</v>
      </c>
      <c r="O34" s="25">
        <f>HLOOKUP(O$7,$I$66:$DJ$120,ROWS($A$10:$A34)+2,FALSE)</f>
        <v>2521</v>
      </c>
      <c r="P34" s="25">
        <f>HLOOKUP(P$7,$I$66:$DJ$120,ROWS($A$10:$A34)+2,FALSE)</f>
        <v>211</v>
      </c>
      <c r="Q34" s="25">
        <f>HLOOKUP(Q$7,$I$66:$DJ$120,ROWS($A$10:$A34)+2,FALSE)</f>
        <v>176</v>
      </c>
      <c r="R34" s="25">
        <f>HLOOKUP(R$7,$I$66:$DJ$120,ROWS($A$10:$A34)+2,FALSE)</f>
        <v>306</v>
      </c>
      <c r="S34" s="25">
        <f>HLOOKUP(S$7,$I$66:$DJ$120,ROWS($A$10:$A34)+2,FALSE)</f>
        <v>2575</v>
      </c>
      <c r="T34" s="25">
        <f>HLOOKUP(T$7,$I$66:$DJ$120,ROWS($A$10:$A34)+2,FALSE)</f>
        <v>1776</v>
      </c>
      <c r="U34" s="25">
        <f>HLOOKUP(U$7,$I$66:$DJ$120,ROWS($A$10:$A34)+2,FALSE)</f>
        <v>227</v>
      </c>
      <c r="V34" s="25">
        <f>HLOOKUP(V$7,$I$66:$DJ$120,ROWS($A$10:$A34)+2,FALSE)</f>
        <v>231</v>
      </c>
      <c r="W34" s="25">
        <f>HLOOKUP(W$7,$I$66:$DJ$120,ROWS($A$10:$A34)+2,FALSE)</f>
        <v>6641</v>
      </c>
      <c r="X34" s="25">
        <f>HLOOKUP(X$7,$I$66:$DJ$120,ROWS($A$10:$A34)+2,FALSE)</f>
        <v>1120</v>
      </c>
      <c r="Y34" s="25">
        <f>HLOOKUP(Y$7,$I$66:$DJ$120,ROWS($A$10:$A34)+2,FALSE)</f>
        <v>4948</v>
      </c>
      <c r="Z34" s="25">
        <f>HLOOKUP(Z$7,$I$66:$DJ$120,ROWS($A$10:$A34)+2,FALSE)</f>
        <v>1067</v>
      </c>
      <c r="AA34" s="25">
        <f>HLOOKUP(AA$7,$I$66:$DJ$120,ROWS($A$10:$A34)+2,FALSE)</f>
        <v>402</v>
      </c>
      <c r="AB34" s="25">
        <f>HLOOKUP(AB$7,$I$66:$DJ$120,ROWS($A$10:$A34)+2,FALSE)</f>
        <v>519</v>
      </c>
      <c r="AC34" s="25">
        <f>HLOOKUP(AC$7,$I$66:$DJ$120,ROWS($A$10:$A34)+2,FALSE)</f>
        <v>172</v>
      </c>
      <c r="AD34" s="25">
        <f>HLOOKUP(AD$7,$I$66:$DJ$120,ROWS($A$10:$A34)+2,FALSE)</f>
        <v>1259</v>
      </c>
      <c r="AE34" s="25">
        <f>HLOOKUP(AE$7,$I$66:$DJ$120,ROWS($A$10:$A34)+2,FALSE)</f>
        <v>1092</v>
      </c>
      <c r="AF34" s="25">
        <f>HLOOKUP(AF$7,$I$66:$DJ$120,ROWS($A$10:$A34)+2,FALSE)</f>
        <v>2631</v>
      </c>
      <c r="AG34" s="25" t="str">
        <f>HLOOKUP(AG$7,$I$66:$DJ$120,ROWS($A$10:$A34)+2,FALSE)</f>
        <v>N/A</v>
      </c>
      <c r="AH34" s="25">
        <f>HLOOKUP(AH$7,$I$66:$DJ$120,ROWS($A$10:$A34)+2,FALSE)</f>
        <v>196</v>
      </c>
      <c r="AI34" s="25">
        <f>HLOOKUP(AI$7,$I$66:$DJ$120,ROWS($A$10:$A34)+2,FALSE)</f>
        <v>1549</v>
      </c>
      <c r="AJ34" s="25">
        <f>HLOOKUP(AJ$7,$I$66:$DJ$120,ROWS($A$10:$A34)+2,FALSE)</f>
        <v>1020</v>
      </c>
      <c r="AK34" s="25">
        <f>HLOOKUP(AK$7,$I$66:$DJ$120,ROWS($A$10:$A34)+2,FALSE)</f>
        <v>734</v>
      </c>
      <c r="AL34" s="25">
        <f>HLOOKUP(AL$7,$I$66:$DJ$120,ROWS($A$10:$A34)+2,FALSE)</f>
        <v>540</v>
      </c>
      <c r="AM34" s="25">
        <f>HLOOKUP(AM$7,$I$66:$DJ$120,ROWS($A$10:$A34)+2,FALSE)</f>
        <v>183</v>
      </c>
      <c r="AN34" s="25">
        <f>HLOOKUP(AN$7,$I$66:$DJ$120,ROWS($A$10:$A34)+2,FALSE)</f>
        <v>513</v>
      </c>
      <c r="AO34" s="25">
        <f>HLOOKUP(AO$7,$I$66:$DJ$120,ROWS($A$10:$A34)+2,FALSE)</f>
        <v>151</v>
      </c>
      <c r="AP34" s="25">
        <f>HLOOKUP(AP$7,$I$66:$DJ$120,ROWS($A$10:$A34)+2,FALSE)</f>
        <v>1309</v>
      </c>
      <c r="AQ34" s="25">
        <f>HLOOKUP(AQ$7,$I$66:$DJ$120,ROWS($A$10:$A34)+2,FALSE)</f>
        <v>1673</v>
      </c>
      <c r="AR34" s="25">
        <f>HLOOKUP(AR$7,$I$66:$DJ$120,ROWS($A$10:$A34)+2,FALSE)</f>
        <v>7316</v>
      </c>
      <c r="AS34" s="25">
        <f>HLOOKUP(AS$7,$I$66:$DJ$120,ROWS($A$10:$A34)+2,FALSE)</f>
        <v>1035</v>
      </c>
      <c r="AT34" s="25">
        <f>HLOOKUP(AT$7,$I$66:$DJ$120,ROWS($A$10:$A34)+2,FALSE)</f>
        <v>284</v>
      </c>
      <c r="AU34" s="25">
        <f>HLOOKUP(AU$7,$I$66:$DJ$120,ROWS($A$10:$A34)+2,FALSE)</f>
        <v>738</v>
      </c>
      <c r="AV34" s="25">
        <f>HLOOKUP(AV$7,$I$66:$DJ$120,ROWS($A$10:$A34)+2,FALSE)</f>
        <v>730</v>
      </c>
      <c r="AW34" s="25">
        <f>HLOOKUP(AW$7,$I$66:$DJ$120,ROWS($A$10:$A34)+2,FALSE)</f>
        <v>123</v>
      </c>
      <c r="AX34" s="25">
        <f>HLOOKUP(AX$7,$I$66:$DJ$120,ROWS($A$10:$A34)+2,FALSE)</f>
        <v>1597</v>
      </c>
      <c r="AY34" s="25">
        <f>HLOOKUP(AY$7,$I$66:$DJ$120,ROWS($A$10:$A34)+2,FALSE)</f>
        <v>3237</v>
      </c>
      <c r="AZ34" s="25">
        <f>HLOOKUP(AZ$7,$I$66:$DJ$120,ROWS($A$10:$A34)+2,FALSE)</f>
        <v>1155</v>
      </c>
      <c r="BA34" s="25">
        <f>HLOOKUP(BA$7,$I$66:$DJ$120,ROWS($A$10:$A34)+2,FALSE)</f>
        <v>2619</v>
      </c>
      <c r="BB34" s="25">
        <f>HLOOKUP(BB$7,$I$66:$DJ$120,ROWS($A$10:$A34)+2,FALSE)</f>
        <v>1013</v>
      </c>
      <c r="BC34" s="25">
        <f>HLOOKUP(BC$7,$I$66:$DJ$120,ROWS($A$10:$A34)+2,FALSE)</f>
        <v>0</v>
      </c>
      <c r="BD34" s="25">
        <f>HLOOKUP(BD$7,$I$66:$DJ$120,ROWS($A$10:$A34)+2,FALSE)</f>
        <v>2371</v>
      </c>
      <c r="BE34" s="25">
        <f>HLOOKUP(BE$7,$I$66:$DJ$120,ROWS($A$10:$A34)+2,FALSE)</f>
        <v>1328</v>
      </c>
      <c r="BF34" s="25">
        <f>HLOOKUP(BF$7,$I$66:$DJ$120,ROWS($A$10:$A34)+2,FALSE)</f>
        <v>200</v>
      </c>
      <c r="BG34" s="25">
        <f>HLOOKUP(BG$7,$I$66:$DJ$120,ROWS($A$10:$A34)+2,FALSE)</f>
        <v>17929</v>
      </c>
      <c r="BH34" s="25">
        <f>HLOOKUP(BH$7,$I$66:$DJ$120,ROWS($A$10:$A34)+2,FALSE)</f>
        <v>343</v>
      </c>
      <c r="BI34" s="25">
        <f>HLOOKUP(BI$7,$I$66:$DJ$120,ROWS($A$10:$A34)+2,FALSE)</f>
        <v>39</v>
      </c>
      <c r="BJ34" s="34">
        <f>HLOOKUP(BJ$7+0.5,$I$66:$DJ$120,ROWS($A$10:$A34)+2,FALSE)</f>
        <v>6022</v>
      </c>
      <c r="BK34" s="34">
        <f>HLOOKUP(BK$7+0.5,$I$66:$DJ$120,ROWS($A$10:$A34)+2,FALSE)</f>
        <v>342</v>
      </c>
      <c r="BL34" s="34">
        <f>HLOOKUP(BL$7+0.5,$I$66:$DJ$120,ROWS($A$10:$A34)+2,FALSE)</f>
        <v>851</v>
      </c>
      <c r="BM34" s="34">
        <f>HLOOKUP(BM$7+0.5,$I$66:$DJ$120,ROWS($A$10:$A34)+2,FALSE)</f>
        <v>1655</v>
      </c>
      <c r="BN34" s="34">
        <f>HLOOKUP(BN$7+0.5,$I$66:$DJ$120,ROWS($A$10:$A34)+2,FALSE)</f>
        <v>321</v>
      </c>
      <c r="BO34" s="34">
        <f>HLOOKUP(BO$7+0.5,$I$66:$DJ$120,ROWS($A$10:$A34)+2,FALSE)</f>
        <v>1680</v>
      </c>
      <c r="BP34" s="34">
        <f>HLOOKUP(BP$7+0.5,$I$66:$DJ$120,ROWS($A$10:$A34)+2,FALSE)</f>
        <v>1122</v>
      </c>
      <c r="BQ34" s="34">
        <f>HLOOKUP(BQ$7+0.5,$I$66:$DJ$120,ROWS($A$10:$A34)+2,FALSE)</f>
        <v>259</v>
      </c>
      <c r="BR34" s="34">
        <f>HLOOKUP(BR$7+0.5,$I$66:$DJ$120,ROWS($A$10:$A34)+2,FALSE)</f>
        <v>171</v>
      </c>
      <c r="BS34" s="34">
        <f>HLOOKUP(BS$7+0.5,$I$66:$DJ$120,ROWS($A$10:$A34)+2,FALSE)</f>
        <v>353</v>
      </c>
      <c r="BT34" s="34">
        <f>HLOOKUP(BT$7+0.5,$I$66:$DJ$120,ROWS($A$10:$A34)+2,FALSE)</f>
        <v>951</v>
      </c>
      <c r="BU34" s="34">
        <f>HLOOKUP(BU$7+0.5,$I$66:$DJ$120,ROWS($A$10:$A34)+2,FALSE)</f>
        <v>1237</v>
      </c>
      <c r="BV34" s="34">
        <f>HLOOKUP(BV$7+0.5,$I$66:$DJ$120,ROWS($A$10:$A34)+2,FALSE)</f>
        <v>253</v>
      </c>
      <c r="BW34" s="34">
        <f>HLOOKUP(BW$7+0.5,$I$66:$DJ$120,ROWS($A$10:$A34)+2,FALSE)</f>
        <v>314</v>
      </c>
      <c r="BX34" s="34">
        <f>HLOOKUP(BX$7+0.5,$I$66:$DJ$120,ROWS($A$10:$A34)+2,FALSE)</f>
        <v>2137</v>
      </c>
      <c r="BY34" s="34">
        <f>HLOOKUP(BY$7+0.5,$I$66:$DJ$120,ROWS($A$10:$A34)+2,FALSE)</f>
        <v>433</v>
      </c>
      <c r="BZ34" s="34">
        <f>HLOOKUP(BZ$7+0.5,$I$66:$DJ$120,ROWS($A$10:$A34)+2,FALSE)</f>
        <v>2094</v>
      </c>
      <c r="CA34" s="34">
        <f>HLOOKUP(CA$7+0.5,$I$66:$DJ$120,ROWS($A$10:$A34)+2,FALSE)</f>
        <v>576</v>
      </c>
      <c r="CB34" s="34">
        <f>HLOOKUP(CB$7+0.5,$I$66:$DJ$120,ROWS($A$10:$A34)+2,FALSE)</f>
        <v>273</v>
      </c>
      <c r="CC34" s="34">
        <f>HLOOKUP(CC$7+0.5,$I$66:$DJ$120,ROWS($A$10:$A34)+2,FALSE)</f>
        <v>402</v>
      </c>
      <c r="CD34" s="34">
        <f>HLOOKUP(CD$7+0.5,$I$66:$DJ$120,ROWS($A$10:$A34)+2,FALSE)</f>
        <v>199</v>
      </c>
      <c r="CE34" s="34">
        <f>HLOOKUP(CE$7+0.5,$I$66:$DJ$120,ROWS($A$10:$A34)+2,FALSE)</f>
        <v>797</v>
      </c>
      <c r="CF34" s="34">
        <f>HLOOKUP(CF$7+0.5,$I$66:$DJ$120,ROWS($A$10:$A34)+2,FALSE)</f>
        <v>531</v>
      </c>
      <c r="CG34" s="34">
        <f>HLOOKUP(CG$7+0.5,$I$66:$DJ$120,ROWS($A$10:$A34)+2,FALSE)</f>
        <v>1867</v>
      </c>
      <c r="CH34" s="34" t="str">
        <f>HLOOKUP(CH$7+0.5,$I$66:$DJ$120,ROWS($A$10:$A34)+2,FALSE)</f>
        <v>N/A</v>
      </c>
      <c r="CI34" s="34">
        <f>HLOOKUP(CI$7+0.5,$I$66:$DJ$120,ROWS($A$10:$A34)+2,FALSE)</f>
        <v>169</v>
      </c>
      <c r="CJ34" s="34">
        <f>HLOOKUP(CJ$7+0.5,$I$66:$DJ$120,ROWS($A$10:$A34)+2,FALSE)</f>
        <v>898</v>
      </c>
      <c r="CK34" s="34">
        <f>HLOOKUP(CK$7+0.5,$I$66:$DJ$120,ROWS($A$10:$A34)+2,FALSE)</f>
        <v>547</v>
      </c>
      <c r="CL34" s="34">
        <f>HLOOKUP(CL$7+0.5,$I$66:$DJ$120,ROWS($A$10:$A34)+2,FALSE)</f>
        <v>415</v>
      </c>
      <c r="CM34" s="34">
        <f>HLOOKUP(CM$7+0.5,$I$66:$DJ$120,ROWS($A$10:$A34)+2,FALSE)</f>
        <v>364</v>
      </c>
      <c r="CN34" s="34">
        <f>HLOOKUP(CN$7+0.5,$I$66:$DJ$120,ROWS($A$10:$A34)+2,FALSE)</f>
        <v>142</v>
      </c>
      <c r="CO34" s="34">
        <f>HLOOKUP(CO$7+0.5,$I$66:$DJ$120,ROWS($A$10:$A34)+2,FALSE)</f>
        <v>416</v>
      </c>
      <c r="CP34" s="34">
        <f>HLOOKUP(CP$7+0.5,$I$66:$DJ$120,ROWS($A$10:$A34)+2,FALSE)</f>
        <v>137</v>
      </c>
      <c r="CQ34" s="34">
        <f>HLOOKUP(CQ$7+0.5,$I$66:$DJ$120,ROWS($A$10:$A34)+2,FALSE)</f>
        <v>650</v>
      </c>
      <c r="CR34" s="34">
        <f>HLOOKUP(CR$7+0.5,$I$66:$DJ$120,ROWS($A$10:$A34)+2,FALSE)</f>
        <v>808</v>
      </c>
      <c r="CS34" s="34">
        <f>HLOOKUP(CS$7+0.5,$I$66:$DJ$120,ROWS($A$10:$A34)+2,FALSE)</f>
        <v>1621</v>
      </c>
      <c r="CT34" s="34">
        <f>HLOOKUP(CT$7+0.5,$I$66:$DJ$120,ROWS($A$10:$A34)+2,FALSE)</f>
        <v>669</v>
      </c>
      <c r="CU34" s="34">
        <f>HLOOKUP(CU$7+0.5,$I$66:$DJ$120,ROWS($A$10:$A34)+2,FALSE)</f>
        <v>299</v>
      </c>
      <c r="CV34" s="34">
        <f>HLOOKUP(CV$7+0.5,$I$66:$DJ$120,ROWS($A$10:$A34)+2,FALSE)</f>
        <v>390</v>
      </c>
      <c r="CW34" s="34">
        <f>HLOOKUP(CW$7+0.5,$I$66:$DJ$120,ROWS($A$10:$A34)+2,FALSE)</f>
        <v>459</v>
      </c>
      <c r="CX34" s="34">
        <f>HLOOKUP(CX$7+0.5,$I$66:$DJ$120,ROWS($A$10:$A34)+2,FALSE)</f>
        <v>148</v>
      </c>
      <c r="CY34" s="34">
        <f>HLOOKUP(CY$7+0.5,$I$66:$DJ$120,ROWS($A$10:$A34)+2,FALSE)</f>
        <v>1554</v>
      </c>
      <c r="CZ34" s="34">
        <f>HLOOKUP(CZ$7+0.5,$I$66:$DJ$120,ROWS($A$10:$A34)+2,FALSE)</f>
        <v>922</v>
      </c>
      <c r="DA34" s="34">
        <f>HLOOKUP(DA$7+0.5,$I$66:$DJ$120,ROWS($A$10:$A34)+2,FALSE)</f>
        <v>1037</v>
      </c>
      <c r="DB34" s="34">
        <f>HLOOKUP(DB$7+0.5,$I$66:$DJ$120,ROWS($A$10:$A34)+2,FALSE)</f>
        <v>1241</v>
      </c>
      <c r="DC34" s="34">
        <f>HLOOKUP(DC$7+0.5,$I$66:$DJ$120,ROWS($A$10:$A34)+2,FALSE)</f>
        <v>792</v>
      </c>
      <c r="DD34" s="34">
        <f>HLOOKUP(DD$7+0.5,$I$66:$DJ$120,ROWS($A$10:$A34)+2,FALSE)</f>
        <v>211</v>
      </c>
      <c r="DE34" s="34">
        <f>HLOOKUP(DE$7+0.5,$I$66:$DJ$120,ROWS($A$10:$A34)+2,FALSE)</f>
        <v>1485</v>
      </c>
      <c r="DF34" s="34">
        <f>HLOOKUP(DF$7+0.5,$I$66:$DJ$120,ROWS($A$10:$A34)+2,FALSE)</f>
        <v>604</v>
      </c>
      <c r="DG34" s="34">
        <f>HLOOKUP(DG$7+0.5,$I$66:$DJ$120,ROWS($A$10:$A34)+2,FALSE)</f>
        <v>211</v>
      </c>
      <c r="DH34" s="34">
        <f>HLOOKUP(DH$7+0.5,$I$66:$DJ$120,ROWS($A$10:$A34)+2,FALSE)</f>
        <v>2252</v>
      </c>
      <c r="DI34" s="34">
        <f>HLOOKUP(DI$7+0.5,$I$66:$DJ$120,ROWS($A$10:$A34)+2,FALSE)</f>
        <v>280</v>
      </c>
      <c r="DJ34" s="34">
        <f>HLOOKUP(DJ$7+0.5,$I$66:$DJ$120,ROWS($A$10:$A34)+2,FALSE)</f>
        <v>62</v>
      </c>
    </row>
    <row r="35" spans="2:114" x14ac:dyDescent="0.25">
      <c r="B35" s="38" t="s">
        <v>31</v>
      </c>
      <c r="C35" s="16">
        <v>2931228</v>
      </c>
      <c r="D35" s="17">
        <v>3253</v>
      </c>
      <c r="E35" s="16">
        <v>2510729</v>
      </c>
      <c r="F35" s="17">
        <v>16977</v>
      </c>
      <c r="G35" s="16">
        <v>340266</v>
      </c>
      <c r="H35" s="17">
        <v>16300</v>
      </c>
      <c r="I35" s="36">
        <f>HLOOKUP(I$7,$I$66:$DJ$120,ROWS($A$10:$A35)+2,FALSE)</f>
        <v>72321</v>
      </c>
      <c r="J35" s="25">
        <f>HLOOKUP(J$7,$I$66:$DJ$120,ROWS($A$10:$A35)+2,FALSE)</f>
        <v>8306</v>
      </c>
      <c r="K35" s="25">
        <f>HLOOKUP(K$7,$I$66:$DJ$120,ROWS($A$10:$A35)+2,FALSE)</f>
        <v>1192</v>
      </c>
      <c r="L35" s="25">
        <f>HLOOKUP(L$7,$I$66:$DJ$120,ROWS($A$10:$A35)+2,FALSE)</f>
        <v>187</v>
      </c>
      <c r="M35" s="25">
        <f>HLOOKUP(M$7,$I$66:$DJ$120,ROWS($A$10:$A35)+2,FALSE)</f>
        <v>4941</v>
      </c>
      <c r="N35" s="25">
        <f>HLOOKUP(N$7,$I$66:$DJ$120,ROWS($A$10:$A35)+2,FALSE)</f>
        <v>3000</v>
      </c>
      <c r="O35" s="25">
        <f>HLOOKUP(O$7,$I$66:$DJ$120,ROWS($A$10:$A35)+2,FALSE)</f>
        <v>1167</v>
      </c>
      <c r="P35" s="25">
        <f>HLOOKUP(P$7,$I$66:$DJ$120,ROWS($A$10:$A35)+2,FALSE)</f>
        <v>71</v>
      </c>
      <c r="Q35" s="25">
        <f>HLOOKUP(Q$7,$I$66:$DJ$120,ROWS($A$10:$A35)+2,FALSE)</f>
        <v>0</v>
      </c>
      <c r="R35" s="25">
        <f>HLOOKUP(R$7,$I$66:$DJ$120,ROWS($A$10:$A35)+2,FALSE)</f>
        <v>0</v>
      </c>
      <c r="S35" s="25">
        <f>HLOOKUP(S$7,$I$66:$DJ$120,ROWS($A$10:$A35)+2,FALSE)</f>
        <v>4814</v>
      </c>
      <c r="T35" s="25">
        <f>HLOOKUP(T$7,$I$66:$DJ$120,ROWS($A$10:$A35)+2,FALSE)</f>
        <v>4014</v>
      </c>
      <c r="U35" s="25">
        <f>HLOOKUP(U$7,$I$66:$DJ$120,ROWS($A$10:$A35)+2,FALSE)</f>
        <v>276</v>
      </c>
      <c r="V35" s="25">
        <f>HLOOKUP(V$7,$I$66:$DJ$120,ROWS($A$10:$A35)+2,FALSE)</f>
        <v>121</v>
      </c>
      <c r="W35" s="25">
        <f>HLOOKUP(W$7,$I$66:$DJ$120,ROWS($A$10:$A35)+2,FALSE)</f>
        <v>3030</v>
      </c>
      <c r="X35" s="25">
        <f>HLOOKUP(X$7,$I$66:$DJ$120,ROWS($A$10:$A35)+2,FALSE)</f>
        <v>1403</v>
      </c>
      <c r="Y35" s="25">
        <f>HLOOKUP(Y$7,$I$66:$DJ$120,ROWS($A$10:$A35)+2,FALSE)</f>
        <v>114</v>
      </c>
      <c r="Z35" s="25">
        <f>HLOOKUP(Z$7,$I$66:$DJ$120,ROWS($A$10:$A35)+2,FALSE)</f>
        <v>330</v>
      </c>
      <c r="AA35" s="25">
        <f>HLOOKUP(AA$7,$I$66:$DJ$120,ROWS($A$10:$A35)+2,FALSE)</f>
        <v>407</v>
      </c>
      <c r="AB35" s="25">
        <f>HLOOKUP(AB$7,$I$66:$DJ$120,ROWS($A$10:$A35)+2,FALSE)</f>
        <v>7390</v>
      </c>
      <c r="AC35" s="25">
        <f>HLOOKUP(AC$7,$I$66:$DJ$120,ROWS($A$10:$A35)+2,FALSE)</f>
        <v>0</v>
      </c>
      <c r="AD35" s="25">
        <f>HLOOKUP(AD$7,$I$66:$DJ$120,ROWS($A$10:$A35)+2,FALSE)</f>
        <v>649</v>
      </c>
      <c r="AE35" s="25">
        <f>HLOOKUP(AE$7,$I$66:$DJ$120,ROWS($A$10:$A35)+2,FALSE)</f>
        <v>107</v>
      </c>
      <c r="AF35" s="25">
        <f>HLOOKUP(AF$7,$I$66:$DJ$120,ROWS($A$10:$A35)+2,FALSE)</f>
        <v>2495</v>
      </c>
      <c r="AG35" s="25">
        <f>HLOOKUP(AG$7,$I$66:$DJ$120,ROWS($A$10:$A35)+2,FALSE)</f>
        <v>863</v>
      </c>
      <c r="AH35" s="25" t="str">
        <f>HLOOKUP(AH$7,$I$66:$DJ$120,ROWS($A$10:$A35)+2,FALSE)</f>
        <v>N/A</v>
      </c>
      <c r="AI35" s="25">
        <f>HLOOKUP(AI$7,$I$66:$DJ$120,ROWS($A$10:$A35)+2,FALSE)</f>
        <v>959</v>
      </c>
      <c r="AJ35" s="25">
        <f>HLOOKUP(AJ$7,$I$66:$DJ$120,ROWS($A$10:$A35)+2,FALSE)</f>
        <v>314</v>
      </c>
      <c r="AK35" s="25">
        <f>HLOOKUP(AK$7,$I$66:$DJ$120,ROWS($A$10:$A35)+2,FALSE)</f>
        <v>0</v>
      </c>
      <c r="AL35" s="25">
        <f>HLOOKUP(AL$7,$I$66:$DJ$120,ROWS($A$10:$A35)+2,FALSE)</f>
        <v>408</v>
      </c>
      <c r="AM35" s="25">
        <f>HLOOKUP(AM$7,$I$66:$DJ$120,ROWS($A$10:$A35)+2,FALSE)</f>
        <v>0</v>
      </c>
      <c r="AN35" s="25">
        <f>HLOOKUP(AN$7,$I$66:$DJ$120,ROWS($A$10:$A35)+2,FALSE)</f>
        <v>403</v>
      </c>
      <c r="AO35" s="25">
        <f>HLOOKUP(AO$7,$I$66:$DJ$120,ROWS($A$10:$A35)+2,FALSE)</f>
        <v>633</v>
      </c>
      <c r="AP35" s="25">
        <f>HLOOKUP(AP$7,$I$66:$DJ$120,ROWS($A$10:$A35)+2,FALSE)</f>
        <v>1026</v>
      </c>
      <c r="AQ35" s="25">
        <f>HLOOKUP(AQ$7,$I$66:$DJ$120,ROWS($A$10:$A35)+2,FALSE)</f>
        <v>2227</v>
      </c>
      <c r="AR35" s="25">
        <f>HLOOKUP(AR$7,$I$66:$DJ$120,ROWS($A$10:$A35)+2,FALSE)</f>
        <v>0</v>
      </c>
      <c r="AS35" s="25">
        <f>HLOOKUP(AS$7,$I$66:$DJ$120,ROWS($A$10:$A35)+2,FALSE)</f>
        <v>1312</v>
      </c>
      <c r="AT35" s="25">
        <f>HLOOKUP(AT$7,$I$66:$DJ$120,ROWS($A$10:$A35)+2,FALSE)</f>
        <v>663</v>
      </c>
      <c r="AU35" s="25">
        <f>HLOOKUP(AU$7,$I$66:$DJ$120,ROWS($A$10:$A35)+2,FALSE)</f>
        <v>0</v>
      </c>
      <c r="AV35" s="25">
        <f>HLOOKUP(AV$7,$I$66:$DJ$120,ROWS($A$10:$A35)+2,FALSE)</f>
        <v>750</v>
      </c>
      <c r="AW35" s="25">
        <f>HLOOKUP(AW$7,$I$66:$DJ$120,ROWS($A$10:$A35)+2,FALSE)</f>
        <v>145</v>
      </c>
      <c r="AX35" s="25">
        <f>HLOOKUP(AX$7,$I$66:$DJ$120,ROWS($A$10:$A35)+2,FALSE)</f>
        <v>1860</v>
      </c>
      <c r="AY35" s="25">
        <f>HLOOKUP(AY$7,$I$66:$DJ$120,ROWS($A$10:$A35)+2,FALSE)</f>
        <v>56</v>
      </c>
      <c r="AZ35" s="25">
        <f>HLOOKUP(AZ$7,$I$66:$DJ$120,ROWS($A$10:$A35)+2,FALSE)</f>
        <v>8158</v>
      </c>
      <c r="BA35" s="25">
        <f>HLOOKUP(BA$7,$I$66:$DJ$120,ROWS($A$10:$A35)+2,FALSE)</f>
        <v>5755</v>
      </c>
      <c r="BB35" s="25">
        <f>HLOOKUP(BB$7,$I$66:$DJ$120,ROWS($A$10:$A35)+2,FALSE)</f>
        <v>232</v>
      </c>
      <c r="BC35" s="25">
        <f>HLOOKUP(BC$7,$I$66:$DJ$120,ROWS($A$10:$A35)+2,FALSE)</f>
        <v>0</v>
      </c>
      <c r="BD35" s="25">
        <f>HLOOKUP(BD$7,$I$66:$DJ$120,ROWS($A$10:$A35)+2,FALSE)</f>
        <v>572</v>
      </c>
      <c r="BE35" s="25">
        <f>HLOOKUP(BE$7,$I$66:$DJ$120,ROWS($A$10:$A35)+2,FALSE)</f>
        <v>508</v>
      </c>
      <c r="BF35" s="25">
        <f>HLOOKUP(BF$7,$I$66:$DJ$120,ROWS($A$10:$A35)+2,FALSE)</f>
        <v>94</v>
      </c>
      <c r="BG35" s="25">
        <f>HLOOKUP(BG$7,$I$66:$DJ$120,ROWS($A$10:$A35)+2,FALSE)</f>
        <v>879</v>
      </c>
      <c r="BH35" s="25">
        <f>HLOOKUP(BH$7,$I$66:$DJ$120,ROWS($A$10:$A35)+2,FALSE)</f>
        <v>490</v>
      </c>
      <c r="BI35" s="25">
        <f>HLOOKUP(BI$7,$I$66:$DJ$120,ROWS($A$10:$A35)+2,FALSE)</f>
        <v>814</v>
      </c>
      <c r="BJ35" s="34">
        <f>HLOOKUP(BJ$7+0.5,$I$66:$DJ$120,ROWS($A$10:$A35)+2,FALSE)</f>
        <v>5412</v>
      </c>
      <c r="BK35" s="34">
        <f>HLOOKUP(BK$7+0.5,$I$66:$DJ$120,ROWS($A$10:$A35)+2,FALSE)</f>
        <v>2433</v>
      </c>
      <c r="BL35" s="34">
        <f>HLOOKUP(BL$7+0.5,$I$66:$DJ$120,ROWS($A$10:$A35)+2,FALSE)</f>
        <v>1055</v>
      </c>
      <c r="BM35" s="34">
        <f>HLOOKUP(BM$7+0.5,$I$66:$DJ$120,ROWS($A$10:$A35)+2,FALSE)</f>
        <v>188</v>
      </c>
      <c r="BN35" s="34">
        <f>HLOOKUP(BN$7+0.5,$I$66:$DJ$120,ROWS($A$10:$A35)+2,FALSE)</f>
        <v>2495</v>
      </c>
      <c r="BO35" s="34">
        <f>HLOOKUP(BO$7+0.5,$I$66:$DJ$120,ROWS($A$10:$A35)+2,FALSE)</f>
        <v>1221</v>
      </c>
      <c r="BP35" s="34">
        <f>HLOOKUP(BP$7+0.5,$I$66:$DJ$120,ROWS($A$10:$A35)+2,FALSE)</f>
        <v>854</v>
      </c>
      <c r="BQ35" s="34">
        <f>HLOOKUP(BQ$7+0.5,$I$66:$DJ$120,ROWS($A$10:$A35)+2,FALSE)</f>
        <v>140</v>
      </c>
      <c r="BR35" s="34">
        <f>HLOOKUP(BR$7+0.5,$I$66:$DJ$120,ROWS($A$10:$A35)+2,FALSE)</f>
        <v>287</v>
      </c>
      <c r="BS35" s="34">
        <f>HLOOKUP(BS$7+0.5,$I$66:$DJ$120,ROWS($A$10:$A35)+2,FALSE)</f>
        <v>287</v>
      </c>
      <c r="BT35" s="34">
        <f>HLOOKUP(BT$7+0.5,$I$66:$DJ$120,ROWS($A$10:$A35)+2,FALSE)</f>
        <v>1372</v>
      </c>
      <c r="BU35" s="34">
        <f>HLOOKUP(BU$7+0.5,$I$66:$DJ$120,ROWS($A$10:$A35)+2,FALSE)</f>
        <v>1632</v>
      </c>
      <c r="BV35" s="34">
        <f>HLOOKUP(BV$7+0.5,$I$66:$DJ$120,ROWS($A$10:$A35)+2,FALSE)</f>
        <v>383</v>
      </c>
      <c r="BW35" s="34">
        <f>HLOOKUP(BW$7+0.5,$I$66:$DJ$120,ROWS($A$10:$A35)+2,FALSE)</f>
        <v>172</v>
      </c>
      <c r="BX35" s="34">
        <f>HLOOKUP(BX$7+0.5,$I$66:$DJ$120,ROWS($A$10:$A35)+2,FALSE)</f>
        <v>1391</v>
      </c>
      <c r="BY35" s="34">
        <f>HLOOKUP(BY$7+0.5,$I$66:$DJ$120,ROWS($A$10:$A35)+2,FALSE)</f>
        <v>1445</v>
      </c>
      <c r="BZ35" s="34">
        <f>HLOOKUP(BZ$7+0.5,$I$66:$DJ$120,ROWS($A$10:$A35)+2,FALSE)</f>
        <v>136</v>
      </c>
      <c r="CA35" s="34">
        <f>HLOOKUP(CA$7+0.5,$I$66:$DJ$120,ROWS($A$10:$A35)+2,FALSE)</f>
        <v>360</v>
      </c>
      <c r="CB35" s="34">
        <f>HLOOKUP(CB$7+0.5,$I$66:$DJ$120,ROWS($A$10:$A35)+2,FALSE)</f>
        <v>350</v>
      </c>
      <c r="CC35" s="34">
        <f>HLOOKUP(CC$7+0.5,$I$66:$DJ$120,ROWS($A$10:$A35)+2,FALSE)</f>
        <v>1780</v>
      </c>
      <c r="CD35" s="34">
        <f>HLOOKUP(CD$7+0.5,$I$66:$DJ$120,ROWS($A$10:$A35)+2,FALSE)</f>
        <v>287</v>
      </c>
      <c r="CE35" s="34">
        <f>HLOOKUP(CE$7+0.5,$I$66:$DJ$120,ROWS($A$10:$A35)+2,FALSE)</f>
        <v>529</v>
      </c>
      <c r="CF35" s="34">
        <f>HLOOKUP(CF$7+0.5,$I$66:$DJ$120,ROWS($A$10:$A35)+2,FALSE)</f>
        <v>154</v>
      </c>
      <c r="CG35" s="34">
        <f>HLOOKUP(CG$7+0.5,$I$66:$DJ$120,ROWS($A$10:$A35)+2,FALSE)</f>
        <v>1469</v>
      </c>
      <c r="CH35" s="34">
        <f>HLOOKUP(CH$7+0.5,$I$66:$DJ$120,ROWS($A$10:$A35)+2,FALSE)</f>
        <v>996</v>
      </c>
      <c r="CI35" s="34" t="str">
        <f>HLOOKUP(CI$7+0.5,$I$66:$DJ$120,ROWS($A$10:$A35)+2,FALSE)</f>
        <v>N/A</v>
      </c>
      <c r="CJ35" s="34">
        <f>HLOOKUP(CJ$7+0.5,$I$66:$DJ$120,ROWS($A$10:$A35)+2,FALSE)</f>
        <v>544</v>
      </c>
      <c r="CK35" s="34">
        <f>HLOOKUP(CK$7+0.5,$I$66:$DJ$120,ROWS($A$10:$A35)+2,FALSE)</f>
        <v>278</v>
      </c>
      <c r="CL35" s="34">
        <f>HLOOKUP(CL$7+0.5,$I$66:$DJ$120,ROWS($A$10:$A35)+2,FALSE)</f>
        <v>287</v>
      </c>
      <c r="CM35" s="34">
        <f>HLOOKUP(CM$7+0.5,$I$66:$DJ$120,ROWS($A$10:$A35)+2,FALSE)</f>
        <v>323</v>
      </c>
      <c r="CN35" s="34">
        <f>HLOOKUP(CN$7+0.5,$I$66:$DJ$120,ROWS($A$10:$A35)+2,FALSE)</f>
        <v>287</v>
      </c>
      <c r="CO35" s="34">
        <f>HLOOKUP(CO$7+0.5,$I$66:$DJ$120,ROWS($A$10:$A35)+2,FALSE)</f>
        <v>398</v>
      </c>
      <c r="CP35" s="34">
        <f>HLOOKUP(CP$7+0.5,$I$66:$DJ$120,ROWS($A$10:$A35)+2,FALSE)</f>
        <v>669</v>
      </c>
      <c r="CQ35" s="34">
        <f>HLOOKUP(CQ$7+0.5,$I$66:$DJ$120,ROWS($A$10:$A35)+2,FALSE)</f>
        <v>524</v>
      </c>
      <c r="CR35" s="34">
        <f>HLOOKUP(CR$7+0.5,$I$66:$DJ$120,ROWS($A$10:$A35)+2,FALSE)</f>
        <v>1080</v>
      </c>
      <c r="CS35" s="34">
        <f>HLOOKUP(CS$7+0.5,$I$66:$DJ$120,ROWS($A$10:$A35)+2,FALSE)</f>
        <v>287</v>
      </c>
      <c r="CT35" s="34">
        <f>HLOOKUP(CT$7+0.5,$I$66:$DJ$120,ROWS($A$10:$A35)+2,FALSE)</f>
        <v>783</v>
      </c>
      <c r="CU35" s="34">
        <f>HLOOKUP(CU$7+0.5,$I$66:$DJ$120,ROWS($A$10:$A35)+2,FALSE)</f>
        <v>520</v>
      </c>
      <c r="CV35" s="34">
        <f>HLOOKUP(CV$7+0.5,$I$66:$DJ$120,ROWS($A$10:$A35)+2,FALSE)</f>
        <v>287</v>
      </c>
      <c r="CW35" s="34">
        <f>HLOOKUP(CW$7+0.5,$I$66:$DJ$120,ROWS($A$10:$A35)+2,FALSE)</f>
        <v>499</v>
      </c>
      <c r="CX35" s="34">
        <f>HLOOKUP(CX$7+0.5,$I$66:$DJ$120,ROWS($A$10:$A35)+2,FALSE)</f>
        <v>241</v>
      </c>
      <c r="CY35" s="34">
        <f>HLOOKUP(CY$7+0.5,$I$66:$DJ$120,ROWS($A$10:$A35)+2,FALSE)</f>
        <v>982</v>
      </c>
      <c r="CZ35" s="34">
        <f>HLOOKUP(CZ$7+0.5,$I$66:$DJ$120,ROWS($A$10:$A35)+2,FALSE)</f>
        <v>99</v>
      </c>
      <c r="DA35" s="34">
        <f>HLOOKUP(DA$7+0.5,$I$66:$DJ$120,ROWS($A$10:$A35)+2,FALSE)</f>
        <v>2173</v>
      </c>
      <c r="DB35" s="34">
        <f>HLOOKUP(DB$7+0.5,$I$66:$DJ$120,ROWS($A$10:$A35)+2,FALSE)</f>
        <v>1663</v>
      </c>
      <c r="DC35" s="34">
        <f>HLOOKUP(DC$7+0.5,$I$66:$DJ$120,ROWS($A$10:$A35)+2,FALSE)</f>
        <v>229</v>
      </c>
      <c r="DD35" s="34">
        <f>HLOOKUP(DD$7+0.5,$I$66:$DJ$120,ROWS($A$10:$A35)+2,FALSE)</f>
        <v>287</v>
      </c>
      <c r="DE35" s="34">
        <f>HLOOKUP(DE$7+0.5,$I$66:$DJ$120,ROWS($A$10:$A35)+2,FALSE)</f>
        <v>350</v>
      </c>
      <c r="DF35" s="34">
        <f>HLOOKUP(DF$7+0.5,$I$66:$DJ$120,ROWS($A$10:$A35)+2,FALSE)</f>
        <v>492</v>
      </c>
      <c r="DG35" s="34">
        <f>HLOOKUP(DG$7+0.5,$I$66:$DJ$120,ROWS($A$10:$A35)+2,FALSE)</f>
        <v>177</v>
      </c>
      <c r="DH35" s="34">
        <f>HLOOKUP(DH$7+0.5,$I$66:$DJ$120,ROWS($A$10:$A35)+2,FALSE)</f>
        <v>630</v>
      </c>
      <c r="DI35" s="34">
        <f>HLOOKUP(DI$7+0.5,$I$66:$DJ$120,ROWS($A$10:$A35)+2,FALSE)</f>
        <v>422</v>
      </c>
      <c r="DJ35" s="34">
        <f>HLOOKUP(DJ$7+0.5,$I$66:$DJ$120,ROWS($A$10:$A35)+2,FALSE)</f>
        <v>728</v>
      </c>
    </row>
    <row r="36" spans="2:114" x14ac:dyDescent="0.25">
      <c r="B36" s="38" t="s">
        <v>32</v>
      </c>
      <c r="C36" s="16">
        <v>5920858</v>
      </c>
      <c r="D36" s="17">
        <v>4730</v>
      </c>
      <c r="E36" s="16">
        <v>4968921</v>
      </c>
      <c r="F36" s="17">
        <v>23164</v>
      </c>
      <c r="G36" s="16">
        <v>786726</v>
      </c>
      <c r="H36" s="17">
        <v>21904</v>
      </c>
      <c r="I36" s="36">
        <f>HLOOKUP(I$7,$I$66:$DJ$120,ROWS($A$10:$A36)+2,FALSE)</f>
        <v>145226</v>
      </c>
      <c r="J36" s="25">
        <f>HLOOKUP(J$7,$I$66:$DJ$120,ROWS($A$10:$A36)+2,FALSE)</f>
        <v>819</v>
      </c>
      <c r="K36" s="25">
        <f>HLOOKUP(K$7,$I$66:$DJ$120,ROWS($A$10:$A36)+2,FALSE)</f>
        <v>1051</v>
      </c>
      <c r="L36" s="25">
        <f>HLOOKUP(L$7,$I$66:$DJ$120,ROWS($A$10:$A36)+2,FALSE)</f>
        <v>2988</v>
      </c>
      <c r="M36" s="25">
        <f>HLOOKUP(M$7,$I$66:$DJ$120,ROWS($A$10:$A36)+2,FALSE)</f>
        <v>4381</v>
      </c>
      <c r="N36" s="25">
        <f>HLOOKUP(N$7,$I$66:$DJ$120,ROWS($A$10:$A36)+2,FALSE)</f>
        <v>9840</v>
      </c>
      <c r="O36" s="25">
        <f>HLOOKUP(O$7,$I$66:$DJ$120,ROWS($A$10:$A36)+2,FALSE)</f>
        <v>1903</v>
      </c>
      <c r="P36" s="25">
        <f>HLOOKUP(P$7,$I$66:$DJ$120,ROWS($A$10:$A36)+2,FALSE)</f>
        <v>243</v>
      </c>
      <c r="Q36" s="25">
        <f>HLOOKUP(Q$7,$I$66:$DJ$120,ROWS($A$10:$A36)+2,FALSE)</f>
        <v>314</v>
      </c>
      <c r="R36" s="25">
        <f>HLOOKUP(R$7,$I$66:$DJ$120,ROWS($A$10:$A36)+2,FALSE)</f>
        <v>478</v>
      </c>
      <c r="S36" s="25">
        <f>HLOOKUP(S$7,$I$66:$DJ$120,ROWS($A$10:$A36)+2,FALSE)</f>
        <v>8317</v>
      </c>
      <c r="T36" s="25">
        <f>HLOOKUP(T$7,$I$66:$DJ$120,ROWS($A$10:$A36)+2,FALSE)</f>
        <v>2492</v>
      </c>
      <c r="U36" s="25">
        <f>HLOOKUP(U$7,$I$66:$DJ$120,ROWS($A$10:$A36)+2,FALSE)</f>
        <v>380</v>
      </c>
      <c r="V36" s="25">
        <f>HLOOKUP(V$7,$I$66:$DJ$120,ROWS($A$10:$A36)+2,FALSE)</f>
        <v>830</v>
      </c>
      <c r="W36" s="25">
        <f>HLOOKUP(W$7,$I$66:$DJ$120,ROWS($A$10:$A36)+2,FALSE)</f>
        <v>21277</v>
      </c>
      <c r="X36" s="25">
        <f>HLOOKUP(X$7,$I$66:$DJ$120,ROWS($A$10:$A36)+2,FALSE)</f>
        <v>3351</v>
      </c>
      <c r="Y36" s="25">
        <f>HLOOKUP(Y$7,$I$66:$DJ$120,ROWS($A$10:$A36)+2,FALSE)</f>
        <v>4708</v>
      </c>
      <c r="Z36" s="25">
        <f>HLOOKUP(Z$7,$I$66:$DJ$120,ROWS($A$10:$A36)+2,FALSE)</f>
        <v>23427</v>
      </c>
      <c r="AA36" s="25">
        <f>HLOOKUP(AA$7,$I$66:$DJ$120,ROWS($A$10:$A36)+2,FALSE)</f>
        <v>2552</v>
      </c>
      <c r="AB36" s="25">
        <f>HLOOKUP(AB$7,$I$66:$DJ$120,ROWS($A$10:$A36)+2,FALSE)</f>
        <v>2238</v>
      </c>
      <c r="AC36" s="25">
        <f>HLOOKUP(AC$7,$I$66:$DJ$120,ROWS($A$10:$A36)+2,FALSE)</f>
        <v>171</v>
      </c>
      <c r="AD36" s="25">
        <f>HLOOKUP(AD$7,$I$66:$DJ$120,ROWS($A$10:$A36)+2,FALSE)</f>
        <v>1359</v>
      </c>
      <c r="AE36" s="25">
        <f>HLOOKUP(AE$7,$I$66:$DJ$120,ROWS($A$10:$A36)+2,FALSE)</f>
        <v>1395</v>
      </c>
      <c r="AF36" s="25">
        <f>HLOOKUP(AF$7,$I$66:$DJ$120,ROWS($A$10:$A36)+2,FALSE)</f>
        <v>2610</v>
      </c>
      <c r="AG36" s="25">
        <f>HLOOKUP(AG$7,$I$66:$DJ$120,ROWS($A$10:$A36)+2,FALSE)</f>
        <v>1701</v>
      </c>
      <c r="AH36" s="25">
        <f>HLOOKUP(AH$7,$I$66:$DJ$120,ROWS($A$10:$A36)+2,FALSE)</f>
        <v>1183</v>
      </c>
      <c r="AI36" s="25" t="str">
        <f>HLOOKUP(AI$7,$I$66:$DJ$120,ROWS($A$10:$A36)+2,FALSE)</f>
        <v>N/A</v>
      </c>
      <c r="AJ36" s="25">
        <f>HLOOKUP(AJ$7,$I$66:$DJ$120,ROWS($A$10:$A36)+2,FALSE)</f>
        <v>220</v>
      </c>
      <c r="AK36" s="25">
        <f>HLOOKUP(AK$7,$I$66:$DJ$120,ROWS($A$10:$A36)+2,FALSE)</f>
        <v>2636</v>
      </c>
      <c r="AL36" s="25">
        <f>HLOOKUP(AL$7,$I$66:$DJ$120,ROWS($A$10:$A36)+2,FALSE)</f>
        <v>1060</v>
      </c>
      <c r="AM36" s="25">
        <f>HLOOKUP(AM$7,$I$66:$DJ$120,ROWS($A$10:$A36)+2,FALSE)</f>
        <v>108</v>
      </c>
      <c r="AN36" s="25">
        <f>HLOOKUP(AN$7,$I$66:$DJ$120,ROWS($A$10:$A36)+2,FALSE)</f>
        <v>1320</v>
      </c>
      <c r="AO36" s="25">
        <f>HLOOKUP(AO$7,$I$66:$DJ$120,ROWS($A$10:$A36)+2,FALSE)</f>
        <v>150</v>
      </c>
      <c r="AP36" s="25">
        <f>HLOOKUP(AP$7,$I$66:$DJ$120,ROWS($A$10:$A36)+2,FALSE)</f>
        <v>2630</v>
      </c>
      <c r="AQ36" s="25">
        <f>HLOOKUP(AQ$7,$I$66:$DJ$120,ROWS($A$10:$A36)+2,FALSE)</f>
        <v>1825</v>
      </c>
      <c r="AR36" s="25">
        <f>HLOOKUP(AR$7,$I$66:$DJ$120,ROWS($A$10:$A36)+2,FALSE)</f>
        <v>848</v>
      </c>
      <c r="AS36" s="25">
        <f>HLOOKUP(AS$7,$I$66:$DJ$120,ROWS($A$10:$A36)+2,FALSE)</f>
        <v>2163</v>
      </c>
      <c r="AT36" s="25">
        <f>HLOOKUP(AT$7,$I$66:$DJ$120,ROWS($A$10:$A36)+2,FALSE)</f>
        <v>4647</v>
      </c>
      <c r="AU36" s="25">
        <f>HLOOKUP(AU$7,$I$66:$DJ$120,ROWS($A$10:$A36)+2,FALSE)</f>
        <v>314</v>
      </c>
      <c r="AV36" s="25">
        <f>HLOOKUP(AV$7,$I$66:$DJ$120,ROWS($A$10:$A36)+2,FALSE)</f>
        <v>1639</v>
      </c>
      <c r="AW36" s="25">
        <f>HLOOKUP(AW$7,$I$66:$DJ$120,ROWS($A$10:$A36)+2,FALSE)</f>
        <v>0</v>
      </c>
      <c r="AX36" s="25">
        <f>HLOOKUP(AX$7,$I$66:$DJ$120,ROWS($A$10:$A36)+2,FALSE)</f>
        <v>954</v>
      </c>
      <c r="AY36" s="25">
        <f>HLOOKUP(AY$7,$I$66:$DJ$120,ROWS($A$10:$A36)+2,FALSE)</f>
        <v>512</v>
      </c>
      <c r="AZ36" s="25">
        <f>HLOOKUP(AZ$7,$I$66:$DJ$120,ROWS($A$10:$A36)+2,FALSE)</f>
        <v>3311</v>
      </c>
      <c r="BA36" s="25">
        <f>HLOOKUP(BA$7,$I$66:$DJ$120,ROWS($A$10:$A36)+2,FALSE)</f>
        <v>12884</v>
      </c>
      <c r="BB36" s="25">
        <f>HLOOKUP(BB$7,$I$66:$DJ$120,ROWS($A$10:$A36)+2,FALSE)</f>
        <v>1319</v>
      </c>
      <c r="BC36" s="25">
        <f>HLOOKUP(BC$7,$I$66:$DJ$120,ROWS($A$10:$A36)+2,FALSE)</f>
        <v>498</v>
      </c>
      <c r="BD36" s="25">
        <f>HLOOKUP(BD$7,$I$66:$DJ$120,ROWS($A$10:$A36)+2,FALSE)</f>
        <v>3206</v>
      </c>
      <c r="BE36" s="25">
        <f>HLOOKUP(BE$7,$I$66:$DJ$120,ROWS($A$10:$A36)+2,FALSE)</f>
        <v>1107</v>
      </c>
      <c r="BF36" s="25">
        <f>HLOOKUP(BF$7,$I$66:$DJ$120,ROWS($A$10:$A36)+2,FALSE)</f>
        <v>177</v>
      </c>
      <c r="BG36" s="25">
        <f>HLOOKUP(BG$7,$I$66:$DJ$120,ROWS($A$10:$A36)+2,FALSE)</f>
        <v>1331</v>
      </c>
      <c r="BH36" s="25">
        <f>HLOOKUP(BH$7,$I$66:$DJ$120,ROWS($A$10:$A36)+2,FALSE)</f>
        <v>359</v>
      </c>
      <c r="BI36" s="25">
        <f>HLOOKUP(BI$7,$I$66:$DJ$120,ROWS($A$10:$A36)+2,FALSE)</f>
        <v>867</v>
      </c>
      <c r="BJ36" s="34">
        <f>HLOOKUP(BJ$7+0.5,$I$66:$DJ$120,ROWS($A$10:$A36)+2,FALSE)</f>
        <v>7633</v>
      </c>
      <c r="BK36" s="34">
        <f>HLOOKUP(BK$7+0.5,$I$66:$DJ$120,ROWS($A$10:$A36)+2,FALSE)</f>
        <v>561</v>
      </c>
      <c r="BL36" s="34">
        <f>HLOOKUP(BL$7+0.5,$I$66:$DJ$120,ROWS($A$10:$A36)+2,FALSE)</f>
        <v>822</v>
      </c>
      <c r="BM36" s="34">
        <f>HLOOKUP(BM$7+0.5,$I$66:$DJ$120,ROWS($A$10:$A36)+2,FALSE)</f>
        <v>1145</v>
      </c>
      <c r="BN36" s="34">
        <f>HLOOKUP(BN$7+0.5,$I$66:$DJ$120,ROWS($A$10:$A36)+2,FALSE)</f>
        <v>1133</v>
      </c>
      <c r="BO36" s="34">
        <f>HLOOKUP(BO$7+0.5,$I$66:$DJ$120,ROWS($A$10:$A36)+2,FALSE)</f>
        <v>2218</v>
      </c>
      <c r="BP36" s="34">
        <f>HLOOKUP(BP$7+0.5,$I$66:$DJ$120,ROWS($A$10:$A36)+2,FALSE)</f>
        <v>781</v>
      </c>
      <c r="BQ36" s="34">
        <f>HLOOKUP(BQ$7+0.5,$I$66:$DJ$120,ROWS($A$10:$A36)+2,FALSE)</f>
        <v>282</v>
      </c>
      <c r="BR36" s="34">
        <f>HLOOKUP(BR$7+0.5,$I$66:$DJ$120,ROWS($A$10:$A36)+2,FALSE)</f>
        <v>322</v>
      </c>
      <c r="BS36" s="34">
        <f>HLOOKUP(BS$7+0.5,$I$66:$DJ$120,ROWS($A$10:$A36)+2,FALSE)</f>
        <v>322</v>
      </c>
      <c r="BT36" s="34">
        <f>HLOOKUP(BT$7+0.5,$I$66:$DJ$120,ROWS($A$10:$A36)+2,FALSE)</f>
        <v>2320</v>
      </c>
      <c r="BU36" s="34">
        <f>HLOOKUP(BU$7+0.5,$I$66:$DJ$120,ROWS($A$10:$A36)+2,FALSE)</f>
        <v>1119</v>
      </c>
      <c r="BV36" s="34">
        <f>HLOOKUP(BV$7+0.5,$I$66:$DJ$120,ROWS($A$10:$A36)+2,FALSE)</f>
        <v>294</v>
      </c>
      <c r="BW36" s="34">
        <f>HLOOKUP(BW$7+0.5,$I$66:$DJ$120,ROWS($A$10:$A36)+2,FALSE)</f>
        <v>909</v>
      </c>
      <c r="BX36" s="34">
        <f>HLOOKUP(BX$7+0.5,$I$66:$DJ$120,ROWS($A$10:$A36)+2,FALSE)</f>
        <v>3689</v>
      </c>
      <c r="BY36" s="34">
        <f>HLOOKUP(BY$7+0.5,$I$66:$DJ$120,ROWS($A$10:$A36)+2,FALSE)</f>
        <v>1123</v>
      </c>
      <c r="BZ36" s="34">
        <f>HLOOKUP(BZ$7+0.5,$I$66:$DJ$120,ROWS($A$10:$A36)+2,FALSE)</f>
        <v>1328</v>
      </c>
      <c r="CA36" s="34">
        <f>HLOOKUP(CA$7+0.5,$I$66:$DJ$120,ROWS($A$10:$A36)+2,FALSE)</f>
        <v>3689</v>
      </c>
      <c r="CB36" s="34">
        <f>HLOOKUP(CB$7+0.5,$I$66:$DJ$120,ROWS($A$10:$A36)+2,FALSE)</f>
        <v>1075</v>
      </c>
      <c r="CC36" s="34">
        <f>HLOOKUP(CC$7+0.5,$I$66:$DJ$120,ROWS($A$10:$A36)+2,FALSE)</f>
        <v>2007</v>
      </c>
      <c r="CD36" s="34">
        <f>HLOOKUP(CD$7+0.5,$I$66:$DJ$120,ROWS($A$10:$A36)+2,FALSE)</f>
        <v>179</v>
      </c>
      <c r="CE36" s="34">
        <f>HLOOKUP(CE$7+0.5,$I$66:$DJ$120,ROWS($A$10:$A36)+2,FALSE)</f>
        <v>812</v>
      </c>
      <c r="CF36" s="34">
        <f>HLOOKUP(CF$7+0.5,$I$66:$DJ$120,ROWS($A$10:$A36)+2,FALSE)</f>
        <v>931</v>
      </c>
      <c r="CG36" s="34">
        <f>HLOOKUP(CG$7+0.5,$I$66:$DJ$120,ROWS($A$10:$A36)+2,FALSE)</f>
        <v>954</v>
      </c>
      <c r="CH36" s="34">
        <f>HLOOKUP(CH$7+0.5,$I$66:$DJ$120,ROWS($A$10:$A36)+2,FALSE)</f>
        <v>810</v>
      </c>
      <c r="CI36" s="34">
        <f>HLOOKUP(CI$7+0.5,$I$66:$DJ$120,ROWS($A$10:$A36)+2,FALSE)</f>
        <v>510</v>
      </c>
      <c r="CJ36" s="34" t="str">
        <f>HLOOKUP(CJ$7+0.5,$I$66:$DJ$120,ROWS($A$10:$A36)+2,FALSE)</f>
        <v>N/A</v>
      </c>
      <c r="CK36" s="34">
        <f>HLOOKUP(CK$7+0.5,$I$66:$DJ$120,ROWS($A$10:$A36)+2,FALSE)</f>
        <v>192</v>
      </c>
      <c r="CL36" s="34">
        <f>HLOOKUP(CL$7+0.5,$I$66:$DJ$120,ROWS($A$10:$A36)+2,FALSE)</f>
        <v>1240</v>
      </c>
      <c r="CM36" s="34">
        <f>HLOOKUP(CM$7+0.5,$I$66:$DJ$120,ROWS($A$10:$A36)+2,FALSE)</f>
        <v>648</v>
      </c>
      <c r="CN36" s="34">
        <f>HLOOKUP(CN$7+0.5,$I$66:$DJ$120,ROWS($A$10:$A36)+2,FALSE)</f>
        <v>180</v>
      </c>
      <c r="CO36" s="34">
        <f>HLOOKUP(CO$7+0.5,$I$66:$DJ$120,ROWS($A$10:$A36)+2,FALSE)</f>
        <v>804</v>
      </c>
      <c r="CP36" s="34">
        <f>HLOOKUP(CP$7+0.5,$I$66:$DJ$120,ROWS($A$10:$A36)+2,FALSE)</f>
        <v>147</v>
      </c>
      <c r="CQ36" s="34">
        <f>HLOOKUP(CQ$7+0.5,$I$66:$DJ$120,ROWS($A$10:$A36)+2,FALSE)</f>
        <v>1474</v>
      </c>
      <c r="CR36" s="34">
        <f>HLOOKUP(CR$7+0.5,$I$66:$DJ$120,ROWS($A$10:$A36)+2,FALSE)</f>
        <v>760</v>
      </c>
      <c r="CS36" s="34">
        <f>HLOOKUP(CS$7+0.5,$I$66:$DJ$120,ROWS($A$10:$A36)+2,FALSE)</f>
        <v>1186</v>
      </c>
      <c r="CT36" s="34">
        <f>HLOOKUP(CT$7+0.5,$I$66:$DJ$120,ROWS($A$10:$A36)+2,FALSE)</f>
        <v>847</v>
      </c>
      <c r="CU36" s="34">
        <f>HLOOKUP(CU$7+0.5,$I$66:$DJ$120,ROWS($A$10:$A36)+2,FALSE)</f>
        <v>1478</v>
      </c>
      <c r="CV36" s="34">
        <f>HLOOKUP(CV$7+0.5,$I$66:$DJ$120,ROWS($A$10:$A36)+2,FALSE)</f>
        <v>204</v>
      </c>
      <c r="CW36" s="34">
        <f>HLOOKUP(CW$7+0.5,$I$66:$DJ$120,ROWS($A$10:$A36)+2,FALSE)</f>
        <v>755</v>
      </c>
      <c r="CX36" s="34">
        <f>HLOOKUP(CX$7+0.5,$I$66:$DJ$120,ROWS($A$10:$A36)+2,FALSE)</f>
        <v>259</v>
      </c>
      <c r="CY36" s="34">
        <f>HLOOKUP(CY$7+0.5,$I$66:$DJ$120,ROWS($A$10:$A36)+2,FALSE)</f>
        <v>578</v>
      </c>
      <c r="CZ36" s="34">
        <f>HLOOKUP(CZ$7+0.5,$I$66:$DJ$120,ROWS($A$10:$A36)+2,FALSE)</f>
        <v>445</v>
      </c>
      <c r="DA36" s="34">
        <f>HLOOKUP(DA$7+0.5,$I$66:$DJ$120,ROWS($A$10:$A36)+2,FALSE)</f>
        <v>1272</v>
      </c>
      <c r="DB36" s="34">
        <f>HLOOKUP(DB$7+0.5,$I$66:$DJ$120,ROWS($A$10:$A36)+2,FALSE)</f>
        <v>3043</v>
      </c>
      <c r="DC36" s="34">
        <f>HLOOKUP(DC$7+0.5,$I$66:$DJ$120,ROWS($A$10:$A36)+2,FALSE)</f>
        <v>664</v>
      </c>
      <c r="DD36" s="34">
        <f>HLOOKUP(DD$7+0.5,$I$66:$DJ$120,ROWS($A$10:$A36)+2,FALSE)</f>
        <v>524</v>
      </c>
      <c r="DE36" s="34">
        <f>HLOOKUP(DE$7+0.5,$I$66:$DJ$120,ROWS($A$10:$A36)+2,FALSE)</f>
        <v>1413</v>
      </c>
      <c r="DF36" s="34">
        <f>HLOOKUP(DF$7+0.5,$I$66:$DJ$120,ROWS($A$10:$A36)+2,FALSE)</f>
        <v>748</v>
      </c>
      <c r="DG36" s="34">
        <f>HLOOKUP(DG$7+0.5,$I$66:$DJ$120,ROWS($A$10:$A36)+2,FALSE)</f>
        <v>231</v>
      </c>
      <c r="DH36" s="34">
        <f>HLOOKUP(DH$7+0.5,$I$66:$DJ$120,ROWS($A$10:$A36)+2,FALSE)</f>
        <v>693</v>
      </c>
      <c r="DI36" s="34">
        <f>HLOOKUP(DI$7+0.5,$I$66:$DJ$120,ROWS($A$10:$A36)+2,FALSE)</f>
        <v>496</v>
      </c>
      <c r="DJ36" s="34">
        <f>HLOOKUP(DJ$7+0.5,$I$66:$DJ$120,ROWS($A$10:$A36)+2,FALSE)</f>
        <v>658</v>
      </c>
    </row>
    <row r="37" spans="2:114" x14ac:dyDescent="0.25">
      <c r="B37" s="38" t="s">
        <v>33</v>
      </c>
      <c r="C37" s="16">
        <v>978507</v>
      </c>
      <c r="D37" s="17">
        <v>1744</v>
      </c>
      <c r="E37" s="16">
        <v>821709</v>
      </c>
      <c r="F37" s="17">
        <v>7063</v>
      </c>
      <c r="G37" s="16">
        <v>117752</v>
      </c>
      <c r="H37" s="17">
        <v>6986</v>
      </c>
      <c r="I37" s="36">
        <f>HLOOKUP(I$7,$I$66:$DJ$120,ROWS($A$10:$A37)+2,FALSE)</f>
        <v>35630</v>
      </c>
      <c r="J37" s="25">
        <f>HLOOKUP(J$7,$I$66:$DJ$120,ROWS($A$10:$A37)+2,FALSE)</f>
        <v>212</v>
      </c>
      <c r="K37" s="25">
        <f>HLOOKUP(K$7,$I$66:$DJ$120,ROWS($A$10:$A37)+2,FALSE)</f>
        <v>650</v>
      </c>
      <c r="L37" s="25">
        <f>HLOOKUP(L$7,$I$66:$DJ$120,ROWS($A$10:$A37)+2,FALSE)</f>
        <v>1909</v>
      </c>
      <c r="M37" s="25">
        <f>HLOOKUP(M$7,$I$66:$DJ$120,ROWS($A$10:$A37)+2,FALSE)</f>
        <v>672</v>
      </c>
      <c r="N37" s="25">
        <f>HLOOKUP(N$7,$I$66:$DJ$120,ROWS($A$10:$A37)+2,FALSE)</f>
        <v>5756</v>
      </c>
      <c r="O37" s="25">
        <f>HLOOKUP(O$7,$I$66:$DJ$120,ROWS($A$10:$A37)+2,FALSE)</f>
        <v>2185</v>
      </c>
      <c r="P37" s="25">
        <f>HLOOKUP(P$7,$I$66:$DJ$120,ROWS($A$10:$A37)+2,FALSE)</f>
        <v>128</v>
      </c>
      <c r="Q37" s="25">
        <f>HLOOKUP(Q$7,$I$66:$DJ$120,ROWS($A$10:$A37)+2,FALSE)</f>
        <v>71</v>
      </c>
      <c r="R37" s="25">
        <f>HLOOKUP(R$7,$I$66:$DJ$120,ROWS($A$10:$A37)+2,FALSE)</f>
        <v>0</v>
      </c>
      <c r="S37" s="25">
        <f>HLOOKUP(S$7,$I$66:$DJ$120,ROWS($A$10:$A37)+2,FALSE)</f>
        <v>1373</v>
      </c>
      <c r="T37" s="25">
        <f>HLOOKUP(T$7,$I$66:$DJ$120,ROWS($A$10:$A37)+2,FALSE)</f>
        <v>46</v>
      </c>
      <c r="U37" s="25">
        <f>HLOOKUP(U$7,$I$66:$DJ$120,ROWS($A$10:$A37)+2,FALSE)</f>
        <v>0</v>
      </c>
      <c r="V37" s="25">
        <f>HLOOKUP(V$7,$I$66:$DJ$120,ROWS($A$10:$A37)+2,FALSE)</f>
        <v>1458</v>
      </c>
      <c r="W37" s="25">
        <f>HLOOKUP(W$7,$I$66:$DJ$120,ROWS($A$10:$A37)+2,FALSE)</f>
        <v>1094</v>
      </c>
      <c r="X37" s="25">
        <f>HLOOKUP(X$7,$I$66:$DJ$120,ROWS($A$10:$A37)+2,FALSE)</f>
        <v>251</v>
      </c>
      <c r="Y37" s="25">
        <f>HLOOKUP(Y$7,$I$66:$DJ$120,ROWS($A$10:$A37)+2,FALSE)</f>
        <v>169</v>
      </c>
      <c r="Z37" s="25">
        <f>HLOOKUP(Z$7,$I$66:$DJ$120,ROWS($A$10:$A37)+2,FALSE)</f>
        <v>60</v>
      </c>
      <c r="AA37" s="25">
        <f>HLOOKUP(AA$7,$I$66:$DJ$120,ROWS($A$10:$A37)+2,FALSE)</f>
        <v>321</v>
      </c>
      <c r="AB37" s="25">
        <f>HLOOKUP(AB$7,$I$66:$DJ$120,ROWS($A$10:$A37)+2,FALSE)</f>
        <v>85</v>
      </c>
      <c r="AC37" s="25">
        <f>HLOOKUP(AC$7,$I$66:$DJ$120,ROWS($A$10:$A37)+2,FALSE)</f>
        <v>76</v>
      </c>
      <c r="AD37" s="25">
        <f>HLOOKUP(AD$7,$I$66:$DJ$120,ROWS($A$10:$A37)+2,FALSE)</f>
        <v>51</v>
      </c>
      <c r="AE37" s="25">
        <f>HLOOKUP(AE$7,$I$66:$DJ$120,ROWS($A$10:$A37)+2,FALSE)</f>
        <v>59</v>
      </c>
      <c r="AF37" s="25">
        <f>HLOOKUP(AF$7,$I$66:$DJ$120,ROWS($A$10:$A37)+2,FALSE)</f>
        <v>648</v>
      </c>
      <c r="AG37" s="25">
        <f>HLOOKUP(AG$7,$I$66:$DJ$120,ROWS($A$10:$A37)+2,FALSE)</f>
        <v>1323</v>
      </c>
      <c r="AH37" s="25">
        <f>HLOOKUP(AH$7,$I$66:$DJ$120,ROWS($A$10:$A37)+2,FALSE)</f>
        <v>242</v>
      </c>
      <c r="AI37" s="25">
        <f>HLOOKUP(AI$7,$I$66:$DJ$120,ROWS($A$10:$A37)+2,FALSE)</f>
        <v>564</v>
      </c>
      <c r="AJ37" s="25" t="str">
        <f>HLOOKUP(AJ$7,$I$66:$DJ$120,ROWS($A$10:$A37)+2,FALSE)</f>
        <v>N/A</v>
      </c>
      <c r="AK37" s="25">
        <f>HLOOKUP(AK$7,$I$66:$DJ$120,ROWS($A$10:$A37)+2,FALSE)</f>
        <v>340</v>
      </c>
      <c r="AL37" s="25">
        <f>HLOOKUP(AL$7,$I$66:$DJ$120,ROWS($A$10:$A37)+2,FALSE)</f>
        <v>548</v>
      </c>
      <c r="AM37" s="25">
        <f>HLOOKUP(AM$7,$I$66:$DJ$120,ROWS($A$10:$A37)+2,FALSE)</f>
        <v>0</v>
      </c>
      <c r="AN37" s="25">
        <f>HLOOKUP(AN$7,$I$66:$DJ$120,ROWS($A$10:$A37)+2,FALSE)</f>
        <v>0</v>
      </c>
      <c r="AO37" s="25">
        <f>HLOOKUP(AO$7,$I$66:$DJ$120,ROWS($A$10:$A37)+2,FALSE)</f>
        <v>660</v>
      </c>
      <c r="AP37" s="25">
        <f>HLOOKUP(AP$7,$I$66:$DJ$120,ROWS($A$10:$A37)+2,FALSE)</f>
        <v>246</v>
      </c>
      <c r="AQ37" s="25">
        <f>HLOOKUP(AQ$7,$I$66:$DJ$120,ROWS($A$10:$A37)+2,FALSE)</f>
        <v>1072</v>
      </c>
      <c r="AR37" s="25">
        <f>HLOOKUP(AR$7,$I$66:$DJ$120,ROWS($A$10:$A37)+2,FALSE)</f>
        <v>1677</v>
      </c>
      <c r="AS37" s="25">
        <f>HLOOKUP(AS$7,$I$66:$DJ$120,ROWS($A$10:$A37)+2,FALSE)</f>
        <v>89</v>
      </c>
      <c r="AT37" s="25">
        <f>HLOOKUP(AT$7,$I$66:$DJ$120,ROWS($A$10:$A37)+2,FALSE)</f>
        <v>182</v>
      </c>
      <c r="AU37" s="25">
        <f>HLOOKUP(AU$7,$I$66:$DJ$120,ROWS($A$10:$A37)+2,FALSE)</f>
        <v>1620</v>
      </c>
      <c r="AV37" s="25">
        <f>HLOOKUP(AV$7,$I$66:$DJ$120,ROWS($A$10:$A37)+2,FALSE)</f>
        <v>419</v>
      </c>
      <c r="AW37" s="25">
        <f>HLOOKUP(AW$7,$I$66:$DJ$120,ROWS($A$10:$A37)+2,FALSE)</f>
        <v>0</v>
      </c>
      <c r="AX37" s="25">
        <f>HLOOKUP(AX$7,$I$66:$DJ$120,ROWS($A$10:$A37)+2,FALSE)</f>
        <v>110</v>
      </c>
      <c r="AY37" s="25">
        <f>HLOOKUP(AY$7,$I$66:$DJ$120,ROWS($A$10:$A37)+2,FALSE)</f>
        <v>295</v>
      </c>
      <c r="AZ37" s="25">
        <f>HLOOKUP(AZ$7,$I$66:$DJ$120,ROWS($A$10:$A37)+2,FALSE)</f>
        <v>111</v>
      </c>
      <c r="BA37" s="25">
        <f>HLOOKUP(BA$7,$I$66:$DJ$120,ROWS($A$10:$A37)+2,FALSE)</f>
        <v>2101</v>
      </c>
      <c r="BB37" s="25">
        <f>HLOOKUP(BB$7,$I$66:$DJ$120,ROWS($A$10:$A37)+2,FALSE)</f>
        <v>964</v>
      </c>
      <c r="BC37" s="25">
        <f>HLOOKUP(BC$7,$I$66:$DJ$120,ROWS($A$10:$A37)+2,FALSE)</f>
        <v>0</v>
      </c>
      <c r="BD37" s="25">
        <f>HLOOKUP(BD$7,$I$66:$DJ$120,ROWS($A$10:$A37)+2,FALSE)</f>
        <v>497</v>
      </c>
      <c r="BE37" s="25">
        <f>HLOOKUP(BE$7,$I$66:$DJ$120,ROWS($A$10:$A37)+2,FALSE)</f>
        <v>3250</v>
      </c>
      <c r="BF37" s="25">
        <f>HLOOKUP(BF$7,$I$66:$DJ$120,ROWS($A$10:$A37)+2,FALSE)</f>
        <v>0</v>
      </c>
      <c r="BG37" s="25">
        <f>HLOOKUP(BG$7,$I$66:$DJ$120,ROWS($A$10:$A37)+2,FALSE)</f>
        <v>357</v>
      </c>
      <c r="BH37" s="25">
        <f>HLOOKUP(BH$7,$I$66:$DJ$120,ROWS($A$10:$A37)+2,FALSE)</f>
        <v>1689</v>
      </c>
      <c r="BI37" s="25">
        <f>HLOOKUP(BI$7,$I$66:$DJ$120,ROWS($A$10:$A37)+2,FALSE)</f>
        <v>11</v>
      </c>
      <c r="BJ37" s="34">
        <f>HLOOKUP(BJ$7+0.5,$I$66:$DJ$120,ROWS($A$10:$A37)+2,FALSE)</f>
        <v>3807</v>
      </c>
      <c r="BK37" s="34">
        <f>HLOOKUP(BK$7+0.5,$I$66:$DJ$120,ROWS($A$10:$A37)+2,FALSE)</f>
        <v>332</v>
      </c>
      <c r="BL37" s="34">
        <f>HLOOKUP(BL$7+0.5,$I$66:$DJ$120,ROWS($A$10:$A37)+2,FALSE)</f>
        <v>561</v>
      </c>
      <c r="BM37" s="34">
        <f>HLOOKUP(BM$7+0.5,$I$66:$DJ$120,ROWS($A$10:$A37)+2,FALSE)</f>
        <v>1125</v>
      </c>
      <c r="BN37" s="34">
        <f>HLOOKUP(BN$7+0.5,$I$66:$DJ$120,ROWS($A$10:$A37)+2,FALSE)</f>
        <v>487</v>
      </c>
      <c r="BO37" s="34">
        <f>HLOOKUP(BO$7+0.5,$I$66:$DJ$120,ROWS($A$10:$A37)+2,FALSE)</f>
        <v>1903</v>
      </c>
      <c r="BP37" s="34">
        <f>HLOOKUP(BP$7+0.5,$I$66:$DJ$120,ROWS($A$10:$A37)+2,FALSE)</f>
        <v>870</v>
      </c>
      <c r="BQ37" s="34">
        <f>HLOOKUP(BQ$7+0.5,$I$66:$DJ$120,ROWS($A$10:$A37)+2,FALSE)</f>
        <v>148</v>
      </c>
      <c r="BR37" s="34">
        <f>HLOOKUP(BR$7+0.5,$I$66:$DJ$120,ROWS($A$10:$A37)+2,FALSE)</f>
        <v>120</v>
      </c>
      <c r="BS37" s="34">
        <f>HLOOKUP(BS$7+0.5,$I$66:$DJ$120,ROWS($A$10:$A37)+2,FALSE)</f>
        <v>237</v>
      </c>
      <c r="BT37" s="34">
        <f>HLOOKUP(BT$7+0.5,$I$66:$DJ$120,ROWS($A$10:$A37)+2,FALSE)</f>
        <v>1173</v>
      </c>
      <c r="BU37" s="34">
        <f>HLOOKUP(BU$7+0.5,$I$66:$DJ$120,ROWS($A$10:$A37)+2,FALSE)</f>
        <v>87</v>
      </c>
      <c r="BV37" s="34">
        <f>HLOOKUP(BV$7+0.5,$I$66:$DJ$120,ROWS($A$10:$A37)+2,FALSE)</f>
        <v>237</v>
      </c>
      <c r="BW37" s="34">
        <f>HLOOKUP(BW$7+0.5,$I$66:$DJ$120,ROWS($A$10:$A37)+2,FALSE)</f>
        <v>859</v>
      </c>
      <c r="BX37" s="34">
        <f>HLOOKUP(BX$7+0.5,$I$66:$DJ$120,ROWS($A$10:$A37)+2,FALSE)</f>
        <v>789</v>
      </c>
      <c r="BY37" s="34">
        <f>HLOOKUP(BY$7+0.5,$I$66:$DJ$120,ROWS($A$10:$A37)+2,FALSE)</f>
        <v>233</v>
      </c>
      <c r="BZ37" s="34">
        <f>HLOOKUP(BZ$7+0.5,$I$66:$DJ$120,ROWS($A$10:$A37)+2,FALSE)</f>
        <v>198</v>
      </c>
      <c r="CA37" s="34">
        <f>HLOOKUP(CA$7+0.5,$I$66:$DJ$120,ROWS($A$10:$A37)+2,FALSE)</f>
        <v>93</v>
      </c>
      <c r="CB37" s="34">
        <f>HLOOKUP(CB$7+0.5,$I$66:$DJ$120,ROWS($A$10:$A37)+2,FALSE)</f>
        <v>490</v>
      </c>
      <c r="CC37" s="34">
        <f>HLOOKUP(CC$7+0.5,$I$66:$DJ$120,ROWS($A$10:$A37)+2,FALSE)</f>
        <v>118</v>
      </c>
      <c r="CD37" s="34">
        <f>HLOOKUP(CD$7+0.5,$I$66:$DJ$120,ROWS($A$10:$A37)+2,FALSE)</f>
        <v>102</v>
      </c>
      <c r="CE37" s="34">
        <f>HLOOKUP(CE$7+0.5,$I$66:$DJ$120,ROWS($A$10:$A37)+2,FALSE)</f>
        <v>86</v>
      </c>
      <c r="CF37" s="34">
        <f>HLOOKUP(CF$7+0.5,$I$66:$DJ$120,ROWS($A$10:$A37)+2,FALSE)</f>
        <v>97</v>
      </c>
      <c r="CG37" s="34">
        <f>HLOOKUP(CG$7+0.5,$I$66:$DJ$120,ROWS($A$10:$A37)+2,FALSE)</f>
        <v>534</v>
      </c>
      <c r="CH37" s="34">
        <f>HLOOKUP(CH$7+0.5,$I$66:$DJ$120,ROWS($A$10:$A37)+2,FALSE)</f>
        <v>603</v>
      </c>
      <c r="CI37" s="34">
        <f>HLOOKUP(CI$7+0.5,$I$66:$DJ$120,ROWS($A$10:$A37)+2,FALSE)</f>
        <v>356</v>
      </c>
      <c r="CJ37" s="34">
        <f>HLOOKUP(CJ$7+0.5,$I$66:$DJ$120,ROWS($A$10:$A37)+2,FALSE)</f>
        <v>481</v>
      </c>
      <c r="CK37" s="34" t="str">
        <f>HLOOKUP(CK$7+0.5,$I$66:$DJ$120,ROWS($A$10:$A37)+2,FALSE)</f>
        <v>N/A</v>
      </c>
      <c r="CL37" s="34">
        <f>HLOOKUP(CL$7+0.5,$I$66:$DJ$120,ROWS($A$10:$A37)+2,FALSE)</f>
        <v>424</v>
      </c>
      <c r="CM37" s="34">
        <f>HLOOKUP(CM$7+0.5,$I$66:$DJ$120,ROWS($A$10:$A37)+2,FALSE)</f>
        <v>386</v>
      </c>
      <c r="CN37" s="34">
        <f>HLOOKUP(CN$7+0.5,$I$66:$DJ$120,ROWS($A$10:$A37)+2,FALSE)</f>
        <v>237</v>
      </c>
      <c r="CO37" s="34">
        <f>HLOOKUP(CO$7+0.5,$I$66:$DJ$120,ROWS($A$10:$A37)+2,FALSE)</f>
        <v>237</v>
      </c>
      <c r="CP37" s="34">
        <f>HLOOKUP(CP$7+0.5,$I$66:$DJ$120,ROWS($A$10:$A37)+2,FALSE)</f>
        <v>688</v>
      </c>
      <c r="CQ37" s="34">
        <f>HLOOKUP(CQ$7+0.5,$I$66:$DJ$120,ROWS($A$10:$A37)+2,FALSE)</f>
        <v>282</v>
      </c>
      <c r="CR37" s="34">
        <f>HLOOKUP(CR$7+0.5,$I$66:$DJ$120,ROWS($A$10:$A37)+2,FALSE)</f>
        <v>1127</v>
      </c>
      <c r="CS37" s="34">
        <f>HLOOKUP(CS$7+0.5,$I$66:$DJ$120,ROWS($A$10:$A37)+2,FALSE)</f>
        <v>1012</v>
      </c>
      <c r="CT37" s="34">
        <f>HLOOKUP(CT$7+0.5,$I$66:$DJ$120,ROWS($A$10:$A37)+2,FALSE)</f>
        <v>118</v>
      </c>
      <c r="CU37" s="34">
        <f>HLOOKUP(CU$7+0.5,$I$66:$DJ$120,ROWS($A$10:$A37)+2,FALSE)</f>
        <v>174</v>
      </c>
      <c r="CV37" s="34">
        <f>HLOOKUP(CV$7+0.5,$I$66:$DJ$120,ROWS($A$10:$A37)+2,FALSE)</f>
        <v>861</v>
      </c>
      <c r="CW37" s="34">
        <f>HLOOKUP(CW$7+0.5,$I$66:$DJ$120,ROWS($A$10:$A37)+2,FALSE)</f>
        <v>319</v>
      </c>
      <c r="CX37" s="34">
        <f>HLOOKUP(CX$7+0.5,$I$66:$DJ$120,ROWS($A$10:$A37)+2,FALSE)</f>
        <v>237</v>
      </c>
      <c r="CY37" s="34">
        <f>HLOOKUP(CY$7+0.5,$I$66:$DJ$120,ROWS($A$10:$A37)+2,FALSE)</f>
        <v>150</v>
      </c>
      <c r="CZ37" s="34">
        <f>HLOOKUP(CZ$7+0.5,$I$66:$DJ$120,ROWS($A$10:$A37)+2,FALSE)</f>
        <v>258</v>
      </c>
      <c r="DA37" s="34">
        <f>HLOOKUP(DA$7+0.5,$I$66:$DJ$120,ROWS($A$10:$A37)+2,FALSE)</f>
        <v>193</v>
      </c>
      <c r="DB37" s="34">
        <f>HLOOKUP(DB$7+0.5,$I$66:$DJ$120,ROWS($A$10:$A37)+2,FALSE)</f>
        <v>1013</v>
      </c>
      <c r="DC37" s="34">
        <f>HLOOKUP(DC$7+0.5,$I$66:$DJ$120,ROWS($A$10:$A37)+2,FALSE)</f>
        <v>618</v>
      </c>
      <c r="DD37" s="34">
        <f>HLOOKUP(DD$7+0.5,$I$66:$DJ$120,ROWS($A$10:$A37)+2,FALSE)</f>
        <v>237</v>
      </c>
      <c r="DE37" s="34">
        <f>HLOOKUP(DE$7+0.5,$I$66:$DJ$120,ROWS($A$10:$A37)+2,FALSE)</f>
        <v>401</v>
      </c>
      <c r="DF37" s="34">
        <f>HLOOKUP(DF$7+0.5,$I$66:$DJ$120,ROWS($A$10:$A37)+2,FALSE)</f>
        <v>1281</v>
      </c>
      <c r="DG37" s="34">
        <f>HLOOKUP(DG$7+0.5,$I$66:$DJ$120,ROWS($A$10:$A37)+2,FALSE)</f>
        <v>237</v>
      </c>
      <c r="DH37" s="34">
        <f>HLOOKUP(DH$7+0.5,$I$66:$DJ$120,ROWS($A$10:$A37)+2,FALSE)</f>
        <v>267</v>
      </c>
      <c r="DI37" s="34">
        <f>HLOOKUP(DI$7+0.5,$I$66:$DJ$120,ROWS($A$10:$A37)+2,FALSE)</f>
        <v>672</v>
      </c>
      <c r="DJ37" s="34">
        <f>HLOOKUP(DJ$7+0.5,$I$66:$DJ$120,ROWS($A$10:$A37)+2,FALSE)</f>
        <v>19</v>
      </c>
    </row>
    <row r="38" spans="2:114" x14ac:dyDescent="0.25">
      <c r="B38" s="38" t="s">
        <v>34</v>
      </c>
      <c r="C38" s="16">
        <v>1802697</v>
      </c>
      <c r="D38" s="17">
        <v>2153</v>
      </c>
      <c r="E38" s="16">
        <v>1497138</v>
      </c>
      <c r="F38" s="17">
        <v>11336</v>
      </c>
      <c r="G38" s="16">
        <v>247005</v>
      </c>
      <c r="H38" s="17">
        <v>9960</v>
      </c>
      <c r="I38" s="36">
        <f>HLOOKUP(I$7,$I$66:$DJ$120,ROWS($A$10:$A38)+2,FALSE)</f>
        <v>51290</v>
      </c>
      <c r="J38" s="25">
        <f>HLOOKUP(J$7,$I$66:$DJ$120,ROWS($A$10:$A38)+2,FALSE)</f>
        <v>232</v>
      </c>
      <c r="K38" s="25">
        <f>HLOOKUP(K$7,$I$66:$DJ$120,ROWS($A$10:$A38)+2,FALSE)</f>
        <v>35</v>
      </c>
      <c r="L38" s="25">
        <f>HLOOKUP(L$7,$I$66:$DJ$120,ROWS($A$10:$A38)+2,FALSE)</f>
        <v>2322</v>
      </c>
      <c r="M38" s="25">
        <f>HLOOKUP(M$7,$I$66:$DJ$120,ROWS($A$10:$A38)+2,FALSE)</f>
        <v>674</v>
      </c>
      <c r="N38" s="25">
        <f>HLOOKUP(N$7,$I$66:$DJ$120,ROWS($A$10:$A38)+2,FALSE)</f>
        <v>4430</v>
      </c>
      <c r="O38" s="25">
        <f>HLOOKUP(O$7,$I$66:$DJ$120,ROWS($A$10:$A38)+2,FALSE)</f>
        <v>4182</v>
      </c>
      <c r="P38" s="25">
        <f>HLOOKUP(P$7,$I$66:$DJ$120,ROWS($A$10:$A38)+2,FALSE)</f>
        <v>361</v>
      </c>
      <c r="Q38" s="25">
        <f>HLOOKUP(Q$7,$I$66:$DJ$120,ROWS($A$10:$A38)+2,FALSE)</f>
        <v>177</v>
      </c>
      <c r="R38" s="25">
        <f>HLOOKUP(R$7,$I$66:$DJ$120,ROWS($A$10:$A38)+2,FALSE)</f>
        <v>0</v>
      </c>
      <c r="S38" s="25">
        <f>HLOOKUP(S$7,$I$66:$DJ$120,ROWS($A$10:$A38)+2,FALSE)</f>
        <v>1775</v>
      </c>
      <c r="T38" s="25">
        <f>HLOOKUP(T$7,$I$66:$DJ$120,ROWS($A$10:$A38)+2,FALSE)</f>
        <v>1202</v>
      </c>
      <c r="U38" s="25">
        <f>HLOOKUP(U$7,$I$66:$DJ$120,ROWS($A$10:$A38)+2,FALSE)</f>
        <v>257</v>
      </c>
      <c r="V38" s="25">
        <f>HLOOKUP(V$7,$I$66:$DJ$120,ROWS($A$10:$A38)+2,FALSE)</f>
        <v>127</v>
      </c>
      <c r="W38" s="25">
        <f>HLOOKUP(W$7,$I$66:$DJ$120,ROWS($A$10:$A38)+2,FALSE)</f>
        <v>1820</v>
      </c>
      <c r="X38" s="25">
        <f>HLOOKUP(X$7,$I$66:$DJ$120,ROWS($A$10:$A38)+2,FALSE)</f>
        <v>639</v>
      </c>
      <c r="Y38" s="25">
        <f>HLOOKUP(Y$7,$I$66:$DJ$120,ROWS($A$10:$A38)+2,FALSE)</f>
        <v>5536</v>
      </c>
      <c r="Z38" s="25">
        <f>HLOOKUP(Z$7,$I$66:$DJ$120,ROWS($A$10:$A38)+2,FALSE)</f>
        <v>2484</v>
      </c>
      <c r="AA38" s="25">
        <f>HLOOKUP(AA$7,$I$66:$DJ$120,ROWS($A$10:$A38)+2,FALSE)</f>
        <v>153</v>
      </c>
      <c r="AB38" s="25">
        <f>HLOOKUP(AB$7,$I$66:$DJ$120,ROWS($A$10:$A38)+2,FALSE)</f>
        <v>89</v>
      </c>
      <c r="AC38" s="25">
        <f>HLOOKUP(AC$7,$I$66:$DJ$120,ROWS($A$10:$A38)+2,FALSE)</f>
        <v>0</v>
      </c>
      <c r="AD38" s="25">
        <f>HLOOKUP(AD$7,$I$66:$DJ$120,ROWS($A$10:$A38)+2,FALSE)</f>
        <v>77</v>
      </c>
      <c r="AE38" s="25">
        <f>HLOOKUP(AE$7,$I$66:$DJ$120,ROWS($A$10:$A38)+2,FALSE)</f>
        <v>100</v>
      </c>
      <c r="AF38" s="25">
        <f>HLOOKUP(AF$7,$I$66:$DJ$120,ROWS($A$10:$A38)+2,FALSE)</f>
        <v>726</v>
      </c>
      <c r="AG38" s="25">
        <f>HLOOKUP(AG$7,$I$66:$DJ$120,ROWS($A$10:$A38)+2,FALSE)</f>
        <v>2254</v>
      </c>
      <c r="AH38" s="25">
        <f>HLOOKUP(AH$7,$I$66:$DJ$120,ROWS($A$10:$A38)+2,FALSE)</f>
        <v>823</v>
      </c>
      <c r="AI38" s="25">
        <f>HLOOKUP(AI$7,$I$66:$DJ$120,ROWS($A$10:$A38)+2,FALSE)</f>
        <v>2723</v>
      </c>
      <c r="AJ38" s="25">
        <f>HLOOKUP(AJ$7,$I$66:$DJ$120,ROWS($A$10:$A38)+2,FALSE)</f>
        <v>112</v>
      </c>
      <c r="AK38" s="25" t="str">
        <f>HLOOKUP(AK$7,$I$66:$DJ$120,ROWS($A$10:$A38)+2,FALSE)</f>
        <v>N/A</v>
      </c>
      <c r="AL38" s="25">
        <f>HLOOKUP(AL$7,$I$66:$DJ$120,ROWS($A$10:$A38)+2,FALSE)</f>
        <v>232</v>
      </c>
      <c r="AM38" s="25">
        <f>HLOOKUP(AM$7,$I$66:$DJ$120,ROWS($A$10:$A38)+2,FALSE)</f>
        <v>0</v>
      </c>
      <c r="AN38" s="25">
        <f>HLOOKUP(AN$7,$I$66:$DJ$120,ROWS($A$10:$A38)+2,FALSE)</f>
        <v>143</v>
      </c>
      <c r="AO38" s="25">
        <f>HLOOKUP(AO$7,$I$66:$DJ$120,ROWS($A$10:$A38)+2,FALSE)</f>
        <v>831</v>
      </c>
      <c r="AP38" s="25">
        <f>HLOOKUP(AP$7,$I$66:$DJ$120,ROWS($A$10:$A38)+2,FALSE)</f>
        <v>111</v>
      </c>
      <c r="AQ38" s="25">
        <f>HLOOKUP(AQ$7,$I$66:$DJ$120,ROWS($A$10:$A38)+2,FALSE)</f>
        <v>442</v>
      </c>
      <c r="AR38" s="25">
        <f>HLOOKUP(AR$7,$I$66:$DJ$120,ROWS($A$10:$A38)+2,FALSE)</f>
        <v>777</v>
      </c>
      <c r="AS38" s="25">
        <f>HLOOKUP(AS$7,$I$66:$DJ$120,ROWS($A$10:$A38)+2,FALSE)</f>
        <v>1232</v>
      </c>
      <c r="AT38" s="25">
        <f>HLOOKUP(AT$7,$I$66:$DJ$120,ROWS($A$10:$A38)+2,FALSE)</f>
        <v>702</v>
      </c>
      <c r="AU38" s="25">
        <f>HLOOKUP(AU$7,$I$66:$DJ$120,ROWS($A$10:$A38)+2,FALSE)</f>
        <v>506</v>
      </c>
      <c r="AV38" s="25">
        <f>HLOOKUP(AV$7,$I$66:$DJ$120,ROWS($A$10:$A38)+2,FALSE)</f>
        <v>345</v>
      </c>
      <c r="AW38" s="25">
        <f>HLOOKUP(AW$7,$I$66:$DJ$120,ROWS($A$10:$A38)+2,FALSE)</f>
        <v>0</v>
      </c>
      <c r="AX38" s="25">
        <f>HLOOKUP(AX$7,$I$66:$DJ$120,ROWS($A$10:$A38)+2,FALSE)</f>
        <v>65</v>
      </c>
      <c r="AY38" s="25">
        <f>HLOOKUP(AY$7,$I$66:$DJ$120,ROWS($A$10:$A38)+2,FALSE)</f>
        <v>2936</v>
      </c>
      <c r="AZ38" s="25">
        <f>HLOOKUP(AZ$7,$I$66:$DJ$120,ROWS($A$10:$A38)+2,FALSE)</f>
        <v>77</v>
      </c>
      <c r="BA38" s="25">
        <f>HLOOKUP(BA$7,$I$66:$DJ$120,ROWS($A$10:$A38)+2,FALSE)</f>
        <v>4445</v>
      </c>
      <c r="BB38" s="25">
        <f>HLOOKUP(BB$7,$I$66:$DJ$120,ROWS($A$10:$A38)+2,FALSE)</f>
        <v>537</v>
      </c>
      <c r="BC38" s="25">
        <f>HLOOKUP(BC$7,$I$66:$DJ$120,ROWS($A$10:$A38)+2,FALSE)</f>
        <v>0</v>
      </c>
      <c r="BD38" s="25">
        <f>HLOOKUP(BD$7,$I$66:$DJ$120,ROWS($A$10:$A38)+2,FALSE)</f>
        <v>772</v>
      </c>
      <c r="BE38" s="25">
        <f>HLOOKUP(BE$7,$I$66:$DJ$120,ROWS($A$10:$A38)+2,FALSE)</f>
        <v>1230</v>
      </c>
      <c r="BF38" s="25">
        <f>HLOOKUP(BF$7,$I$66:$DJ$120,ROWS($A$10:$A38)+2,FALSE)</f>
        <v>73</v>
      </c>
      <c r="BG38" s="25">
        <f>HLOOKUP(BG$7,$I$66:$DJ$120,ROWS($A$10:$A38)+2,FALSE)</f>
        <v>1046</v>
      </c>
      <c r="BH38" s="25">
        <f>HLOOKUP(BH$7,$I$66:$DJ$120,ROWS($A$10:$A38)+2,FALSE)</f>
        <v>1478</v>
      </c>
      <c r="BI38" s="25">
        <f>HLOOKUP(BI$7,$I$66:$DJ$120,ROWS($A$10:$A38)+2,FALSE)</f>
        <v>0</v>
      </c>
      <c r="BJ38" s="34">
        <f>HLOOKUP(BJ$7+0.5,$I$66:$DJ$120,ROWS($A$10:$A38)+2,FALSE)</f>
        <v>4521</v>
      </c>
      <c r="BK38" s="34">
        <f>HLOOKUP(BK$7+0.5,$I$66:$DJ$120,ROWS($A$10:$A38)+2,FALSE)</f>
        <v>262</v>
      </c>
      <c r="BL38" s="34">
        <f>HLOOKUP(BL$7+0.5,$I$66:$DJ$120,ROWS($A$10:$A38)+2,FALSE)</f>
        <v>46</v>
      </c>
      <c r="BM38" s="34">
        <f>HLOOKUP(BM$7+0.5,$I$66:$DJ$120,ROWS($A$10:$A38)+2,FALSE)</f>
        <v>1501</v>
      </c>
      <c r="BN38" s="34">
        <f>HLOOKUP(BN$7+0.5,$I$66:$DJ$120,ROWS($A$10:$A38)+2,FALSE)</f>
        <v>587</v>
      </c>
      <c r="BO38" s="34">
        <f>HLOOKUP(BO$7+0.5,$I$66:$DJ$120,ROWS($A$10:$A38)+2,FALSE)</f>
        <v>1419</v>
      </c>
      <c r="BP38" s="34">
        <f>HLOOKUP(BP$7+0.5,$I$66:$DJ$120,ROWS($A$10:$A38)+2,FALSE)</f>
        <v>1393</v>
      </c>
      <c r="BQ38" s="34">
        <f>HLOOKUP(BQ$7+0.5,$I$66:$DJ$120,ROWS($A$10:$A38)+2,FALSE)</f>
        <v>562</v>
      </c>
      <c r="BR38" s="34">
        <f>HLOOKUP(BR$7+0.5,$I$66:$DJ$120,ROWS($A$10:$A38)+2,FALSE)</f>
        <v>235</v>
      </c>
      <c r="BS38" s="34">
        <f>HLOOKUP(BS$7+0.5,$I$66:$DJ$120,ROWS($A$10:$A38)+2,FALSE)</f>
        <v>228</v>
      </c>
      <c r="BT38" s="34">
        <f>HLOOKUP(BT$7+0.5,$I$66:$DJ$120,ROWS($A$10:$A38)+2,FALSE)</f>
        <v>992</v>
      </c>
      <c r="BU38" s="34">
        <f>HLOOKUP(BU$7+0.5,$I$66:$DJ$120,ROWS($A$10:$A38)+2,FALSE)</f>
        <v>870</v>
      </c>
      <c r="BV38" s="34">
        <f>HLOOKUP(BV$7+0.5,$I$66:$DJ$120,ROWS($A$10:$A38)+2,FALSE)</f>
        <v>213</v>
      </c>
      <c r="BW38" s="34">
        <f>HLOOKUP(BW$7+0.5,$I$66:$DJ$120,ROWS($A$10:$A38)+2,FALSE)</f>
        <v>135</v>
      </c>
      <c r="BX38" s="34">
        <f>HLOOKUP(BX$7+0.5,$I$66:$DJ$120,ROWS($A$10:$A38)+2,FALSE)</f>
        <v>1218</v>
      </c>
      <c r="BY38" s="34">
        <f>HLOOKUP(BY$7+0.5,$I$66:$DJ$120,ROWS($A$10:$A38)+2,FALSE)</f>
        <v>453</v>
      </c>
      <c r="BZ38" s="34">
        <f>HLOOKUP(BZ$7+0.5,$I$66:$DJ$120,ROWS($A$10:$A38)+2,FALSE)</f>
        <v>1473</v>
      </c>
      <c r="CA38" s="34">
        <f>HLOOKUP(CA$7+0.5,$I$66:$DJ$120,ROWS($A$10:$A38)+2,FALSE)</f>
        <v>869</v>
      </c>
      <c r="CB38" s="34">
        <f>HLOOKUP(CB$7+0.5,$I$66:$DJ$120,ROWS($A$10:$A38)+2,FALSE)</f>
        <v>166</v>
      </c>
      <c r="CC38" s="34">
        <f>HLOOKUP(CC$7+0.5,$I$66:$DJ$120,ROWS($A$10:$A38)+2,FALSE)</f>
        <v>166</v>
      </c>
      <c r="CD38" s="34">
        <f>HLOOKUP(CD$7+0.5,$I$66:$DJ$120,ROWS($A$10:$A38)+2,FALSE)</f>
        <v>228</v>
      </c>
      <c r="CE38" s="34">
        <f>HLOOKUP(CE$7+0.5,$I$66:$DJ$120,ROWS($A$10:$A38)+2,FALSE)</f>
        <v>100</v>
      </c>
      <c r="CF38" s="34">
        <f>HLOOKUP(CF$7+0.5,$I$66:$DJ$120,ROWS($A$10:$A38)+2,FALSE)</f>
        <v>167</v>
      </c>
      <c r="CG38" s="34">
        <f>HLOOKUP(CG$7+0.5,$I$66:$DJ$120,ROWS($A$10:$A38)+2,FALSE)</f>
        <v>440</v>
      </c>
      <c r="CH38" s="34">
        <f>HLOOKUP(CH$7+0.5,$I$66:$DJ$120,ROWS($A$10:$A38)+2,FALSE)</f>
        <v>1114</v>
      </c>
      <c r="CI38" s="34">
        <f>HLOOKUP(CI$7+0.5,$I$66:$DJ$120,ROWS($A$10:$A38)+2,FALSE)</f>
        <v>865</v>
      </c>
      <c r="CJ38" s="34">
        <f>HLOOKUP(CJ$7+0.5,$I$66:$DJ$120,ROWS($A$10:$A38)+2,FALSE)</f>
        <v>1319</v>
      </c>
      <c r="CK38" s="34">
        <f>HLOOKUP(CK$7+0.5,$I$66:$DJ$120,ROWS($A$10:$A38)+2,FALSE)</f>
        <v>160</v>
      </c>
      <c r="CL38" s="34" t="str">
        <f>HLOOKUP(CL$7+0.5,$I$66:$DJ$120,ROWS($A$10:$A38)+2,FALSE)</f>
        <v>N/A</v>
      </c>
      <c r="CM38" s="34">
        <f>HLOOKUP(CM$7+0.5,$I$66:$DJ$120,ROWS($A$10:$A38)+2,FALSE)</f>
        <v>180</v>
      </c>
      <c r="CN38" s="34">
        <f>HLOOKUP(CN$7+0.5,$I$66:$DJ$120,ROWS($A$10:$A38)+2,FALSE)</f>
        <v>228</v>
      </c>
      <c r="CO38" s="34">
        <f>HLOOKUP(CO$7+0.5,$I$66:$DJ$120,ROWS($A$10:$A38)+2,FALSE)</f>
        <v>171</v>
      </c>
      <c r="CP38" s="34">
        <f>HLOOKUP(CP$7+0.5,$I$66:$DJ$120,ROWS($A$10:$A38)+2,FALSE)</f>
        <v>805</v>
      </c>
      <c r="CQ38" s="34">
        <f>HLOOKUP(CQ$7+0.5,$I$66:$DJ$120,ROWS($A$10:$A38)+2,FALSE)</f>
        <v>115</v>
      </c>
      <c r="CR38" s="34">
        <f>HLOOKUP(CR$7+0.5,$I$66:$DJ$120,ROWS($A$10:$A38)+2,FALSE)</f>
        <v>284</v>
      </c>
      <c r="CS38" s="34">
        <f>HLOOKUP(CS$7+0.5,$I$66:$DJ$120,ROWS($A$10:$A38)+2,FALSE)</f>
        <v>978</v>
      </c>
      <c r="CT38" s="34">
        <f>HLOOKUP(CT$7+0.5,$I$66:$DJ$120,ROWS($A$10:$A38)+2,FALSE)</f>
        <v>966</v>
      </c>
      <c r="CU38" s="34">
        <f>HLOOKUP(CU$7+0.5,$I$66:$DJ$120,ROWS($A$10:$A38)+2,FALSE)</f>
        <v>393</v>
      </c>
      <c r="CV38" s="34">
        <f>HLOOKUP(CV$7+0.5,$I$66:$DJ$120,ROWS($A$10:$A38)+2,FALSE)</f>
        <v>385</v>
      </c>
      <c r="CW38" s="34">
        <f>HLOOKUP(CW$7+0.5,$I$66:$DJ$120,ROWS($A$10:$A38)+2,FALSE)</f>
        <v>347</v>
      </c>
      <c r="CX38" s="34">
        <f>HLOOKUP(CX$7+0.5,$I$66:$DJ$120,ROWS($A$10:$A38)+2,FALSE)</f>
        <v>228</v>
      </c>
      <c r="CY38" s="34">
        <f>HLOOKUP(CY$7+0.5,$I$66:$DJ$120,ROWS($A$10:$A38)+2,FALSE)</f>
        <v>105</v>
      </c>
      <c r="CZ38" s="34">
        <f>HLOOKUP(CZ$7+0.5,$I$66:$DJ$120,ROWS($A$10:$A38)+2,FALSE)</f>
        <v>1369</v>
      </c>
      <c r="DA38" s="34">
        <f>HLOOKUP(DA$7+0.5,$I$66:$DJ$120,ROWS($A$10:$A38)+2,FALSE)</f>
        <v>129</v>
      </c>
      <c r="DB38" s="34">
        <f>HLOOKUP(DB$7+0.5,$I$66:$DJ$120,ROWS($A$10:$A38)+2,FALSE)</f>
        <v>1562</v>
      </c>
      <c r="DC38" s="34">
        <f>HLOOKUP(DC$7+0.5,$I$66:$DJ$120,ROWS($A$10:$A38)+2,FALSE)</f>
        <v>495</v>
      </c>
      <c r="DD38" s="34">
        <f>HLOOKUP(DD$7+0.5,$I$66:$DJ$120,ROWS($A$10:$A38)+2,FALSE)</f>
        <v>228</v>
      </c>
      <c r="DE38" s="34">
        <f>HLOOKUP(DE$7+0.5,$I$66:$DJ$120,ROWS($A$10:$A38)+2,FALSE)</f>
        <v>604</v>
      </c>
      <c r="DF38" s="34">
        <f>HLOOKUP(DF$7+0.5,$I$66:$DJ$120,ROWS($A$10:$A38)+2,FALSE)</f>
        <v>793</v>
      </c>
      <c r="DG38" s="34">
        <f>HLOOKUP(DG$7+0.5,$I$66:$DJ$120,ROWS($A$10:$A38)+2,FALSE)</f>
        <v>89</v>
      </c>
      <c r="DH38" s="34">
        <f>HLOOKUP(DH$7+0.5,$I$66:$DJ$120,ROWS($A$10:$A38)+2,FALSE)</f>
        <v>585</v>
      </c>
      <c r="DI38" s="34">
        <f>HLOOKUP(DI$7+0.5,$I$66:$DJ$120,ROWS($A$10:$A38)+2,FALSE)</f>
        <v>545</v>
      </c>
      <c r="DJ38" s="34">
        <f>HLOOKUP(DJ$7+0.5,$I$66:$DJ$120,ROWS($A$10:$A38)+2,FALSE)</f>
        <v>228</v>
      </c>
    </row>
    <row r="39" spans="2:114" x14ac:dyDescent="0.25">
      <c r="B39" s="38" t="s">
        <v>35</v>
      </c>
      <c r="C39" s="16">
        <v>2667364</v>
      </c>
      <c r="D39" s="17">
        <v>3181</v>
      </c>
      <c r="E39" s="16">
        <v>2030410</v>
      </c>
      <c r="F39" s="17">
        <v>22983</v>
      </c>
      <c r="G39" s="16">
        <v>517261</v>
      </c>
      <c r="H39" s="17">
        <v>21311</v>
      </c>
      <c r="I39" s="36">
        <f>HLOOKUP(I$7,$I$66:$DJ$120,ROWS($A$10:$A39)+2,FALSE)</f>
        <v>102677</v>
      </c>
      <c r="J39" s="25">
        <f>HLOOKUP(J$7,$I$66:$DJ$120,ROWS($A$10:$A39)+2,FALSE)</f>
        <v>150</v>
      </c>
      <c r="K39" s="25">
        <f>HLOOKUP(K$7,$I$66:$DJ$120,ROWS($A$10:$A39)+2,FALSE)</f>
        <v>511</v>
      </c>
      <c r="L39" s="25">
        <f>HLOOKUP(L$7,$I$66:$DJ$120,ROWS($A$10:$A39)+2,FALSE)</f>
        <v>7818</v>
      </c>
      <c r="M39" s="25">
        <f>HLOOKUP(M$7,$I$66:$DJ$120,ROWS($A$10:$A39)+2,FALSE)</f>
        <v>530</v>
      </c>
      <c r="N39" s="25">
        <f>HLOOKUP(N$7,$I$66:$DJ$120,ROWS($A$10:$A39)+2,FALSE)</f>
        <v>35472</v>
      </c>
      <c r="O39" s="25">
        <f>HLOOKUP(O$7,$I$66:$DJ$120,ROWS($A$10:$A39)+2,FALSE)</f>
        <v>2935</v>
      </c>
      <c r="P39" s="25">
        <f>HLOOKUP(P$7,$I$66:$DJ$120,ROWS($A$10:$A39)+2,FALSE)</f>
        <v>648</v>
      </c>
      <c r="Q39" s="25">
        <f>HLOOKUP(Q$7,$I$66:$DJ$120,ROWS($A$10:$A39)+2,FALSE)</f>
        <v>0</v>
      </c>
      <c r="R39" s="25">
        <f>HLOOKUP(R$7,$I$66:$DJ$120,ROWS($A$10:$A39)+2,FALSE)</f>
        <v>0</v>
      </c>
      <c r="S39" s="25">
        <f>HLOOKUP(S$7,$I$66:$DJ$120,ROWS($A$10:$A39)+2,FALSE)</f>
        <v>3579</v>
      </c>
      <c r="T39" s="25">
        <f>HLOOKUP(T$7,$I$66:$DJ$120,ROWS($A$10:$A39)+2,FALSE)</f>
        <v>1187</v>
      </c>
      <c r="U39" s="25">
        <f>HLOOKUP(U$7,$I$66:$DJ$120,ROWS($A$10:$A39)+2,FALSE)</f>
        <v>4363</v>
      </c>
      <c r="V39" s="25">
        <f>HLOOKUP(V$7,$I$66:$DJ$120,ROWS($A$10:$A39)+2,FALSE)</f>
        <v>1686</v>
      </c>
      <c r="W39" s="25">
        <f>HLOOKUP(W$7,$I$66:$DJ$120,ROWS($A$10:$A39)+2,FALSE)</f>
        <v>1711</v>
      </c>
      <c r="X39" s="25">
        <f>HLOOKUP(X$7,$I$66:$DJ$120,ROWS($A$10:$A39)+2,FALSE)</f>
        <v>739</v>
      </c>
      <c r="Y39" s="25">
        <f>HLOOKUP(Y$7,$I$66:$DJ$120,ROWS($A$10:$A39)+2,FALSE)</f>
        <v>543</v>
      </c>
      <c r="Z39" s="25">
        <f>HLOOKUP(Z$7,$I$66:$DJ$120,ROWS($A$10:$A39)+2,FALSE)</f>
        <v>453</v>
      </c>
      <c r="AA39" s="25">
        <f>HLOOKUP(AA$7,$I$66:$DJ$120,ROWS($A$10:$A39)+2,FALSE)</f>
        <v>569</v>
      </c>
      <c r="AB39" s="25">
        <f>HLOOKUP(AB$7,$I$66:$DJ$120,ROWS($A$10:$A39)+2,FALSE)</f>
        <v>733</v>
      </c>
      <c r="AC39" s="25">
        <f>HLOOKUP(AC$7,$I$66:$DJ$120,ROWS($A$10:$A39)+2,FALSE)</f>
        <v>0</v>
      </c>
      <c r="AD39" s="25">
        <f>HLOOKUP(AD$7,$I$66:$DJ$120,ROWS($A$10:$A39)+2,FALSE)</f>
        <v>485</v>
      </c>
      <c r="AE39" s="25">
        <f>HLOOKUP(AE$7,$I$66:$DJ$120,ROWS($A$10:$A39)+2,FALSE)</f>
        <v>1275</v>
      </c>
      <c r="AF39" s="25">
        <f>HLOOKUP(AF$7,$I$66:$DJ$120,ROWS($A$10:$A39)+2,FALSE)</f>
        <v>2202</v>
      </c>
      <c r="AG39" s="25">
        <f>HLOOKUP(AG$7,$I$66:$DJ$120,ROWS($A$10:$A39)+2,FALSE)</f>
        <v>805</v>
      </c>
      <c r="AH39" s="25">
        <f>HLOOKUP(AH$7,$I$66:$DJ$120,ROWS($A$10:$A39)+2,FALSE)</f>
        <v>946</v>
      </c>
      <c r="AI39" s="25">
        <f>HLOOKUP(AI$7,$I$66:$DJ$120,ROWS($A$10:$A39)+2,FALSE)</f>
        <v>1747</v>
      </c>
      <c r="AJ39" s="25">
        <f>HLOOKUP(AJ$7,$I$66:$DJ$120,ROWS($A$10:$A39)+2,FALSE)</f>
        <v>770</v>
      </c>
      <c r="AK39" s="25">
        <f>HLOOKUP(AK$7,$I$66:$DJ$120,ROWS($A$10:$A39)+2,FALSE)</f>
        <v>1129</v>
      </c>
      <c r="AL39" s="25" t="str">
        <f>HLOOKUP(AL$7,$I$66:$DJ$120,ROWS($A$10:$A39)+2,FALSE)</f>
        <v>N/A</v>
      </c>
      <c r="AM39" s="25">
        <f>HLOOKUP(AM$7,$I$66:$DJ$120,ROWS($A$10:$A39)+2,FALSE)</f>
        <v>59</v>
      </c>
      <c r="AN39" s="25">
        <f>HLOOKUP(AN$7,$I$66:$DJ$120,ROWS($A$10:$A39)+2,FALSE)</f>
        <v>1528</v>
      </c>
      <c r="AO39" s="25">
        <f>HLOOKUP(AO$7,$I$66:$DJ$120,ROWS($A$10:$A39)+2,FALSE)</f>
        <v>1220</v>
      </c>
      <c r="AP39" s="25">
        <f>HLOOKUP(AP$7,$I$66:$DJ$120,ROWS($A$10:$A39)+2,FALSE)</f>
        <v>1204</v>
      </c>
      <c r="AQ39" s="25">
        <f>HLOOKUP(AQ$7,$I$66:$DJ$120,ROWS($A$10:$A39)+2,FALSE)</f>
        <v>957</v>
      </c>
      <c r="AR39" s="25">
        <f>HLOOKUP(AR$7,$I$66:$DJ$120,ROWS($A$10:$A39)+2,FALSE)</f>
        <v>37</v>
      </c>
      <c r="AS39" s="25">
        <f>HLOOKUP(AS$7,$I$66:$DJ$120,ROWS($A$10:$A39)+2,FALSE)</f>
        <v>1554</v>
      </c>
      <c r="AT39" s="25">
        <f>HLOOKUP(AT$7,$I$66:$DJ$120,ROWS($A$10:$A39)+2,FALSE)</f>
        <v>886</v>
      </c>
      <c r="AU39" s="25">
        <f>HLOOKUP(AU$7,$I$66:$DJ$120,ROWS($A$10:$A39)+2,FALSE)</f>
        <v>2629</v>
      </c>
      <c r="AV39" s="25">
        <f>HLOOKUP(AV$7,$I$66:$DJ$120,ROWS($A$10:$A39)+2,FALSE)</f>
        <v>1567</v>
      </c>
      <c r="AW39" s="25">
        <f>HLOOKUP(AW$7,$I$66:$DJ$120,ROWS($A$10:$A39)+2,FALSE)</f>
        <v>167</v>
      </c>
      <c r="AX39" s="25">
        <f>HLOOKUP(AX$7,$I$66:$DJ$120,ROWS($A$10:$A39)+2,FALSE)</f>
        <v>312</v>
      </c>
      <c r="AY39" s="25">
        <f>HLOOKUP(AY$7,$I$66:$DJ$120,ROWS($A$10:$A39)+2,FALSE)</f>
        <v>1203</v>
      </c>
      <c r="AZ39" s="25">
        <f>HLOOKUP(AZ$7,$I$66:$DJ$120,ROWS($A$10:$A39)+2,FALSE)</f>
        <v>706</v>
      </c>
      <c r="BA39" s="25">
        <f>HLOOKUP(BA$7,$I$66:$DJ$120,ROWS($A$10:$A39)+2,FALSE)</f>
        <v>5224</v>
      </c>
      <c r="BB39" s="25">
        <f>HLOOKUP(BB$7,$I$66:$DJ$120,ROWS($A$10:$A39)+2,FALSE)</f>
        <v>4500</v>
      </c>
      <c r="BC39" s="25">
        <f>HLOOKUP(BC$7,$I$66:$DJ$120,ROWS($A$10:$A39)+2,FALSE)</f>
        <v>197</v>
      </c>
      <c r="BD39" s="25">
        <f>HLOOKUP(BD$7,$I$66:$DJ$120,ROWS($A$10:$A39)+2,FALSE)</f>
        <v>1832</v>
      </c>
      <c r="BE39" s="25">
        <f>HLOOKUP(BE$7,$I$66:$DJ$120,ROWS($A$10:$A39)+2,FALSE)</f>
        <v>3290</v>
      </c>
      <c r="BF39" s="25">
        <f>HLOOKUP(BF$7,$I$66:$DJ$120,ROWS($A$10:$A39)+2,FALSE)</f>
        <v>56</v>
      </c>
      <c r="BG39" s="25">
        <f>HLOOKUP(BG$7,$I$66:$DJ$120,ROWS($A$10:$A39)+2,FALSE)</f>
        <v>419</v>
      </c>
      <c r="BH39" s="25">
        <f>HLOOKUP(BH$7,$I$66:$DJ$120,ROWS($A$10:$A39)+2,FALSE)</f>
        <v>144</v>
      </c>
      <c r="BI39" s="25">
        <f>HLOOKUP(BI$7,$I$66:$DJ$120,ROWS($A$10:$A39)+2,FALSE)</f>
        <v>502</v>
      </c>
      <c r="BJ39" s="34">
        <f>HLOOKUP(BJ$7+0.5,$I$66:$DJ$120,ROWS($A$10:$A39)+2,FALSE)</f>
        <v>8786</v>
      </c>
      <c r="BK39" s="34">
        <f>HLOOKUP(BK$7+0.5,$I$66:$DJ$120,ROWS($A$10:$A39)+2,FALSE)</f>
        <v>246</v>
      </c>
      <c r="BL39" s="34">
        <f>HLOOKUP(BL$7+0.5,$I$66:$DJ$120,ROWS($A$10:$A39)+2,FALSE)</f>
        <v>659</v>
      </c>
      <c r="BM39" s="34">
        <f>HLOOKUP(BM$7+0.5,$I$66:$DJ$120,ROWS($A$10:$A39)+2,FALSE)</f>
        <v>2342</v>
      </c>
      <c r="BN39" s="34">
        <f>HLOOKUP(BN$7+0.5,$I$66:$DJ$120,ROWS($A$10:$A39)+2,FALSE)</f>
        <v>421</v>
      </c>
      <c r="BO39" s="34">
        <f>HLOOKUP(BO$7+0.5,$I$66:$DJ$120,ROWS($A$10:$A39)+2,FALSE)</f>
        <v>5381</v>
      </c>
      <c r="BP39" s="34">
        <f>HLOOKUP(BP$7+0.5,$I$66:$DJ$120,ROWS($A$10:$A39)+2,FALSE)</f>
        <v>1969</v>
      </c>
      <c r="BQ39" s="34">
        <f>HLOOKUP(BQ$7+0.5,$I$66:$DJ$120,ROWS($A$10:$A39)+2,FALSE)</f>
        <v>868</v>
      </c>
      <c r="BR39" s="34">
        <f>HLOOKUP(BR$7+0.5,$I$66:$DJ$120,ROWS($A$10:$A39)+2,FALSE)</f>
        <v>309</v>
      </c>
      <c r="BS39" s="34">
        <f>HLOOKUP(BS$7+0.5,$I$66:$DJ$120,ROWS($A$10:$A39)+2,FALSE)</f>
        <v>309</v>
      </c>
      <c r="BT39" s="34">
        <f>HLOOKUP(BT$7+0.5,$I$66:$DJ$120,ROWS($A$10:$A39)+2,FALSE)</f>
        <v>2182</v>
      </c>
      <c r="BU39" s="34">
        <f>HLOOKUP(BU$7+0.5,$I$66:$DJ$120,ROWS($A$10:$A39)+2,FALSE)</f>
        <v>1333</v>
      </c>
      <c r="BV39" s="34">
        <f>HLOOKUP(BV$7+0.5,$I$66:$DJ$120,ROWS($A$10:$A39)+2,FALSE)</f>
        <v>2688</v>
      </c>
      <c r="BW39" s="34">
        <f>HLOOKUP(BW$7+0.5,$I$66:$DJ$120,ROWS($A$10:$A39)+2,FALSE)</f>
        <v>984</v>
      </c>
      <c r="BX39" s="34">
        <f>HLOOKUP(BX$7+0.5,$I$66:$DJ$120,ROWS($A$10:$A39)+2,FALSE)</f>
        <v>927</v>
      </c>
      <c r="BY39" s="34">
        <f>HLOOKUP(BY$7+0.5,$I$66:$DJ$120,ROWS($A$10:$A39)+2,FALSE)</f>
        <v>545</v>
      </c>
      <c r="BZ39" s="34">
        <f>HLOOKUP(BZ$7+0.5,$I$66:$DJ$120,ROWS($A$10:$A39)+2,FALSE)</f>
        <v>371</v>
      </c>
      <c r="CA39" s="34">
        <f>HLOOKUP(CA$7+0.5,$I$66:$DJ$120,ROWS($A$10:$A39)+2,FALSE)</f>
        <v>654</v>
      </c>
      <c r="CB39" s="34">
        <f>HLOOKUP(CB$7+0.5,$I$66:$DJ$120,ROWS($A$10:$A39)+2,FALSE)</f>
        <v>668</v>
      </c>
      <c r="CC39" s="34">
        <f>HLOOKUP(CC$7+0.5,$I$66:$DJ$120,ROWS($A$10:$A39)+2,FALSE)</f>
        <v>757</v>
      </c>
      <c r="CD39" s="34">
        <f>HLOOKUP(CD$7+0.5,$I$66:$DJ$120,ROWS($A$10:$A39)+2,FALSE)</f>
        <v>309</v>
      </c>
      <c r="CE39" s="34">
        <f>HLOOKUP(CE$7+0.5,$I$66:$DJ$120,ROWS($A$10:$A39)+2,FALSE)</f>
        <v>402</v>
      </c>
      <c r="CF39" s="34">
        <f>HLOOKUP(CF$7+0.5,$I$66:$DJ$120,ROWS($A$10:$A39)+2,FALSE)</f>
        <v>752</v>
      </c>
      <c r="CG39" s="34">
        <f>HLOOKUP(CG$7+0.5,$I$66:$DJ$120,ROWS($A$10:$A39)+2,FALSE)</f>
        <v>861</v>
      </c>
      <c r="CH39" s="34">
        <f>HLOOKUP(CH$7+0.5,$I$66:$DJ$120,ROWS($A$10:$A39)+2,FALSE)</f>
        <v>528</v>
      </c>
      <c r="CI39" s="34">
        <f>HLOOKUP(CI$7+0.5,$I$66:$DJ$120,ROWS($A$10:$A39)+2,FALSE)</f>
        <v>748</v>
      </c>
      <c r="CJ39" s="34">
        <f>HLOOKUP(CJ$7+0.5,$I$66:$DJ$120,ROWS($A$10:$A39)+2,FALSE)</f>
        <v>1218</v>
      </c>
      <c r="CK39" s="34">
        <f>HLOOKUP(CK$7+0.5,$I$66:$DJ$120,ROWS($A$10:$A39)+2,FALSE)</f>
        <v>742</v>
      </c>
      <c r="CL39" s="34">
        <f>HLOOKUP(CL$7+0.5,$I$66:$DJ$120,ROWS($A$10:$A39)+2,FALSE)</f>
        <v>951</v>
      </c>
      <c r="CM39" s="34" t="str">
        <f>HLOOKUP(CM$7+0.5,$I$66:$DJ$120,ROWS($A$10:$A39)+2,FALSE)</f>
        <v>N/A</v>
      </c>
      <c r="CN39" s="34">
        <f>HLOOKUP(CN$7+0.5,$I$66:$DJ$120,ROWS($A$10:$A39)+2,FALSE)</f>
        <v>97</v>
      </c>
      <c r="CO39" s="34">
        <f>HLOOKUP(CO$7+0.5,$I$66:$DJ$120,ROWS($A$10:$A39)+2,FALSE)</f>
        <v>1205</v>
      </c>
      <c r="CP39" s="34">
        <f>HLOOKUP(CP$7+0.5,$I$66:$DJ$120,ROWS($A$10:$A39)+2,FALSE)</f>
        <v>715</v>
      </c>
      <c r="CQ39" s="34">
        <f>HLOOKUP(CQ$7+0.5,$I$66:$DJ$120,ROWS($A$10:$A39)+2,FALSE)</f>
        <v>753</v>
      </c>
      <c r="CR39" s="34">
        <f>HLOOKUP(CR$7+0.5,$I$66:$DJ$120,ROWS($A$10:$A39)+2,FALSE)</f>
        <v>531</v>
      </c>
      <c r="CS39" s="34">
        <f>HLOOKUP(CS$7+0.5,$I$66:$DJ$120,ROWS($A$10:$A39)+2,FALSE)</f>
        <v>64</v>
      </c>
      <c r="CT39" s="34">
        <f>HLOOKUP(CT$7+0.5,$I$66:$DJ$120,ROWS($A$10:$A39)+2,FALSE)</f>
        <v>852</v>
      </c>
      <c r="CU39" s="34">
        <f>HLOOKUP(CU$7+0.5,$I$66:$DJ$120,ROWS($A$10:$A39)+2,FALSE)</f>
        <v>600</v>
      </c>
      <c r="CV39" s="34">
        <f>HLOOKUP(CV$7+0.5,$I$66:$DJ$120,ROWS($A$10:$A39)+2,FALSE)</f>
        <v>1056</v>
      </c>
      <c r="CW39" s="34">
        <f>HLOOKUP(CW$7+0.5,$I$66:$DJ$120,ROWS($A$10:$A39)+2,FALSE)</f>
        <v>752</v>
      </c>
      <c r="CX39" s="34">
        <f>HLOOKUP(CX$7+0.5,$I$66:$DJ$120,ROWS($A$10:$A39)+2,FALSE)</f>
        <v>223</v>
      </c>
      <c r="CY39" s="34">
        <f>HLOOKUP(CY$7+0.5,$I$66:$DJ$120,ROWS($A$10:$A39)+2,FALSE)</f>
        <v>291</v>
      </c>
      <c r="CZ39" s="34">
        <f>HLOOKUP(CZ$7+0.5,$I$66:$DJ$120,ROWS($A$10:$A39)+2,FALSE)</f>
        <v>803</v>
      </c>
      <c r="DA39" s="34">
        <f>HLOOKUP(DA$7+0.5,$I$66:$DJ$120,ROWS($A$10:$A39)+2,FALSE)</f>
        <v>681</v>
      </c>
      <c r="DB39" s="34">
        <f>HLOOKUP(DB$7+0.5,$I$66:$DJ$120,ROWS($A$10:$A39)+2,FALSE)</f>
        <v>2241</v>
      </c>
      <c r="DC39" s="34">
        <f>HLOOKUP(DC$7+0.5,$I$66:$DJ$120,ROWS($A$10:$A39)+2,FALSE)</f>
        <v>2410</v>
      </c>
      <c r="DD39" s="34">
        <f>HLOOKUP(DD$7+0.5,$I$66:$DJ$120,ROWS($A$10:$A39)+2,FALSE)</f>
        <v>328</v>
      </c>
      <c r="DE39" s="34">
        <f>HLOOKUP(DE$7+0.5,$I$66:$DJ$120,ROWS($A$10:$A39)+2,FALSE)</f>
        <v>1429</v>
      </c>
      <c r="DF39" s="34">
        <f>HLOOKUP(DF$7+0.5,$I$66:$DJ$120,ROWS($A$10:$A39)+2,FALSE)</f>
        <v>1219</v>
      </c>
      <c r="DG39" s="34">
        <f>HLOOKUP(DG$7+0.5,$I$66:$DJ$120,ROWS($A$10:$A39)+2,FALSE)</f>
        <v>101</v>
      </c>
      <c r="DH39" s="34">
        <f>HLOOKUP(DH$7+0.5,$I$66:$DJ$120,ROWS($A$10:$A39)+2,FALSE)</f>
        <v>244</v>
      </c>
      <c r="DI39" s="34">
        <f>HLOOKUP(DI$7+0.5,$I$66:$DJ$120,ROWS($A$10:$A39)+2,FALSE)</f>
        <v>144</v>
      </c>
      <c r="DJ39" s="34">
        <f>HLOOKUP(DJ$7+0.5,$I$66:$DJ$120,ROWS($A$10:$A39)+2,FALSE)</f>
        <v>618</v>
      </c>
    </row>
    <row r="40" spans="2:114" x14ac:dyDescent="0.25">
      <c r="B40" s="38" t="s">
        <v>36</v>
      </c>
      <c r="C40" s="16">
        <v>1303865</v>
      </c>
      <c r="D40" s="17">
        <v>1720</v>
      </c>
      <c r="E40" s="16">
        <v>1118359</v>
      </c>
      <c r="F40" s="17">
        <v>9822</v>
      </c>
      <c r="G40" s="16">
        <v>141213</v>
      </c>
      <c r="H40" s="17">
        <v>9061</v>
      </c>
      <c r="I40" s="36">
        <f>HLOOKUP(I$7,$I$66:$DJ$120,ROWS($A$10:$A40)+2,FALSE)</f>
        <v>39367</v>
      </c>
      <c r="J40" s="25">
        <f>HLOOKUP(J$7,$I$66:$DJ$120,ROWS($A$10:$A40)+2,FALSE)</f>
        <v>152</v>
      </c>
      <c r="K40" s="25">
        <f>HLOOKUP(K$7,$I$66:$DJ$120,ROWS($A$10:$A40)+2,FALSE)</f>
        <v>0</v>
      </c>
      <c r="L40" s="25">
        <f>HLOOKUP(L$7,$I$66:$DJ$120,ROWS($A$10:$A40)+2,FALSE)</f>
        <v>544</v>
      </c>
      <c r="M40" s="25">
        <f>HLOOKUP(M$7,$I$66:$DJ$120,ROWS($A$10:$A40)+2,FALSE)</f>
        <v>0</v>
      </c>
      <c r="N40" s="25">
        <f>HLOOKUP(N$7,$I$66:$DJ$120,ROWS($A$10:$A40)+2,FALSE)</f>
        <v>1692</v>
      </c>
      <c r="O40" s="25">
        <f>HLOOKUP(O$7,$I$66:$DJ$120,ROWS($A$10:$A40)+2,FALSE)</f>
        <v>240</v>
      </c>
      <c r="P40" s="25">
        <f>HLOOKUP(P$7,$I$66:$DJ$120,ROWS($A$10:$A40)+2,FALSE)</f>
        <v>3134</v>
      </c>
      <c r="Q40" s="25">
        <f>HLOOKUP(Q$7,$I$66:$DJ$120,ROWS($A$10:$A40)+2,FALSE)</f>
        <v>0</v>
      </c>
      <c r="R40" s="25">
        <f>HLOOKUP(R$7,$I$66:$DJ$120,ROWS($A$10:$A40)+2,FALSE)</f>
        <v>298</v>
      </c>
      <c r="S40" s="25">
        <f>HLOOKUP(S$7,$I$66:$DJ$120,ROWS($A$10:$A40)+2,FALSE)</f>
        <v>1659</v>
      </c>
      <c r="T40" s="25">
        <f>HLOOKUP(T$7,$I$66:$DJ$120,ROWS($A$10:$A40)+2,FALSE)</f>
        <v>0</v>
      </c>
      <c r="U40" s="25">
        <f>HLOOKUP(U$7,$I$66:$DJ$120,ROWS($A$10:$A40)+2,FALSE)</f>
        <v>51</v>
      </c>
      <c r="V40" s="25">
        <f>HLOOKUP(V$7,$I$66:$DJ$120,ROWS($A$10:$A40)+2,FALSE)</f>
        <v>66</v>
      </c>
      <c r="W40" s="25">
        <f>HLOOKUP(W$7,$I$66:$DJ$120,ROWS($A$10:$A40)+2,FALSE)</f>
        <v>850</v>
      </c>
      <c r="X40" s="25">
        <f>HLOOKUP(X$7,$I$66:$DJ$120,ROWS($A$10:$A40)+2,FALSE)</f>
        <v>23</v>
      </c>
      <c r="Y40" s="25">
        <f>HLOOKUP(Y$7,$I$66:$DJ$120,ROWS($A$10:$A40)+2,FALSE)</f>
        <v>109</v>
      </c>
      <c r="Z40" s="25">
        <f>HLOOKUP(Z$7,$I$66:$DJ$120,ROWS($A$10:$A40)+2,FALSE)</f>
        <v>57</v>
      </c>
      <c r="AA40" s="25">
        <f>HLOOKUP(AA$7,$I$66:$DJ$120,ROWS($A$10:$A40)+2,FALSE)</f>
        <v>0</v>
      </c>
      <c r="AB40" s="25">
        <f>HLOOKUP(AB$7,$I$66:$DJ$120,ROWS($A$10:$A40)+2,FALSE)</f>
        <v>19</v>
      </c>
      <c r="AC40" s="25">
        <f>HLOOKUP(AC$7,$I$66:$DJ$120,ROWS($A$10:$A40)+2,FALSE)</f>
        <v>3242</v>
      </c>
      <c r="AD40" s="25">
        <f>HLOOKUP(AD$7,$I$66:$DJ$120,ROWS($A$10:$A40)+2,FALSE)</f>
        <v>49</v>
      </c>
      <c r="AE40" s="25">
        <f>HLOOKUP(AE$7,$I$66:$DJ$120,ROWS($A$10:$A40)+2,FALSE)</f>
        <v>13752</v>
      </c>
      <c r="AF40" s="25">
        <f>HLOOKUP(AF$7,$I$66:$DJ$120,ROWS($A$10:$A40)+2,FALSE)</f>
        <v>230</v>
      </c>
      <c r="AG40" s="25">
        <f>HLOOKUP(AG$7,$I$66:$DJ$120,ROWS($A$10:$A40)+2,FALSE)</f>
        <v>240</v>
      </c>
      <c r="AH40" s="25">
        <f>HLOOKUP(AH$7,$I$66:$DJ$120,ROWS($A$10:$A40)+2,FALSE)</f>
        <v>25</v>
      </c>
      <c r="AI40" s="25">
        <f>HLOOKUP(AI$7,$I$66:$DJ$120,ROWS($A$10:$A40)+2,FALSE)</f>
        <v>295</v>
      </c>
      <c r="AJ40" s="25">
        <f>HLOOKUP(AJ$7,$I$66:$DJ$120,ROWS($A$10:$A40)+2,FALSE)</f>
        <v>486</v>
      </c>
      <c r="AK40" s="25">
        <f>HLOOKUP(AK$7,$I$66:$DJ$120,ROWS($A$10:$A40)+2,FALSE)</f>
        <v>0</v>
      </c>
      <c r="AL40" s="25">
        <f>HLOOKUP(AL$7,$I$66:$DJ$120,ROWS($A$10:$A40)+2,FALSE)</f>
        <v>95</v>
      </c>
      <c r="AM40" s="25" t="str">
        <f>HLOOKUP(AM$7,$I$66:$DJ$120,ROWS($A$10:$A40)+2,FALSE)</f>
        <v>N/A</v>
      </c>
      <c r="AN40" s="25">
        <f>HLOOKUP(AN$7,$I$66:$DJ$120,ROWS($A$10:$A40)+2,FALSE)</f>
        <v>540</v>
      </c>
      <c r="AO40" s="25">
        <f>HLOOKUP(AO$7,$I$66:$DJ$120,ROWS($A$10:$A40)+2,FALSE)</f>
        <v>276</v>
      </c>
      <c r="AP40" s="25">
        <f>HLOOKUP(AP$7,$I$66:$DJ$120,ROWS($A$10:$A40)+2,FALSE)</f>
        <v>2462</v>
      </c>
      <c r="AQ40" s="25">
        <f>HLOOKUP(AQ$7,$I$66:$DJ$120,ROWS($A$10:$A40)+2,FALSE)</f>
        <v>471</v>
      </c>
      <c r="AR40" s="25">
        <f>HLOOKUP(AR$7,$I$66:$DJ$120,ROWS($A$10:$A40)+2,FALSE)</f>
        <v>0</v>
      </c>
      <c r="AS40" s="25">
        <f>HLOOKUP(AS$7,$I$66:$DJ$120,ROWS($A$10:$A40)+2,FALSE)</f>
        <v>28</v>
      </c>
      <c r="AT40" s="25">
        <f>HLOOKUP(AT$7,$I$66:$DJ$120,ROWS($A$10:$A40)+2,FALSE)</f>
        <v>0</v>
      </c>
      <c r="AU40" s="25">
        <f>HLOOKUP(AU$7,$I$66:$DJ$120,ROWS($A$10:$A40)+2,FALSE)</f>
        <v>508</v>
      </c>
      <c r="AV40" s="25">
        <f>HLOOKUP(AV$7,$I$66:$DJ$120,ROWS($A$10:$A40)+2,FALSE)</f>
        <v>674</v>
      </c>
      <c r="AW40" s="25">
        <f>HLOOKUP(AW$7,$I$66:$DJ$120,ROWS($A$10:$A40)+2,FALSE)</f>
        <v>988</v>
      </c>
      <c r="AX40" s="25">
        <f>HLOOKUP(AX$7,$I$66:$DJ$120,ROWS($A$10:$A40)+2,FALSE)</f>
        <v>51</v>
      </c>
      <c r="AY40" s="25">
        <f>HLOOKUP(AY$7,$I$66:$DJ$120,ROWS($A$10:$A40)+2,FALSE)</f>
        <v>0</v>
      </c>
      <c r="AZ40" s="25">
        <f>HLOOKUP(AZ$7,$I$66:$DJ$120,ROWS($A$10:$A40)+2,FALSE)</f>
        <v>372</v>
      </c>
      <c r="BA40" s="25">
        <f>HLOOKUP(BA$7,$I$66:$DJ$120,ROWS($A$10:$A40)+2,FALSE)</f>
        <v>1570</v>
      </c>
      <c r="BB40" s="25">
        <f>HLOOKUP(BB$7,$I$66:$DJ$120,ROWS($A$10:$A40)+2,FALSE)</f>
        <v>279</v>
      </c>
      <c r="BC40" s="25">
        <f>HLOOKUP(BC$7,$I$66:$DJ$120,ROWS($A$10:$A40)+2,FALSE)</f>
        <v>2566</v>
      </c>
      <c r="BD40" s="25">
        <f>HLOOKUP(BD$7,$I$66:$DJ$120,ROWS($A$10:$A40)+2,FALSE)</f>
        <v>745</v>
      </c>
      <c r="BE40" s="25">
        <f>HLOOKUP(BE$7,$I$66:$DJ$120,ROWS($A$10:$A40)+2,FALSE)</f>
        <v>261</v>
      </c>
      <c r="BF40" s="25">
        <f>HLOOKUP(BF$7,$I$66:$DJ$120,ROWS($A$10:$A40)+2,FALSE)</f>
        <v>0</v>
      </c>
      <c r="BG40" s="25">
        <f>HLOOKUP(BG$7,$I$66:$DJ$120,ROWS($A$10:$A40)+2,FALSE)</f>
        <v>268</v>
      </c>
      <c r="BH40" s="25">
        <f>HLOOKUP(BH$7,$I$66:$DJ$120,ROWS($A$10:$A40)+2,FALSE)</f>
        <v>0</v>
      </c>
      <c r="BI40" s="25">
        <f>HLOOKUP(BI$7,$I$66:$DJ$120,ROWS($A$10:$A40)+2,FALSE)</f>
        <v>56</v>
      </c>
      <c r="BJ40" s="34">
        <f>HLOOKUP(BJ$7+0.5,$I$66:$DJ$120,ROWS($A$10:$A40)+2,FALSE)</f>
        <v>4220</v>
      </c>
      <c r="BK40" s="34">
        <f>HLOOKUP(BK$7+0.5,$I$66:$DJ$120,ROWS($A$10:$A40)+2,FALSE)</f>
        <v>235</v>
      </c>
      <c r="BL40" s="34">
        <f>HLOOKUP(BL$7+0.5,$I$66:$DJ$120,ROWS($A$10:$A40)+2,FALSE)</f>
        <v>257</v>
      </c>
      <c r="BM40" s="34">
        <f>HLOOKUP(BM$7+0.5,$I$66:$DJ$120,ROWS($A$10:$A40)+2,FALSE)</f>
        <v>383</v>
      </c>
      <c r="BN40" s="34">
        <f>HLOOKUP(BN$7+0.5,$I$66:$DJ$120,ROWS($A$10:$A40)+2,FALSE)</f>
        <v>257</v>
      </c>
      <c r="BO40" s="34">
        <f>HLOOKUP(BO$7+0.5,$I$66:$DJ$120,ROWS($A$10:$A40)+2,FALSE)</f>
        <v>969</v>
      </c>
      <c r="BP40" s="34">
        <f>HLOOKUP(BP$7+0.5,$I$66:$DJ$120,ROWS($A$10:$A40)+2,FALSE)</f>
        <v>250</v>
      </c>
      <c r="BQ40" s="34">
        <f>HLOOKUP(BQ$7+0.5,$I$66:$DJ$120,ROWS($A$10:$A40)+2,FALSE)</f>
        <v>1187</v>
      </c>
      <c r="BR40" s="34">
        <f>HLOOKUP(BR$7+0.5,$I$66:$DJ$120,ROWS($A$10:$A40)+2,FALSE)</f>
        <v>257</v>
      </c>
      <c r="BS40" s="34">
        <f>HLOOKUP(BS$7+0.5,$I$66:$DJ$120,ROWS($A$10:$A40)+2,FALSE)</f>
        <v>389</v>
      </c>
      <c r="BT40" s="34">
        <f>HLOOKUP(BT$7+0.5,$I$66:$DJ$120,ROWS($A$10:$A40)+2,FALSE)</f>
        <v>699</v>
      </c>
      <c r="BU40" s="34">
        <f>HLOOKUP(BU$7+0.5,$I$66:$DJ$120,ROWS($A$10:$A40)+2,FALSE)</f>
        <v>257</v>
      </c>
      <c r="BV40" s="34">
        <f>HLOOKUP(BV$7+0.5,$I$66:$DJ$120,ROWS($A$10:$A40)+2,FALSE)</f>
        <v>83</v>
      </c>
      <c r="BW40" s="34">
        <f>HLOOKUP(BW$7+0.5,$I$66:$DJ$120,ROWS($A$10:$A40)+2,FALSE)</f>
        <v>113</v>
      </c>
      <c r="BX40" s="34">
        <f>HLOOKUP(BX$7+0.5,$I$66:$DJ$120,ROWS($A$10:$A40)+2,FALSE)</f>
        <v>741</v>
      </c>
      <c r="BY40" s="34">
        <f>HLOOKUP(BY$7+0.5,$I$66:$DJ$120,ROWS($A$10:$A40)+2,FALSE)</f>
        <v>37</v>
      </c>
      <c r="BZ40" s="34">
        <f>HLOOKUP(BZ$7+0.5,$I$66:$DJ$120,ROWS($A$10:$A40)+2,FALSE)</f>
        <v>124</v>
      </c>
      <c r="CA40" s="34">
        <f>HLOOKUP(CA$7+0.5,$I$66:$DJ$120,ROWS($A$10:$A40)+2,FALSE)</f>
        <v>100</v>
      </c>
      <c r="CB40" s="34">
        <f>HLOOKUP(CB$7+0.5,$I$66:$DJ$120,ROWS($A$10:$A40)+2,FALSE)</f>
        <v>257</v>
      </c>
      <c r="CC40" s="34">
        <f>HLOOKUP(CC$7+0.5,$I$66:$DJ$120,ROWS($A$10:$A40)+2,FALSE)</f>
        <v>33</v>
      </c>
      <c r="CD40" s="34">
        <f>HLOOKUP(CD$7+0.5,$I$66:$DJ$120,ROWS($A$10:$A40)+2,FALSE)</f>
        <v>983</v>
      </c>
      <c r="CE40" s="34">
        <f>HLOOKUP(CE$7+0.5,$I$66:$DJ$120,ROWS($A$10:$A40)+2,FALSE)</f>
        <v>81</v>
      </c>
      <c r="CF40" s="34">
        <f>HLOOKUP(CF$7+0.5,$I$66:$DJ$120,ROWS($A$10:$A40)+2,FALSE)</f>
        <v>2615</v>
      </c>
      <c r="CG40" s="34">
        <f>HLOOKUP(CG$7+0.5,$I$66:$DJ$120,ROWS($A$10:$A40)+2,FALSE)</f>
        <v>222</v>
      </c>
      <c r="CH40" s="34">
        <f>HLOOKUP(CH$7+0.5,$I$66:$DJ$120,ROWS($A$10:$A40)+2,FALSE)</f>
        <v>270</v>
      </c>
      <c r="CI40" s="34">
        <f>HLOOKUP(CI$7+0.5,$I$66:$DJ$120,ROWS($A$10:$A40)+2,FALSE)</f>
        <v>41</v>
      </c>
      <c r="CJ40" s="34">
        <f>HLOOKUP(CJ$7+0.5,$I$66:$DJ$120,ROWS($A$10:$A40)+2,FALSE)</f>
        <v>387</v>
      </c>
      <c r="CK40" s="34">
        <f>HLOOKUP(CK$7+0.5,$I$66:$DJ$120,ROWS($A$10:$A40)+2,FALSE)</f>
        <v>638</v>
      </c>
      <c r="CL40" s="34">
        <f>HLOOKUP(CL$7+0.5,$I$66:$DJ$120,ROWS($A$10:$A40)+2,FALSE)</f>
        <v>257</v>
      </c>
      <c r="CM40" s="34">
        <f>HLOOKUP(CM$7+0.5,$I$66:$DJ$120,ROWS($A$10:$A40)+2,FALSE)</f>
        <v>123</v>
      </c>
      <c r="CN40" s="34" t="str">
        <f>HLOOKUP(CN$7+0.5,$I$66:$DJ$120,ROWS($A$10:$A40)+2,FALSE)</f>
        <v>N/A</v>
      </c>
      <c r="CO40" s="34">
        <f>HLOOKUP(CO$7+0.5,$I$66:$DJ$120,ROWS($A$10:$A40)+2,FALSE)</f>
        <v>365</v>
      </c>
      <c r="CP40" s="34">
        <f>HLOOKUP(CP$7+0.5,$I$66:$DJ$120,ROWS($A$10:$A40)+2,FALSE)</f>
        <v>394</v>
      </c>
      <c r="CQ40" s="34">
        <f>HLOOKUP(CQ$7+0.5,$I$66:$DJ$120,ROWS($A$10:$A40)+2,FALSE)</f>
        <v>997</v>
      </c>
      <c r="CR40" s="34">
        <f>HLOOKUP(CR$7+0.5,$I$66:$DJ$120,ROWS($A$10:$A40)+2,FALSE)</f>
        <v>439</v>
      </c>
      <c r="CS40" s="34">
        <f>HLOOKUP(CS$7+0.5,$I$66:$DJ$120,ROWS($A$10:$A40)+2,FALSE)</f>
        <v>257</v>
      </c>
      <c r="CT40" s="34">
        <f>HLOOKUP(CT$7+0.5,$I$66:$DJ$120,ROWS($A$10:$A40)+2,FALSE)</f>
        <v>35</v>
      </c>
      <c r="CU40" s="34">
        <f>HLOOKUP(CU$7+0.5,$I$66:$DJ$120,ROWS($A$10:$A40)+2,FALSE)</f>
        <v>257</v>
      </c>
      <c r="CV40" s="34">
        <f>HLOOKUP(CV$7+0.5,$I$66:$DJ$120,ROWS($A$10:$A40)+2,FALSE)</f>
        <v>544</v>
      </c>
      <c r="CW40" s="34">
        <f>HLOOKUP(CW$7+0.5,$I$66:$DJ$120,ROWS($A$10:$A40)+2,FALSE)</f>
        <v>406</v>
      </c>
      <c r="CX40" s="34">
        <f>HLOOKUP(CX$7+0.5,$I$66:$DJ$120,ROWS($A$10:$A40)+2,FALSE)</f>
        <v>677</v>
      </c>
      <c r="CY40" s="34">
        <f>HLOOKUP(CY$7+0.5,$I$66:$DJ$120,ROWS($A$10:$A40)+2,FALSE)</f>
        <v>85</v>
      </c>
      <c r="CZ40" s="34">
        <f>HLOOKUP(CZ$7+0.5,$I$66:$DJ$120,ROWS($A$10:$A40)+2,FALSE)</f>
        <v>257</v>
      </c>
      <c r="DA40" s="34">
        <f>HLOOKUP(DA$7+0.5,$I$66:$DJ$120,ROWS($A$10:$A40)+2,FALSE)</f>
        <v>387</v>
      </c>
      <c r="DB40" s="34">
        <f>HLOOKUP(DB$7+0.5,$I$66:$DJ$120,ROWS($A$10:$A40)+2,FALSE)</f>
        <v>1644</v>
      </c>
      <c r="DC40" s="34">
        <f>HLOOKUP(DC$7+0.5,$I$66:$DJ$120,ROWS($A$10:$A40)+2,FALSE)</f>
        <v>223</v>
      </c>
      <c r="DD40" s="34">
        <f>HLOOKUP(DD$7+0.5,$I$66:$DJ$120,ROWS($A$10:$A40)+2,FALSE)</f>
        <v>1011</v>
      </c>
      <c r="DE40" s="34">
        <f>HLOOKUP(DE$7+0.5,$I$66:$DJ$120,ROWS($A$10:$A40)+2,FALSE)</f>
        <v>807</v>
      </c>
      <c r="DF40" s="34">
        <f>HLOOKUP(DF$7+0.5,$I$66:$DJ$120,ROWS($A$10:$A40)+2,FALSE)</f>
        <v>434</v>
      </c>
      <c r="DG40" s="34">
        <f>HLOOKUP(DG$7+0.5,$I$66:$DJ$120,ROWS($A$10:$A40)+2,FALSE)</f>
        <v>257</v>
      </c>
      <c r="DH40" s="34">
        <f>HLOOKUP(DH$7+0.5,$I$66:$DJ$120,ROWS($A$10:$A40)+2,FALSE)</f>
        <v>418</v>
      </c>
      <c r="DI40" s="34">
        <f>HLOOKUP(DI$7+0.5,$I$66:$DJ$120,ROWS($A$10:$A40)+2,FALSE)</f>
        <v>257</v>
      </c>
      <c r="DJ40" s="34">
        <f>HLOOKUP(DJ$7+0.5,$I$66:$DJ$120,ROWS($A$10:$A40)+2,FALSE)</f>
        <v>93</v>
      </c>
    </row>
    <row r="41" spans="2:114" x14ac:dyDescent="0.25">
      <c r="B41" s="38" t="s">
        <v>37</v>
      </c>
      <c r="C41" s="15">
        <v>8709933</v>
      </c>
      <c r="D41" s="14">
        <v>4515</v>
      </c>
      <c r="E41" s="15">
        <v>7841470</v>
      </c>
      <c r="F41" s="14">
        <v>25935</v>
      </c>
      <c r="G41" s="15">
        <v>684482</v>
      </c>
      <c r="H41" s="14">
        <v>23318</v>
      </c>
      <c r="I41" s="36">
        <f>HLOOKUP(I$7,$I$66:$DJ$120,ROWS($A$10:$A41)+2,FALSE)</f>
        <v>127369</v>
      </c>
      <c r="J41" s="25">
        <f>HLOOKUP(J$7,$I$66:$DJ$120,ROWS($A$10:$A41)+2,FALSE)</f>
        <v>616</v>
      </c>
      <c r="K41" s="25">
        <f>HLOOKUP(K$7,$I$66:$DJ$120,ROWS($A$10:$A41)+2,FALSE)</f>
        <v>383</v>
      </c>
      <c r="L41" s="25">
        <f>HLOOKUP(L$7,$I$66:$DJ$120,ROWS($A$10:$A41)+2,FALSE)</f>
        <v>1625</v>
      </c>
      <c r="M41" s="25">
        <f>HLOOKUP(M$7,$I$66:$DJ$120,ROWS($A$10:$A41)+2,FALSE)</f>
        <v>258</v>
      </c>
      <c r="N41" s="25">
        <f>HLOOKUP(N$7,$I$66:$DJ$120,ROWS($A$10:$A41)+2,FALSE)</f>
        <v>8777</v>
      </c>
      <c r="O41" s="25">
        <f>HLOOKUP(O$7,$I$66:$DJ$120,ROWS($A$10:$A41)+2,FALSE)</f>
        <v>807</v>
      </c>
      <c r="P41" s="25">
        <f>HLOOKUP(P$7,$I$66:$DJ$120,ROWS($A$10:$A41)+2,FALSE)</f>
        <v>2503</v>
      </c>
      <c r="Q41" s="25">
        <f>HLOOKUP(Q$7,$I$66:$DJ$120,ROWS($A$10:$A41)+2,FALSE)</f>
        <v>1543</v>
      </c>
      <c r="R41" s="25">
        <f>HLOOKUP(R$7,$I$66:$DJ$120,ROWS($A$10:$A41)+2,FALSE)</f>
        <v>431</v>
      </c>
      <c r="S41" s="25">
        <f>HLOOKUP(S$7,$I$66:$DJ$120,ROWS($A$10:$A41)+2,FALSE)</f>
        <v>9841</v>
      </c>
      <c r="T41" s="25">
        <f>HLOOKUP(T$7,$I$66:$DJ$120,ROWS($A$10:$A41)+2,FALSE)</f>
        <v>4588</v>
      </c>
      <c r="U41" s="25">
        <f>HLOOKUP(U$7,$I$66:$DJ$120,ROWS($A$10:$A41)+2,FALSE)</f>
        <v>385</v>
      </c>
      <c r="V41" s="25">
        <f>HLOOKUP(V$7,$I$66:$DJ$120,ROWS($A$10:$A41)+2,FALSE)</f>
        <v>91</v>
      </c>
      <c r="W41" s="25">
        <f>HLOOKUP(W$7,$I$66:$DJ$120,ROWS($A$10:$A41)+2,FALSE)</f>
        <v>2656</v>
      </c>
      <c r="X41" s="25">
        <f>HLOOKUP(X$7,$I$66:$DJ$120,ROWS($A$10:$A41)+2,FALSE)</f>
        <v>402</v>
      </c>
      <c r="Y41" s="25">
        <f>HLOOKUP(Y$7,$I$66:$DJ$120,ROWS($A$10:$A41)+2,FALSE)</f>
        <v>332</v>
      </c>
      <c r="Z41" s="25">
        <f>HLOOKUP(Z$7,$I$66:$DJ$120,ROWS($A$10:$A41)+2,FALSE)</f>
        <v>442</v>
      </c>
      <c r="AA41" s="25">
        <f>HLOOKUP(AA$7,$I$66:$DJ$120,ROWS($A$10:$A41)+2,FALSE)</f>
        <v>91</v>
      </c>
      <c r="AB41" s="25">
        <f>HLOOKUP(AB$7,$I$66:$DJ$120,ROWS($A$10:$A41)+2,FALSE)</f>
        <v>249</v>
      </c>
      <c r="AC41" s="25">
        <f>HLOOKUP(AC$7,$I$66:$DJ$120,ROWS($A$10:$A41)+2,FALSE)</f>
        <v>95</v>
      </c>
      <c r="AD41" s="25">
        <f>HLOOKUP(AD$7,$I$66:$DJ$120,ROWS($A$10:$A41)+2,FALSE)</f>
        <v>4231</v>
      </c>
      <c r="AE41" s="25">
        <f>HLOOKUP(AE$7,$I$66:$DJ$120,ROWS($A$10:$A41)+2,FALSE)</f>
        <v>2626</v>
      </c>
      <c r="AF41" s="25">
        <f>HLOOKUP(AF$7,$I$66:$DJ$120,ROWS($A$10:$A41)+2,FALSE)</f>
        <v>1070</v>
      </c>
      <c r="AG41" s="25">
        <f>HLOOKUP(AG$7,$I$66:$DJ$120,ROWS($A$10:$A41)+2,FALSE)</f>
        <v>322</v>
      </c>
      <c r="AH41" s="25">
        <f>HLOOKUP(AH$7,$I$66:$DJ$120,ROWS($A$10:$A41)+2,FALSE)</f>
        <v>450</v>
      </c>
      <c r="AI41" s="25">
        <f>HLOOKUP(AI$7,$I$66:$DJ$120,ROWS($A$10:$A41)+2,FALSE)</f>
        <v>727</v>
      </c>
      <c r="AJ41" s="25">
        <f>HLOOKUP(AJ$7,$I$66:$DJ$120,ROWS($A$10:$A41)+2,FALSE)</f>
        <v>122</v>
      </c>
      <c r="AK41" s="25">
        <f>HLOOKUP(AK$7,$I$66:$DJ$120,ROWS($A$10:$A41)+2,FALSE)</f>
        <v>261</v>
      </c>
      <c r="AL41" s="25">
        <f>HLOOKUP(AL$7,$I$66:$DJ$120,ROWS($A$10:$A41)+2,FALSE)</f>
        <v>874</v>
      </c>
      <c r="AM41" s="25">
        <f>HLOOKUP(AM$7,$I$66:$DJ$120,ROWS($A$10:$A41)+2,FALSE)</f>
        <v>705</v>
      </c>
      <c r="AN41" s="25" t="str">
        <f>HLOOKUP(AN$7,$I$66:$DJ$120,ROWS($A$10:$A41)+2,FALSE)</f>
        <v>N/A</v>
      </c>
      <c r="AO41" s="25">
        <f>HLOOKUP(AO$7,$I$66:$DJ$120,ROWS($A$10:$A41)+2,FALSE)</f>
        <v>421</v>
      </c>
      <c r="AP41" s="25">
        <f>HLOOKUP(AP$7,$I$66:$DJ$120,ROWS($A$10:$A41)+2,FALSE)</f>
        <v>41374</v>
      </c>
      <c r="AQ41" s="25">
        <f>HLOOKUP(AQ$7,$I$66:$DJ$120,ROWS($A$10:$A41)+2,FALSE)</f>
        <v>3052</v>
      </c>
      <c r="AR41" s="25">
        <f>HLOOKUP(AR$7,$I$66:$DJ$120,ROWS($A$10:$A41)+2,FALSE)</f>
        <v>0</v>
      </c>
      <c r="AS41" s="25">
        <f>HLOOKUP(AS$7,$I$66:$DJ$120,ROWS($A$10:$A41)+2,FALSE)</f>
        <v>1584</v>
      </c>
      <c r="AT41" s="25">
        <f>HLOOKUP(AT$7,$I$66:$DJ$120,ROWS($A$10:$A41)+2,FALSE)</f>
        <v>32</v>
      </c>
      <c r="AU41" s="25">
        <f>HLOOKUP(AU$7,$I$66:$DJ$120,ROWS($A$10:$A41)+2,FALSE)</f>
        <v>613</v>
      </c>
      <c r="AV41" s="25">
        <f>HLOOKUP(AV$7,$I$66:$DJ$120,ROWS($A$10:$A41)+2,FALSE)</f>
        <v>22225</v>
      </c>
      <c r="AW41" s="25">
        <f>HLOOKUP(AW$7,$I$66:$DJ$120,ROWS($A$10:$A41)+2,FALSE)</f>
        <v>332</v>
      </c>
      <c r="AX41" s="25">
        <f>HLOOKUP(AX$7,$I$66:$DJ$120,ROWS($A$10:$A41)+2,FALSE)</f>
        <v>1134</v>
      </c>
      <c r="AY41" s="25">
        <f>HLOOKUP(AY$7,$I$66:$DJ$120,ROWS($A$10:$A41)+2,FALSE)</f>
        <v>0</v>
      </c>
      <c r="AZ41" s="25">
        <f>HLOOKUP(AZ$7,$I$66:$DJ$120,ROWS($A$10:$A41)+2,FALSE)</f>
        <v>852</v>
      </c>
      <c r="BA41" s="25">
        <f>HLOOKUP(BA$7,$I$66:$DJ$120,ROWS($A$10:$A41)+2,FALSE)</f>
        <v>3434</v>
      </c>
      <c r="BB41" s="25">
        <f>HLOOKUP(BB$7,$I$66:$DJ$120,ROWS($A$10:$A41)+2,FALSE)</f>
        <v>178</v>
      </c>
      <c r="BC41" s="25">
        <f>HLOOKUP(BC$7,$I$66:$DJ$120,ROWS($A$10:$A41)+2,FALSE)</f>
        <v>57</v>
      </c>
      <c r="BD41" s="25">
        <f>HLOOKUP(BD$7,$I$66:$DJ$120,ROWS($A$10:$A41)+2,FALSE)</f>
        <v>2670</v>
      </c>
      <c r="BE41" s="25">
        <f>HLOOKUP(BE$7,$I$66:$DJ$120,ROWS($A$10:$A41)+2,FALSE)</f>
        <v>964</v>
      </c>
      <c r="BF41" s="25">
        <f>HLOOKUP(BF$7,$I$66:$DJ$120,ROWS($A$10:$A41)+2,FALSE)</f>
        <v>358</v>
      </c>
      <c r="BG41" s="25">
        <f>HLOOKUP(BG$7,$I$66:$DJ$120,ROWS($A$10:$A41)+2,FALSE)</f>
        <v>586</v>
      </c>
      <c r="BH41" s="25">
        <f>HLOOKUP(BH$7,$I$66:$DJ$120,ROWS($A$10:$A41)+2,FALSE)</f>
        <v>0</v>
      </c>
      <c r="BI41" s="25">
        <f>HLOOKUP(BI$7,$I$66:$DJ$120,ROWS($A$10:$A41)+2,FALSE)</f>
        <v>2732</v>
      </c>
      <c r="BJ41" s="34">
        <f>HLOOKUP(BJ$7+0.5,$I$66:$DJ$120,ROWS($A$10:$A41)+2,FALSE)</f>
        <v>8536</v>
      </c>
      <c r="BK41" s="34">
        <f>HLOOKUP(BK$7+0.5,$I$66:$DJ$120,ROWS($A$10:$A41)+2,FALSE)</f>
        <v>406</v>
      </c>
      <c r="BL41" s="34">
        <f>HLOOKUP(BL$7+0.5,$I$66:$DJ$120,ROWS($A$10:$A41)+2,FALSE)</f>
        <v>407</v>
      </c>
      <c r="BM41" s="34">
        <f>HLOOKUP(BM$7+0.5,$I$66:$DJ$120,ROWS($A$10:$A41)+2,FALSE)</f>
        <v>847</v>
      </c>
      <c r="BN41" s="34">
        <f>HLOOKUP(BN$7+0.5,$I$66:$DJ$120,ROWS($A$10:$A41)+2,FALSE)</f>
        <v>346</v>
      </c>
      <c r="BO41" s="34">
        <f>HLOOKUP(BO$7+0.5,$I$66:$DJ$120,ROWS($A$10:$A41)+2,FALSE)</f>
        <v>2628</v>
      </c>
      <c r="BP41" s="34">
        <f>HLOOKUP(BP$7+0.5,$I$66:$DJ$120,ROWS($A$10:$A41)+2,FALSE)</f>
        <v>590</v>
      </c>
      <c r="BQ41" s="34">
        <f>HLOOKUP(BQ$7+0.5,$I$66:$DJ$120,ROWS($A$10:$A41)+2,FALSE)</f>
        <v>1323</v>
      </c>
      <c r="BR41" s="34">
        <f>HLOOKUP(BR$7+0.5,$I$66:$DJ$120,ROWS($A$10:$A41)+2,FALSE)</f>
        <v>702</v>
      </c>
      <c r="BS41" s="34">
        <f>HLOOKUP(BS$7+0.5,$I$66:$DJ$120,ROWS($A$10:$A41)+2,FALSE)</f>
        <v>335</v>
      </c>
      <c r="BT41" s="34">
        <f>HLOOKUP(BT$7+0.5,$I$66:$DJ$120,ROWS($A$10:$A41)+2,FALSE)</f>
        <v>2289</v>
      </c>
      <c r="BU41" s="34">
        <f>HLOOKUP(BU$7+0.5,$I$66:$DJ$120,ROWS($A$10:$A41)+2,FALSE)</f>
        <v>2901</v>
      </c>
      <c r="BV41" s="34">
        <f>HLOOKUP(BV$7+0.5,$I$66:$DJ$120,ROWS($A$10:$A41)+2,FALSE)</f>
        <v>422</v>
      </c>
      <c r="BW41" s="34">
        <f>HLOOKUP(BW$7+0.5,$I$66:$DJ$120,ROWS($A$10:$A41)+2,FALSE)</f>
        <v>148</v>
      </c>
      <c r="BX41" s="34">
        <f>HLOOKUP(BX$7+0.5,$I$66:$DJ$120,ROWS($A$10:$A41)+2,FALSE)</f>
        <v>995</v>
      </c>
      <c r="BY41" s="34">
        <f>HLOOKUP(BY$7+0.5,$I$66:$DJ$120,ROWS($A$10:$A41)+2,FALSE)</f>
        <v>471</v>
      </c>
      <c r="BZ41" s="34">
        <f>HLOOKUP(BZ$7+0.5,$I$66:$DJ$120,ROWS($A$10:$A41)+2,FALSE)</f>
        <v>331</v>
      </c>
      <c r="CA41" s="34">
        <f>HLOOKUP(CA$7+0.5,$I$66:$DJ$120,ROWS($A$10:$A41)+2,FALSE)</f>
        <v>403</v>
      </c>
      <c r="CB41" s="34">
        <f>HLOOKUP(CB$7+0.5,$I$66:$DJ$120,ROWS($A$10:$A41)+2,FALSE)</f>
        <v>147</v>
      </c>
      <c r="CC41" s="34">
        <f>HLOOKUP(CC$7+0.5,$I$66:$DJ$120,ROWS($A$10:$A41)+2,FALSE)</f>
        <v>264</v>
      </c>
      <c r="CD41" s="34">
        <f>HLOOKUP(CD$7+0.5,$I$66:$DJ$120,ROWS($A$10:$A41)+2,FALSE)</f>
        <v>112</v>
      </c>
      <c r="CE41" s="34">
        <f>HLOOKUP(CE$7+0.5,$I$66:$DJ$120,ROWS($A$10:$A41)+2,FALSE)</f>
        <v>2100</v>
      </c>
      <c r="CF41" s="34">
        <f>HLOOKUP(CF$7+0.5,$I$66:$DJ$120,ROWS($A$10:$A41)+2,FALSE)</f>
        <v>973</v>
      </c>
      <c r="CG41" s="34">
        <f>HLOOKUP(CG$7+0.5,$I$66:$DJ$120,ROWS($A$10:$A41)+2,FALSE)</f>
        <v>578</v>
      </c>
      <c r="CH41" s="34">
        <f>HLOOKUP(CH$7+0.5,$I$66:$DJ$120,ROWS($A$10:$A41)+2,FALSE)</f>
        <v>274</v>
      </c>
      <c r="CI41" s="34">
        <f>HLOOKUP(CI$7+0.5,$I$66:$DJ$120,ROWS($A$10:$A41)+2,FALSE)</f>
        <v>478</v>
      </c>
      <c r="CJ41" s="34">
        <f>HLOOKUP(CJ$7+0.5,$I$66:$DJ$120,ROWS($A$10:$A41)+2,FALSE)</f>
        <v>417</v>
      </c>
      <c r="CK41" s="34">
        <f>HLOOKUP(CK$7+0.5,$I$66:$DJ$120,ROWS($A$10:$A41)+2,FALSE)</f>
        <v>206</v>
      </c>
      <c r="CL41" s="34">
        <f>HLOOKUP(CL$7+0.5,$I$66:$DJ$120,ROWS($A$10:$A41)+2,FALSE)</f>
        <v>361</v>
      </c>
      <c r="CM41" s="34">
        <f>HLOOKUP(CM$7+0.5,$I$66:$DJ$120,ROWS($A$10:$A41)+2,FALSE)</f>
        <v>616</v>
      </c>
      <c r="CN41" s="34">
        <f>HLOOKUP(CN$7+0.5,$I$66:$DJ$120,ROWS($A$10:$A41)+2,FALSE)</f>
        <v>380</v>
      </c>
      <c r="CO41" s="34" t="str">
        <f>HLOOKUP(CO$7+0.5,$I$66:$DJ$120,ROWS($A$10:$A41)+2,FALSE)</f>
        <v>N/A</v>
      </c>
      <c r="CP41" s="34">
        <f>HLOOKUP(CP$7+0.5,$I$66:$DJ$120,ROWS($A$10:$A41)+2,FALSE)</f>
        <v>281</v>
      </c>
      <c r="CQ41" s="34">
        <f>HLOOKUP(CQ$7+0.5,$I$66:$DJ$120,ROWS($A$10:$A41)+2,FALSE)</f>
        <v>5068</v>
      </c>
      <c r="CR41" s="34">
        <f>HLOOKUP(CR$7+0.5,$I$66:$DJ$120,ROWS($A$10:$A41)+2,FALSE)</f>
        <v>1042</v>
      </c>
      <c r="CS41" s="34">
        <f>HLOOKUP(CS$7+0.5,$I$66:$DJ$120,ROWS($A$10:$A41)+2,FALSE)</f>
        <v>281</v>
      </c>
      <c r="CT41" s="34">
        <f>HLOOKUP(CT$7+0.5,$I$66:$DJ$120,ROWS($A$10:$A41)+2,FALSE)</f>
        <v>1069</v>
      </c>
      <c r="CU41" s="34">
        <f>HLOOKUP(CU$7+0.5,$I$66:$DJ$120,ROWS($A$10:$A41)+2,FALSE)</f>
        <v>51</v>
      </c>
      <c r="CV41" s="34">
        <f>HLOOKUP(CV$7+0.5,$I$66:$DJ$120,ROWS($A$10:$A41)+2,FALSE)</f>
        <v>578</v>
      </c>
      <c r="CW41" s="34">
        <f>HLOOKUP(CW$7+0.5,$I$66:$DJ$120,ROWS($A$10:$A41)+2,FALSE)</f>
        <v>3517</v>
      </c>
      <c r="CX41" s="34">
        <f>HLOOKUP(CX$7+0.5,$I$66:$DJ$120,ROWS($A$10:$A41)+2,FALSE)</f>
        <v>376</v>
      </c>
      <c r="CY41" s="34">
        <f>HLOOKUP(CY$7+0.5,$I$66:$DJ$120,ROWS($A$10:$A41)+2,FALSE)</f>
        <v>598</v>
      </c>
      <c r="CZ41" s="34">
        <f>HLOOKUP(CZ$7+0.5,$I$66:$DJ$120,ROWS($A$10:$A41)+2,FALSE)</f>
        <v>281</v>
      </c>
      <c r="DA41" s="34">
        <f>HLOOKUP(DA$7+0.5,$I$66:$DJ$120,ROWS($A$10:$A41)+2,FALSE)</f>
        <v>631</v>
      </c>
      <c r="DB41" s="34">
        <f>HLOOKUP(DB$7+0.5,$I$66:$DJ$120,ROWS($A$10:$A41)+2,FALSE)</f>
        <v>1520</v>
      </c>
      <c r="DC41" s="34">
        <f>HLOOKUP(DC$7+0.5,$I$66:$DJ$120,ROWS($A$10:$A41)+2,FALSE)</f>
        <v>205</v>
      </c>
      <c r="DD41" s="34">
        <f>HLOOKUP(DD$7+0.5,$I$66:$DJ$120,ROWS($A$10:$A41)+2,FALSE)</f>
        <v>98</v>
      </c>
      <c r="DE41" s="34">
        <f>HLOOKUP(DE$7+0.5,$I$66:$DJ$120,ROWS($A$10:$A41)+2,FALSE)</f>
        <v>1099</v>
      </c>
      <c r="DF41" s="34">
        <f>HLOOKUP(DF$7+0.5,$I$66:$DJ$120,ROWS($A$10:$A41)+2,FALSE)</f>
        <v>617</v>
      </c>
      <c r="DG41" s="34">
        <f>HLOOKUP(DG$7+0.5,$I$66:$DJ$120,ROWS($A$10:$A41)+2,FALSE)</f>
        <v>353</v>
      </c>
      <c r="DH41" s="34">
        <f>HLOOKUP(DH$7+0.5,$I$66:$DJ$120,ROWS($A$10:$A41)+2,FALSE)</f>
        <v>571</v>
      </c>
      <c r="DI41" s="34">
        <f>HLOOKUP(DI$7+0.5,$I$66:$DJ$120,ROWS($A$10:$A41)+2,FALSE)</f>
        <v>281</v>
      </c>
      <c r="DJ41" s="34">
        <f>HLOOKUP(DJ$7+0.5,$I$66:$DJ$120,ROWS($A$10:$A41)+2,FALSE)</f>
        <v>1263</v>
      </c>
    </row>
    <row r="42" spans="2:114" x14ac:dyDescent="0.25">
      <c r="B42" s="38" t="s">
        <v>38</v>
      </c>
      <c r="C42" s="15">
        <v>2039549</v>
      </c>
      <c r="D42" s="14">
        <v>2727</v>
      </c>
      <c r="E42" s="15">
        <v>1735950</v>
      </c>
      <c r="F42" s="14">
        <v>14043</v>
      </c>
      <c r="G42" s="15">
        <v>220663</v>
      </c>
      <c r="H42" s="14">
        <v>12854</v>
      </c>
      <c r="I42" s="36">
        <f>HLOOKUP(I$7,$I$66:$DJ$120,ROWS($A$10:$A42)+2,FALSE)</f>
        <v>73605</v>
      </c>
      <c r="J42" s="25">
        <f>HLOOKUP(J$7,$I$66:$DJ$120,ROWS($A$10:$A42)+2,FALSE)</f>
        <v>751</v>
      </c>
      <c r="K42" s="25">
        <f>HLOOKUP(K$7,$I$66:$DJ$120,ROWS($A$10:$A42)+2,FALSE)</f>
        <v>969</v>
      </c>
      <c r="L42" s="25">
        <f>HLOOKUP(L$7,$I$66:$DJ$120,ROWS($A$10:$A42)+2,FALSE)</f>
        <v>6117</v>
      </c>
      <c r="M42" s="25">
        <f>HLOOKUP(M$7,$I$66:$DJ$120,ROWS($A$10:$A42)+2,FALSE)</f>
        <v>77</v>
      </c>
      <c r="N42" s="25">
        <f>HLOOKUP(N$7,$I$66:$DJ$120,ROWS($A$10:$A42)+2,FALSE)</f>
        <v>6547</v>
      </c>
      <c r="O42" s="25">
        <f>HLOOKUP(O$7,$I$66:$DJ$120,ROWS($A$10:$A42)+2,FALSE)</f>
        <v>2852</v>
      </c>
      <c r="P42" s="25">
        <f>HLOOKUP(P$7,$I$66:$DJ$120,ROWS($A$10:$A42)+2,FALSE)</f>
        <v>25</v>
      </c>
      <c r="Q42" s="25">
        <f>HLOOKUP(Q$7,$I$66:$DJ$120,ROWS($A$10:$A42)+2,FALSE)</f>
        <v>391</v>
      </c>
      <c r="R42" s="25">
        <f>HLOOKUP(R$7,$I$66:$DJ$120,ROWS($A$10:$A42)+2,FALSE)</f>
        <v>56</v>
      </c>
      <c r="S42" s="25">
        <f>HLOOKUP(S$7,$I$66:$DJ$120,ROWS($A$10:$A42)+2,FALSE)</f>
        <v>3259</v>
      </c>
      <c r="T42" s="25">
        <f>HLOOKUP(T$7,$I$66:$DJ$120,ROWS($A$10:$A42)+2,FALSE)</f>
        <v>1977</v>
      </c>
      <c r="U42" s="25">
        <f>HLOOKUP(U$7,$I$66:$DJ$120,ROWS($A$10:$A42)+2,FALSE)</f>
        <v>122</v>
      </c>
      <c r="V42" s="25">
        <f>HLOOKUP(V$7,$I$66:$DJ$120,ROWS($A$10:$A42)+2,FALSE)</f>
        <v>755</v>
      </c>
      <c r="W42" s="25">
        <f>HLOOKUP(W$7,$I$66:$DJ$120,ROWS($A$10:$A42)+2,FALSE)</f>
        <v>526</v>
      </c>
      <c r="X42" s="25">
        <f>HLOOKUP(X$7,$I$66:$DJ$120,ROWS($A$10:$A42)+2,FALSE)</f>
        <v>465</v>
      </c>
      <c r="Y42" s="25">
        <f>HLOOKUP(Y$7,$I$66:$DJ$120,ROWS($A$10:$A42)+2,FALSE)</f>
        <v>0</v>
      </c>
      <c r="Z42" s="25">
        <f>HLOOKUP(Z$7,$I$66:$DJ$120,ROWS($A$10:$A42)+2,FALSE)</f>
        <v>751</v>
      </c>
      <c r="AA42" s="25">
        <f>HLOOKUP(AA$7,$I$66:$DJ$120,ROWS($A$10:$A42)+2,FALSE)</f>
        <v>739</v>
      </c>
      <c r="AB42" s="25">
        <f>HLOOKUP(AB$7,$I$66:$DJ$120,ROWS($A$10:$A42)+2,FALSE)</f>
        <v>65</v>
      </c>
      <c r="AC42" s="25">
        <f>HLOOKUP(AC$7,$I$66:$DJ$120,ROWS($A$10:$A42)+2,FALSE)</f>
        <v>94</v>
      </c>
      <c r="AD42" s="25">
        <f>HLOOKUP(AD$7,$I$66:$DJ$120,ROWS($A$10:$A42)+2,FALSE)</f>
        <v>1968</v>
      </c>
      <c r="AE42" s="25">
        <f>HLOOKUP(AE$7,$I$66:$DJ$120,ROWS($A$10:$A42)+2,FALSE)</f>
        <v>2076</v>
      </c>
      <c r="AF42" s="25">
        <f>HLOOKUP(AF$7,$I$66:$DJ$120,ROWS($A$10:$A42)+2,FALSE)</f>
        <v>1460</v>
      </c>
      <c r="AG42" s="25">
        <f>HLOOKUP(AG$7,$I$66:$DJ$120,ROWS($A$10:$A42)+2,FALSE)</f>
        <v>179</v>
      </c>
      <c r="AH42" s="25">
        <f>HLOOKUP(AH$7,$I$66:$DJ$120,ROWS($A$10:$A42)+2,FALSE)</f>
        <v>719</v>
      </c>
      <c r="AI42" s="25">
        <f>HLOOKUP(AI$7,$I$66:$DJ$120,ROWS($A$10:$A42)+2,FALSE)</f>
        <v>138</v>
      </c>
      <c r="AJ42" s="25">
        <f>HLOOKUP(AJ$7,$I$66:$DJ$120,ROWS($A$10:$A42)+2,FALSE)</f>
        <v>1003</v>
      </c>
      <c r="AK42" s="25">
        <f>HLOOKUP(AK$7,$I$66:$DJ$120,ROWS($A$10:$A42)+2,FALSE)</f>
        <v>530</v>
      </c>
      <c r="AL42" s="25">
        <f>HLOOKUP(AL$7,$I$66:$DJ$120,ROWS($A$10:$A42)+2,FALSE)</f>
        <v>4192</v>
      </c>
      <c r="AM42" s="25">
        <f>HLOOKUP(AM$7,$I$66:$DJ$120,ROWS($A$10:$A42)+2,FALSE)</f>
        <v>79</v>
      </c>
      <c r="AN42" s="25">
        <f>HLOOKUP(AN$7,$I$66:$DJ$120,ROWS($A$10:$A42)+2,FALSE)</f>
        <v>160</v>
      </c>
      <c r="AO42" s="25" t="str">
        <f>HLOOKUP(AO$7,$I$66:$DJ$120,ROWS($A$10:$A42)+2,FALSE)</f>
        <v>N/A</v>
      </c>
      <c r="AP42" s="25">
        <f>HLOOKUP(AP$7,$I$66:$DJ$120,ROWS($A$10:$A42)+2,FALSE)</f>
        <v>784</v>
      </c>
      <c r="AQ42" s="25">
        <f>HLOOKUP(AQ$7,$I$66:$DJ$120,ROWS($A$10:$A42)+2,FALSE)</f>
        <v>1793</v>
      </c>
      <c r="AR42" s="25">
        <f>HLOOKUP(AR$7,$I$66:$DJ$120,ROWS($A$10:$A42)+2,FALSE)</f>
        <v>79</v>
      </c>
      <c r="AS42" s="25">
        <f>HLOOKUP(AS$7,$I$66:$DJ$120,ROWS($A$10:$A42)+2,FALSE)</f>
        <v>1712</v>
      </c>
      <c r="AT42" s="25">
        <f>HLOOKUP(AT$7,$I$66:$DJ$120,ROWS($A$10:$A42)+2,FALSE)</f>
        <v>1182</v>
      </c>
      <c r="AU42" s="25">
        <f>HLOOKUP(AU$7,$I$66:$DJ$120,ROWS($A$10:$A42)+2,FALSE)</f>
        <v>1659</v>
      </c>
      <c r="AV42" s="25">
        <f>HLOOKUP(AV$7,$I$66:$DJ$120,ROWS($A$10:$A42)+2,FALSE)</f>
        <v>809</v>
      </c>
      <c r="AW42" s="25">
        <f>HLOOKUP(AW$7,$I$66:$DJ$120,ROWS($A$10:$A42)+2,FALSE)</f>
        <v>46</v>
      </c>
      <c r="AX42" s="25">
        <f>HLOOKUP(AX$7,$I$66:$DJ$120,ROWS($A$10:$A42)+2,FALSE)</f>
        <v>152</v>
      </c>
      <c r="AY42" s="25">
        <f>HLOOKUP(AY$7,$I$66:$DJ$120,ROWS($A$10:$A42)+2,FALSE)</f>
        <v>204</v>
      </c>
      <c r="AZ42" s="25">
        <f>HLOOKUP(AZ$7,$I$66:$DJ$120,ROWS($A$10:$A42)+2,FALSE)</f>
        <v>1269</v>
      </c>
      <c r="BA42" s="25">
        <f>HLOOKUP(BA$7,$I$66:$DJ$120,ROWS($A$10:$A42)+2,FALSE)</f>
        <v>18511</v>
      </c>
      <c r="BB42" s="25">
        <f>HLOOKUP(BB$7,$I$66:$DJ$120,ROWS($A$10:$A42)+2,FALSE)</f>
        <v>1601</v>
      </c>
      <c r="BC42" s="25">
        <f>HLOOKUP(BC$7,$I$66:$DJ$120,ROWS($A$10:$A42)+2,FALSE)</f>
        <v>309</v>
      </c>
      <c r="BD42" s="25">
        <f>HLOOKUP(BD$7,$I$66:$DJ$120,ROWS($A$10:$A42)+2,FALSE)</f>
        <v>290</v>
      </c>
      <c r="BE42" s="25">
        <f>HLOOKUP(BE$7,$I$66:$DJ$120,ROWS($A$10:$A42)+2,FALSE)</f>
        <v>3004</v>
      </c>
      <c r="BF42" s="25">
        <f>HLOOKUP(BF$7,$I$66:$DJ$120,ROWS($A$10:$A42)+2,FALSE)</f>
        <v>0</v>
      </c>
      <c r="BG42" s="25">
        <f>HLOOKUP(BG$7,$I$66:$DJ$120,ROWS($A$10:$A42)+2,FALSE)</f>
        <v>407</v>
      </c>
      <c r="BH42" s="25">
        <f>HLOOKUP(BH$7,$I$66:$DJ$120,ROWS($A$10:$A42)+2,FALSE)</f>
        <v>752</v>
      </c>
      <c r="BI42" s="25">
        <f>HLOOKUP(BI$7,$I$66:$DJ$120,ROWS($A$10:$A42)+2,FALSE)</f>
        <v>632</v>
      </c>
      <c r="BJ42" s="34">
        <f>HLOOKUP(BJ$7+0.5,$I$66:$DJ$120,ROWS($A$10:$A42)+2,FALSE)</f>
        <v>7703</v>
      </c>
      <c r="BK42" s="34">
        <f>HLOOKUP(BK$7+0.5,$I$66:$DJ$120,ROWS($A$10:$A42)+2,FALSE)</f>
        <v>550</v>
      </c>
      <c r="BL42" s="34">
        <f>HLOOKUP(BL$7+0.5,$I$66:$DJ$120,ROWS($A$10:$A42)+2,FALSE)</f>
        <v>801</v>
      </c>
      <c r="BM42" s="34">
        <f>HLOOKUP(BM$7+0.5,$I$66:$DJ$120,ROWS($A$10:$A42)+2,FALSE)</f>
        <v>2902</v>
      </c>
      <c r="BN42" s="34">
        <f>HLOOKUP(BN$7+0.5,$I$66:$DJ$120,ROWS($A$10:$A42)+2,FALSE)</f>
        <v>109</v>
      </c>
      <c r="BO42" s="34">
        <f>HLOOKUP(BO$7+0.5,$I$66:$DJ$120,ROWS($A$10:$A42)+2,FALSE)</f>
        <v>2252</v>
      </c>
      <c r="BP42" s="34">
        <f>HLOOKUP(BP$7+0.5,$I$66:$DJ$120,ROWS($A$10:$A42)+2,FALSE)</f>
        <v>1095</v>
      </c>
      <c r="BQ42" s="34">
        <f>HLOOKUP(BQ$7+0.5,$I$66:$DJ$120,ROWS($A$10:$A42)+2,FALSE)</f>
        <v>41</v>
      </c>
      <c r="BR42" s="34">
        <f>HLOOKUP(BR$7+0.5,$I$66:$DJ$120,ROWS($A$10:$A42)+2,FALSE)</f>
        <v>444</v>
      </c>
      <c r="BS42" s="34">
        <f>HLOOKUP(BS$7+0.5,$I$66:$DJ$120,ROWS($A$10:$A42)+2,FALSE)</f>
        <v>95</v>
      </c>
      <c r="BT42" s="34">
        <f>HLOOKUP(BT$7+0.5,$I$66:$DJ$120,ROWS($A$10:$A42)+2,FALSE)</f>
        <v>1428</v>
      </c>
      <c r="BU42" s="34">
        <f>HLOOKUP(BU$7+0.5,$I$66:$DJ$120,ROWS($A$10:$A42)+2,FALSE)</f>
        <v>1097</v>
      </c>
      <c r="BV42" s="34">
        <f>HLOOKUP(BV$7+0.5,$I$66:$DJ$120,ROWS($A$10:$A42)+2,FALSE)</f>
        <v>185</v>
      </c>
      <c r="BW42" s="34">
        <f>HLOOKUP(BW$7+0.5,$I$66:$DJ$120,ROWS($A$10:$A42)+2,FALSE)</f>
        <v>565</v>
      </c>
      <c r="BX42" s="34">
        <f>HLOOKUP(BX$7+0.5,$I$66:$DJ$120,ROWS($A$10:$A42)+2,FALSE)</f>
        <v>362</v>
      </c>
      <c r="BY42" s="34">
        <f>HLOOKUP(BY$7+0.5,$I$66:$DJ$120,ROWS($A$10:$A42)+2,FALSE)</f>
        <v>458</v>
      </c>
      <c r="BZ42" s="34">
        <f>HLOOKUP(BZ$7+0.5,$I$66:$DJ$120,ROWS($A$10:$A42)+2,FALSE)</f>
        <v>285</v>
      </c>
      <c r="CA42" s="34">
        <f>HLOOKUP(CA$7+0.5,$I$66:$DJ$120,ROWS($A$10:$A42)+2,FALSE)</f>
        <v>581</v>
      </c>
      <c r="CB42" s="34">
        <f>HLOOKUP(CB$7+0.5,$I$66:$DJ$120,ROWS($A$10:$A42)+2,FALSE)</f>
        <v>1131</v>
      </c>
      <c r="CC42" s="34">
        <f>HLOOKUP(CC$7+0.5,$I$66:$DJ$120,ROWS($A$10:$A42)+2,FALSE)</f>
        <v>87</v>
      </c>
      <c r="CD42" s="34">
        <f>HLOOKUP(CD$7+0.5,$I$66:$DJ$120,ROWS($A$10:$A42)+2,FALSE)</f>
        <v>155</v>
      </c>
      <c r="CE42" s="34">
        <f>HLOOKUP(CE$7+0.5,$I$66:$DJ$120,ROWS($A$10:$A42)+2,FALSE)</f>
        <v>1112</v>
      </c>
      <c r="CF42" s="34">
        <f>HLOOKUP(CF$7+0.5,$I$66:$DJ$120,ROWS($A$10:$A42)+2,FALSE)</f>
        <v>1567</v>
      </c>
      <c r="CG42" s="34">
        <f>HLOOKUP(CG$7+0.5,$I$66:$DJ$120,ROWS($A$10:$A42)+2,FALSE)</f>
        <v>843</v>
      </c>
      <c r="CH42" s="34">
        <f>HLOOKUP(CH$7+0.5,$I$66:$DJ$120,ROWS($A$10:$A42)+2,FALSE)</f>
        <v>231</v>
      </c>
      <c r="CI42" s="34">
        <f>HLOOKUP(CI$7+0.5,$I$66:$DJ$120,ROWS($A$10:$A42)+2,FALSE)</f>
        <v>630</v>
      </c>
      <c r="CJ42" s="34">
        <f>HLOOKUP(CJ$7+0.5,$I$66:$DJ$120,ROWS($A$10:$A42)+2,FALSE)</f>
        <v>211</v>
      </c>
      <c r="CK42" s="34">
        <f>HLOOKUP(CK$7+0.5,$I$66:$DJ$120,ROWS($A$10:$A42)+2,FALSE)</f>
        <v>1419</v>
      </c>
      <c r="CL42" s="34">
        <f>HLOOKUP(CL$7+0.5,$I$66:$DJ$120,ROWS($A$10:$A42)+2,FALSE)</f>
        <v>726</v>
      </c>
      <c r="CM42" s="34">
        <f>HLOOKUP(CM$7+0.5,$I$66:$DJ$120,ROWS($A$10:$A42)+2,FALSE)</f>
        <v>2452</v>
      </c>
      <c r="CN42" s="34">
        <f>HLOOKUP(CN$7+0.5,$I$66:$DJ$120,ROWS($A$10:$A42)+2,FALSE)</f>
        <v>130</v>
      </c>
      <c r="CO42" s="34">
        <f>HLOOKUP(CO$7+0.5,$I$66:$DJ$120,ROWS($A$10:$A42)+2,FALSE)</f>
        <v>200</v>
      </c>
      <c r="CP42" s="34" t="str">
        <f>HLOOKUP(CP$7+0.5,$I$66:$DJ$120,ROWS($A$10:$A42)+2,FALSE)</f>
        <v>N/A</v>
      </c>
      <c r="CQ42" s="34">
        <f>HLOOKUP(CQ$7+0.5,$I$66:$DJ$120,ROWS($A$10:$A42)+2,FALSE)</f>
        <v>581</v>
      </c>
      <c r="CR42" s="34">
        <f>HLOOKUP(CR$7+0.5,$I$66:$DJ$120,ROWS($A$10:$A42)+2,FALSE)</f>
        <v>844</v>
      </c>
      <c r="CS42" s="34">
        <f>HLOOKUP(CS$7+0.5,$I$66:$DJ$120,ROWS($A$10:$A42)+2,FALSE)</f>
        <v>150</v>
      </c>
      <c r="CT42" s="34">
        <f>HLOOKUP(CT$7+0.5,$I$66:$DJ$120,ROWS($A$10:$A42)+2,FALSE)</f>
        <v>883</v>
      </c>
      <c r="CU42" s="34">
        <f>HLOOKUP(CU$7+0.5,$I$66:$DJ$120,ROWS($A$10:$A42)+2,FALSE)</f>
        <v>854</v>
      </c>
      <c r="CV42" s="34">
        <f>HLOOKUP(CV$7+0.5,$I$66:$DJ$120,ROWS($A$10:$A42)+2,FALSE)</f>
        <v>1403</v>
      </c>
      <c r="CW42" s="34">
        <f>HLOOKUP(CW$7+0.5,$I$66:$DJ$120,ROWS($A$10:$A42)+2,FALSE)</f>
        <v>526</v>
      </c>
      <c r="CX42" s="34">
        <f>HLOOKUP(CX$7+0.5,$I$66:$DJ$120,ROWS($A$10:$A42)+2,FALSE)</f>
        <v>81</v>
      </c>
      <c r="CY42" s="34">
        <f>HLOOKUP(CY$7+0.5,$I$66:$DJ$120,ROWS($A$10:$A42)+2,FALSE)</f>
        <v>182</v>
      </c>
      <c r="CZ42" s="34">
        <f>HLOOKUP(CZ$7+0.5,$I$66:$DJ$120,ROWS($A$10:$A42)+2,FALSE)</f>
        <v>322</v>
      </c>
      <c r="DA42" s="34">
        <f>HLOOKUP(DA$7+0.5,$I$66:$DJ$120,ROWS($A$10:$A42)+2,FALSE)</f>
        <v>801</v>
      </c>
      <c r="DB42" s="34">
        <f>HLOOKUP(DB$7+0.5,$I$66:$DJ$120,ROWS($A$10:$A42)+2,FALSE)</f>
        <v>3785</v>
      </c>
      <c r="DC42" s="34">
        <f>HLOOKUP(DC$7+0.5,$I$66:$DJ$120,ROWS($A$10:$A42)+2,FALSE)</f>
        <v>1033</v>
      </c>
      <c r="DD42" s="34">
        <f>HLOOKUP(DD$7+0.5,$I$66:$DJ$120,ROWS($A$10:$A42)+2,FALSE)</f>
        <v>435</v>
      </c>
      <c r="DE42" s="34">
        <f>HLOOKUP(DE$7+0.5,$I$66:$DJ$120,ROWS($A$10:$A42)+2,FALSE)</f>
        <v>249</v>
      </c>
      <c r="DF42" s="34">
        <f>HLOOKUP(DF$7+0.5,$I$66:$DJ$120,ROWS($A$10:$A42)+2,FALSE)</f>
        <v>1315</v>
      </c>
      <c r="DG42" s="34">
        <f>HLOOKUP(DG$7+0.5,$I$66:$DJ$120,ROWS($A$10:$A42)+2,FALSE)</f>
        <v>285</v>
      </c>
      <c r="DH42" s="34">
        <f>HLOOKUP(DH$7+0.5,$I$66:$DJ$120,ROWS($A$10:$A42)+2,FALSE)</f>
        <v>339</v>
      </c>
      <c r="DI42" s="34">
        <f>HLOOKUP(DI$7+0.5,$I$66:$DJ$120,ROWS($A$10:$A42)+2,FALSE)</f>
        <v>727</v>
      </c>
      <c r="DJ42" s="34">
        <f>HLOOKUP(DJ$7+0.5,$I$66:$DJ$120,ROWS($A$10:$A42)+2,FALSE)</f>
        <v>678</v>
      </c>
    </row>
    <row r="43" spans="2:114" x14ac:dyDescent="0.25">
      <c r="B43" s="38" t="s">
        <v>39</v>
      </c>
      <c r="C43" s="15">
        <v>19171916</v>
      </c>
      <c r="D43" s="14">
        <v>7371</v>
      </c>
      <c r="E43" s="15">
        <v>16976205</v>
      </c>
      <c r="F43" s="14">
        <v>41292</v>
      </c>
      <c r="G43" s="15">
        <v>1779540</v>
      </c>
      <c r="H43" s="14">
        <v>36331</v>
      </c>
      <c r="I43" s="36">
        <f>HLOOKUP(I$7,$I$66:$DJ$120,ROWS($A$10:$A43)+2,FALSE)</f>
        <v>269427</v>
      </c>
      <c r="J43" s="25">
        <f>HLOOKUP(J$7,$I$66:$DJ$120,ROWS($A$10:$A43)+2,FALSE)</f>
        <v>1310</v>
      </c>
      <c r="K43" s="25">
        <f>HLOOKUP(K$7,$I$66:$DJ$120,ROWS($A$10:$A43)+2,FALSE)</f>
        <v>5070</v>
      </c>
      <c r="L43" s="25">
        <f>HLOOKUP(L$7,$I$66:$DJ$120,ROWS($A$10:$A43)+2,FALSE)</f>
        <v>2649</v>
      </c>
      <c r="M43" s="25">
        <f>HLOOKUP(M$7,$I$66:$DJ$120,ROWS($A$10:$A43)+2,FALSE)</f>
        <v>362</v>
      </c>
      <c r="N43" s="25">
        <f>HLOOKUP(N$7,$I$66:$DJ$120,ROWS($A$10:$A43)+2,FALSE)</f>
        <v>25177</v>
      </c>
      <c r="O43" s="25">
        <f>HLOOKUP(O$7,$I$66:$DJ$120,ROWS($A$10:$A43)+2,FALSE)</f>
        <v>3135</v>
      </c>
      <c r="P43" s="25">
        <f>HLOOKUP(P$7,$I$66:$DJ$120,ROWS($A$10:$A43)+2,FALSE)</f>
        <v>15338</v>
      </c>
      <c r="Q43" s="25">
        <f>HLOOKUP(Q$7,$I$66:$DJ$120,ROWS($A$10:$A43)+2,FALSE)</f>
        <v>2603</v>
      </c>
      <c r="R43" s="25">
        <f>HLOOKUP(R$7,$I$66:$DJ$120,ROWS($A$10:$A43)+2,FALSE)</f>
        <v>1983</v>
      </c>
      <c r="S43" s="25">
        <f>HLOOKUP(S$7,$I$66:$DJ$120,ROWS($A$10:$A43)+2,FALSE)</f>
        <v>30553</v>
      </c>
      <c r="T43" s="25">
        <f>HLOOKUP(T$7,$I$66:$DJ$120,ROWS($A$10:$A43)+2,FALSE)</f>
        <v>7676</v>
      </c>
      <c r="U43" s="25">
        <f>HLOOKUP(U$7,$I$66:$DJ$120,ROWS($A$10:$A43)+2,FALSE)</f>
        <v>259</v>
      </c>
      <c r="V43" s="25">
        <f>HLOOKUP(V$7,$I$66:$DJ$120,ROWS($A$10:$A43)+2,FALSE)</f>
        <v>198</v>
      </c>
      <c r="W43" s="25">
        <f>HLOOKUP(W$7,$I$66:$DJ$120,ROWS($A$10:$A43)+2,FALSE)</f>
        <v>6533</v>
      </c>
      <c r="X43" s="25">
        <f>HLOOKUP(X$7,$I$66:$DJ$120,ROWS($A$10:$A43)+2,FALSE)</f>
        <v>2497</v>
      </c>
      <c r="Y43" s="25">
        <f>HLOOKUP(Y$7,$I$66:$DJ$120,ROWS($A$10:$A43)+2,FALSE)</f>
        <v>477</v>
      </c>
      <c r="Z43" s="25">
        <f>HLOOKUP(Z$7,$I$66:$DJ$120,ROWS($A$10:$A43)+2,FALSE)</f>
        <v>1189</v>
      </c>
      <c r="AA43" s="25">
        <f>HLOOKUP(AA$7,$I$66:$DJ$120,ROWS($A$10:$A43)+2,FALSE)</f>
        <v>804</v>
      </c>
      <c r="AB43" s="25">
        <f>HLOOKUP(AB$7,$I$66:$DJ$120,ROWS($A$10:$A43)+2,FALSE)</f>
        <v>1321</v>
      </c>
      <c r="AC43" s="25">
        <f>HLOOKUP(AC$7,$I$66:$DJ$120,ROWS($A$10:$A43)+2,FALSE)</f>
        <v>2270</v>
      </c>
      <c r="AD43" s="25">
        <f>HLOOKUP(AD$7,$I$66:$DJ$120,ROWS($A$10:$A43)+2,FALSE)</f>
        <v>5912</v>
      </c>
      <c r="AE43" s="25">
        <f>HLOOKUP(AE$7,$I$66:$DJ$120,ROWS($A$10:$A43)+2,FALSE)</f>
        <v>16855</v>
      </c>
      <c r="AF43" s="25">
        <f>HLOOKUP(AF$7,$I$66:$DJ$120,ROWS($A$10:$A43)+2,FALSE)</f>
        <v>4779</v>
      </c>
      <c r="AG43" s="25">
        <f>HLOOKUP(AG$7,$I$66:$DJ$120,ROWS($A$10:$A43)+2,FALSE)</f>
        <v>1649</v>
      </c>
      <c r="AH43" s="25">
        <f>HLOOKUP(AH$7,$I$66:$DJ$120,ROWS($A$10:$A43)+2,FALSE)</f>
        <v>872</v>
      </c>
      <c r="AI43" s="25">
        <f>HLOOKUP(AI$7,$I$66:$DJ$120,ROWS($A$10:$A43)+2,FALSE)</f>
        <v>1870</v>
      </c>
      <c r="AJ43" s="25">
        <f>HLOOKUP(AJ$7,$I$66:$DJ$120,ROWS($A$10:$A43)+2,FALSE)</f>
        <v>237</v>
      </c>
      <c r="AK43" s="25">
        <f>HLOOKUP(AK$7,$I$66:$DJ$120,ROWS($A$10:$A43)+2,FALSE)</f>
        <v>886</v>
      </c>
      <c r="AL43" s="25">
        <f>HLOOKUP(AL$7,$I$66:$DJ$120,ROWS($A$10:$A43)+2,FALSE)</f>
        <v>2077</v>
      </c>
      <c r="AM43" s="25">
        <f>HLOOKUP(AM$7,$I$66:$DJ$120,ROWS($A$10:$A43)+2,FALSE)</f>
        <v>2636</v>
      </c>
      <c r="AN43" s="25">
        <f>HLOOKUP(AN$7,$I$66:$DJ$120,ROWS($A$10:$A43)+2,FALSE)</f>
        <v>35333</v>
      </c>
      <c r="AO43" s="25">
        <f>HLOOKUP(AO$7,$I$66:$DJ$120,ROWS($A$10:$A43)+2,FALSE)</f>
        <v>829</v>
      </c>
      <c r="AP43" s="25" t="str">
        <f>HLOOKUP(AP$7,$I$66:$DJ$120,ROWS($A$10:$A43)+2,FALSE)</f>
        <v>N/A</v>
      </c>
      <c r="AQ43" s="25">
        <f>HLOOKUP(AQ$7,$I$66:$DJ$120,ROWS($A$10:$A43)+2,FALSE)</f>
        <v>13322</v>
      </c>
      <c r="AR43" s="25">
        <f>HLOOKUP(AR$7,$I$66:$DJ$120,ROWS($A$10:$A43)+2,FALSE)</f>
        <v>0</v>
      </c>
      <c r="AS43" s="25">
        <f>HLOOKUP(AS$7,$I$66:$DJ$120,ROWS($A$10:$A43)+2,FALSE)</f>
        <v>6510</v>
      </c>
      <c r="AT43" s="25">
        <f>HLOOKUP(AT$7,$I$66:$DJ$120,ROWS($A$10:$A43)+2,FALSE)</f>
        <v>2298</v>
      </c>
      <c r="AU43" s="25">
        <f>HLOOKUP(AU$7,$I$66:$DJ$120,ROWS($A$10:$A43)+2,FALSE)</f>
        <v>2284</v>
      </c>
      <c r="AV43" s="25">
        <f>HLOOKUP(AV$7,$I$66:$DJ$120,ROWS($A$10:$A43)+2,FALSE)</f>
        <v>20514</v>
      </c>
      <c r="AW43" s="25">
        <f>HLOOKUP(AW$7,$I$66:$DJ$120,ROWS($A$10:$A43)+2,FALSE)</f>
        <v>1913</v>
      </c>
      <c r="AX43" s="25">
        <f>HLOOKUP(AX$7,$I$66:$DJ$120,ROWS($A$10:$A43)+2,FALSE)</f>
        <v>7161</v>
      </c>
      <c r="AY43" s="25">
        <f>HLOOKUP(AY$7,$I$66:$DJ$120,ROWS($A$10:$A43)+2,FALSE)</f>
        <v>521</v>
      </c>
      <c r="AZ43" s="25">
        <f>HLOOKUP(AZ$7,$I$66:$DJ$120,ROWS($A$10:$A43)+2,FALSE)</f>
        <v>1730</v>
      </c>
      <c r="BA43" s="25">
        <f>HLOOKUP(BA$7,$I$66:$DJ$120,ROWS($A$10:$A43)+2,FALSE)</f>
        <v>9692</v>
      </c>
      <c r="BB43" s="25">
        <f>HLOOKUP(BB$7,$I$66:$DJ$120,ROWS($A$10:$A43)+2,FALSE)</f>
        <v>910</v>
      </c>
      <c r="BC43" s="25">
        <f>HLOOKUP(BC$7,$I$66:$DJ$120,ROWS($A$10:$A43)+2,FALSE)</f>
        <v>2900</v>
      </c>
      <c r="BD43" s="25">
        <f>HLOOKUP(BD$7,$I$66:$DJ$120,ROWS($A$10:$A43)+2,FALSE)</f>
        <v>8881</v>
      </c>
      <c r="BE43" s="25">
        <f>HLOOKUP(BE$7,$I$66:$DJ$120,ROWS($A$10:$A43)+2,FALSE)</f>
        <v>2503</v>
      </c>
      <c r="BF43" s="25">
        <f>HLOOKUP(BF$7,$I$66:$DJ$120,ROWS($A$10:$A43)+2,FALSE)</f>
        <v>444</v>
      </c>
      <c r="BG43" s="25">
        <f>HLOOKUP(BG$7,$I$66:$DJ$120,ROWS($A$10:$A43)+2,FALSE)</f>
        <v>2354</v>
      </c>
      <c r="BH43" s="25">
        <f>HLOOKUP(BH$7,$I$66:$DJ$120,ROWS($A$10:$A43)+2,FALSE)</f>
        <v>151</v>
      </c>
      <c r="BI43" s="25">
        <f>HLOOKUP(BI$7,$I$66:$DJ$120,ROWS($A$10:$A43)+2,FALSE)</f>
        <v>6740</v>
      </c>
      <c r="BJ43" s="34">
        <f>HLOOKUP(BJ$7+0.5,$I$66:$DJ$120,ROWS($A$10:$A43)+2,FALSE)</f>
        <v>14924</v>
      </c>
      <c r="BK43" s="34">
        <f>HLOOKUP(BK$7+0.5,$I$66:$DJ$120,ROWS($A$10:$A43)+2,FALSE)</f>
        <v>924</v>
      </c>
      <c r="BL43" s="34">
        <f>HLOOKUP(BL$7+0.5,$I$66:$DJ$120,ROWS($A$10:$A43)+2,FALSE)</f>
        <v>2375</v>
      </c>
      <c r="BM43" s="34">
        <f>HLOOKUP(BM$7+0.5,$I$66:$DJ$120,ROWS($A$10:$A43)+2,FALSE)</f>
        <v>799</v>
      </c>
      <c r="BN43" s="34">
        <f>HLOOKUP(BN$7+0.5,$I$66:$DJ$120,ROWS($A$10:$A43)+2,FALSE)</f>
        <v>249</v>
      </c>
      <c r="BO43" s="34">
        <f>HLOOKUP(BO$7+0.5,$I$66:$DJ$120,ROWS($A$10:$A43)+2,FALSE)</f>
        <v>4560</v>
      </c>
      <c r="BP43" s="34">
        <f>HLOOKUP(BP$7+0.5,$I$66:$DJ$120,ROWS($A$10:$A43)+2,FALSE)</f>
        <v>1173</v>
      </c>
      <c r="BQ43" s="34">
        <f>HLOOKUP(BQ$7+0.5,$I$66:$DJ$120,ROWS($A$10:$A43)+2,FALSE)</f>
        <v>2651</v>
      </c>
      <c r="BR43" s="34">
        <f>HLOOKUP(BR$7+0.5,$I$66:$DJ$120,ROWS($A$10:$A43)+2,FALSE)</f>
        <v>1828</v>
      </c>
      <c r="BS43" s="34">
        <f>HLOOKUP(BS$7+0.5,$I$66:$DJ$120,ROWS($A$10:$A43)+2,FALSE)</f>
        <v>820</v>
      </c>
      <c r="BT43" s="34">
        <f>HLOOKUP(BT$7+0.5,$I$66:$DJ$120,ROWS($A$10:$A43)+2,FALSE)</f>
        <v>4156</v>
      </c>
      <c r="BU43" s="34">
        <f>HLOOKUP(BU$7+0.5,$I$66:$DJ$120,ROWS($A$10:$A43)+2,FALSE)</f>
        <v>1970</v>
      </c>
      <c r="BV43" s="34">
        <f>HLOOKUP(BV$7+0.5,$I$66:$DJ$120,ROWS($A$10:$A43)+2,FALSE)</f>
        <v>195</v>
      </c>
      <c r="BW43" s="34">
        <f>HLOOKUP(BW$7+0.5,$I$66:$DJ$120,ROWS($A$10:$A43)+2,FALSE)</f>
        <v>198</v>
      </c>
      <c r="BX43" s="34">
        <f>HLOOKUP(BX$7+0.5,$I$66:$DJ$120,ROWS($A$10:$A43)+2,FALSE)</f>
        <v>2144</v>
      </c>
      <c r="BY43" s="34">
        <f>HLOOKUP(BY$7+0.5,$I$66:$DJ$120,ROWS($A$10:$A43)+2,FALSE)</f>
        <v>1311</v>
      </c>
      <c r="BZ43" s="34">
        <f>HLOOKUP(BZ$7+0.5,$I$66:$DJ$120,ROWS($A$10:$A43)+2,FALSE)</f>
        <v>319</v>
      </c>
      <c r="CA43" s="34">
        <f>HLOOKUP(CA$7+0.5,$I$66:$DJ$120,ROWS($A$10:$A43)+2,FALSE)</f>
        <v>712</v>
      </c>
      <c r="CB43" s="34">
        <f>HLOOKUP(CB$7+0.5,$I$66:$DJ$120,ROWS($A$10:$A43)+2,FALSE)</f>
        <v>500</v>
      </c>
      <c r="CC43" s="34">
        <f>HLOOKUP(CC$7+0.5,$I$66:$DJ$120,ROWS($A$10:$A43)+2,FALSE)</f>
        <v>847</v>
      </c>
      <c r="CD43" s="34">
        <f>HLOOKUP(CD$7+0.5,$I$66:$DJ$120,ROWS($A$10:$A43)+2,FALSE)</f>
        <v>1705</v>
      </c>
      <c r="CE43" s="34">
        <f>HLOOKUP(CE$7+0.5,$I$66:$DJ$120,ROWS($A$10:$A43)+2,FALSE)</f>
        <v>1583</v>
      </c>
      <c r="CF43" s="34">
        <f>HLOOKUP(CF$7+0.5,$I$66:$DJ$120,ROWS($A$10:$A43)+2,FALSE)</f>
        <v>3094</v>
      </c>
      <c r="CG43" s="34">
        <f>HLOOKUP(CG$7+0.5,$I$66:$DJ$120,ROWS($A$10:$A43)+2,FALSE)</f>
        <v>1496</v>
      </c>
      <c r="CH43" s="34">
        <f>HLOOKUP(CH$7+0.5,$I$66:$DJ$120,ROWS($A$10:$A43)+2,FALSE)</f>
        <v>1086</v>
      </c>
      <c r="CI43" s="34">
        <f>HLOOKUP(CI$7+0.5,$I$66:$DJ$120,ROWS($A$10:$A43)+2,FALSE)</f>
        <v>381</v>
      </c>
      <c r="CJ43" s="34">
        <f>HLOOKUP(CJ$7+0.5,$I$66:$DJ$120,ROWS($A$10:$A43)+2,FALSE)</f>
        <v>961</v>
      </c>
      <c r="CK43" s="34">
        <f>HLOOKUP(CK$7+0.5,$I$66:$DJ$120,ROWS($A$10:$A43)+2,FALSE)</f>
        <v>210</v>
      </c>
      <c r="CL43" s="34">
        <f>HLOOKUP(CL$7+0.5,$I$66:$DJ$120,ROWS($A$10:$A43)+2,FALSE)</f>
        <v>564</v>
      </c>
      <c r="CM43" s="34">
        <f>HLOOKUP(CM$7+0.5,$I$66:$DJ$120,ROWS($A$10:$A43)+2,FALSE)</f>
        <v>810</v>
      </c>
      <c r="CN43" s="34">
        <f>HLOOKUP(CN$7+0.5,$I$66:$DJ$120,ROWS($A$10:$A43)+2,FALSE)</f>
        <v>1065</v>
      </c>
      <c r="CO43" s="34">
        <f>HLOOKUP(CO$7+0.5,$I$66:$DJ$120,ROWS($A$10:$A43)+2,FALSE)</f>
        <v>4610</v>
      </c>
      <c r="CP43" s="34">
        <f>HLOOKUP(CP$7+0.5,$I$66:$DJ$120,ROWS($A$10:$A43)+2,FALSE)</f>
        <v>596</v>
      </c>
      <c r="CQ43" s="34" t="str">
        <f>HLOOKUP(CQ$7+0.5,$I$66:$DJ$120,ROWS($A$10:$A43)+2,FALSE)</f>
        <v>N/A</v>
      </c>
      <c r="CR43" s="34">
        <f>HLOOKUP(CR$7+0.5,$I$66:$DJ$120,ROWS($A$10:$A43)+2,FALSE)</f>
        <v>3003</v>
      </c>
      <c r="CS43" s="34">
        <f>HLOOKUP(CS$7+0.5,$I$66:$DJ$120,ROWS($A$10:$A43)+2,FALSE)</f>
        <v>275</v>
      </c>
      <c r="CT43" s="34">
        <f>HLOOKUP(CT$7+0.5,$I$66:$DJ$120,ROWS($A$10:$A43)+2,FALSE)</f>
        <v>1610</v>
      </c>
      <c r="CU43" s="34">
        <f>HLOOKUP(CU$7+0.5,$I$66:$DJ$120,ROWS($A$10:$A43)+2,FALSE)</f>
        <v>1033</v>
      </c>
      <c r="CV43" s="34">
        <f>HLOOKUP(CV$7+0.5,$I$66:$DJ$120,ROWS($A$10:$A43)+2,FALSE)</f>
        <v>1098</v>
      </c>
      <c r="CW43" s="34">
        <f>HLOOKUP(CW$7+0.5,$I$66:$DJ$120,ROWS($A$10:$A43)+2,FALSE)</f>
        <v>3022</v>
      </c>
      <c r="CX43" s="34">
        <f>HLOOKUP(CX$7+0.5,$I$66:$DJ$120,ROWS($A$10:$A43)+2,FALSE)</f>
        <v>1041</v>
      </c>
      <c r="CY43" s="34">
        <f>HLOOKUP(CY$7+0.5,$I$66:$DJ$120,ROWS($A$10:$A43)+2,FALSE)</f>
        <v>2607</v>
      </c>
      <c r="CZ43" s="34">
        <f>HLOOKUP(CZ$7+0.5,$I$66:$DJ$120,ROWS($A$10:$A43)+2,FALSE)</f>
        <v>509</v>
      </c>
      <c r="DA43" s="34">
        <f>HLOOKUP(DA$7+0.5,$I$66:$DJ$120,ROWS($A$10:$A43)+2,FALSE)</f>
        <v>835</v>
      </c>
      <c r="DB43" s="34">
        <f>HLOOKUP(DB$7+0.5,$I$66:$DJ$120,ROWS($A$10:$A43)+2,FALSE)</f>
        <v>2018</v>
      </c>
      <c r="DC43" s="34">
        <f>HLOOKUP(DC$7+0.5,$I$66:$DJ$120,ROWS($A$10:$A43)+2,FALSE)</f>
        <v>988</v>
      </c>
      <c r="DD43" s="34">
        <f>HLOOKUP(DD$7+0.5,$I$66:$DJ$120,ROWS($A$10:$A43)+2,FALSE)</f>
        <v>908</v>
      </c>
      <c r="DE43" s="34">
        <f>HLOOKUP(DE$7+0.5,$I$66:$DJ$120,ROWS($A$10:$A43)+2,FALSE)</f>
        <v>1939</v>
      </c>
      <c r="DF43" s="34">
        <f>HLOOKUP(DF$7+0.5,$I$66:$DJ$120,ROWS($A$10:$A43)+2,FALSE)</f>
        <v>976</v>
      </c>
      <c r="DG43" s="34">
        <f>HLOOKUP(DG$7+0.5,$I$66:$DJ$120,ROWS($A$10:$A43)+2,FALSE)</f>
        <v>285</v>
      </c>
      <c r="DH43" s="34">
        <f>HLOOKUP(DH$7+0.5,$I$66:$DJ$120,ROWS($A$10:$A43)+2,FALSE)</f>
        <v>1588</v>
      </c>
      <c r="DI43" s="34">
        <f>HLOOKUP(DI$7+0.5,$I$66:$DJ$120,ROWS($A$10:$A43)+2,FALSE)</f>
        <v>148</v>
      </c>
      <c r="DJ43" s="34">
        <f>HLOOKUP(DJ$7+0.5,$I$66:$DJ$120,ROWS($A$10:$A43)+2,FALSE)</f>
        <v>2049</v>
      </c>
    </row>
    <row r="44" spans="2:114" x14ac:dyDescent="0.25">
      <c r="B44" s="38" t="s">
        <v>40</v>
      </c>
      <c r="C44" s="15">
        <v>9443000</v>
      </c>
      <c r="D44" s="14">
        <v>5070</v>
      </c>
      <c r="E44" s="15">
        <v>7982017</v>
      </c>
      <c r="F44" s="14">
        <v>29580</v>
      </c>
      <c r="G44" s="15">
        <v>1141001</v>
      </c>
      <c r="H44" s="14">
        <v>25307</v>
      </c>
      <c r="I44" s="36">
        <f>HLOOKUP(I$7,$I$66:$DJ$120,ROWS($A$10:$A44)+2,FALSE)</f>
        <v>263256</v>
      </c>
      <c r="J44" s="25">
        <f>HLOOKUP(J$7,$I$66:$DJ$120,ROWS($A$10:$A44)+2,FALSE)</f>
        <v>3044</v>
      </c>
      <c r="K44" s="25">
        <f>HLOOKUP(K$7,$I$66:$DJ$120,ROWS($A$10:$A44)+2,FALSE)</f>
        <v>1618</v>
      </c>
      <c r="L44" s="25">
        <f>HLOOKUP(L$7,$I$66:$DJ$120,ROWS($A$10:$A44)+2,FALSE)</f>
        <v>2847</v>
      </c>
      <c r="M44" s="25">
        <f>HLOOKUP(M$7,$I$66:$DJ$120,ROWS($A$10:$A44)+2,FALSE)</f>
        <v>550</v>
      </c>
      <c r="N44" s="25">
        <f>HLOOKUP(N$7,$I$66:$DJ$120,ROWS($A$10:$A44)+2,FALSE)</f>
        <v>16699</v>
      </c>
      <c r="O44" s="25">
        <f>HLOOKUP(O$7,$I$66:$DJ$120,ROWS($A$10:$A44)+2,FALSE)</f>
        <v>1842</v>
      </c>
      <c r="P44" s="25">
        <f>HLOOKUP(P$7,$I$66:$DJ$120,ROWS($A$10:$A44)+2,FALSE)</f>
        <v>3752</v>
      </c>
      <c r="Q44" s="25">
        <f>HLOOKUP(Q$7,$I$66:$DJ$120,ROWS($A$10:$A44)+2,FALSE)</f>
        <v>479</v>
      </c>
      <c r="R44" s="25">
        <f>HLOOKUP(R$7,$I$66:$DJ$120,ROWS($A$10:$A44)+2,FALSE)</f>
        <v>1691</v>
      </c>
      <c r="S44" s="25">
        <f>HLOOKUP(S$7,$I$66:$DJ$120,ROWS($A$10:$A44)+2,FALSE)</f>
        <v>28983</v>
      </c>
      <c r="T44" s="25">
        <f>HLOOKUP(T$7,$I$66:$DJ$120,ROWS($A$10:$A44)+2,FALSE)</f>
        <v>15943</v>
      </c>
      <c r="U44" s="25">
        <f>HLOOKUP(U$7,$I$66:$DJ$120,ROWS($A$10:$A44)+2,FALSE)</f>
        <v>1567</v>
      </c>
      <c r="V44" s="25">
        <f>HLOOKUP(V$7,$I$66:$DJ$120,ROWS($A$10:$A44)+2,FALSE)</f>
        <v>724</v>
      </c>
      <c r="W44" s="25">
        <f>HLOOKUP(W$7,$I$66:$DJ$120,ROWS($A$10:$A44)+2,FALSE)</f>
        <v>5657</v>
      </c>
      <c r="X44" s="25">
        <f>HLOOKUP(X$7,$I$66:$DJ$120,ROWS($A$10:$A44)+2,FALSE)</f>
        <v>4132</v>
      </c>
      <c r="Y44" s="25">
        <f>HLOOKUP(Y$7,$I$66:$DJ$120,ROWS($A$10:$A44)+2,FALSE)</f>
        <v>1077</v>
      </c>
      <c r="Z44" s="25">
        <f>HLOOKUP(Z$7,$I$66:$DJ$120,ROWS($A$10:$A44)+2,FALSE)</f>
        <v>2192</v>
      </c>
      <c r="AA44" s="25">
        <f>HLOOKUP(AA$7,$I$66:$DJ$120,ROWS($A$10:$A44)+2,FALSE)</f>
        <v>4419</v>
      </c>
      <c r="AB44" s="25">
        <f>HLOOKUP(AB$7,$I$66:$DJ$120,ROWS($A$10:$A44)+2,FALSE)</f>
        <v>2180</v>
      </c>
      <c r="AC44" s="25">
        <f>HLOOKUP(AC$7,$I$66:$DJ$120,ROWS($A$10:$A44)+2,FALSE)</f>
        <v>2259</v>
      </c>
      <c r="AD44" s="25">
        <f>HLOOKUP(AD$7,$I$66:$DJ$120,ROWS($A$10:$A44)+2,FALSE)</f>
        <v>9881</v>
      </c>
      <c r="AE44" s="25">
        <f>HLOOKUP(AE$7,$I$66:$DJ$120,ROWS($A$10:$A44)+2,FALSE)</f>
        <v>4052</v>
      </c>
      <c r="AF44" s="25">
        <f>HLOOKUP(AF$7,$I$66:$DJ$120,ROWS($A$10:$A44)+2,FALSE)</f>
        <v>5789</v>
      </c>
      <c r="AG44" s="25">
        <f>HLOOKUP(AG$7,$I$66:$DJ$120,ROWS($A$10:$A44)+2,FALSE)</f>
        <v>1839</v>
      </c>
      <c r="AH44" s="25">
        <f>HLOOKUP(AH$7,$I$66:$DJ$120,ROWS($A$10:$A44)+2,FALSE)</f>
        <v>1187</v>
      </c>
      <c r="AI44" s="25">
        <f>HLOOKUP(AI$7,$I$66:$DJ$120,ROWS($A$10:$A44)+2,FALSE)</f>
        <v>1932</v>
      </c>
      <c r="AJ44" s="25">
        <f>HLOOKUP(AJ$7,$I$66:$DJ$120,ROWS($A$10:$A44)+2,FALSE)</f>
        <v>230</v>
      </c>
      <c r="AK44" s="25">
        <f>HLOOKUP(AK$7,$I$66:$DJ$120,ROWS($A$10:$A44)+2,FALSE)</f>
        <v>516</v>
      </c>
      <c r="AL44" s="25">
        <f>HLOOKUP(AL$7,$I$66:$DJ$120,ROWS($A$10:$A44)+2,FALSE)</f>
        <v>698</v>
      </c>
      <c r="AM44" s="25">
        <f>HLOOKUP(AM$7,$I$66:$DJ$120,ROWS($A$10:$A44)+2,FALSE)</f>
        <v>2130</v>
      </c>
      <c r="AN44" s="25">
        <f>HLOOKUP(AN$7,$I$66:$DJ$120,ROWS($A$10:$A44)+2,FALSE)</f>
        <v>7195</v>
      </c>
      <c r="AO44" s="25">
        <f>HLOOKUP(AO$7,$I$66:$DJ$120,ROWS($A$10:$A44)+2,FALSE)</f>
        <v>1186</v>
      </c>
      <c r="AP44" s="25">
        <f>HLOOKUP(AP$7,$I$66:$DJ$120,ROWS($A$10:$A44)+2,FALSE)</f>
        <v>19406</v>
      </c>
      <c r="AQ44" s="25" t="str">
        <f>HLOOKUP(AQ$7,$I$66:$DJ$120,ROWS($A$10:$A44)+2,FALSE)</f>
        <v>N/A</v>
      </c>
      <c r="AR44" s="25">
        <f>HLOOKUP(AR$7,$I$66:$DJ$120,ROWS($A$10:$A44)+2,FALSE)</f>
        <v>243</v>
      </c>
      <c r="AS44" s="25">
        <f>HLOOKUP(AS$7,$I$66:$DJ$120,ROWS($A$10:$A44)+2,FALSE)</f>
        <v>8661</v>
      </c>
      <c r="AT44" s="25">
        <f>HLOOKUP(AT$7,$I$66:$DJ$120,ROWS($A$10:$A44)+2,FALSE)</f>
        <v>1453</v>
      </c>
      <c r="AU44" s="25">
        <f>HLOOKUP(AU$7,$I$66:$DJ$120,ROWS($A$10:$A44)+2,FALSE)</f>
        <v>1796</v>
      </c>
      <c r="AV44" s="25">
        <f>HLOOKUP(AV$7,$I$66:$DJ$120,ROWS($A$10:$A44)+2,FALSE)</f>
        <v>11155</v>
      </c>
      <c r="AW44" s="25">
        <f>HLOOKUP(AW$7,$I$66:$DJ$120,ROWS($A$10:$A44)+2,FALSE)</f>
        <v>97</v>
      </c>
      <c r="AX44" s="25">
        <f>HLOOKUP(AX$7,$I$66:$DJ$120,ROWS($A$10:$A44)+2,FALSE)</f>
        <v>23196</v>
      </c>
      <c r="AY44" s="25">
        <f>HLOOKUP(AY$7,$I$66:$DJ$120,ROWS($A$10:$A44)+2,FALSE)</f>
        <v>362</v>
      </c>
      <c r="AZ44" s="25">
        <f>HLOOKUP(AZ$7,$I$66:$DJ$120,ROWS($A$10:$A44)+2,FALSE)</f>
        <v>8685</v>
      </c>
      <c r="BA44" s="25">
        <f>HLOOKUP(BA$7,$I$66:$DJ$120,ROWS($A$10:$A44)+2,FALSE)</f>
        <v>14329</v>
      </c>
      <c r="BB44" s="25">
        <f>HLOOKUP(BB$7,$I$66:$DJ$120,ROWS($A$10:$A44)+2,FALSE)</f>
        <v>790</v>
      </c>
      <c r="BC44" s="25">
        <f>HLOOKUP(BC$7,$I$66:$DJ$120,ROWS($A$10:$A44)+2,FALSE)</f>
        <v>350</v>
      </c>
      <c r="BD44" s="25">
        <f>HLOOKUP(BD$7,$I$66:$DJ$120,ROWS($A$10:$A44)+2,FALSE)</f>
        <v>25662</v>
      </c>
      <c r="BE44" s="25">
        <f>HLOOKUP(BE$7,$I$66:$DJ$120,ROWS($A$10:$A44)+2,FALSE)</f>
        <v>2874</v>
      </c>
      <c r="BF44" s="25">
        <f>HLOOKUP(BF$7,$I$66:$DJ$120,ROWS($A$10:$A44)+2,FALSE)</f>
        <v>3025</v>
      </c>
      <c r="BG44" s="25">
        <f>HLOOKUP(BG$7,$I$66:$DJ$120,ROWS($A$10:$A44)+2,FALSE)</f>
        <v>2012</v>
      </c>
      <c r="BH44" s="25">
        <f>HLOOKUP(BH$7,$I$66:$DJ$120,ROWS($A$10:$A44)+2,FALSE)</f>
        <v>870</v>
      </c>
      <c r="BI44" s="25">
        <f>HLOOKUP(BI$7,$I$66:$DJ$120,ROWS($A$10:$A44)+2,FALSE)</f>
        <v>1950</v>
      </c>
      <c r="BJ44" s="34">
        <f>HLOOKUP(BJ$7+0.5,$I$66:$DJ$120,ROWS($A$10:$A44)+2,FALSE)</f>
        <v>13976</v>
      </c>
      <c r="BK44" s="34">
        <f>HLOOKUP(BK$7+0.5,$I$66:$DJ$120,ROWS($A$10:$A44)+2,FALSE)</f>
        <v>1381</v>
      </c>
      <c r="BL44" s="34">
        <f>HLOOKUP(BL$7+0.5,$I$66:$DJ$120,ROWS($A$10:$A44)+2,FALSE)</f>
        <v>1103</v>
      </c>
      <c r="BM44" s="34">
        <f>HLOOKUP(BM$7+0.5,$I$66:$DJ$120,ROWS($A$10:$A44)+2,FALSE)</f>
        <v>1062</v>
      </c>
      <c r="BN44" s="34">
        <f>HLOOKUP(BN$7+0.5,$I$66:$DJ$120,ROWS($A$10:$A44)+2,FALSE)</f>
        <v>306</v>
      </c>
      <c r="BO44" s="34">
        <f>HLOOKUP(BO$7+0.5,$I$66:$DJ$120,ROWS($A$10:$A44)+2,FALSE)</f>
        <v>3085</v>
      </c>
      <c r="BP44" s="34">
        <f>HLOOKUP(BP$7+0.5,$I$66:$DJ$120,ROWS($A$10:$A44)+2,FALSE)</f>
        <v>1052</v>
      </c>
      <c r="BQ44" s="34">
        <f>HLOOKUP(BQ$7+0.5,$I$66:$DJ$120,ROWS($A$10:$A44)+2,FALSE)</f>
        <v>1748</v>
      </c>
      <c r="BR44" s="34">
        <f>HLOOKUP(BR$7+0.5,$I$66:$DJ$120,ROWS($A$10:$A44)+2,FALSE)</f>
        <v>354</v>
      </c>
      <c r="BS44" s="34">
        <f>HLOOKUP(BS$7+0.5,$I$66:$DJ$120,ROWS($A$10:$A44)+2,FALSE)</f>
        <v>548</v>
      </c>
      <c r="BT44" s="34">
        <f>HLOOKUP(BT$7+0.5,$I$66:$DJ$120,ROWS($A$10:$A44)+2,FALSE)</f>
        <v>4184</v>
      </c>
      <c r="BU44" s="34">
        <f>HLOOKUP(BU$7+0.5,$I$66:$DJ$120,ROWS($A$10:$A44)+2,FALSE)</f>
        <v>3370</v>
      </c>
      <c r="BV44" s="34">
        <f>HLOOKUP(BV$7+0.5,$I$66:$DJ$120,ROWS($A$10:$A44)+2,FALSE)</f>
        <v>871</v>
      </c>
      <c r="BW44" s="34">
        <f>HLOOKUP(BW$7+0.5,$I$66:$DJ$120,ROWS($A$10:$A44)+2,FALSE)</f>
        <v>564</v>
      </c>
      <c r="BX44" s="34">
        <f>HLOOKUP(BX$7+0.5,$I$66:$DJ$120,ROWS($A$10:$A44)+2,FALSE)</f>
        <v>1875</v>
      </c>
      <c r="BY44" s="34">
        <f>HLOOKUP(BY$7+0.5,$I$66:$DJ$120,ROWS($A$10:$A44)+2,FALSE)</f>
        <v>1280</v>
      </c>
      <c r="BZ44" s="34">
        <f>HLOOKUP(BZ$7+0.5,$I$66:$DJ$120,ROWS($A$10:$A44)+2,FALSE)</f>
        <v>806</v>
      </c>
      <c r="CA44" s="34">
        <f>HLOOKUP(CA$7+0.5,$I$66:$DJ$120,ROWS($A$10:$A44)+2,FALSE)</f>
        <v>1266</v>
      </c>
      <c r="CB44" s="34">
        <f>HLOOKUP(CB$7+0.5,$I$66:$DJ$120,ROWS($A$10:$A44)+2,FALSE)</f>
        <v>1984</v>
      </c>
      <c r="CC44" s="34">
        <f>HLOOKUP(CC$7+0.5,$I$66:$DJ$120,ROWS($A$10:$A44)+2,FALSE)</f>
        <v>1222</v>
      </c>
      <c r="CD44" s="34">
        <f>HLOOKUP(CD$7+0.5,$I$66:$DJ$120,ROWS($A$10:$A44)+2,FALSE)</f>
        <v>990</v>
      </c>
      <c r="CE44" s="34">
        <f>HLOOKUP(CE$7+0.5,$I$66:$DJ$120,ROWS($A$10:$A44)+2,FALSE)</f>
        <v>2730</v>
      </c>
      <c r="CF44" s="34">
        <f>HLOOKUP(CF$7+0.5,$I$66:$DJ$120,ROWS($A$10:$A44)+2,FALSE)</f>
        <v>1420</v>
      </c>
      <c r="CG44" s="34">
        <f>HLOOKUP(CG$7+0.5,$I$66:$DJ$120,ROWS($A$10:$A44)+2,FALSE)</f>
        <v>2071</v>
      </c>
      <c r="CH44" s="34">
        <f>HLOOKUP(CH$7+0.5,$I$66:$DJ$120,ROWS($A$10:$A44)+2,FALSE)</f>
        <v>844</v>
      </c>
      <c r="CI44" s="34">
        <f>HLOOKUP(CI$7+0.5,$I$66:$DJ$120,ROWS($A$10:$A44)+2,FALSE)</f>
        <v>818</v>
      </c>
      <c r="CJ44" s="34">
        <f>HLOOKUP(CJ$7+0.5,$I$66:$DJ$120,ROWS($A$10:$A44)+2,FALSE)</f>
        <v>965</v>
      </c>
      <c r="CK44" s="34">
        <f>HLOOKUP(CK$7+0.5,$I$66:$DJ$120,ROWS($A$10:$A44)+2,FALSE)</f>
        <v>274</v>
      </c>
      <c r="CL44" s="34">
        <f>HLOOKUP(CL$7+0.5,$I$66:$DJ$120,ROWS($A$10:$A44)+2,FALSE)</f>
        <v>357</v>
      </c>
      <c r="CM44" s="34">
        <f>HLOOKUP(CM$7+0.5,$I$66:$DJ$120,ROWS($A$10:$A44)+2,FALSE)</f>
        <v>639</v>
      </c>
      <c r="CN44" s="34">
        <f>HLOOKUP(CN$7+0.5,$I$66:$DJ$120,ROWS($A$10:$A44)+2,FALSE)</f>
        <v>1440</v>
      </c>
      <c r="CO44" s="34">
        <f>HLOOKUP(CO$7+0.5,$I$66:$DJ$120,ROWS($A$10:$A44)+2,FALSE)</f>
        <v>1847</v>
      </c>
      <c r="CP44" s="34">
        <f>HLOOKUP(CP$7+0.5,$I$66:$DJ$120,ROWS($A$10:$A44)+2,FALSE)</f>
        <v>1065</v>
      </c>
      <c r="CQ44" s="34">
        <f>HLOOKUP(CQ$7+0.5,$I$66:$DJ$120,ROWS($A$10:$A44)+2,FALSE)</f>
        <v>3099</v>
      </c>
      <c r="CR44" s="34" t="str">
        <f>HLOOKUP(CR$7+0.5,$I$66:$DJ$120,ROWS($A$10:$A44)+2,FALSE)</f>
        <v>N/A</v>
      </c>
      <c r="CS44" s="34">
        <f>HLOOKUP(CS$7+0.5,$I$66:$DJ$120,ROWS($A$10:$A44)+2,FALSE)</f>
        <v>402</v>
      </c>
      <c r="CT44" s="34">
        <f>HLOOKUP(CT$7+0.5,$I$66:$DJ$120,ROWS($A$10:$A44)+2,FALSE)</f>
        <v>2362</v>
      </c>
      <c r="CU44" s="34">
        <f>HLOOKUP(CU$7+0.5,$I$66:$DJ$120,ROWS($A$10:$A44)+2,FALSE)</f>
        <v>717</v>
      </c>
      <c r="CV44" s="34">
        <f>HLOOKUP(CV$7+0.5,$I$66:$DJ$120,ROWS($A$10:$A44)+2,FALSE)</f>
        <v>1013</v>
      </c>
      <c r="CW44" s="34">
        <f>HLOOKUP(CW$7+0.5,$I$66:$DJ$120,ROWS($A$10:$A44)+2,FALSE)</f>
        <v>2465</v>
      </c>
      <c r="CX44" s="34">
        <f>HLOOKUP(CX$7+0.5,$I$66:$DJ$120,ROWS($A$10:$A44)+2,FALSE)</f>
        <v>161</v>
      </c>
      <c r="CY44" s="34">
        <f>HLOOKUP(CY$7+0.5,$I$66:$DJ$120,ROWS($A$10:$A44)+2,FALSE)</f>
        <v>4788</v>
      </c>
      <c r="CZ44" s="34">
        <f>HLOOKUP(CZ$7+0.5,$I$66:$DJ$120,ROWS($A$10:$A44)+2,FALSE)</f>
        <v>304</v>
      </c>
      <c r="DA44" s="34">
        <f>HLOOKUP(DA$7+0.5,$I$66:$DJ$120,ROWS($A$10:$A44)+2,FALSE)</f>
        <v>2249</v>
      </c>
      <c r="DB44" s="34">
        <f>HLOOKUP(DB$7+0.5,$I$66:$DJ$120,ROWS($A$10:$A44)+2,FALSE)</f>
        <v>3409</v>
      </c>
      <c r="DC44" s="34">
        <f>HLOOKUP(DC$7+0.5,$I$66:$DJ$120,ROWS($A$10:$A44)+2,FALSE)</f>
        <v>551</v>
      </c>
      <c r="DD44" s="34">
        <f>HLOOKUP(DD$7+0.5,$I$66:$DJ$120,ROWS($A$10:$A44)+2,FALSE)</f>
        <v>244</v>
      </c>
      <c r="DE44" s="34">
        <f>HLOOKUP(DE$7+0.5,$I$66:$DJ$120,ROWS($A$10:$A44)+2,FALSE)</f>
        <v>3825</v>
      </c>
      <c r="DF44" s="34">
        <f>HLOOKUP(DF$7+0.5,$I$66:$DJ$120,ROWS($A$10:$A44)+2,FALSE)</f>
        <v>1166</v>
      </c>
      <c r="DG44" s="34">
        <f>HLOOKUP(DG$7+0.5,$I$66:$DJ$120,ROWS($A$10:$A44)+2,FALSE)</f>
        <v>1129</v>
      </c>
      <c r="DH44" s="34">
        <f>HLOOKUP(DH$7+0.5,$I$66:$DJ$120,ROWS($A$10:$A44)+2,FALSE)</f>
        <v>910</v>
      </c>
      <c r="DI44" s="34">
        <f>HLOOKUP(DI$7+0.5,$I$66:$DJ$120,ROWS($A$10:$A44)+2,FALSE)</f>
        <v>819</v>
      </c>
      <c r="DJ44" s="34">
        <f>HLOOKUP(DJ$7+0.5,$I$66:$DJ$120,ROWS($A$10:$A44)+2,FALSE)</f>
        <v>1463</v>
      </c>
    </row>
    <row r="45" spans="2:114" x14ac:dyDescent="0.25">
      <c r="B45" s="38" t="s">
        <v>41</v>
      </c>
      <c r="C45" s="15">
        <v>665654</v>
      </c>
      <c r="D45" s="14">
        <v>1209</v>
      </c>
      <c r="E45" s="15">
        <v>556222</v>
      </c>
      <c r="F45" s="14">
        <v>6833</v>
      </c>
      <c r="G45" s="15">
        <v>75720</v>
      </c>
      <c r="H45" s="14">
        <v>5430</v>
      </c>
      <c r="I45" s="36">
        <f>HLOOKUP(I$7,$I$66:$DJ$120,ROWS($A$10:$A45)+2,FALSE)</f>
        <v>30100</v>
      </c>
      <c r="J45" s="25">
        <f>HLOOKUP(J$7,$I$66:$DJ$120,ROWS($A$10:$A45)+2,FALSE)</f>
        <v>109</v>
      </c>
      <c r="K45" s="25">
        <f>HLOOKUP(K$7,$I$66:$DJ$120,ROWS($A$10:$A45)+2,FALSE)</f>
        <v>1066</v>
      </c>
      <c r="L45" s="25">
        <f>HLOOKUP(L$7,$I$66:$DJ$120,ROWS($A$10:$A45)+2,FALSE)</f>
        <v>662</v>
      </c>
      <c r="M45" s="25">
        <f>HLOOKUP(M$7,$I$66:$DJ$120,ROWS($A$10:$A45)+2,FALSE)</f>
        <v>168</v>
      </c>
      <c r="N45" s="25">
        <f>HLOOKUP(N$7,$I$66:$DJ$120,ROWS($A$10:$A45)+2,FALSE)</f>
        <v>1411</v>
      </c>
      <c r="O45" s="25">
        <f>HLOOKUP(O$7,$I$66:$DJ$120,ROWS($A$10:$A45)+2,FALSE)</f>
        <v>873</v>
      </c>
      <c r="P45" s="25">
        <f>HLOOKUP(P$7,$I$66:$DJ$120,ROWS($A$10:$A45)+2,FALSE)</f>
        <v>30</v>
      </c>
      <c r="Q45" s="25">
        <f>HLOOKUP(Q$7,$I$66:$DJ$120,ROWS($A$10:$A45)+2,FALSE)</f>
        <v>0</v>
      </c>
      <c r="R45" s="25">
        <f>HLOOKUP(R$7,$I$66:$DJ$120,ROWS($A$10:$A45)+2,FALSE)</f>
        <v>175</v>
      </c>
      <c r="S45" s="25">
        <f>HLOOKUP(S$7,$I$66:$DJ$120,ROWS($A$10:$A45)+2,FALSE)</f>
        <v>492</v>
      </c>
      <c r="T45" s="25">
        <f>HLOOKUP(T$7,$I$66:$DJ$120,ROWS($A$10:$A45)+2,FALSE)</f>
        <v>799</v>
      </c>
      <c r="U45" s="25">
        <f>HLOOKUP(U$7,$I$66:$DJ$120,ROWS($A$10:$A45)+2,FALSE)</f>
        <v>53</v>
      </c>
      <c r="V45" s="25">
        <f>HLOOKUP(V$7,$I$66:$DJ$120,ROWS($A$10:$A45)+2,FALSE)</f>
        <v>69</v>
      </c>
      <c r="W45" s="25">
        <f>HLOOKUP(W$7,$I$66:$DJ$120,ROWS($A$10:$A45)+2,FALSE)</f>
        <v>39</v>
      </c>
      <c r="X45" s="25">
        <f>HLOOKUP(X$7,$I$66:$DJ$120,ROWS($A$10:$A45)+2,FALSE)</f>
        <v>45</v>
      </c>
      <c r="Y45" s="25">
        <f>HLOOKUP(Y$7,$I$66:$DJ$120,ROWS($A$10:$A45)+2,FALSE)</f>
        <v>289</v>
      </c>
      <c r="Z45" s="25">
        <f>HLOOKUP(Z$7,$I$66:$DJ$120,ROWS($A$10:$A45)+2,FALSE)</f>
        <v>114</v>
      </c>
      <c r="AA45" s="25">
        <f>HLOOKUP(AA$7,$I$66:$DJ$120,ROWS($A$10:$A45)+2,FALSE)</f>
        <v>97</v>
      </c>
      <c r="AB45" s="25">
        <f>HLOOKUP(AB$7,$I$66:$DJ$120,ROWS($A$10:$A45)+2,FALSE)</f>
        <v>374</v>
      </c>
      <c r="AC45" s="25">
        <f>HLOOKUP(AC$7,$I$66:$DJ$120,ROWS($A$10:$A45)+2,FALSE)</f>
        <v>0</v>
      </c>
      <c r="AD45" s="25">
        <f>HLOOKUP(AD$7,$I$66:$DJ$120,ROWS($A$10:$A45)+2,FALSE)</f>
        <v>121</v>
      </c>
      <c r="AE45" s="25">
        <f>HLOOKUP(AE$7,$I$66:$DJ$120,ROWS($A$10:$A45)+2,FALSE)</f>
        <v>52</v>
      </c>
      <c r="AF45" s="25">
        <f>HLOOKUP(AF$7,$I$66:$DJ$120,ROWS($A$10:$A45)+2,FALSE)</f>
        <v>298</v>
      </c>
      <c r="AG45" s="25">
        <f>HLOOKUP(AG$7,$I$66:$DJ$120,ROWS($A$10:$A45)+2,FALSE)</f>
        <v>12350</v>
      </c>
      <c r="AH45" s="25">
        <f>HLOOKUP(AH$7,$I$66:$DJ$120,ROWS($A$10:$A45)+2,FALSE)</f>
        <v>0</v>
      </c>
      <c r="AI45" s="25">
        <f>HLOOKUP(AI$7,$I$66:$DJ$120,ROWS($A$10:$A45)+2,FALSE)</f>
        <v>197</v>
      </c>
      <c r="AJ45" s="25">
        <f>HLOOKUP(AJ$7,$I$66:$DJ$120,ROWS($A$10:$A45)+2,FALSE)</f>
        <v>1236</v>
      </c>
      <c r="AK45" s="25">
        <f>HLOOKUP(AK$7,$I$66:$DJ$120,ROWS($A$10:$A45)+2,FALSE)</f>
        <v>328</v>
      </c>
      <c r="AL45" s="25">
        <f>HLOOKUP(AL$7,$I$66:$DJ$120,ROWS($A$10:$A45)+2,FALSE)</f>
        <v>382</v>
      </c>
      <c r="AM45" s="25">
        <f>HLOOKUP(AM$7,$I$66:$DJ$120,ROWS($A$10:$A45)+2,FALSE)</f>
        <v>0</v>
      </c>
      <c r="AN45" s="25">
        <f>HLOOKUP(AN$7,$I$66:$DJ$120,ROWS($A$10:$A45)+2,FALSE)</f>
        <v>144</v>
      </c>
      <c r="AO45" s="25">
        <f>HLOOKUP(AO$7,$I$66:$DJ$120,ROWS($A$10:$A45)+2,FALSE)</f>
        <v>380</v>
      </c>
      <c r="AP45" s="25">
        <f>HLOOKUP(AP$7,$I$66:$DJ$120,ROWS($A$10:$A45)+2,FALSE)</f>
        <v>188</v>
      </c>
      <c r="AQ45" s="25">
        <f>HLOOKUP(AQ$7,$I$66:$DJ$120,ROWS($A$10:$A45)+2,FALSE)</f>
        <v>637</v>
      </c>
      <c r="AR45" s="25" t="str">
        <f>HLOOKUP(AR$7,$I$66:$DJ$120,ROWS($A$10:$A45)+2,FALSE)</f>
        <v>N/A</v>
      </c>
      <c r="AS45" s="25">
        <f>HLOOKUP(AS$7,$I$66:$DJ$120,ROWS($A$10:$A45)+2,FALSE)</f>
        <v>134</v>
      </c>
      <c r="AT45" s="25">
        <f>HLOOKUP(AT$7,$I$66:$DJ$120,ROWS($A$10:$A45)+2,FALSE)</f>
        <v>108</v>
      </c>
      <c r="AU45" s="25">
        <f>HLOOKUP(AU$7,$I$66:$DJ$120,ROWS($A$10:$A45)+2,FALSE)</f>
        <v>313</v>
      </c>
      <c r="AV45" s="25">
        <f>HLOOKUP(AV$7,$I$66:$DJ$120,ROWS($A$10:$A45)+2,FALSE)</f>
        <v>392</v>
      </c>
      <c r="AW45" s="25">
        <f>HLOOKUP(AW$7,$I$66:$DJ$120,ROWS($A$10:$A45)+2,FALSE)</f>
        <v>0</v>
      </c>
      <c r="AX45" s="25">
        <f>HLOOKUP(AX$7,$I$66:$DJ$120,ROWS($A$10:$A45)+2,FALSE)</f>
        <v>0</v>
      </c>
      <c r="AY45" s="25">
        <f>HLOOKUP(AY$7,$I$66:$DJ$120,ROWS($A$10:$A45)+2,FALSE)</f>
        <v>1038</v>
      </c>
      <c r="AZ45" s="25">
        <f>HLOOKUP(AZ$7,$I$66:$DJ$120,ROWS($A$10:$A45)+2,FALSE)</f>
        <v>273</v>
      </c>
      <c r="BA45" s="25">
        <f>HLOOKUP(BA$7,$I$66:$DJ$120,ROWS($A$10:$A45)+2,FALSE)</f>
        <v>2513</v>
      </c>
      <c r="BB45" s="25">
        <f>HLOOKUP(BB$7,$I$66:$DJ$120,ROWS($A$10:$A45)+2,FALSE)</f>
        <v>462</v>
      </c>
      <c r="BC45" s="25">
        <f>HLOOKUP(BC$7,$I$66:$DJ$120,ROWS($A$10:$A45)+2,FALSE)</f>
        <v>0</v>
      </c>
      <c r="BD45" s="25">
        <f>HLOOKUP(BD$7,$I$66:$DJ$120,ROWS($A$10:$A45)+2,FALSE)</f>
        <v>25</v>
      </c>
      <c r="BE45" s="25">
        <f>HLOOKUP(BE$7,$I$66:$DJ$120,ROWS($A$10:$A45)+2,FALSE)</f>
        <v>696</v>
      </c>
      <c r="BF45" s="25">
        <f>HLOOKUP(BF$7,$I$66:$DJ$120,ROWS($A$10:$A45)+2,FALSE)</f>
        <v>0</v>
      </c>
      <c r="BG45" s="25">
        <f>HLOOKUP(BG$7,$I$66:$DJ$120,ROWS($A$10:$A45)+2,FALSE)</f>
        <v>749</v>
      </c>
      <c r="BH45" s="25">
        <f>HLOOKUP(BH$7,$I$66:$DJ$120,ROWS($A$10:$A45)+2,FALSE)</f>
        <v>219</v>
      </c>
      <c r="BI45" s="25">
        <f>HLOOKUP(BI$7,$I$66:$DJ$120,ROWS($A$10:$A45)+2,FALSE)</f>
        <v>0</v>
      </c>
      <c r="BJ45" s="34">
        <f>HLOOKUP(BJ$7+0.5,$I$66:$DJ$120,ROWS($A$10:$A45)+2,FALSE)</f>
        <v>3890</v>
      </c>
      <c r="BK45" s="34">
        <f>HLOOKUP(BK$7+0.5,$I$66:$DJ$120,ROWS($A$10:$A45)+2,FALSE)</f>
        <v>108</v>
      </c>
      <c r="BL45" s="34">
        <f>HLOOKUP(BL$7+0.5,$I$66:$DJ$120,ROWS($A$10:$A45)+2,FALSE)</f>
        <v>823</v>
      </c>
      <c r="BM45" s="34">
        <f>HLOOKUP(BM$7+0.5,$I$66:$DJ$120,ROWS($A$10:$A45)+2,FALSE)</f>
        <v>481</v>
      </c>
      <c r="BN45" s="34">
        <f>HLOOKUP(BN$7+0.5,$I$66:$DJ$120,ROWS($A$10:$A45)+2,FALSE)</f>
        <v>206</v>
      </c>
      <c r="BO45" s="34">
        <f>HLOOKUP(BO$7+0.5,$I$66:$DJ$120,ROWS($A$10:$A45)+2,FALSE)</f>
        <v>873</v>
      </c>
      <c r="BP45" s="34">
        <f>HLOOKUP(BP$7+0.5,$I$66:$DJ$120,ROWS($A$10:$A45)+2,FALSE)</f>
        <v>614</v>
      </c>
      <c r="BQ45" s="34">
        <f>HLOOKUP(BQ$7+0.5,$I$66:$DJ$120,ROWS($A$10:$A45)+2,FALSE)</f>
        <v>47</v>
      </c>
      <c r="BR45" s="34">
        <f>HLOOKUP(BR$7+0.5,$I$66:$DJ$120,ROWS($A$10:$A45)+2,FALSE)</f>
        <v>211</v>
      </c>
      <c r="BS45" s="34">
        <f>HLOOKUP(BS$7+0.5,$I$66:$DJ$120,ROWS($A$10:$A45)+2,FALSE)</f>
        <v>275</v>
      </c>
      <c r="BT45" s="34">
        <f>HLOOKUP(BT$7+0.5,$I$66:$DJ$120,ROWS($A$10:$A45)+2,FALSE)</f>
        <v>376</v>
      </c>
      <c r="BU45" s="34">
        <f>HLOOKUP(BU$7+0.5,$I$66:$DJ$120,ROWS($A$10:$A45)+2,FALSE)</f>
        <v>837</v>
      </c>
      <c r="BV45" s="34">
        <f>HLOOKUP(BV$7+0.5,$I$66:$DJ$120,ROWS($A$10:$A45)+2,FALSE)</f>
        <v>84</v>
      </c>
      <c r="BW45" s="34">
        <f>HLOOKUP(BW$7+0.5,$I$66:$DJ$120,ROWS($A$10:$A45)+2,FALSE)</f>
        <v>82</v>
      </c>
      <c r="BX45" s="34">
        <f>HLOOKUP(BX$7+0.5,$I$66:$DJ$120,ROWS($A$10:$A45)+2,FALSE)</f>
        <v>54</v>
      </c>
      <c r="BY45" s="34">
        <f>HLOOKUP(BY$7+0.5,$I$66:$DJ$120,ROWS($A$10:$A45)+2,FALSE)</f>
        <v>77</v>
      </c>
      <c r="BZ45" s="34">
        <f>HLOOKUP(BZ$7+0.5,$I$66:$DJ$120,ROWS($A$10:$A45)+2,FALSE)</f>
        <v>376</v>
      </c>
      <c r="CA45" s="34">
        <f>HLOOKUP(CA$7+0.5,$I$66:$DJ$120,ROWS($A$10:$A45)+2,FALSE)</f>
        <v>154</v>
      </c>
      <c r="CB45" s="34">
        <f>HLOOKUP(CB$7+0.5,$I$66:$DJ$120,ROWS($A$10:$A45)+2,FALSE)</f>
        <v>85</v>
      </c>
      <c r="CC45" s="34">
        <f>HLOOKUP(CC$7+0.5,$I$66:$DJ$120,ROWS($A$10:$A45)+2,FALSE)</f>
        <v>422</v>
      </c>
      <c r="CD45" s="34">
        <f>HLOOKUP(CD$7+0.5,$I$66:$DJ$120,ROWS($A$10:$A45)+2,FALSE)</f>
        <v>211</v>
      </c>
      <c r="CE45" s="34">
        <f>HLOOKUP(CE$7+0.5,$I$66:$DJ$120,ROWS($A$10:$A45)+2,FALSE)</f>
        <v>94</v>
      </c>
      <c r="CF45" s="34">
        <f>HLOOKUP(CF$7+0.5,$I$66:$DJ$120,ROWS($A$10:$A45)+2,FALSE)</f>
        <v>84</v>
      </c>
      <c r="CG45" s="34">
        <f>HLOOKUP(CG$7+0.5,$I$66:$DJ$120,ROWS($A$10:$A45)+2,FALSE)</f>
        <v>250</v>
      </c>
      <c r="CH45" s="34">
        <f>HLOOKUP(CH$7+0.5,$I$66:$DJ$120,ROWS($A$10:$A45)+2,FALSE)</f>
        <v>2469</v>
      </c>
      <c r="CI45" s="34">
        <f>HLOOKUP(CI$7+0.5,$I$66:$DJ$120,ROWS($A$10:$A45)+2,FALSE)</f>
        <v>211</v>
      </c>
      <c r="CJ45" s="34">
        <f>HLOOKUP(CJ$7+0.5,$I$66:$DJ$120,ROWS($A$10:$A45)+2,FALSE)</f>
        <v>208</v>
      </c>
      <c r="CK45" s="34">
        <f>HLOOKUP(CK$7+0.5,$I$66:$DJ$120,ROWS($A$10:$A45)+2,FALSE)</f>
        <v>733</v>
      </c>
      <c r="CL45" s="34">
        <f>HLOOKUP(CL$7+0.5,$I$66:$DJ$120,ROWS($A$10:$A45)+2,FALSE)</f>
        <v>316</v>
      </c>
      <c r="CM45" s="34">
        <f>HLOOKUP(CM$7+0.5,$I$66:$DJ$120,ROWS($A$10:$A45)+2,FALSE)</f>
        <v>357</v>
      </c>
      <c r="CN45" s="34">
        <f>HLOOKUP(CN$7+0.5,$I$66:$DJ$120,ROWS($A$10:$A45)+2,FALSE)</f>
        <v>211</v>
      </c>
      <c r="CO45" s="34">
        <f>HLOOKUP(CO$7+0.5,$I$66:$DJ$120,ROWS($A$10:$A45)+2,FALSE)</f>
        <v>183</v>
      </c>
      <c r="CP45" s="34">
        <f>HLOOKUP(CP$7+0.5,$I$66:$DJ$120,ROWS($A$10:$A45)+2,FALSE)</f>
        <v>517</v>
      </c>
      <c r="CQ45" s="34">
        <f>HLOOKUP(CQ$7+0.5,$I$66:$DJ$120,ROWS($A$10:$A45)+2,FALSE)</f>
        <v>224</v>
      </c>
      <c r="CR45" s="34">
        <f>HLOOKUP(CR$7+0.5,$I$66:$DJ$120,ROWS($A$10:$A45)+2,FALSE)</f>
        <v>680</v>
      </c>
      <c r="CS45" s="34" t="str">
        <f>HLOOKUP(CS$7+0.5,$I$66:$DJ$120,ROWS($A$10:$A45)+2,FALSE)</f>
        <v>N/A</v>
      </c>
      <c r="CT45" s="34">
        <f>HLOOKUP(CT$7+0.5,$I$66:$DJ$120,ROWS($A$10:$A45)+2,FALSE)</f>
        <v>167</v>
      </c>
      <c r="CU45" s="34">
        <f>HLOOKUP(CU$7+0.5,$I$66:$DJ$120,ROWS($A$10:$A45)+2,FALSE)</f>
        <v>120</v>
      </c>
      <c r="CV45" s="34">
        <f>HLOOKUP(CV$7+0.5,$I$66:$DJ$120,ROWS($A$10:$A45)+2,FALSE)</f>
        <v>439</v>
      </c>
      <c r="CW45" s="34">
        <f>HLOOKUP(CW$7+0.5,$I$66:$DJ$120,ROWS($A$10:$A45)+2,FALSE)</f>
        <v>377</v>
      </c>
      <c r="CX45" s="34">
        <f>HLOOKUP(CX$7+0.5,$I$66:$DJ$120,ROWS($A$10:$A45)+2,FALSE)</f>
        <v>211</v>
      </c>
      <c r="CY45" s="34">
        <f>HLOOKUP(CY$7+0.5,$I$66:$DJ$120,ROWS($A$10:$A45)+2,FALSE)</f>
        <v>211</v>
      </c>
      <c r="CZ45" s="34">
        <f>HLOOKUP(CZ$7+0.5,$I$66:$DJ$120,ROWS($A$10:$A45)+2,FALSE)</f>
        <v>510</v>
      </c>
      <c r="DA45" s="34">
        <f>HLOOKUP(DA$7+0.5,$I$66:$DJ$120,ROWS($A$10:$A45)+2,FALSE)</f>
        <v>270</v>
      </c>
      <c r="DB45" s="34">
        <f>HLOOKUP(DB$7+0.5,$I$66:$DJ$120,ROWS($A$10:$A45)+2,FALSE)</f>
        <v>1293</v>
      </c>
      <c r="DC45" s="34">
        <f>HLOOKUP(DC$7+0.5,$I$66:$DJ$120,ROWS($A$10:$A45)+2,FALSE)</f>
        <v>431</v>
      </c>
      <c r="DD45" s="34">
        <f>HLOOKUP(DD$7+0.5,$I$66:$DJ$120,ROWS($A$10:$A45)+2,FALSE)</f>
        <v>211</v>
      </c>
      <c r="DE45" s="34">
        <f>HLOOKUP(DE$7+0.5,$I$66:$DJ$120,ROWS($A$10:$A45)+2,FALSE)</f>
        <v>39</v>
      </c>
      <c r="DF45" s="34">
        <f>HLOOKUP(DF$7+0.5,$I$66:$DJ$120,ROWS($A$10:$A45)+2,FALSE)</f>
        <v>344</v>
      </c>
      <c r="DG45" s="34">
        <f>HLOOKUP(DG$7+0.5,$I$66:$DJ$120,ROWS($A$10:$A45)+2,FALSE)</f>
        <v>211</v>
      </c>
      <c r="DH45" s="34">
        <f>HLOOKUP(DH$7+0.5,$I$66:$DJ$120,ROWS($A$10:$A45)+2,FALSE)</f>
        <v>480</v>
      </c>
      <c r="DI45" s="34">
        <f>HLOOKUP(DI$7+0.5,$I$66:$DJ$120,ROWS($A$10:$A45)+2,FALSE)</f>
        <v>206</v>
      </c>
      <c r="DJ45" s="34">
        <f>HLOOKUP(DJ$7+0.5,$I$66:$DJ$120,ROWS($A$10:$A45)+2,FALSE)</f>
        <v>211</v>
      </c>
    </row>
    <row r="46" spans="2:114" x14ac:dyDescent="0.25">
      <c r="B46" s="38" t="s">
        <v>42</v>
      </c>
      <c r="C46" s="15">
        <v>11405101</v>
      </c>
      <c r="D46" s="14">
        <v>4931</v>
      </c>
      <c r="E46" s="15">
        <v>9745227</v>
      </c>
      <c r="F46" s="14">
        <v>23258</v>
      </c>
      <c r="G46" s="15">
        <v>1453401</v>
      </c>
      <c r="H46" s="14">
        <v>23324</v>
      </c>
      <c r="I46" s="36">
        <f>HLOOKUP(I$7,$I$66:$DJ$120,ROWS($A$10:$A46)+2,FALSE)</f>
        <v>172633</v>
      </c>
      <c r="J46" s="25">
        <f>HLOOKUP(J$7,$I$66:$DJ$120,ROWS($A$10:$A46)+2,FALSE)</f>
        <v>1289</v>
      </c>
      <c r="K46" s="25">
        <f>HLOOKUP(K$7,$I$66:$DJ$120,ROWS($A$10:$A46)+2,FALSE)</f>
        <v>1556</v>
      </c>
      <c r="L46" s="25">
        <f>HLOOKUP(L$7,$I$66:$DJ$120,ROWS($A$10:$A46)+2,FALSE)</f>
        <v>4715</v>
      </c>
      <c r="M46" s="25">
        <f>HLOOKUP(M$7,$I$66:$DJ$120,ROWS($A$10:$A46)+2,FALSE)</f>
        <v>434</v>
      </c>
      <c r="N46" s="25">
        <f>HLOOKUP(N$7,$I$66:$DJ$120,ROWS($A$10:$A46)+2,FALSE)</f>
        <v>8997</v>
      </c>
      <c r="O46" s="25">
        <f>HLOOKUP(O$7,$I$66:$DJ$120,ROWS($A$10:$A46)+2,FALSE)</f>
        <v>2859</v>
      </c>
      <c r="P46" s="25">
        <f>HLOOKUP(P$7,$I$66:$DJ$120,ROWS($A$10:$A46)+2,FALSE)</f>
        <v>1307</v>
      </c>
      <c r="Q46" s="25">
        <f>HLOOKUP(Q$7,$I$66:$DJ$120,ROWS($A$10:$A46)+2,FALSE)</f>
        <v>15</v>
      </c>
      <c r="R46" s="25">
        <f>HLOOKUP(R$7,$I$66:$DJ$120,ROWS($A$10:$A46)+2,FALSE)</f>
        <v>972</v>
      </c>
      <c r="S46" s="25">
        <f>HLOOKUP(S$7,$I$66:$DJ$120,ROWS($A$10:$A46)+2,FALSE)</f>
        <v>16495</v>
      </c>
      <c r="T46" s="25">
        <f>HLOOKUP(T$7,$I$66:$DJ$120,ROWS($A$10:$A46)+2,FALSE)</f>
        <v>9502</v>
      </c>
      <c r="U46" s="25">
        <f>HLOOKUP(U$7,$I$66:$DJ$120,ROWS($A$10:$A46)+2,FALSE)</f>
        <v>436</v>
      </c>
      <c r="V46" s="25">
        <f>HLOOKUP(V$7,$I$66:$DJ$120,ROWS($A$10:$A46)+2,FALSE)</f>
        <v>564</v>
      </c>
      <c r="W46" s="25">
        <f>HLOOKUP(W$7,$I$66:$DJ$120,ROWS($A$10:$A46)+2,FALSE)</f>
        <v>7092</v>
      </c>
      <c r="X46" s="25">
        <f>HLOOKUP(X$7,$I$66:$DJ$120,ROWS($A$10:$A46)+2,FALSE)</f>
        <v>9438</v>
      </c>
      <c r="Y46" s="25">
        <f>HLOOKUP(Y$7,$I$66:$DJ$120,ROWS($A$10:$A46)+2,FALSE)</f>
        <v>1270</v>
      </c>
      <c r="Z46" s="25">
        <f>HLOOKUP(Z$7,$I$66:$DJ$120,ROWS($A$10:$A46)+2,FALSE)</f>
        <v>1016</v>
      </c>
      <c r="AA46" s="25">
        <f>HLOOKUP(AA$7,$I$66:$DJ$120,ROWS($A$10:$A46)+2,FALSE)</f>
        <v>9159</v>
      </c>
      <c r="AB46" s="25">
        <f>HLOOKUP(AB$7,$I$66:$DJ$120,ROWS($A$10:$A46)+2,FALSE)</f>
        <v>743</v>
      </c>
      <c r="AC46" s="25">
        <f>HLOOKUP(AC$7,$I$66:$DJ$120,ROWS($A$10:$A46)+2,FALSE)</f>
        <v>291</v>
      </c>
      <c r="AD46" s="25">
        <f>HLOOKUP(AD$7,$I$66:$DJ$120,ROWS($A$10:$A46)+2,FALSE)</f>
        <v>3828</v>
      </c>
      <c r="AE46" s="25">
        <f>HLOOKUP(AE$7,$I$66:$DJ$120,ROWS($A$10:$A46)+2,FALSE)</f>
        <v>3686</v>
      </c>
      <c r="AF46" s="25">
        <f>HLOOKUP(AF$7,$I$66:$DJ$120,ROWS($A$10:$A46)+2,FALSE)</f>
        <v>15130</v>
      </c>
      <c r="AG46" s="25">
        <f>HLOOKUP(AG$7,$I$66:$DJ$120,ROWS($A$10:$A46)+2,FALSE)</f>
        <v>2298</v>
      </c>
      <c r="AH46" s="25">
        <f>HLOOKUP(AH$7,$I$66:$DJ$120,ROWS($A$10:$A46)+2,FALSE)</f>
        <v>89</v>
      </c>
      <c r="AI46" s="25">
        <f>HLOOKUP(AI$7,$I$66:$DJ$120,ROWS($A$10:$A46)+2,FALSE)</f>
        <v>1171</v>
      </c>
      <c r="AJ46" s="25">
        <f>HLOOKUP(AJ$7,$I$66:$DJ$120,ROWS($A$10:$A46)+2,FALSE)</f>
        <v>460</v>
      </c>
      <c r="AK46" s="25">
        <f>HLOOKUP(AK$7,$I$66:$DJ$120,ROWS($A$10:$A46)+2,FALSE)</f>
        <v>1531</v>
      </c>
      <c r="AL46" s="25">
        <f>HLOOKUP(AL$7,$I$66:$DJ$120,ROWS($A$10:$A46)+2,FALSE)</f>
        <v>2240</v>
      </c>
      <c r="AM46" s="25">
        <f>HLOOKUP(AM$7,$I$66:$DJ$120,ROWS($A$10:$A46)+2,FALSE)</f>
        <v>175</v>
      </c>
      <c r="AN46" s="25">
        <f>HLOOKUP(AN$7,$I$66:$DJ$120,ROWS($A$10:$A46)+2,FALSE)</f>
        <v>2465</v>
      </c>
      <c r="AO46" s="25">
        <f>HLOOKUP(AO$7,$I$66:$DJ$120,ROWS($A$10:$A46)+2,FALSE)</f>
        <v>515</v>
      </c>
      <c r="AP46" s="25">
        <f>HLOOKUP(AP$7,$I$66:$DJ$120,ROWS($A$10:$A46)+2,FALSE)</f>
        <v>5988</v>
      </c>
      <c r="AQ46" s="25">
        <f>HLOOKUP(AQ$7,$I$66:$DJ$120,ROWS($A$10:$A46)+2,FALSE)</f>
        <v>5985</v>
      </c>
      <c r="AR46" s="25">
        <f>HLOOKUP(AR$7,$I$66:$DJ$120,ROWS($A$10:$A46)+2,FALSE)</f>
        <v>26</v>
      </c>
      <c r="AS46" s="25" t="str">
        <f>HLOOKUP(AS$7,$I$66:$DJ$120,ROWS($A$10:$A46)+2,FALSE)</f>
        <v>N/A</v>
      </c>
      <c r="AT46" s="25">
        <f>HLOOKUP(AT$7,$I$66:$DJ$120,ROWS($A$10:$A46)+2,FALSE)</f>
        <v>1228</v>
      </c>
      <c r="AU46" s="25">
        <f>HLOOKUP(AU$7,$I$66:$DJ$120,ROWS($A$10:$A46)+2,FALSE)</f>
        <v>342</v>
      </c>
      <c r="AV46" s="25">
        <f>HLOOKUP(AV$7,$I$66:$DJ$120,ROWS($A$10:$A46)+2,FALSE)</f>
        <v>12012</v>
      </c>
      <c r="AW46" s="25">
        <f>HLOOKUP(AW$7,$I$66:$DJ$120,ROWS($A$10:$A46)+2,FALSE)</f>
        <v>444</v>
      </c>
      <c r="AX46" s="25">
        <f>HLOOKUP(AX$7,$I$66:$DJ$120,ROWS($A$10:$A46)+2,FALSE)</f>
        <v>2479</v>
      </c>
      <c r="AY46" s="25">
        <f>HLOOKUP(AY$7,$I$66:$DJ$120,ROWS($A$10:$A46)+2,FALSE)</f>
        <v>207</v>
      </c>
      <c r="AZ46" s="25">
        <f>HLOOKUP(AZ$7,$I$66:$DJ$120,ROWS($A$10:$A46)+2,FALSE)</f>
        <v>4987</v>
      </c>
      <c r="BA46" s="25">
        <f>HLOOKUP(BA$7,$I$66:$DJ$120,ROWS($A$10:$A46)+2,FALSE)</f>
        <v>7465</v>
      </c>
      <c r="BB46" s="25">
        <f>HLOOKUP(BB$7,$I$66:$DJ$120,ROWS($A$10:$A46)+2,FALSE)</f>
        <v>485</v>
      </c>
      <c r="BC46" s="25">
        <f>HLOOKUP(BC$7,$I$66:$DJ$120,ROWS($A$10:$A46)+2,FALSE)</f>
        <v>182</v>
      </c>
      <c r="BD46" s="25">
        <f>HLOOKUP(BD$7,$I$66:$DJ$120,ROWS($A$10:$A46)+2,FALSE)</f>
        <v>6769</v>
      </c>
      <c r="BE46" s="25">
        <f>HLOOKUP(BE$7,$I$66:$DJ$120,ROWS($A$10:$A46)+2,FALSE)</f>
        <v>2567</v>
      </c>
      <c r="BF46" s="25">
        <f>HLOOKUP(BF$7,$I$66:$DJ$120,ROWS($A$10:$A46)+2,FALSE)</f>
        <v>7814</v>
      </c>
      <c r="BG46" s="25">
        <f>HLOOKUP(BG$7,$I$66:$DJ$120,ROWS($A$10:$A46)+2,FALSE)</f>
        <v>1771</v>
      </c>
      <c r="BH46" s="25">
        <f>HLOOKUP(BH$7,$I$66:$DJ$120,ROWS($A$10:$A46)+2,FALSE)</f>
        <v>144</v>
      </c>
      <c r="BI46" s="25">
        <f>HLOOKUP(BI$7,$I$66:$DJ$120,ROWS($A$10:$A46)+2,FALSE)</f>
        <v>2140</v>
      </c>
      <c r="BJ46" s="34">
        <f>HLOOKUP(BJ$7+0.5,$I$66:$DJ$120,ROWS($A$10:$A46)+2,FALSE)</f>
        <v>10673</v>
      </c>
      <c r="BK46" s="34">
        <f>HLOOKUP(BK$7+0.5,$I$66:$DJ$120,ROWS($A$10:$A46)+2,FALSE)</f>
        <v>751</v>
      </c>
      <c r="BL46" s="34">
        <f>HLOOKUP(BL$7+0.5,$I$66:$DJ$120,ROWS($A$10:$A46)+2,FALSE)</f>
        <v>1531</v>
      </c>
      <c r="BM46" s="34">
        <f>HLOOKUP(BM$7+0.5,$I$66:$DJ$120,ROWS($A$10:$A46)+2,FALSE)</f>
        <v>2132</v>
      </c>
      <c r="BN46" s="34">
        <f>HLOOKUP(BN$7+0.5,$I$66:$DJ$120,ROWS($A$10:$A46)+2,FALSE)</f>
        <v>504</v>
      </c>
      <c r="BO46" s="34">
        <f>HLOOKUP(BO$7+0.5,$I$66:$DJ$120,ROWS($A$10:$A46)+2,FALSE)</f>
        <v>1767</v>
      </c>
      <c r="BP46" s="34">
        <f>HLOOKUP(BP$7+0.5,$I$66:$DJ$120,ROWS($A$10:$A46)+2,FALSE)</f>
        <v>1134</v>
      </c>
      <c r="BQ46" s="34">
        <f>HLOOKUP(BQ$7+0.5,$I$66:$DJ$120,ROWS($A$10:$A46)+2,FALSE)</f>
        <v>819</v>
      </c>
      <c r="BR46" s="34">
        <f>HLOOKUP(BR$7+0.5,$I$66:$DJ$120,ROWS($A$10:$A46)+2,FALSE)</f>
        <v>25</v>
      </c>
      <c r="BS46" s="34">
        <f>HLOOKUP(BS$7+0.5,$I$66:$DJ$120,ROWS($A$10:$A46)+2,FALSE)</f>
        <v>768</v>
      </c>
      <c r="BT46" s="34">
        <f>HLOOKUP(BT$7+0.5,$I$66:$DJ$120,ROWS($A$10:$A46)+2,FALSE)</f>
        <v>2765</v>
      </c>
      <c r="BU46" s="34">
        <f>HLOOKUP(BU$7+0.5,$I$66:$DJ$120,ROWS($A$10:$A46)+2,FALSE)</f>
        <v>2685</v>
      </c>
      <c r="BV46" s="34">
        <f>HLOOKUP(BV$7+0.5,$I$66:$DJ$120,ROWS($A$10:$A46)+2,FALSE)</f>
        <v>331</v>
      </c>
      <c r="BW46" s="34">
        <f>HLOOKUP(BW$7+0.5,$I$66:$DJ$120,ROWS($A$10:$A46)+2,FALSE)</f>
        <v>694</v>
      </c>
      <c r="BX46" s="34">
        <f>HLOOKUP(BX$7+0.5,$I$66:$DJ$120,ROWS($A$10:$A46)+2,FALSE)</f>
        <v>1635</v>
      </c>
      <c r="BY46" s="34">
        <f>HLOOKUP(BY$7+0.5,$I$66:$DJ$120,ROWS($A$10:$A46)+2,FALSE)</f>
        <v>2077</v>
      </c>
      <c r="BZ46" s="34">
        <f>HLOOKUP(BZ$7+0.5,$I$66:$DJ$120,ROWS($A$10:$A46)+2,FALSE)</f>
        <v>757</v>
      </c>
      <c r="CA46" s="34">
        <f>HLOOKUP(CA$7+0.5,$I$66:$DJ$120,ROWS($A$10:$A46)+2,FALSE)</f>
        <v>494</v>
      </c>
      <c r="CB46" s="34">
        <f>HLOOKUP(CB$7+0.5,$I$66:$DJ$120,ROWS($A$10:$A46)+2,FALSE)</f>
        <v>1874</v>
      </c>
      <c r="CC46" s="34">
        <f>HLOOKUP(CC$7+0.5,$I$66:$DJ$120,ROWS($A$10:$A46)+2,FALSE)</f>
        <v>511</v>
      </c>
      <c r="CD46" s="34">
        <f>HLOOKUP(CD$7+0.5,$I$66:$DJ$120,ROWS($A$10:$A46)+2,FALSE)</f>
        <v>238</v>
      </c>
      <c r="CE46" s="34">
        <f>HLOOKUP(CE$7+0.5,$I$66:$DJ$120,ROWS($A$10:$A46)+2,FALSE)</f>
        <v>1666</v>
      </c>
      <c r="CF46" s="34">
        <f>HLOOKUP(CF$7+0.5,$I$66:$DJ$120,ROWS($A$10:$A46)+2,FALSE)</f>
        <v>1712</v>
      </c>
      <c r="CG46" s="34">
        <f>HLOOKUP(CG$7+0.5,$I$66:$DJ$120,ROWS($A$10:$A46)+2,FALSE)</f>
        <v>3104</v>
      </c>
      <c r="CH46" s="34">
        <f>HLOOKUP(CH$7+0.5,$I$66:$DJ$120,ROWS($A$10:$A46)+2,FALSE)</f>
        <v>1327</v>
      </c>
      <c r="CI46" s="34">
        <f>HLOOKUP(CI$7+0.5,$I$66:$DJ$120,ROWS($A$10:$A46)+2,FALSE)</f>
        <v>105</v>
      </c>
      <c r="CJ46" s="34">
        <f>HLOOKUP(CJ$7+0.5,$I$66:$DJ$120,ROWS($A$10:$A46)+2,FALSE)</f>
        <v>569</v>
      </c>
      <c r="CK46" s="34">
        <f>HLOOKUP(CK$7+0.5,$I$66:$DJ$120,ROWS($A$10:$A46)+2,FALSE)</f>
        <v>450</v>
      </c>
      <c r="CL46" s="34">
        <f>HLOOKUP(CL$7+0.5,$I$66:$DJ$120,ROWS($A$10:$A46)+2,FALSE)</f>
        <v>983</v>
      </c>
      <c r="CM46" s="34">
        <f>HLOOKUP(CM$7+0.5,$I$66:$DJ$120,ROWS($A$10:$A46)+2,FALSE)</f>
        <v>1351</v>
      </c>
      <c r="CN46" s="34">
        <f>HLOOKUP(CN$7+0.5,$I$66:$DJ$120,ROWS($A$10:$A46)+2,FALSE)</f>
        <v>205</v>
      </c>
      <c r="CO46" s="34">
        <f>HLOOKUP(CO$7+0.5,$I$66:$DJ$120,ROWS($A$10:$A46)+2,FALSE)</f>
        <v>1028</v>
      </c>
      <c r="CP46" s="34">
        <f>HLOOKUP(CP$7+0.5,$I$66:$DJ$120,ROWS($A$10:$A46)+2,FALSE)</f>
        <v>380</v>
      </c>
      <c r="CQ46" s="34">
        <f>HLOOKUP(CQ$7+0.5,$I$66:$DJ$120,ROWS($A$10:$A46)+2,FALSE)</f>
        <v>1895</v>
      </c>
      <c r="CR46" s="34">
        <f>HLOOKUP(CR$7+0.5,$I$66:$DJ$120,ROWS($A$10:$A46)+2,FALSE)</f>
        <v>1492</v>
      </c>
      <c r="CS46" s="34">
        <f>HLOOKUP(CS$7+0.5,$I$66:$DJ$120,ROWS($A$10:$A46)+2,FALSE)</f>
        <v>53</v>
      </c>
      <c r="CT46" s="34" t="str">
        <f>HLOOKUP(CT$7+0.5,$I$66:$DJ$120,ROWS($A$10:$A46)+2,FALSE)</f>
        <v>N/A</v>
      </c>
      <c r="CU46" s="34">
        <f>HLOOKUP(CU$7+0.5,$I$66:$DJ$120,ROWS($A$10:$A46)+2,FALSE)</f>
        <v>1044</v>
      </c>
      <c r="CV46" s="34">
        <f>HLOOKUP(CV$7+0.5,$I$66:$DJ$120,ROWS($A$10:$A46)+2,FALSE)</f>
        <v>306</v>
      </c>
      <c r="CW46" s="34">
        <f>HLOOKUP(CW$7+0.5,$I$66:$DJ$120,ROWS($A$10:$A46)+2,FALSE)</f>
        <v>2269</v>
      </c>
      <c r="CX46" s="34">
        <f>HLOOKUP(CX$7+0.5,$I$66:$DJ$120,ROWS($A$10:$A46)+2,FALSE)</f>
        <v>314</v>
      </c>
      <c r="CY46" s="34">
        <f>HLOOKUP(CY$7+0.5,$I$66:$DJ$120,ROWS($A$10:$A46)+2,FALSE)</f>
        <v>1021</v>
      </c>
      <c r="CZ46" s="34">
        <f>HLOOKUP(CZ$7+0.5,$I$66:$DJ$120,ROWS($A$10:$A46)+2,FALSE)</f>
        <v>215</v>
      </c>
      <c r="DA46" s="34">
        <f>HLOOKUP(DA$7+0.5,$I$66:$DJ$120,ROWS($A$10:$A46)+2,FALSE)</f>
        <v>2031</v>
      </c>
      <c r="DB46" s="34">
        <f>HLOOKUP(DB$7+0.5,$I$66:$DJ$120,ROWS($A$10:$A46)+2,FALSE)</f>
        <v>2241</v>
      </c>
      <c r="DC46" s="34">
        <f>HLOOKUP(DC$7+0.5,$I$66:$DJ$120,ROWS($A$10:$A46)+2,FALSE)</f>
        <v>318</v>
      </c>
      <c r="DD46" s="34">
        <f>HLOOKUP(DD$7+0.5,$I$66:$DJ$120,ROWS($A$10:$A46)+2,FALSE)</f>
        <v>173</v>
      </c>
      <c r="DE46" s="34">
        <f>HLOOKUP(DE$7+0.5,$I$66:$DJ$120,ROWS($A$10:$A46)+2,FALSE)</f>
        <v>1705</v>
      </c>
      <c r="DF46" s="34">
        <f>HLOOKUP(DF$7+0.5,$I$66:$DJ$120,ROWS($A$10:$A46)+2,FALSE)</f>
        <v>905</v>
      </c>
      <c r="DG46" s="34">
        <f>HLOOKUP(DG$7+0.5,$I$66:$DJ$120,ROWS($A$10:$A46)+2,FALSE)</f>
        <v>2197</v>
      </c>
      <c r="DH46" s="34">
        <f>HLOOKUP(DH$7+0.5,$I$66:$DJ$120,ROWS($A$10:$A46)+2,FALSE)</f>
        <v>934</v>
      </c>
      <c r="DI46" s="34">
        <f>HLOOKUP(DI$7+0.5,$I$66:$DJ$120,ROWS($A$10:$A46)+2,FALSE)</f>
        <v>187</v>
      </c>
      <c r="DJ46" s="34">
        <f>HLOOKUP(DJ$7+0.5,$I$66:$DJ$120,ROWS($A$10:$A46)+2,FALSE)</f>
        <v>1360</v>
      </c>
    </row>
    <row r="47" spans="2:114" x14ac:dyDescent="0.25">
      <c r="B47" s="38" t="s">
        <v>43</v>
      </c>
      <c r="C47" s="15">
        <v>3716264</v>
      </c>
      <c r="D47" s="14">
        <v>3181</v>
      </c>
      <c r="E47" s="15">
        <v>3065497</v>
      </c>
      <c r="F47" s="14">
        <v>21363</v>
      </c>
      <c r="G47" s="15">
        <v>528824</v>
      </c>
      <c r="H47" s="14">
        <v>18463</v>
      </c>
      <c r="I47" s="36">
        <f>HLOOKUP(I$7,$I$66:$DJ$120,ROWS($A$10:$A47)+2,FALSE)</f>
        <v>106511</v>
      </c>
      <c r="J47" s="25">
        <f>HLOOKUP(J$7,$I$66:$DJ$120,ROWS($A$10:$A47)+2,FALSE)</f>
        <v>1612</v>
      </c>
      <c r="K47" s="25">
        <f>HLOOKUP(K$7,$I$66:$DJ$120,ROWS($A$10:$A47)+2,FALSE)</f>
        <v>1397</v>
      </c>
      <c r="L47" s="25">
        <f>HLOOKUP(L$7,$I$66:$DJ$120,ROWS($A$10:$A47)+2,FALSE)</f>
        <v>2759</v>
      </c>
      <c r="M47" s="25">
        <f>HLOOKUP(M$7,$I$66:$DJ$120,ROWS($A$10:$A47)+2,FALSE)</f>
        <v>5873</v>
      </c>
      <c r="N47" s="25">
        <f>HLOOKUP(N$7,$I$66:$DJ$120,ROWS($A$10:$A47)+2,FALSE)</f>
        <v>9429</v>
      </c>
      <c r="O47" s="25">
        <f>HLOOKUP(O$7,$I$66:$DJ$120,ROWS($A$10:$A47)+2,FALSE)</f>
        <v>3184</v>
      </c>
      <c r="P47" s="25">
        <f>HLOOKUP(P$7,$I$66:$DJ$120,ROWS($A$10:$A47)+2,FALSE)</f>
        <v>68</v>
      </c>
      <c r="Q47" s="25">
        <f>HLOOKUP(Q$7,$I$66:$DJ$120,ROWS($A$10:$A47)+2,FALSE)</f>
        <v>109</v>
      </c>
      <c r="R47" s="25">
        <f>HLOOKUP(R$7,$I$66:$DJ$120,ROWS($A$10:$A47)+2,FALSE)</f>
        <v>0</v>
      </c>
      <c r="S47" s="25">
        <f>HLOOKUP(S$7,$I$66:$DJ$120,ROWS($A$10:$A47)+2,FALSE)</f>
        <v>5438</v>
      </c>
      <c r="T47" s="25">
        <f>HLOOKUP(T$7,$I$66:$DJ$120,ROWS($A$10:$A47)+2,FALSE)</f>
        <v>3159</v>
      </c>
      <c r="U47" s="25">
        <f>HLOOKUP(U$7,$I$66:$DJ$120,ROWS($A$10:$A47)+2,FALSE)</f>
        <v>773</v>
      </c>
      <c r="V47" s="25">
        <f>HLOOKUP(V$7,$I$66:$DJ$120,ROWS($A$10:$A47)+2,FALSE)</f>
        <v>611</v>
      </c>
      <c r="W47" s="25">
        <f>HLOOKUP(W$7,$I$66:$DJ$120,ROWS($A$10:$A47)+2,FALSE)</f>
        <v>2679</v>
      </c>
      <c r="X47" s="25">
        <f>HLOOKUP(X$7,$I$66:$DJ$120,ROWS($A$10:$A47)+2,FALSE)</f>
        <v>957</v>
      </c>
      <c r="Y47" s="25">
        <f>HLOOKUP(Y$7,$I$66:$DJ$120,ROWS($A$10:$A47)+2,FALSE)</f>
        <v>1108</v>
      </c>
      <c r="Z47" s="25">
        <f>HLOOKUP(Z$7,$I$66:$DJ$120,ROWS($A$10:$A47)+2,FALSE)</f>
        <v>5024</v>
      </c>
      <c r="AA47" s="25">
        <f>HLOOKUP(AA$7,$I$66:$DJ$120,ROWS($A$10:$A47)+2,FALSE)</f>
        <v>877</v>
      </c>
      <c r="AB47" s="25">
        <f>HLOOKUP(AB$7,$I$66:$DJ$120,ROWS($A$10:$A47)+2,FALSE)</f>
        <v>2208</v>
      </c>
      <c r="AC47" s="25">
        <f>HLOOKUP(AC$7,$I$66:$DJ$120,ROWS($A$10:$A47)+2,FALSE)</f>
        <v>298</v>
      </c>
      <c r="AD47" s="25">
        <f>HLOOKUP(AD$7,$I$66:$DJ$120,ROWS($A$10:$A47)+2,FALSE)</f>
        <v>382</v>
      </c>
      <c r="AE47" s="25">
        <f>HLOOKUP(AE$7,$I$66:$DJ$120,ROWS($A$10:$A47)+2,FALSE)</f>
        <v>465</v>
      </c>
      <c r="AF47" s="25">
        <f>HLOOKUP(AF$7,$I$66:$DJ$120,ROWS($A$10:$A47)+2,FALSE)</f>
        <v>1047</v>
      </c>
      <c r="AG47" s="25">
        <f>HLOOKUP(AG$7,$I$66:$DJ$120,ROWS($A$10:$A47)+2,FALSE)</f>
        <v>599</v>
      </c>
      <c r="AH47" s="25">
        <f>HLOOKUP(AH$7,$I$66:$DJ$120,ROWS($A$10:$A47)+2,FALSE)</f>
        <v>1733</v>
      </c>
      <c r="AI47" s="25">
        <f>HLOOKUP(AI$7,$I$66:$DJ$120,ROWS($A$10:$A47)+2,FALSE)</f>
        <v>4102</v>
      </c>
      <c r="AJ47" s="25">
        <f>HLOOKUP(AJ$7,$I$66:$DJ$120,ROWS($A$10:$A47)+2,FALSE)</f>
        <v>448</v>
      </c>
      <c r="AK47" s="25">
        <f>HLOOKUP(AK$7,$I$66:$DJ$120,ROWS($A$10:$A47)+2,FALSE)</f>
        <v>829</v>
      </c>
      <c r="AL47" s="25">
        <f>HLOOKUP(AL$7,$I$66:$DJ$120,ROWS($A$10:$A47)+2,FALSE)</f>
        <v>1079</v>
      </c>
      <c r="AM47" s="25">
        <f>HLOOKUP(AM$7,$I$66:$DJ$120,ROWS($A$10:$A47)+2,FALSE)</f>
        <v>69</v>
      </c>
      <c r="AN47" s="25">
        <f>HLOOKUP(AN$7,$I$66:$DJ$120,ROWS($A$10:$A47)+2,FALSE)</f>
        <v>890</v>
      </c>
      <c r="AO47" s="25">
        <f>HLOOKUP(AO$7,$I$66:$DJ$120,ROWS($A$10:$A47)+2,FALSE)</f>
        <v>2723</v>
      </c>
      <c r="AP47" s="25">
        <f>HLOOKUP(AP$7,$I$66:$DJ$120,ROWS($A$10:$A47)+2,FALSE)</f>
        <v>1118</v>
      </c>
      <c r="AQ47" s="25">
        <f>HLOOKUP(AQ$7,$I$66:$DJ$120,ROWS($A$10:$A47)+2,FALSE)</f>
        <v>1991</v>
      </c>
      <c r="AR47" s="25">
        <f>HLOOKUP(AR$7,$I$66:$DJ$120,ROWS($A$10:$A47)+2,FALSE)</f>
        <v>139</v>
      </c>
      <c r="AS47" s="25">
        <f>HLOOKUP(AS$7,$I$66:$DJ$120,ROWS($A$10:$A47)+2,FALSE)</f>
        <v>1385</v>
      </c>
      <c r="AT47" s="25" t="str">
        <f>HLOOKUP(AT$7,$I$66:$DJ$120,ROWS($A$10:$A47)+2,FALSE)</f>
        <v>N/A</v>
      </c>
      <c r="AU47" s="25">
        <f>HLOOKUP(AU$7,$I$66:$DJ$120,ROWS($A$10:$A47)+2,FALSE)</f>
        <v>398</v>
      </c>
      <c r="AV47" s="25">
        <f>HLOOKUP(AV$7,$I$66:$DJ$120,ROWS($A$10:$A47)+2,FALSE)</f>
        <v>1316</v>
      </c>
      <c r="AW47" s="25">
        <f>HLOOKUP(AW$7,$I$66:$DJ$120,ROWS($A$10:$A47)+2,FALSE)</f>
        <v>119</v>
      </c>
      <c r="AX47" s="25">
        <f>HLOOKUP(AX$7,$I$66:$DJ$120,ROWS($A$10:$A47)+2,FALSE)</f>
        <v>596</v>
      </c>
      <c r="AY47" s="25">
        <f>HLOOKUP(AY$7,$I$66:$DJ$120,ROWS($A$10:$A47)+2,FALSE)</f>
        <v>83</v>
      </c>
      <c r="AZ47" s="25">
        <f>HLOOKUP(AZ$7,$I$66:$DJ$120,ROWS($A$10:$A47)+2,FALSE)</f>
        <v>1872</v>
      </c>
      <c r="BA47" s="25">
        <f>HLOOKUP(BA$7,$I$66:$DJ$120,ROWS($A$10:$A47)+2,FALSE)</f>
        <v>28238</v>
      </c>
      <c r="BB47" s="25">
        <f>HLOOKUP(BB$7,$I$66:$DJ$120,ROWS($A$10:$A47)+2,FALSE)</f>
        <v>428</v>
      </c>
      <c r="BC47" s="25">
        <f>HLOOKUP(BC$7,$I$66:$DJ$120,ROWS($A$10:$A47)+2,FALSE)</f>
        <v>93</v>
      </c>
      <c r="BD47" s="25">
        <f>HLOOKUP(BD$7,$I$66:$DJ$120,ROWS($A$10:$A47)+2,FALSE)</f>
        <v>2286</v>
      </c>
      <c r="BE47" s="25">
        <f>HLOOKUP(BE$7,$I$66:$DJ$120,ROWS($A$10:$A47)+2,FALSE)</f>
        <v>2035</v>
      </c>
      <c r="BF47" s="25">
        <f>HLOOKUP(BF$7,$I$66:$DJ$120,ROWS($A$10:$A47)+2,FALSE)</f>
        <v>221</v>
      </c>
      <c r="BG47" s="25">
        <f>HLOOKUP(BG$7,$I$66:$DJ$120,ROWS($A$10:$A47)+2,FALSE)</f>
        <v>551</v>
      </c>
      <c r="BH47" s="25">
        <f>HLOOKUP(BH$7,$I$66:$DJ$120,ROWS($A$10:$A47)+2,FALSE)</f>
        <v>1713</v>
      </c>
      <c r="BI47" s="25">
        <f>HLOOKUP(BI$7,$I$66:$DJ$120,ROWS($A$10:$A47)+2,FALSE)</f>
        <v>209</v>
      </c>
      <c r="BJ47" s="34">
        <f>HLOOKUP(BJ$7+0.5,$I$66:$DJ$120,ROWS($A$10:$A47)+2,FALSE)</f>
        <v>8108</v>
      </c>
      <c r="BK47" s="34">
        <f>HLOOKUP(BK$7+0.5,$I$66:$DJ$120,ROWS($A$10:$A47)+2,FALSE)</f>
        <v>1283</v>
      </c>
      <c r="BL47" s="34">
        <f>HLOOKUP(BL$7+0.5,$I$66:$DJ$120,ROWS($A$10:$A47)+2,FALSE)</f>
        <v>1554</v>
      </c>
      <c r="BM47" s="34">
        <f>HLOOKUP(BM$7+0.5,$I$66:$DJ$120,ROWS($A$10:$A47)+2,FALSE)</f>
        <v>1013</v>
      </c>
      <c r="BN47" s="34">
        <f>HLOOKUP(BN$7+0.5,$I$66:$DJ$120,ROWS($A$10:$A47)+2,FALSE)</f>
        <v>1827</v>
      </c>
      <c r="BO47" s="34">
        <f>HLOOKUP(BO$7+0.5,$I$66:$DJ$120,ROWS($A$10:$A47)+2,FALSE)</f>
        <v>2426</v>
      </c>
      <c r="BP47" s="34">
        <f>HLOOKUP(BP$7+0.5,$I$66:$DJ$120,ROWS($A$10:$A47)+2,FALSE)</f>
        <v>1286</v>
      </c>
      <c r="BQ47" s="34">
        <f>HLOOKUP(BQ$7+0.5,$I$66:$DJ$120,ROWS($A$10:$A47)+2,FALSE)</f>
        <v>129</v>
      </c>
      <c r="BR47" s="34">
        <f>HLOOKUP(BR$7+0.5,$I$66:$DJ$120,ROWS($A$10:$A47)+2,FALSE)</f>
        <v>164</v>
      </c>
      <c r="BS47" s="34">
        <f>HLOOKUP(BS$7+0.5,$I$66:$DJ$120,ROWS($A$10:$A47)+2,FALSE)</f>
        <v>253</v>
      </c>
      <c r="BT47" s="34">
        <f>HLOOKUP(BT$7+0.5,$I$66:$DJ$120,ROWS($A$10:$A47)+2,FALSE)</f>
        <v>1371</v>
      </c>
      <c r="BU47" s="34">
        <f>HLOOKUP(BU$7+0.5,$I$66:$DJ$120,ROWS($A$10:$A47)+2,FALSE)</f>
        <v>1688</v>
      </c>
      <c r="BV47" s="34">
        <f>HLOOKUP(BV$7+0.5,$I$66:$DJ$120,ROWS($A$10:$A47)+2,FALSE)</f>
        <v>864</v>
      </c>
      <c r="BW47" s="34">
        <f>HLOOKUP(BW$7+0.5,$I$66:$DJ$120,ROWS($A$10:$A47)+2,FALSE)</f>
        <v>668</v>
      </c>
      <c r="BX47" s="34">
        <f>HLOOKUP(BX$7+0.5,$I$66:$DJ$120,ROWS($A$10:$A47)+2,FALSE)</f>
        <v>1529</v>
      </c>
      <c r="BY47" s="34">
        <f>HLOOKUP(BY$7+0.5,$I$66:$DJ$120,ROWS($A$10:$A47)+2,FALSE)</f>
        <v>550</v>
      </c>
      <c r="BZ47" s="34">
        <f>HLOOKUP(BZ$7+0.5,$I$66:$DJ$120,ROWS($A$10:$A47)+2,FALSE)</f>
        <v>660</v>
      </c>
      <c r="CA47" s="34">
        <f>HLOOKUP(CA$7+0.5,$I$66:$DJ$120,ROWS($A$10:$A47)+2,FALSE)</f>
        <v>2088</v>
      </c>
      <c r="CB47" s="34">
        <f>HLOOKUP(CB$7+0.5,$I$66:$DJ$120,ROWS($A$10:$A47)+2,FALSE)</f>
        <v>607</v>
      </c>
      <c r="CC47" s="34">
        <f>HLOOKUP(CC$7+0.5,$I$66:$DJ$120,ROWS($A$10:$A47)+2,FALSE)</f>
        <v>808</v>
      </c>
      <c r="CD47" s="34">
        <f>HLOOKUP(CD$7+0.5,$I$66:$DJ$120,ROWS($A$10:$A47)+2,FALSE)</f>
        <v>278</v>
      </c>
      <c r="CE47" s="34">
        <f>HLOOKUP(CE$7+0.5,$I$66:$DJ$120,ROWS($A$10:$A47)+2,FALSE)</f>
        <v>407</v>
      </c>
      <c r="CF47" s="34">
        <f>HLOOKUP(CF$7+0.5,$I$66:$DJ$120,ROWS($A$10:$A47)+2,FALSE)</f>
        <v>481</v>
      </c>
      <c r="CG47" s="34">
        <f>HLOOKUP(CG$7+0.5,$I$66:$DJ$120,ROWS($A$10:$A47)+2,FALSE)</f>
        <v>478</v>
      </c>
      <c r="CH47" s="34">
        <f>HLOOKUP(CH$7+0.5,$I$66:$DJ$120,ROWS($A$10:$A47)+2,FALSE)</f>
        <v>369</v>
      </c>
      <c r="CI47" s="34">
        <f>HLOOKUP(CI$7+0.5,$I$66:$DJ$120,ROWS($A$10:$A47)+2,FALSE)</f>
        <v>789</v>
      </c>
      <c r="CJ47" s="34">
        <f>HLOOKUP(CJ$7+0.5,$I$66:$DJ$120,ROWS($A$10:$A47)+2,FALSE)</f>
        <v>1427</v>
      </c>
      <c r="CK47" s="34">
        <f>HLOOKUP(CK$7+0.5,$I$66:$DJ$120,ROWS($A$10:$A47)+2,FALSE)</f>
        <v>342</v>
      </c>
      <c r="CL47" s="34">
        <f>HLOOKUP(CL$7+0.5,$I$66:$DJ$120,ROWS($A$10:$A47)+2,FALSE)</f>
        <v>530</v>
      </c>
      <c r="CM47" s="34">
        <f>HLOOKUP(CM$7+0.5,$I$66:$DJ$120,ROWS($A$10:$A47)+2,FALSE)</f>
        <v>598</v>
      </c>
      <c r="CN47" s="34">
        <f>HLOOKUP(CN$7+0.5,$I$66:$DJ$120,ROWS($A$10:$A47)+2,FALSE)</f>
        <v>131</v>
      </c>
      <c r="CO47" s="34">
        <f>HLOOKUP(CO$7+0.5,$I$66:$DJ$120,ROWS($A$10:$A47)+2,FALSE)</f>
        <v>890</v>
      </c>
      <c r="CP47" s="34">
        <f>HLOOKUP(CP$7+0.5,$I$66:$DJ$120,ROWS($A$10:$A47)+2,FALSE)</f>
        <v>1280</v>
      </c>
      <c r="CQ47" s="34">
        <f>HLOOKUP(CQ$7+0.5,$I$66:$DJ$120,ROWS($A$10:$A47)+2,FALSE)</f>
        <v>743</v>
      </c>
      <c r="CR47" s="34">
        <f>HLOOKUP(CR$7+0.5,$I$66:$DJ$120,ROWS($A$10:$A47)+2,FALSE)</f>
        <v>1219</v>
      </c>
      <c r="CS47" s="34">
        <f>HLOOKUP(CS$7+0.5,$I$66:$DJ$120,ROWS($A$10:$A47)+2,FALSE)</f>
        <v>136</v>
      </c>
      <c r="CT47" s="34">
        <f>HLOOKUP(CT$7+0.5,$I$66:$DJ$120,ROWS($A$10:$A47)+2,FALSE)</f>
        <v>681</v>
      </c>
      <c r="CU47" s="34" t="str">
        <f>HLOOKUP(CU$7+0.5,$I$66:$DJ$120,ROWS($A$10:$A47)+2,FALSE)</f>
        <v>N/A</v>
      </c>
      <c r="CV47" s="34">
        <f>HLOOKUP(CV$7+0.5,$I$66:$DJ$120,ROWS($A$10:$A47)+2,FALSE)</f>
        <v>300</v>
      </c>
      <c r="CW47" s="34">
        <f>HLOOKUP(CW$7+0.5,$I$66:$DJ$120,ROWS($A$10:$A47)+2,FALSE)</f>
        <v>1283</v>
      </c>
      <c r="CX47" s="34">
        <f>HLOOKUP(CX$7+0.5,$I$66:$DJ$120,ROWS($A$10:$A47)+2,FALSE)</f>
        <v>137</v>
      </c>
      <c r="CY47" s="34">
        <f>HLOOKUP(CY$7+0.5,$I$66:$DJ$120,ROWS($A$10:$A47)+2,FALSE)</f>
        <v>377</v>
      </c>
      <c r="CZ47" s="34">
        <f>HLOOKUP(CZ$7+0.5,$I$66:$DJ$120,ROWS($A$10:$A47)+2,FALSE)</f>
        <v>135</v>
      </c>
      <c r="DA47" s="34">
        <f>HLOOKUP(DA$7+0.5,$I$66:$DJ$120,ROWS($A$10:$A47)+2,FALSE)</f>
        <v>895</v>
      </c>
      <c r="DB47" s="34">
        <f>HLOOKUP(DB$7+0.5,$I$66:$DJ$120,ROWS($A$10:$A47)+2,FALSE)</f>
        <v>4132</v>
      </c>
      <c r="DC47" s="34">
        <f>HLOOKUP(DC$7+0.5,$I$66:$DJ$120,ROWS($A$10:$A47)+2,FALSE)</f>
        <v>454</v>
      </c>
      <c r="DD47" s="34">
        <f>HLOOKUP(DD$7+0.5,$I$66:$DJ$120,ROWS($A$10:$A47)+2,FALSE)</f>
        <v>109</v>
      </c>
      <c r="DE47" s="34">
        <f>HLOOKUP(DE$7+0.5,$I$66:$DJ$120,ROWS($A$10:$A47)+2,FALSE)</f>
        <v>1049</v>
      </c>
      <c r="DF47" s="34">
        <f>HLOOKUP(DF$7+0.5,$I$66:$DJ$120,ROWS($A$10:$A47)+2,FALSE)</f>
        <v>1130</v>
      </c>
      <c r="DG47" s="34">
        <f>HLOOKUP(DG$7+0.5,$I$66:$DJ$120,ROWS($A$10:$A47)+2,FALSE)</f>
        <v>270</v>
      </c>
      <c r="DH47" s="34">
        <f>HLOOKUP(DH$7+0.5,$I$66:$DJ$120,ROWS($A$10:$A47)+2,FALSE)</f>
        <v>396</v>
      </c>
      <c r="DI47" s="34">
        <f>HLOOKUP(DI$7+0.5,$I$66:$DJ$120,ROWS($A$10:$A47)+2,FALSE)</f>
        <v>1012</v>
      </c>
      <c r="DJ47" s="34">
        <f>HLOOKUP(DJ$7+0.5,$I$66:$DJ$120,ROWS($A$10:$A47)+2,FALSE)</f>
        <v>222</v>
      </c>
    </row>
    <row r="48" spans="2:114" x14ac:dyDescent="0.25">
      <c r="B48" s="38" t="s">
        <v>44</v>
      </c>
      <c r="C48" s="15">
        <v>3794008</v>
      </c>
      <c r="D48" s="14">
        <v>3282</v>
      </c>
      <c r="E48" s="15">
        <v>3110896</v>
      </c>
      <c r="F48" s="14">
        <v>20156</v>
      </c>
      <c r="G48" s="15">
        <v>545841</v>
      </c>
      <c r="H48" s="14">
        <v>17758</v>
      </c>
      <c r="I48" s="36">
        <f>HLOOKUP(I$7,$I$66:$DJ$120,ROWS($A$10:$A48)+2,FALSE)</f>
        <v>116700</v>
      </c>
      <c r="J48" s="25">
        <f>HLOOKUP(J$7,$I$66:$DJ$120,ROWS($A$10:$A48)+2,FALSE)</f>
        <v>400</v>
      </c>
      <c r="K48" s="25">
        <f>HLOOKUP(K$7,$I$66:$DJ$120,ROWS($A$10:$A48)+2,FALSE)</f>
        <v>2027</v>
      </c>
      <c r="L48" s="25">
        <f>HLOOKUP(L$7,$I$66:$DJ$120,ROWS($A$10:$A48)+2,FALSE)</f>
        <v>5264</v>
      </c>
      <c r="M48" s="25">
        <f>HLOOKUP(M$7,$I$66:$DJ$120,ROWS($A$10:$A48)+2,FALSE)</f>
        <v>246</v>
      </c>
      <c r="N48" s="25">
        <f>HLOOKUP(N$7,$I$66:$DJ$120,ROWS($A$10:$A48)+2,FALSE)</f>
        <v>34190</v>
      </c>
      <c r="O48" s="25">
        <f>HLOOKUP(O$7,$I$66:$DJ$120,ROWS($A$10:$A48)+2,FALSE)</f>
        <v>2050</v>
      </c>
      <c r="P48" s="25">
        <f>HLOOKUP(P$7,$I$66:$DJ$120,ROWS($A$10:$A48)+2,FALSE)</f>
        <v>270</v>
      </c>
      <c r="Q48" s="25">
        <f>HLOOKUP(Q$7,$I$66:$DJ$120,ROWS($A$10:$A48)+2,FALSE)</f>
        <v>0</v>
      </c>
      <c r="R48" s="25">
        <f>HLOOKUP(R$7,$I$66:$DJ$120,ROWS($A$10:$A48)+2,FALSE)</f>
        <v>217</v>
      </c>
      <c r="S48" s="25">
        <f>HLOOKUP(S$7,$I$66:$DJ$120,ROWS($A$10:$A48)+2,FALSE)</f>
        <v>2273</v>
      </c>
      <c r="T48" s="25">
        <f>HLOOKUP(T$7,$I$66:$DJ$120,ROWS($A$10:$A48)+2,FALSE)</f>
        <v>688</v>
      </c>
      <c r="U48" s="25">
        <f>HLOOKUP(U$7,$I$66:$DJ$120,ROWS($A$10:$A48)+2,FALSE)</f>
        <v>2323</v>
      </c>
      <c r="V48" s="25">
        <f>HLOOKUP(V$7,$I$66:$DJ$120,ROWS($A$10:$A48)+2,FALSE)</f>
        <v>4129</v>
      </c>
      <c r="W48" s="25">
        <f>HLOOKUP(W$7,$I$66:$DJ$120,ROWS($A$10:$A48)+2,FALSE)</f>
        <v>1565</v>
      </c>
      <c r="X48" s="25">
        <f>HLOOKUP(X$7,$I$66:$DJ$120,ROWS($A$10:$A48)+2,FALSE)</f>
        <v>317</v>
      </c>
      <c r="Y48" s="25">
        <f>HLOOKUP(Y$7,$I$66:$DJ$120,ROWS($A$10:$A48)+2,FALSE)</f>
        <v>161</v>
      </c>
      <c r="Z48" s="25">
        <f>HLOOKUP(Z$7,$I$66:$DJ$120,ROWS($A$10:$A48)+2,FALSE)</f>
        <v>678</v>
      </c>
      <c r="AA48" s="25">
        <f>HLOOKUP(AA$7,$I$66:$DJ$120,ROWS($A$10:$A48)+2,FALSE)</f>
        <v>0</v>
      </c>
      <c r="AB48" s="25">
        <f>HLOOKUP(AB$7,$I$66:$DJ$120,ROWS($A$10:$A48)+2,FALSE)</f>
        <v>0</v>
      </c>
      <c r="AC48" s="25">
        <f>HLOOKUP(AC$7,$I$66:$DJ$120,ROWS($A$10:$A48)+2,FALSE)</f>
        <v>0</v>
      </c>
      <c r="AD48" s="25">
        <f>HLOOKUP(AD$7,$I$66:$DJ$120,ROWS($A$10:$A48)+2,FALSE)</f>
        <v>595</v>
      </c>
      <c r="AE48" s="25">
        <f>HLOOKUP(AE$7,$I$66:$DJ$120,ROWS($A$10:$A48)+2,FALSE)</f>
        <v>1471</v>
      </c>
      <c r="AF48" s="25">
        <f>HLOOKUP(AF$7,$I$66:$DJ$120,ROWS($A$10:$A48)+2,FALSE)</f>
        <v>1159</v>
      </c>
      <c r="AG48" s="25">
        <f>HLOOKUP(AG$7,$I$66:$DJ$120,ROWS($A$10:$A48)+2,FALSE)</f>
        <v>668</v>
      </c>
      <c r="AH48" s="25">
        <f>HLOOKUP(AH$7,$I$66:$DJ$120,ROWS($A$10:$A48)+2,FALSE)</f>
        <v>735</v>
      </c>
      <c r="AI48" s="25">
        <f>HLOOKUP(AI$7,$I$66:$DJ$120,ROWS($A$10:$A48)+2,FALSE)</f>
        <v>1786</v>
      </c>
      <c r="AJ48" s="25">
        <f>HLOOKUP(AJ$7,$I$66:$DJ$120,ROWS($A$10:$A48)+2,FALSE)</f>
        <v>3386</v>
      </c>
      <c r="AK48" s="25">
        <f>HLOOKUP(AK$7,$I$66:$DJ$120,ROWS($A$10:$A48)+2,FALSE)</f>
        <v>777</v>
      </c>
      <c r="AL48" s="25">
        <f>HLOOKUP(AL$7,$I$66:$DJ$120,ROWS($A$10:$A48)+2,FALSE)</f>
        <v>2805</v>
      </c>
      <c r="AM48" s="25">
        <f>HLOOKUP(AM$7,$I$66:$DJ$120,ROWS($A$10:$A48)+2,FALSE)</f>
        <v>317</v>
      </c>
      <c r="AN48" s="25">
        <f>HLOOKUP(AN$7,$I$66:$DJ$120,ROWS($A$10:$A48)+2,FALSE)</f>
        <v>544</v>
      </c>
      <c r="AO48" s="25">
        <f>HLOOKUP(AO$7,$I$66:$DJ$120,ROWS($A$10:$A48)+2,FALSE)</f>
        <v>981</v>
      </c>
      <c r="AP48" s="25">
        <f>HLOOKUP(AP$7,$I$66:$DJ$120,ROWS($A$10:$A48)+2,FALSE)</f>
        <v>2538</v>
      </c>
      <c r="AQ48" s="25">
        <f>HLOOKUP(AQ$7,$I$66:$DJ$120,ROWS($A$10:$A48)+2,FALSE)</f>
        <v>1040</v>
      </c>
      <c r="AR48" s="25">
        <f>HLOOKUP(AR$7,$I$66:$DJ$120,ROWS($A$10:$A48)+2,FALSE)</f>
        <v>592</v>
      </c>
      <c r="AS48" s="25">
        <f>HLOOKUP(AS$7,$I$66:$DJ$120,ROWS($A$10:$A48)+2,FALSE)</f>
        <v>1541</v>
      </c>
      <c r="AT48" s="25">
        <f>HLOOKUP(AT$7,$I$66:$DJ$120,ROWS($A$10:$A48)+2,FALSE)</f>
        <v>821</v>
      </c>
      <c r="AU48" s="25" t="str">
        <f>HLOOKUP(AU$7,$I$66:$DJ$120,ROWS($A$10:$A48)+2,FALSE)</f>
        <v>N/A</v>
      </c>
      <c r="AV48" s="25">
        <f>HLOOKUP(AV$7,$I$66:$DJ$120,ROWS($A$10:$A48)+2,FALSE)</f>
        <v>1689</v>
      </c>
      <c r="AW48" s="25">
        <f>HLOOKUP(AW$7,$I$66:$DJ$120,ROWS($A$10:$A48)+2,FALSE)</f>
        <v>0</v>
      </c>
      <c r="AX48" s="25">
        <f>HLOOKUP(AX$7,$I$66:$DJ$120,ROWS($A$10:$A48)+2,FALSE)</f>
        <v>989</v>
      </c>
      <c r="AY48" s="25">
        <f>HLOOKUP(AY$7,$I$66:$DJ$120,ROWS($A$10:$A48)+2,FALSE)</f>
        <v>741</v>
      </c>
      <c r="AZ48" s="25">
        <f>HLOOKUP(AZ$7,$I$66:$DJ$120,ROWS($A$10:$A48)+2,FALSE)</f>
        <v>787</v>
      </c>
      <c r="BA48" s="25">
        <f>HLOOKUP(BA$7,$I$66:$DJ$120,ROWS($A$10:$A48)+2,FALSE)</f>
        <v>3826</v>
      </c>
      <c r="BB48" s="25">
        <f>HLOOKUP(BB$7,$I$66:$DJ$120,ROWS($A$10:$A48)+2,FALSE)</f>
        <v>2879</v>
      </c>
      <c r="BC48" s="25">
        <f>HLOOKUP(BC$7,$I$66:$DJ$120,ROWS($A$10:$A48)+2,FALSE)</f>
        <v>456</v>
      </c>
      <c r="BD48" s="25">
        <f>HLOOKUP(BD$7,$I$66:$DJ$120,ROWS($A$10:$A48)+2,FALSE)</f>
        <v>1124</v>
      </c>
      <c r="BE48" s="25">
        <f>HLOOKUP(BE$7,$I$66:$DJ$120,ROWS($A$10:$A48)+2,FALSE)</f>
        <v>22793</v>
      </c>
      <c r="BF48" s="25">
        <f>HLOOKUP(BF$7,$I$66:$DJ$120,ROWS($A$10:$A48)+2,FALSE)</f>
        <v>358</v>
      </c>
      <c r="BG48" s="25">
        <f>HLOOKUP(BG$7,$I$66:$DJ$120,ROWS($A$10:$A48)+2,FALSE)</f>
        <v>1981</v>
      </c>
      <c r="BH48" s="25">
        <f>HLOOKUP(BH$7,$I$66:$DJ$120,ROWS($A$10:$A48)+2,FALSE)</f>
        <v>523</v>
      </c>
      <c r="BI48" s="25">
        <f>HLOOKUP(BI$7,$I$66:$DJ$120,ROWS($A$10:$A48)+2,FALSE)</f>
        <v>821</v>
      </c>
      <c r="BJ48" s="34">
        <f>HLOOKUP(BJ$7+0.5,$I$66:$DJ$120,ROWS($A$10:$A48)+2,FALSE)</f>
        <v>7898</v>
      </c>
      <c r="BK48" s="34">
        <f>HLOOKUP(BK$7+0.5,$I$66:$DJ$120,ROWS($A$10:$A48)+2,FALSE)</f>
        <v>290</v>
      </c>
      <c r="BL48" s="34">
        <f>HLOOKUP(BL$7+0.5,$I$66:$DJ$120,ROWS($A$10:$A48)+2,FALSE)</f>
        <v>910</v>
      </c>
      <c r="BM48" s="34">
        <f>HLOOKUP(BM$7+0.5,$I$66:$DJ$120,ROWS($A$10:$A48)+2,FALSE)</f>
        <v>1539</v>
      </c>
      <c r="BN48" s="34">
        <f>HLOOKUP(BN$7+0.5,$I$66:$DJ$120,ROWS($A$10:$A48)+2,FALSE)</f>
        <v>217</v>
      </c>
      <c r="BO48" s="34">
        <f>HLOOKUP(BO$7+0.5,$I$66:$DJ$120,ROWS($A$10:$A48)+2,FALSE)</f>
        <v>4899</v>
      </c>
      <c r="BP48" s="34">
        <f>HLOOKUP(BP$7+0.5,$I$66:$DJ$120,ROWS($A$10:$A48)+2,FALSE)</f>
        <v>924</v>
      </c>
      <c r="BQ48" s="34">
        <f>HLOOKUP(BQ$7+0.5,$I$66:$DJ$120,ROWS($A$10:$A48)+2,FALSE)</f>
        <v>273</v>
      </c>
      <c r="BR48" s="34">
        <f>HLOOKUP(BR$7+0.5,$I$66:$DJ$120,ROWS($A$10:$A48)+2,FALSE)</f>
        <v>277</v>
      </c>
      <c r="BS48" s="34">
        <f>HLOOKUP(BS$7+0.5,$I$66:$DJ$120,ROWS($A$10:$A48)+2,FALSE)</f>
        <v>239</v>
      </c>
      <c r="BT48" s="34">
        <f>HLOOKUP(BT$7+0.5,$I$66:$DJ$120,ROWS($A$10:$A48)+2,FALSE)</f>
        <v>1051</v>
      </c>
      <c r="BU48" s="34">
        <f>HLOOKUP(BU$7+0.5,$I$66:$DJ$120,ROWS($A$10:$A48)+2,FALSE)</f>
        <v>572</v>
      </c>
      <c r="BV48" s="34">
        <f>HLOOKUP(BV$7+0.5,$I$66:$DJ$120,ROWS($A$10:$A48)+2,FALSE)</f>
        <v>1117</v>
      </c>
      <c r="BW48" s="34">
        <f>HLOOKUP(BW$7+0.5,$I$66:$DJ$120,ROWS($A$10:$A48)+2,FALSE)</f>
        <v>1397</v>
      </c>
      <c r="BX48" s="34">
        <f>HLOOKUP(BX$7+0.5,$I$66:$DJ$120,ROWS($A$10:$A48)+2,FALSE)</f>
        <v>862</v>
      </c>
      <c r="BY48" s="34">
        <f>HLOOKUP(BY$7+0.5,$I$66:$DJ$120,ROWS($A$10:$A48)+2,FALSE)</f>
        <v>319</v>
      </c>
      <c r="BZ48" s="34">
        <f>HLOOKUP(BZ$7+0.5,$I$66:$DJ$120,ROWS($A$10:$A48)+2,FALSE)</f>
        <v>176</v>
      </c>
      <c r="CA48" s="34">
        <f>HLOOKUP(CA$7+0.5,$I$66:$DJ$120,ROWS($A$10:$A48)+2,FALSE)</f>
        <v>685</v>
      </c>
      <c r="CB48" s="34">
        <f>HLOOKUP(CB$7+0.5,$I$66:$DJ$120,ROWS($A$10:$A48)+2,FALSE)</f>
        <v>277</v>
      </c>
      <c r="CC48" s="34">
        <f>HLOOKUP(CC$7+0.5,$I$66:$DJ$120,ROWS($A$10:$A48)+2,FALSE)</f>
        <v>277</v>
      </c>
      <c r="CD48" s="34">
        <f>HLOOKUP(CD$7+0.5,$I$66:$DJ$120,ROWS($A$10:$A48)+2,FALSE)</f>
        <v>277</v>
      </c>
      <c r="CE48" s="34">
        <f>HLOOKUP(CE$7+0.5,$I$66:$DJ$120,ROWS($A$10:$A48)+2,FALSE)</f>
        <v>405</v>
      </c>
      <c r="CF48" s="34">
        <f>HLOOKUP(CF$7+0.5,$I$66:$DJ$120,ROWS($A$10:$A48)+2,FALSE)</f>
        <v>1154</v>
      </c>
      <c r="CG48" s="34">
        <f>HLOOKUP(CG$7+0.5,$I$66:$DJ$120,ROWS($A$10:$A48)+2,FALSE)</f>
        <v>783</v>
      </c>
      <c r="CH48" s="34">
        <f>HLOOKUP(CH$7+0.5,$I$66:$DJ$120,ROWS($A$10:$A48)+2,FALSE)</f>
        <v>442</v>
      </c>
      <c r="CI48" s="34">
        <f>HLOOKUP(CI$7+0.5,$I$66:$DJ$120,ROWS($A$10:$A48)+2,FALSE)</f>
        <v>770</v>
      </c>
      <c r="CJ48" s="34">
        <f>HLOOKUP(CJ$7+0.5,$I$66:$DJ$120,ROWS($A$10:$A48)+2,FALSE)</f>
        <v>992</v>
      </c>
      <c r="CK48" s="34">
        <f>HLOOKUP(CK$7+0.5,$I$66:$DJ$120,ROWS($A$10:$A48)+2,FALSE)</f>
        <v>1956</v>
      </c>
      <c r="CL48" s="34">
        <f>HLOOKUP(CL$7+0.5,$I$66:$DJ$120,ROWS($A$10:$A48)+2,FALSE)</f>
        <v>574</v>
      </c>
      <c r="CM48" s="34">
        <f>HLOOKUP(CM$7+0.5,$I$66:$DJ$120,ROWS($A$10:$A48)+2,FALSE)</f>
        <v>1436</v>
      </c>
      <c r="CN48" s="34">
        <f>HLOOKUP(CN$7+0.5,$I$66:$DJ$120,ROWS($A$10:$A48)+2,FALSE)</f>
        <v>280</v>
      </c>
      <c r="CO48" s="34">
        <f>HLOOKUP(CO$7+0.5,$I$66:$DJ$120,ROWS($A$10:$A48)+2,FALSE)</f>
        <v>582</v>
      </c>
      <c r="CP48" s="34">
        <f>HLOOKUP(CP$7+0.5,$I$66:$DJ$120,ROWS($A$10:$A48)+2,FALSE)</f>
        <v>679</v>
      </c>
      <c r="CQ48" s="34">
        <f>HLOOKUP(CQ$7+0.5,$I$66:$DJ$120,ROWS($A$10:$A48)+2,FALSE)</f>
        <v>1146</v>
      </c>
      <c r="CR48" s="34">
        <f>HLOOKUP(CR$7+0.5,$I$66:$DJ$120,ROWS($A$10:$A48)+2,FALSE)</f>
        <v>758</v>
      </c>
      <c r="CS48" s="34">
        <f>HLOOKUP(CS$7+0.5,$I$66:$DJ$120,ROWS($A$10:$A48)+2,FALSE)</f>
        <v>521</v>
      </c>
      <c r="CT48" s="34">
        <f>HLOOKUP(CT$7+0.5,$I$66:$DJ$120,ROWS($A$10:$A48)+2,FALSE)</f>
        <v>902</v>
      </c>
      <c r="CU48" s="34">
        <f>HLOOKUP(CU$7+0.5,$I$66:$DJ$120,ROWS($A$10:$A48)+2,FALSE)</f>
        <v>683</v>
      </c>
      <c r="CV48" s="34" t="str">
        <f>HLOOKUP(CV$7+0.5,$I$66:$DJ$120,ROWS($A$10:$A48)+2,FALSE)</f>
        <v>N/A</v>
      </c>
      <c r="CW48" s="34">
        <f>HLOOKUP(CW$7+0.5,$I$66:$DJ$120,ROWS($A$10:$A48)+2,FALSE)</f>
        <v>1185</v>
      </c>
      <c r="CX48" s="34">
        <f>HLOOKUP(CX$7+0.5,$I$66:$DJ$120,ROWS($A$10:$A48)+2,FALSE)</f>
        <v>277</v>
      </c>
      <c r="CY48" s="34">
        <f>HLOOKUP(CY$7+0.5,$I$66:$DJ$120,ROWS($A$10:$A48)+2,FALSE)</f>
        <v>1271</v>
      </c>
      <c r="CZ48" s="34">
        <f>HLOOKUP(CZ$7+0.5,$I$66:$DJ$120,ROWS($A$10:$A48)+2,FALSE)</f>
        <v>581</v>
      </c>
      <c r="DA48" s="34">
        <f>HLOOKUP(DA$7+0.5,$I$66:$DJ$120,ROWS($A$10:$A48)+2,FALSE)</f>
        <v>455</v>
      </c>
      <c r="DB48" s="34">
        <f>HLOOKUP(DB$7+0.5,$I$66:$DJ$120,ROWS($A$10:$A48)+2,FALSE)</f>
        <v>1484</v>
      </c>
      <c r="DC48" s="34">
        <f>HLOOKUP(DC$7+0.5,$I$66:$DJ$120,ROWS($A$10:$A48)+2,FALSE)</f>
        <v>1047</v>
      </c>
      <c r="DD48" s="34">
        <f>HLOOKUP(DD$7+0.5,$I$66:$DJ$120,ROWS($A$10:$A48)+2,FALSE)</f>
        <v>405</v>
      </c>
      <c r="DE48" s="34">
        <f>HLOOKUP(DE$7+0.5,$I$66:$DJ$120,ROWS($A$10:$A48)+2,FALSE)</f>
        <v>593</v>
      </c>
      <c r="DF48" s="34">
        <f>HLOOKUP(DF$7+0.5,$I$66:$DJ$120,ROWS($A$10:$A48)+2,FALSE)</f>
        <v>3575</v>
      </c>
      <c r="DG48" s="34">
        <f>HLOOKUP(DG$7+0.5,$I$66:$DJ$120,ROWS($A$10:$A48)+2,FALSE)</f>
        <v>308</v>
      </c>
      <c r="DH48" s="34">
        <f>HLOOKUP(DH$7+0.5,$I$66:$DJ$120,ROWS($A$10:$A48)+2,FALSE)</f>
        <v>1181</v>
      </c>
      <c r="DI48" s="34">
        <f>HLOOKUP(DI$7+0.5,$I$66:$DJ$120,ROWS($A$10:$A48)+2,FALSE)</f>
        <v>336</v>
      </c>
      <c r="DJ48" s="34">
        <f>HLOOKUP(DJ$7+0.5,$I$66:$DJ$120,ROWS($A$10:$A48)+2,FALSE)</f>
        <v>847</v>
      </c>
    </row>
    <row r="49" spans="2:114" x14ac:dyDescent="0.25">
      <c r="B49" s="38" t="s">
        <v>45</v>
      </c>
      <c r="C49" s="15">
        <v>12577555</v>
      </c>
      <c r="D49" s="14">
        <v>4619</v>
      </c>
      <c r="E49" s="15">
        <v>11053022</v>
      </c>
      <c r="F49" s="14">
        <v>29699</v>
      </c>
      <c r="G49" s="15">
        <v>1239199</v>
      </c>
      <c r="H49" s="14">
        <v>26490</v>
      </c>
      <c r="I49" s="36">
        <f>HLOOKUP(I$7,$I$66:$DJ$120,ROWS($A$10:$A49)+2,FALSE)</f>
        <v>235580</v>
      </c>
      <c r="J49" s="25">
        <f>HLOOKUP(J$7,$I$66:$DJ$120,ROWS($A$10:$A49)+2,FALSE)</f>
        <v>369</v>
      </c>
      <c r="K49" s="25">
        <f>HLOOKUP(K$7,$I$66:$DJ$120,ROWS($A$10:$A49)+2,FALSE)</f>
        <v>2185</v>
      </c>
      <c r="L49" s="25">
        <f>HLOOKUP(L$7,$I$66:$DJ$120,ROWS($A$10:$A49)+2,FALSE)</f>
        <v>3668</v>
      </c>
      <c r="M49" s="25">
        <f>HLOOKUP(M$7,$I$66:$DJ$120,ROWS($A$10:$A49)+2,FALSE)</f>
        <v>807</v>
      </c>
      <c r="N49" s="25">
        <f>HLOOKUP(N$7,$I$66:$DJ$120,ROWS($A$10:$A49)+2,FALSE)</f>
        <v>12077</v>
      </c>
      <c r="O49" s="25">
        <f>HLOOKUP(O$7,$I$66:$DJ$120,ROWS($A$10:$A49)+2,FALSE)</f>
        <v>3657</v>
      </c>
      <c r="P49" s="25">
        <f>HLOOKUP(P$7,$I$66:$DJ$120,ROWS($A$10:$A49)+2,FALSE)</f>
        <v>4007</v>
      </c>
      <c r="Q49" s="25">
        <f>HLOOKUP(Q$7,$I$66:$DJ$120,ROWS($A$10:$A49)+2,FALSE)</f>
        <v>4608</v>
      </c>
      <c r="R49" s="25">
        <f>HLOOKUP(R$7,$I$66:$DJ$120,ROWS($A$10:$A49)+2,FALSE)</f>
        <v>1621</v>
      </c>
      <c r="S49" s="25">
        <f>HLOOKUP(S$7,$I$66:$DJ$120,ROWS($A$10:$A49)+2,FALSE)</f>
        <v>18212</v>
      </c>
      <c r="T49" s="25">
        <f>HLOOKUP(T$7,$I$66:$DJ$120,ROWS($A$10:$A49)+2,FALSE)</f>
        <v>4644</v>
      </c>
      <c r="U49" s="25">
        <f>HLOOKUP(U$7,$I$66:$DJ$120,ROWS($A$10:$A49)+2,FALSE)</f>
        <v>332</v>
      </c>
      <c r="V49" s="25">
        <f>HLOOKUP(V$7,$I$66:$DJ$120,ROWS($A$10:$A49)+2,FALSE)</f>
        <v>380</v>
      </c>
      <c r="W49" s="25">
        <f>HLOOKUP(W$7,$I$66:$DJ$120,ROWS($A$10:$A49)+2,FALSE)</f>
        <v>4490</v>
      </c>
      <c r="X49" s="25">
        <f>HLOOKUP(X$7,$I$66:$DJ$120,ROWS($A$10:$A49)+2,FALSE)</f>
        <v>2018</v>
      </c>
      <c r="Y49" s="25">
        <f>HLOOKUP(Y$7,$I$66:$DJ$120,ROWS($A$10:$A49)+2,FALSE)</f>
        <v>227</v>
      </c>
      <c r="Z49" s="25">
        <f>HLOOKUP(Z$7,$I$66:$DJ$120,ROWS($A$10:$A49)+2,FALSE)</f>
        <v>1426</v>
      </c>
      <c r="AA49" s="25">
        <f>HLOOKUP(AA$7,$I$66:$DJ$120,ROWS($A$10:$A49)+2,FALSE)</f>
        <v>1675</v>
      </c>
      <c r="AB49" s="25">
        <f>HLOOKUP(AB$7,$I$66:$DJ$120,ROWS($A$10:$A49)+2,FALSE)</f>
        <v>625</v>
      </c>
      <c r="AC49" s="25">
        <f>HLOOKUP(AC$7,$I$66:$DJ$120,ROWS($A$10:$A49)+2,FALSE)</f>
        <v>1621</v>
      </c>
      <c r="AD49" s="25">
        <f>HLOOKUP(AD$7,$I$66:$DJ$120,ROWS($A$10:$A49)+2,FALSE)</f>
        <v>18281</v>
      </c>
      <c r="AE49" s="25">
        <f>HLOOKUP(AE$7,$I$66:$DJ$120,ROWS($A$10:$A49)+2,FALSE)</f>
        <v>4455</v>
      </c>
      <c r="AF49" s="25">
        <f>HLOOKUP(AF$7,$I$66:$DJ$120,ROWS($A$10:$A49)+2,FALSE)</f>
        <v>4961</v>
      </c>
      <c r="AG49" s="25">
        <f>HLOOKUP(AG$7,$I$66:$DJ$120,ROWS($A$10:$A49)+2,FALSE)</f>
        <v>1491</v>
      </c>
      <c r="AH49" s="25">
        <f>HLOOKUP(AH$7,$I$66:$DJ$120,ROWS($A$10:$A49)+2,FALSE)</f>
        <v>563</v>
      </c>
      <c r="AI49" s="25">
        <f>HLOOKUP(AI$7,$I$66:$DJ$120,ROWS($A$10:$A49)+2,FALSE)</f>
        <v>1725</v>
      </c>
      <c r="AJ49" s="25">
        <f>HLOOKUP(AJ$7,$I$66:$DJ$120,ROWS($A$10:$A49)+2,FALSE)</f>
        <v>339</v>
      </c>
      <c r="AK49" s="25">
        <f>HLOOKUP(AK$7,$I$66:$DJ$120,ROWS($A$10:$A49)+2,FALSE)</f>
        <v>551</v>
      </c>
      <c r="AL49" s="25">
        <f>HLOOKUP(AL$7,$I$66:$DJ$120,ROWS($A$10:$A49)+2,FALSE)</f>
        <v>1810</v>
      </c>
      <c r="AM49" s="25">
        <f>HLOOKUP(AM$7,$I$66:$DJ$120,ROWS($A$10:$A49)+2,FALSE)</f>
        <v>729</v>
      </c>
      <c r="AN49" s="25">
        <f>HLOOKUP(AN$7,$I$66:$DJ$120,ROWS($A$10:$A49)+2,FALSE)</f>
        <v>42456</v>
      </c>
      <c r="AO49" s="25">
        <f>HLOOKUP(AO$7,$I$66:$DJ$120,ROWS($A$10:$A49)+2,FALSE)</f>
        <v>1250</v>
      </c>
      <c r="AP49" s="25">
        <f>HLOOKUP(AP$7,$I$66:$DJ$120,ROWS($A$10:$A49)+2,FALSE)</f>
        <v>30481</v>
      </c>
      <c r="AQ49" s="25">
        <f>HLOOKUP(AQ$7,$I$66:$DJ$120,ROWS($A$10:$A49)+2,FALSE)</f>
        <v>7611</v>
      </c>
      <c r="AR49" s="25">
        <f>HLOOKUP(AR$7,$I$66:$DJ$120,ROWS($A$10:$A49)+2,FALSE)</f>
        <v>521</v>
      </c>
      <c r="AS49" s="25">
        <f>HLOOKUP(AS$7,$I$66:$DJ$120,ROWS($A$10:$A49)+2,FALSE)</f>
        <v>14545</v>
      </c>
      <c r="AT49" s="25">
        <f>HLOOKUP(AT$7,$I$66:$DJ$120,ROWS($A$10:$A49)+2,FALSE)</f>
        <v>1254</v>
      </c>
      <c r="AU49" s="25">
        <f>HLOOKUP(AU$7,$I$66:$DJ$120,ROWS($A$10:$A49)+2,FALSE)</f>
        <v>918</v>
      </c>
      <c r="AV49" s="25" t="str">
        <f>HLOOKUP(AV$7,$I$66:$DJ$120,ROWS($A$10:$A49)+2,FALSE)</f>
        <v>N/A</v>
      </c>
      <c r="AW49" s="25">
        <f>HLOOKUP(AW$7,$I$66:$DJ$120,ROWS($A$10:$A49)+2,FALSE)</f>
        <v>377</v>
      </c>
      <c r="AX49" s="25">
        <f>HLOOKUP(AX$7,$I$66:$DJ$120,ROWS($A$10:$A49)+2,FALSE)</f>
        <v>1315</v>
      </c>
      <c r="AY49" s="25">
        <f>HLOOKUP(AY$7,$I$66:$DJ$120,ROWS($A$10:$A49)+2,FALSE)</f>
        <v>966</v>
      </c>
      <c r="AZ49" s="25">
        <f>HLOOKUP(AZ$7,$I$66:$DJ$120,ROWS($A$10:$A49)+2,FALSE)</f>
        <v>1611</v>
      </c>
      <c r="BA49" s="25">
        <f>HLOOKUP(BA$7,$I$66:$DJ$120,ROWS($A$10:$A49)+2,FALSE)</f>
        <v>7778</v>
      </c>
      <c r="BB49" s="25">
        <f>HLOOKUP(BB$7,$I$66:$DJ$120,ROWS($A$10:$A49)+2,FALSE)</f>
        <v>1048</v>
      </c>
      <c r="BC49" s="25">
        <f>HLOOKUP(BC$7,$I$66:$DJ$120,ROWS($A$10:$A49)+2,FALSE)</f>
        <v>215</v>
      </c>
      <c r="BD49" s="25">
        <f>HLOOKUP(BD$7,$I$66:$DJ$120,ROWS($A$10:$A49)+2,FALSE)</f>
        <v>10558</v>
      </c>
      <c r="BE49" s="25">
        <f>HLOOKUP(BE$7,$I$66:$DJ$120,ROWS($A$10:$A49)+2,FALSE)</f>
        <v>2495</v>
      </c>
      <c r="BF49" s="25">
        <f>HLOOKUP(BF$7,$I$66:$DJ$120,ROWS($A$10:$A49)+2,FALSE)</f>
        <v>4258</v>
      </c>
      <c r="BG49" s="25">
        <f>HLOOKUP(BG$7,$I$66:$DJ$120,ROWS($A$10:$A49)+2,FALSE)</f>
        <v>1300</v>
      </c>
      <c r="BH49" s="25">
        <f>HLOOKUP(BH$7,$I$66:$DJ$120,ROWS($A$10:$A49)+2,FALSE)</f>
        <v>1069</v>
      </c>
      <c r="BI49" s="25">
        <f>HLOOKUP(BI$7,$I$66:$DJ$120,ROWS($A$10:$A49)+2,FALSE)</f>
        <v>6275</v>
      </c>
      <c r="BJ49" s="34">
        <f>HLOOKUP(BJ$7+0.5,$I$66:$DJ$120,ROWS($A$10:$A49)+2,FALSE)</f>
        <v>12249</v>
      </c>
      <c r="BK49" s="34">
        <f>HLOOKUP(BK$7+0.5,$I$66:$DJ$120,ROWS($A$10:$A49)+2,FALSE)</f>
        <v>368</v>
      </c>
      <c r="BL49" s="34">
        <f>HLOOKUP(BL$7+0.5,$I$66:$DJ$120,ROWS($A$10:$A49)+2,FALSE)</f>
        <v>1301</v>
      </c>
      <c r="BM49" s="34">
        <f>HLOOKUP(BM$7+0.5,$I$66:$DJ$120,ROWS($A$10:$A49)+2,FALSE)</f>
        <v>1451</v>
      </c>
      <c r="BN49" s="34">
        <f>HLOOKUP(BN$7+0.5,$I$66:$DJ$120,ROWS($A$10:$A49)+2,FALSE)</f>
        <v>601</v>
      </c>
      <c r="BO49" s="34">
        <f>HLOOKUP(BO$7+0.5,$I$66:$DJ$120,ROWS($A$10:$A49)+2,FALSE)</f>
        <v>2875</v>
      </c>
      <c r="BP49" s="34">
        <f>HLOOKUP(BP$7+0.5,$I$66:$DJ$120,ROWS($A$10:$A49)+2,FALSE)</f>
        <v>1375</v>
      </c>
      <c r="BQ49" s="34">
        <f>HLOOKUP(BQ$7+0.5,$I$66:$DJ$120,ROWS($A$10:$A49)+2,FALSE)</f>
        <v>1559</v>
      </c>
      <c r="BR49" s="34">
        <f>HLOOKUP(BR$7+0.5,$I$66:$DJ$120,ROWS($A$10:$A49)+2,FALSE)</f>
        <v>1169</v>
      </c>
      <c r="BS49" s="34">
        <f>HLOOKUP(BS$7+0.5,$I$66:$DJ$120,ROWS($A$10:$A49)+2,FALSE)</f>
        <v>866</v>
      </c>
      <c r="BT49" s="34">
        <f>HLOOKUP(BT$7+0.5,$I$66:$DJ$120,ROWS($A$10:$A49)+2,FALSE)</f>
        <v>3129</v>
      </c>
      <c r="BU49" s="34">
        <f>HLOOKUP(BU$7+0.5,$I$66:$DJ$120,ROWS($A$10:$A49)+2,FALSE)</f>
        <v>1340</v>
      </c>
      <c r="BV49" s="34">
        <f>HLOOKUP(BV$7+0.5,$I$66:$DJ$120,ROWS($A$10:$A49)+2,FALSE)</f>
        <v>292</v>
      </c>
      <c r="BW49" s="34">
        <f>HLOOKUP(BW$7+0.5,$I$66:$DJ$120,ROWS($A$10:$A49)+2,FALSE)</f>
        <v>408</v>
      </c>
      <c r="BX49" s="34">
        <f>HLOOKUP(BX$7+0.5,$I$66:$DJ$120,ROWS($A$10:$A49)+2,FALSE)</f>
        <v>1429</v>
      </c>
      <c r="BY49" s="34">
        <f>HLOOKUP(BY$7+0.5,$I$66:$DJ$120,ROWS($A$10:$A49)+2,FALSE)</f>
        <v>739</v>
      </c>
      <c r="BZ49" s="34">
        <f>HLOOKUP(BZ$7+0.5,$I$66:$DJ$120,ROWS($A$10:$A49)+2,FALSE)</f>
        <v>319</v>
      </c>
      <c r="CA49" s="34">
        <f>HLOOKUP(CA$7+0.5,$I$66:$DJ$120,ROWS($A$10:$A49)+2,FALSE)</f>
        <v>1201</v>
      </c>
      <c r="CB49" s="34">
        <f>HLOOKUP(CB$7+0.5,$I$66:$DJ$120,ROWS($A$10:$A49)+2,FALSE)</f>
        <v>766</v>
      </c>
      <c r="CC49" s="34">
        <f>HLOOKUP(CC$7+0.5,$I$66:$DJ$120,ROWS($A$10:$A49)+2,FALSE)</f>
        <v>382</v>
      </c>
      <c r="CD49" s="34">
        <f>HLOOKUP(CD$7+0.5,$I$66:$DJ$120,ROWS($A$10:$A49)+2,FALSE)</f>
        <v>895</v>
      </c>
      <c r="CE49" s="34">
        <f>HLOOKUP(CE$7+0.5,$I$66:$DJ$120,ROWS($A$10:$A49)+2,FALSE)</f>
        <v>2839</v>
      </c>
      <c r="CF49" s="34">
        <f>HLOOKUP(CF$7+0.5,$I$66:$DJ$120,ROWS($A$10:$A49)+2,FALSE)</f>
        <v>1178</v>
      </c>
      <c r="CG49" s="34">
        <f>HLOOKUP(CG$7+0.5,$I$66:$DJ$120,ROWS($A$10:$A49)+2,FALSE)</f>
        <v>2285</v>
      </c>
      <c r="CH49" s="34">
        <f>HLOOKUP(CH$7+0.5,$I$66:$DJ$120,ROWS($A$10:$A49)+2,FALSE)</f>
        <v>873</v>
      </c>
      <c r="CI49" s="34">
        <f>HLOOKUP(CI$7+0.5,$I$66:$DJ$120,ROWS($A$10:$A49)+2,FALSE)</f>
        <v>498</v>
      </c>
      <c r="CJ49" s="34">
        <f>HLOOKUP(CJ$7+0.5,$I$66:$DJ$120,ROWS($A$10:$A49)+2,FALSE)</f>
        <v>788</v>
      </c>
      <c r="CK49" s="34">
        <f>HLOOKUP(CK$7+0.5,$I$66:$DJ$120,ROWS($A$10:$A49)+2,FALSE)</f>
        <v>290</v>
      </c>
      <c r="CL49" s="34">
        <f>HLOOKUP(CL$7+0.5,$I$66:$DJ$120,ROWS($A$10:$A49)+2,FALSE)</f>
        <v>410</v>
      </c>
      <c r="CM49" s="34">
        <f>HLOOKUP(CM$7+0.5,$I$66:$DJ$120,ROWS($A$10:$A49)+2,FALSE)</f>
        <v>1177</v>
      </c>
      <c r="CN49" s="34">
        <f>HLOOKUP(CN$7+0.5,$I$66:$DJ$120,ROWS($A$10:$A49)+2,FALSE)</f>
        <v>531</v>
      </c>
      <c r="CO49" s="34">
        <f>HLOOKUP(CO$7+0.5,$I$66:$DJ$120,ROWS($A$10:$A49)+2,FALSE)</f>
        <v>5218</v>
      </c>
      <c r="CP49" s="34">
        <f>HLOOKUP(CP$7+0.5,$I$66:$DJ$120,ROWS($A$10:$A49)+2,FALSE)</f>
        <v>883</v>
      </c>
      <c r="CQ49" s="34">
        <f>HLOOKUP(CQ$7+0.5,$I$66:$DJ$120,ROWS($A$10:$A49)+2,FALSE)</f>
        <v>3719</v>
      </c>
      <c r="CR49" s="34">
        <f>HLOOKUP(CR$7+0.5,$I$66:$DJ$120,ROWS($A$10:$A49)+2,FALSE)</f>
        <v>2053</v>
      </c>
      <c r="CS49" s="34">
        <f>HLOOKUP(CS$7+0.5,$I$66:$DJ$120,ROWS($A$10:$A49)+2,FALSE)</f>
        <v>517</v>
      </c>
      <c r="CT49" s="34">
        <f>HLOOKUP(CT$7+0.5,$I$66:$DJ$120,ROWS($A$10:$A49)+2,FALSE)</f>
        <v>3377</v>
      </c>
      <c r="CU49" s="34">
        <f>HLOOKUP(CU$7+0.5,$I$66:$DJ$120,ROWS($A$10:$A49)+2,FALSE)</f>
        <v>749</v>
      </c>
      <c r="CV49" s="34">
        <f>HLOOKUP(CV$7+0.5,$I$66:$DJ$120,ROWS($A$10:$A49)+2,FALSE)</f>
        <v>545</v>
      </c>
      <c r="CW49" s="34" t="str">
        <f>HLOOKUP(CW$7+0.5,$I$66:$DJ$120,ROWS($A$10:$A49)+2,FALSE)</f>
        <v>N/A</v>
      </c>
      <c r="CX49" s="34">
        <f>HLOOKUP(CX$7+0.5,$I$66:$DJ$120,ROWS($A$10:$A49)+2,FALSE)</f>
        <v>327</v>
      </c>
      <c r="CY49" s="34">
        <f>HLOOKUP(CY$7+0.5,$I$66:$DJ$120,ROWS($A$10:$A49)+2,FALSE)</f>
        <v>651</v>
      </c>
      <c r="CZ49" s="34">
        <f>HLOOKUP(CZ$7+0.5,$I$66:$DJ$120,ROWS($A$10:$A49)+2,FALSE)</f>
        <v>927</v>
      </c>
      <c r="DA49" s="34">
        <f>HLOOKUP(DA$7+0.5,$I$66:$DJ$120,ROWS($A$10:$A49)+2,FALSE)</f>
        <v>626</v>
      </c>
      <c r="DB49" s="34">
        <f>HLOOKUP(DB$7+0.5,$I$66:$DJ$120,ROWS($A$10:$A49)+2,FALSE)</f>
        <v>2650</v>
      </c>
      <c r="DC49" s="34">
        <f>HLOOKUP(DC$7+0.5,$I$66:$DJ$120,ROWS($A$10:$A49)+2,FALSE)</f>
        <v>684</v>
      </c>
      <c r="DD49" s="34">
        <f>HLOOKUP(DD$7+0.5,$I$66:$DJ$120,ROWS($A$10:$A49)+2,FALSE)</f>
        <v>214</v>
      </c>
      <c r="DE49" s="34">
        <f>HLOOKUP(DE$7+0.5,$I$66:$DJ$120,ROWS($A$10:$A49)+2,FALSE)</f>
        <v>2596</v>
      </c>
      <c r="DF49" s="34">
        <f>HLOOKUP(DF$7+0.5,$I$66:$DJ$120,ROWS($A$10:$A49)+2,FALSE)</f>
        <v>1141</v>
      </c>
      <c r="DG49" s="34">
        <f>HLOOKUP(DG$7+0.5,$I$66:$DJ$120,ROWS($A$10:$A49)+2,FALSE)</f>
        <v>1674</v>
      </c>
      <c r="DH49" s="34">
        <f>HLOOKUP(DH$7+0.5,$I$66:$DJ$120,ROWS($A$10:$A49)+2,FALSE)</f>
        <v>1081</v>
      </c>
      <c r="DI49" s="34">
        <f>HLOOKUP(DI$7+0.5,$I$66:$DJ$120,ROWS($A$10:$A49)+2,FALSE)</f>
        <v>936</v>
      </c>
      <c r="DJ49" s="34">
        <f>HLOOKUP(DJ$7+0.5,$I$66:$DJ$120,ROWS($A$10:$A49)+2,FALSE)</f>
        <v>2169</v>
      </c>
    </row>
    <row r="50" spans="2:114" x14ac:dyDescent="0.25">
      <c r="B50" s="38" t="s">
        <v>46</v>
      </c>
      <c r="C50" s="15">
        <v>1042240</v>
      </c>
      <c r="D50" s="14">
        <v>1435</v>
      </c>
      <c r="E50" s="15">
        <v>900283</v>
      </c>
      <c r="F50" s="14">
        <v>9035</v>
      </c>
      <c r="G50" s="15">
        <v>99603</v>
      </c>
      <c r="H50" s="14">
        <v>7344</v>
      </c>
      <c r="I50" s="36">
        <f>HLOOKUP(I$7,$I$66:$DJ$120,ROWS($A$10:$A50)+2,FALSE)</f>
        <v>32059</v>
      </c>
      <c r="J50" s="25">
        <f>HLOOKUP(J$7,$I$66:$DJ$120,ROWS($A$10:$A50)+2,FALSE)</f>
        <v>136</v>
      </c>
      <c r="K50" s="25">
        <f>HLOOKUP(K$7,$I$66:$DJ$120,ROWS($A$10:$A50)+2,FALSE)</f>
        <v>0</v>
      </c>
      <c r="L50" s="25">
        <f>HLOOKUP(L$7,$I$66:$DJ$120,ROWS($A$10:$A50)+2,FALSE)</f>
        <v>324</v>
      </c>
      <c r="M50" s="25">
        <f>HLOOKUP(M$7,$I$66:$DJ$120,ROWS($A$10:$A50)+2,FALSE)</f>
        <v>0</v>
      </c>
      <c r="N50" s="25">
        <f>HLOOKUP(N$7,$I$66:$DJ$120,ROWS($A$10:$A50)+2,FALSE)</f>
        <v>1697</v>
      </c>
      <c r="O50" s="25">
        <f>HLOOKUP(O$7,$I$66:$DJ$120,ROWS($A$10:$A50)+2,FALSE)</f>
        <v>59</v>
      </c>
      <c r="P50" s="25">
        <f>HLOOKUP(P$7,$I$66:$DJ$120,ROWS($A$10:$A50)+2,FALSE)</f>
        <v>4090</v>
      </c>
      <c r="Q50" s="25">
        <f>HLOOKUP(Q$7,$I$66:$DJ$120,ROWS($A$10:$A50)+2,FALSE)</f>
        <v>0</v>
      </c>
      <c r="R50" s="25">
        <f>HLOOKUP(R$7,$I$66:$DJ$120,ROWS($A$10:$A50)+2,FALSE)</f>
        <v>146</v>
      </c>
      <c r="S50" s="25">
        <f>HLOOKUP(S$7,$I$66:$DJ$120,ROWS($A$10:$A50)+2,FALSE)</f>
        <v>1336</v>
      </c>
      <c r="T50" s="25">
        <f>HLOOKUP(T$7,$I$66:$DJ$120,ROWS($A$10:$A50)+2,FALSE)</f>
        <v>382</v>
      </c>
      <c r="U50" s="25">
        <f>HLOOKUP(U$7,$I$66:$DJ$120,ROWS($A$10:$A50)+2,FALSE)</f>
        <v>274</v>
      </c>
      <c r="V50" s="25">
        <f>HLOOKUP(V$7,$I$66:$DJ$120,ROWS($A$10:$A50)+2,FALSE)</f>
        <v>0</v>
      </c>
      <c r="W50" s="25">
        <f>HLOOKUP(W$7,$I$66:$DJ$120,ROWS($A$10:$A50)+2,FALSE)</f>
        <v>1210</v>
      </c>
      <c r="X50" s="25">
        <f>HLOOKUP(X$7,$I$66:$DJ$120,ROWS($A$10:$A50)+2,FALSE)</f>
        <v>206</v>
      </c>
      <c r="Y50" s="25">
        <f>HLOOKUP(Y$7,$I$66:$DJ$120,ROWS($A$10:$A50)+2,FALSE)</f>
        <v>48</v>
      </c>
      <c r="Z50" s="25">
        <f>HLOOKUP(Z$7,$I$66:$DJ$120,ROWS($A$10:$A50)+2,FALSE)</f>
        <v>0</v>
      </c>
      <c r="AA50" s="25">
        <f>HLOOKUP(AA$7,$I$66:$DJ$120,ROWS($A$10:$A50)+2,FALSE)</f>
        <v>0</v>
      </c>
      <c r="AB50" s="25">
        <f>HLOOKUP(AB$7,$I$66:$DJ$120,ROWS($A$10:$A50)+2,FALSE)</f>
        <v>0</v>
      </c>
      <c r="AC50" s="25">
        <f>HLOOKUP(AC$7,$I$66:$DJ$120,ROWS($A$10:$A50)+2,FALSE)</f>
        <v>447</v>
      </c>
      <c r="AD50" s="25">
        <f>HLOOKUP(AD$7,$I$66:$DJ$120,ROWS($A$10:$A50)+2,FALSE)</f>
        <v>977</v>
      </c>
      <c r="AE50" s="25">
        <f>HLOOKUP(AE$7,$I$66:$DJ$120,ROWS($A$10:$A50)+2,FALSE)</f>
        <v>8639</v>
      </c>
      <c r="AF50" s="25">
        <f>HLOOKUP(AF$7,$I$66:$DJ$120,ROWS($A$10:$A50)+2,FALSE)</f>
        <v>77</v>
      </c>
      <c r="AG50" s="25">
        <f>HLOOKUP(AG$7,$I$66:$DJ$120,ROWS($A$10:$A50)+2,FALSE)</f>
        <v>47</v>
      </c>
      <c r="AH50" s="25">
        <f>HLOOKUP(AH$7,$I$66:$DJ$120,ROWS($A$10:$A50)+2,FALSE)</f>
        <v>0</v>
      </c>
      <c r="AI50" s="25">
        <f>HLOOKUP(AI$7,$I$66:$DJ$120,ROWS($A$10:$A50)+2,FALSE)</f>
        <v>47</v>
      </c>
      <c r="AJ50" s="25">
        <f>HLOOKUP(AJ$7,$I$66:$DJ$120,ROWS($A$10:$A50)+2,FALSE)</f>
        <v>0</v>
      </c>
      <c r="AK50" s="25">
        <f>HLOOKUP(AK$7,$I$66:$DJ$120,ROWS($A$10:$A50)+2,FALSE)</f>
        <v>0</v>
      </c>
      <c r="AL50" s="25">
        <f>HLOOKUP(AL$7,$I$66:$DJ$120,ROWS($A$10:$A50)+2,FALSE)</f>
        <v>297</v>
      </c>
      <c r="AM50" s="25">
        <f>HLOOKUP(AM$7,$I$66:$DJ$120,ROWS($A$10:$A50)+2,FALSE)</f>
        <v>333</v>
      </c>
      <c r="AN50" s="25">
        <f>HLOOKUP(AN$7,$I$66:$DJ$120,ROWS($A$10:$A50)+2,FALSE)</f>
        <v>1868</v>
      </c>
      <c r="AO50" s="25">
        <f>HLOOKUP(AO$7,$I$66:$DJ$120,ROWS($A$10:$A50)+2,FALSE)</f>
        <v>0</v>
      </c>
      <c r="AP50" s="25">
        <f>HLOOKUP(AP$7,$I$66:$DJ$120,ROWS($A$10:$A50)+2,FALSE)</f>
        <v>4583</v>
      </c>
      <c r="AQ50" s="25">
        <f>HLOOKUP(AQ$7,$I$66:$DJ$120,ROWS($A$10:$A50)+2,FALSE)</f>
        <v>1376</v>
      </c>
      <c r="AR50" s="25">
        <f>HLOOKUP(AR$7,$I$66:$DJ$120,ROWS($A$10:$A50)+2,FALSE)</f>
        <v>62</v>
      </c>
      <c r="AS50" s="25">
        <f>HLOOKUP(AS$7,$I$66:$DJ$120,ROWS($A$10:$A50)+2,FALSE)</f>
        <v>0</v>
      </c>
      <c r="AT50" s="25">
        <f>HLOOKUP(AT$7,$I$66:$DJ$120,ROWS($A$10:$A50)+2,FALSE)</f>
        <v>199</v>
      </c>
      <c r="AU50" s="25">
        <f>HLOOKUP(AU$7,$I$66:$DJ$120,ROWS($A$10:$A50)+2,FALSE)</f>
        <v>0</v>
      </c>
      <c r="AV50" s="25">
        <f>HLOOKUP(AV$7,$I$66:$DJ$120,ROWS($A$10:$A50)+2,FALSE)</f>
        <v>560</v>
      </c>
      <c r="AW50" s="25" t="str">
        <f>HLOOKUP(AW$7,$I$66:$DJ$120,ROWS($A$10:$A50)+2,FALSE)</f>
        <v>N/A</v>
      </c>
      <c r="AX50" s="25">
        <f>HLOOKUP(AX$7,$I$66:$DJ$120,ROWS($A$10:$A50)+2,FALSE)</f>
        <v>61</v>
      </c>
      <c r="AY50" s="25">
        <f>HLOOKUP(AY$7,$I$66:$DJ$120,ROWS($A$10:$A50)+2,FALSE)</f>
        <v>48</v>
      </c>
      <c r="AZ50" s="25">
        <f>HLOOKUP(AZ$7,$I$66:$DJ$120,ROWS($A$10:$A50)+2,FALSE)</f>
        <v>71</v>
      </c>
      <c r="BA50" s="25">
        <f>HLOOKUP(BA$7,$I$66:$DJ$120,ROWS($A$10:$A50)+2,FALSE)</f>
        <v>678</v>
      </c>
      <c r="BB50" s="25">
        <f>HLOOKUP(BB$7,$I$66:$DJ$120,ROWS($A$10:$A50)+2,FALSE)</f>
        <v>0</v>
      </c>
      <c r="BC50" s="25">
        <f>HLOOKUP(BC$7,$I$66:$DJ$120,ROWS($A$10:$A50)+2,FALSE)</f>
        <v>72</v>
      </c>
      <c r="BD50" s="25">
        <f>HLOOKUP(BD$7,$I$66:$DJ$120,ROWS($A$10:$A50)+2,FALSE)</f>
        <v>1399</v>
      </c>
      <c r="BE50" s="25">
        <f>HLOOKUP(BE$7,$I$66:$DJ$120,ROWS($A$10:$A50)+2,FALSE)</f>
        <v>160</v>
      </c>
      <c r="BF50" s="25">
        <f>HLOOKUP(BF$7,$I$66:$DJ$120,ROWS($A$10:$A50)+2,FALSE)</f>
        <v>150</v>
      </c>
      <c r="BG50" s="25">
        <f>HLOOKUP(BG$7,$I$66:$DJ$120,ROWS($A$10:$A50)+2,FALSE)</f>
        <v>0</v>
      </c>
      <c r="BH50" s="25">
        <f>HLOOKUP(BH$7,$I$66:$DJ$120,ROWS($A$10:$A50)+2,FALSE)</f>
        <v>0</v>
      </c>
      <c r="BI50" s="25">
        <f>HLOOKUP(BI$7,$I$66:$DJ$120,ROWS($A$10:$A50)+2,FALSE)</f>
        <v>276</v>
      </c>
      <c r="BJ50" s="34">
        <f>HLOOKUP(BJ$7+0.5,$I$66:$DJ$120,ROWS($A$10:$A50)+2,FALSE)</f>
        <v>4070</v>
      </c>
      <c r="BK50" s="34">
        <f>HLOOKUP(BK$7+0.5,$I$66:$DJ$120,ROWS($A$10:$A50)+2,FALSE)</f>
        <v>214</v>
      </c>
      <c r="BL50" s="34">
        <f>HLOOKUP(BL$7+0.5,$I$66:$DJ$120,ROWS($A$10:$A50)+2,FALSE)</f>
        <v>291</v>
      </c>
      <c r="BM50" s="34">
        <f>HLOOKUP(BM$7+0.5,$I$66:$DJ$120,ROWS($A$10:$A50)+2,FALSE)</f>
        <v>286</v>
      </c>
      <c r="BN50" s="34">
        <f>HLOOKUP(BN$7+0.5,$I$66:$DJ$120,ROWS($A$10:$A50)+2,FALSE)</f>
        <v>291</v>
      </c>
      <c r="BO50" s="34">
        <f>HLOOKUP(BO$7+0.5,$I$66:$DJ$120,ROWS($A$10:$A50)+2,FALSE)</f>
        <v>791</v>
      </c>
      <c r="BP50" s="34">
        <f>HLOOKUP(BP$7+0.5,$I$66:$DJ$120,ROWS($A$10:$A50)+2,FALSE)</f>
        <v>98</v>
      </c>
      <c r="BQ50" s="34">
        <f>HLOOKUP(BQ$7+0.5,$I$66:$DJ$120,ROWS($A$10:$A50)+2,FALSE)</f>
        <v>1497</v>
      </c>
      <c r="BR50" s="34">
        <f>HLOOKUP(BR$7+0.5,$I$66:$DJ$120,ROWS($A$10:$A50)+2,FALSE)</f>
        <v>291</v>
      </c>
      <c r="BS50" s="34">
        <f>HLOOKUP(BS$7+0.5,$I$66:$DJ$120,ROWS($A$10:$A50)+2,FALSE)</f>
        <v>240</v>
      </c>
      <c r="BT50" s="34">
        <f>HLOOKUP(BT$7+0.5,$I$66:$DJ$120,ROWS($A$10:$A50)+2,FALSE)</f>
        <v>778</v>
      </c>
      <c r="BU50" s="34">
        <f>HLOOKUP(BU$7+0.5,$I$66:$DJ$120,ROWS($A$10:$A50)+2,FALSE)</f>
        <v>377</v>
      </c>
      <c r="BV50" s="34">
        <f>HLOOKUP(BV$7+0.5,$I$66:$DJ$120,ROWS($A$10:$A50)+2,FALSE)</f>
        <v>546</v>
      </c>
      <c r="BW50" s="34">
        <f>HLOOKUP(BW$7+0.5,$I$66:$DJ$120,ROWS($A$10:$A50)+2,FALSE)</f>
        <v>291</v>
      </c>
      <c r="BX50" s="34">
        <f>HLOOKUP(BX$7+0.5,$I$66:$DJ$120,ROWS($A$10:$A50)+2,FALSE)</f>
        <v>768</v>
      </c>
      <c r="BY50" s="34">
        <f>HLOOKUP(BY$7+0.5,$I$66:$DJ$120,ROWS($A$10:$A50)+2,FALSE)</f>
        <v>334</v>
      </c>
      <c r="BZ50" s="34">
        <f>HLOOKUP(BZ$7+0.5,$I$66:$DJ$120,ROWS($A$10:$A50)+2,FALSE)</f>
        <v>79</v>
      </c>
      <c r="CA50" s="34">
        <f>HLOOKUP(CA$7+0.5,$I$66:$DJ$120,ROWS($A$10:$A50)+2,FALSE)</f>
        <v>291</v>
      </c>
      <c r="CB50" s="34">
        <f>HLOOKUP(CB$7+0.5,$I$66:$DJ$120,ROWS($A$10:$A50)+2,FALSE)</f>
        <v>291</v>
      </c>
      <c r="CC50" s="34">
        <f>HLOOKUP(CC$7+0.5,$I$66:$DJ$120,ROWS($A$10:$A50)+2,FALSE)</f>
        <v>291</v>
      </c>
      <c r="CD50" s="34">
        <f>HLOOKUP(CD$7+0.5,$I$66:$DJ$120,ROWS($A$10:$A50)+2,FALSE)</f>
        <v>350</v>
      </c>
      <c r="CE50" s="34">
        <f>HLOOKUP(CE$7+0.5,$I$66:$DJ$120,ROWS($A$10:$A50)+2,FALSE)</f>
        <v>676</v>
      </c>
      <c r="CF50" s="34">
        <f>HLOOKUP(CF$7+0.5,$I$66:$DJ$120,ROWS($A$10:$A50)+2,FALSE)</f>
        <v>1836</v>
      </c>
      <c r="CG50" s="34">
        <f>HLOOKUP(CG$7+0.5,$I$66:$DJ$120,ROWS($A$10:$A50)+2,FALSE)</f>
        <v>125</v>
      </c>
      <c r="CH50" s="34">
        <f>HLOOKUP(CH$7+0.5,$I$66:$DJ$120,ROWS($A$10:$A50)+2,FALSE)</f>
        <v>78</v>
      </c>
      <c r="CI50" s="34">
        <f>HLOOKUP(CI$7+0.5,$I$66:$DJ$120,ROWS($A$10:$A50)+2,FALSE)</f>
        <v>291</v>
      </c>
      <c r="CJ50" s="34">
        <f>HLOOKUP(CJ$7+0.5,$I$66:$DJ$120,ROWS($A$10:$A50)+2,FALSE)</f>
        <v>78</v>
      </c>
      <c r="CK50" s="34">
        <f>HLOOKUP(CK$7+0.5,$I$66:$DJ$120,ROWS($A$10:$A50)+2,FALSE)</f>
        <v>291</v>
      </c>
      <c r="CL50" s="34">
        <f>HLOOKUP(CL$7+0.5,$I$66:$DJ$120,ROWS($A$10:$A50)+2,FALSE)</f>
        <v>291</v>
      </c>
      <c r="CM50" s="34">
        <f>HLOOKUP(CM$7+0.5,$I$66:$DJ$120,ROWS($A$10:$A50)+2,FALSE)</f>
        <v>259</v>
      </c>
      <c r="CN50" s="34">
        <f>HLOOKUP(CN$7+0.5,$I$66:$DJ$120,ROWS($A$10:$A50)+2,FALSE)</f>
        <v>322</v>
      </c>
      <c r="CO50" s="34">
        <f>HLOOKUP(CO$7+0.5,$I$66:$DJ$120,ROWS($A$10:$A50)+2,FALSE)</f>
        <v>649</v>
      </c>
      <c r="CP50" s="34">
        <f>HLOOKUP(CP$7+0.5,$I$66:$DJ$120,ROWS($A$10:$A50)+2,FALSE)</f>
        <v>291</v>
      </c>
      <c r="CQ50" s="34">
        <f>HLOOKUP(CQ$7+0.5,$I$66:$DJ$120,ROWS($A$10:$A50)+2,FALSE)</f>
        <v>1398</v>
      </c>
      <c r="CR50" s="34">
        <f>HLOOKUP(CR$7+0.5,$I$66:$DJ$120,ROWS($A$10:$A50)+2,FALSE)</f>
        <v>1080</v>
      </c>
      <c r="CS50" s="34">
        <f>HLOOKUP(CS$7+0.5,$I$66:$DJ$120,ROWS($A$10:$A50)+2,FALSE)</f>
        <v>103</v>
      </c>
      <c r="CT50" s="34">
        <f>HLOOKUP(CT$7+0.5,$I$66:$DJ$120,ROWS($A$10:$A50)+2,FALSE)</f>
        <v>291</v>
      </c>
      <c r="CU50" s="34">
        <f>HLOOKUP(CU$7+0.5,$I$66:$DJ$120,ROWS($A$10:$A50)+2,FALSE)</f>
        <v>331</v>
      </c>
      <c r="CV50" s="34">
        <f>HLOOKUP(CV$7+0.5,$I$66:$DJ$120,ROWS($A$10:$A50)+2,FALSE)</f>
        <v>291</v>
      </c>
      <c r="CW50" s="34">
        <f>HLOOKUP(CW$7+0.5,$I$66:$DJ$120,ROWS($A$10:$A50)+2,FALSE)</f>
        <v>461</v>
      </c>
      <c r="CX50" s="34" t="str">
        <f>HLOOKUP(CX$7+0.5,$I$66:$DJ$120,ROWS($A$10:$A50)+2,FALSE)</f>
        <v>N/A</v>
      </c>
      <c r="CY50" s="34">
        <f>HLOOKUP(CY$7+0.5,$I$66:$DJ$120,ROWS($A$10:$A50)+2,FALSE)</f>
        <v>105</v>
      </c>
      <c r="CZ50" s="34">
        <f>HLOOKUP(CZ$7+0.5,$I$66:$DJ$120,ROWS($A$10:$A50)+2,FALSE)</f>
        <v>78</v>
      </c>
      <c r="DA50" s="34">
        <f>HLOOKUP(DA$7+0.5,$I$66:$DJ$120,ROWS($A$10:$A50)+2,FALSE)</f>
        <v>118</v>
      </c>
      <c r="DB50" s="34">
        <f>HLOOKUP(DB$7+0.5,$I$66:$DJ$120,ROWS($A$10:$A50)+2,FALSE)</f>
        <v>500</v>
      </c>
      <c r="DC50" s="34">
        <f>HLOOKUP(DC$7+0.5,$I$66:$DJ$120,ROWS($A$10:$A50)+2,FALSE)</f>
        <v>291</v>
      </c>
      <c r="DD50" s="34">
        <f>HLOOKUP(DD$7+0.5,$I$66:$DJ$120,ROWS($A$10:$A50)+2,FALSE)</f>
        <v>122</v>
      </c>
      <c r="DE50" s="34">
        <f>HLOOKUP(DE$7+0.5,$I$66:$DJ$120,ROWS($A$10:$A50)+2,FALSE)</f>
        <v>908</v>
      </c>
      <c r="DF50" s="34">
        <f>HLOOKUP(DF$7+0.5,$I$66:$DJ$120,ROWS($A$10:$A50)+2,FALSE)</f>
        <v>206</v>
      </c>
      <c r="DG50" s="34">
        <f>HLOOKUP(DG$7+0.5,$I$66:$DJ$120,ROWS($A$10:$A50)+2,FALSE)</f>
        <v>233</v>
      </c>
      <c r="DH50" s="34">
        <f>HLOOKUP(DH$7+0.5,$I$66:$DJ$120,ROWS($A$10:$A50)+2,FALSE)</f>
        <v>291</v>
      </c>
      <c r="DI50" s="34">
        <f>HLOOKUP(DI$7+0.5,$I$66:$DJ$120,ROWS($A$10:$A50)+2,FALSE)</f>
        <v>291</v>
      </c>
      <c r="DJ50" s="34">
        <f>HLOOKUP(DJ$7+0.5,$I$66:$DJ$120,ROWS($A$10:$A50)+2,FALSE)</f>
        <v>353</v>
      </c>
    </row>
    <row r="51" spans="2:114" x14ac:dyDescent="0.25">
      <c r="B51" s="38" t="s">
        <v>47</v>
      </c>
      <c r="C51" s="15">
        <v>4577399</v>
      </c>
      <c r="D51" s="14">
        <v>3786</v>
      </c>
      <c r="E51" s="15">
        <v>3870879</v>
      </c>
      <c r="F51" s="14">
        <v>23788</v>
      </c>
      <c r="G51" s="15">
        <v>537961</v>
      </c>
      <c r="H51" s="14">
        <v>21768</v>
      </c>
      <c r="I51" s="36">
        <f>HLOOKUP(I$7,$I$66:$DJ$120,ROWS($A$10:$A51)+2,FALSE)</f>
        <v>152441</v>
      </c>
      <c r="J51" s="25">
        <f>HLOOKUP(J$7,$I$66:$DJ$120,ROWS($A$10:$A51)+2,FALSE)</f>
        <v>1741</v>
      </c>
      <c r="K51" s="25">
        <f>HLOOKUP(K$7,$I$66:$DJ$120,ROWS($A$10:$A51)+2,FALSE)</f>
        <v>1670</v>
      </c>
      <c r="L51" s="25">
        <f>HLOOKUP(L$7,$I$66:$DJ$120,ROWS($A$10:$A51)+2,FALSE)</f>
        <v>1457</v>
      </c>
      <c r="M51" s="25">
        <f>HLOOKUP(M$7,$I$66:$DJ$120,ROWS($A$10:$A51)+2,FALSE)</f>
        <v>365</v>
      </c>
      <c r="N51" s="25">
        <f>HLOOKUP(N$7,$I$66:$DJ$120,ROWS($A$10:$A51)+2,FALSE)</f>
        <v>4691</v>
      </c>
      <c r="O51" s="25">
        <f>HLOOKUP(O$7,$I$66:$DJ$120,ROWS($A$10:$A51)+2,FALSE)</f>
        <v>1867</v>
      </c>
      <c r="P51" s="25">
        <f>HLOOKUP(P$7,$I$66:$DJ$120,ROWS($A$10:$A51)+2,FALSE)</f>
        <v>3998</v>
      </c>
      <c r="Q51" s="25">
        <f>HLOOKUP(Q$7,$I$66:$DJ$120,ROWS($A$10:$A51)+2,FALSE)</f>
        <v>249</v>
      </c>
      <c r="R51" s="25">
        <f>HLOOKUP(R$7,$I$66:$DJ$120,ROWS($A$10:$A51)+2,FALSE)</f>
        <v>38</v>
      </c>
      <c r="S51" s="25">
        <f>HLOOKUP(S$7,$I$66:$DJ$120,ROWS($A$10:$A51)+2,FALSE)</f>
        <v>16060</v>
      </c>
      <c r="T51" s="25">
        <f>HLOOKUP(T$7,$I$66:$DJ$120,ROWS($A$10:$A51)+2,FALSE)</f>
        <v>17486</v>
      </c>
      <c r="U51" s="25">
        <f>HLOOKUP(U$7,$I$66:$DJ$120,ROWS($A$10:$A51)+2,FALSE)</f>
        <v>813</v>
      </c>
      <c r="V51" s="25">
        <f>HLOOKUP(V$7,$I$66:$DJ$120,ROWS($A$10:$A51)+2,FALSE)</f>
        <v>233</v>
      </c>
      <c r="W51" s="25">
        <f>HLOOKUP(W$7,$I$66:$DJ$120,ROWS($A$10:$A51)+2,FALSE)</f>
        <v>4253</v>
      </c>
      <c r="X51" s="25">
        <f>HLOOKUP(X$7,$I$66:$DJ$120,ROWS($A$10:$A51)+2,FALSE)</f>
        <v>2174</v>
      </c>
      <c r="Y51" s="25">
        <f>HLOOKUP(Y$7,$I$66:$DJ$120,ROWS($A$10:$A51)+2,FALSE)</f>
        <v>703</v>
      </c>
      <c r="Z51" s="25">
        <f>HLOOKUP(Z$7,$I$66:$DJ$120,ROWS($A$10:$A51)+2,FALSE)</f>
        <v>514</v>
      </c>
      <c r="AA51" s="25">
        <f>HLOOKUP(AA$7,$I$66:$DJ$120,ROWS($A$10:$A51)+2,FALSE)</f>
        <v>2211</v>
      </c>
      <c r="AB51" s="25">
        <f>HLOOKUP(AB$7,$I$66:$DJ$120,ROWS($A$10:$A51)+2,FALSE)</f>
        <v>2059</v>
      </c>
      <c r="AC51" s="25">
        <f>HLOOKUP(AC$7,$I$66:$DJ$120,ROWS($A$10:$A51)+2,FALSE)</f>
        <v>603</v>
      </c>
      <c r="AD51" s="25">
        <f>HLOOKUP(AD$7,$I$66:$DJ$120,ROWS($A$10:$A51)+2,FALSE)</f>
        <v>5184</v>
      </c>
      <c r="AE51" s="25">
        <f>HLOOKUP(AE$7,$I$66:$DJ$120,ROWS($A$10:$A51)+2,FALSE)</f>
        <v>3765</v>
      </c>
      <c r="AF51" s="25">
        <f>HLOOKUP(AF$7,$I$66:$DJ$120,ROWS($A$10:$A51)+2,FALSE)</f>
        <v>3709</v>
      </c>
      <c r="AG51" s="25">
        <f>HLOOKUP(AG$7,$I$66:$DJ$120,ROWS($A$10:$A51)+2,FALSE)</f>
        <v>818</v>
      </c>
      <c r="AH51" s="25">
        <f>HLOOKUP(AH$7,$I$66:$DJ$120,ROWS($A$10:$A51)+2,FALSE)</f>
        <v>1175</v>
      </c>
      <c r="AI51" s="25">
        <f>HLOOKUP(AI$7,$I$66:$DJ$120,ROWS($A$10:$A51)+2,FALSE)</f>
        <v>1371</v>
      </c>
      <c r="AJ51" s="25">
        <f>HLOOKUP(AJ$7,$I$66:$DJ$120,ROWS($A$10:$A51)+2,FALSE)</f>
        <v>0</v>
      </c>
      <c r="AK51" s="25">
        <f>HLOOKUP(AK$7,$I$66:$DJ$120,ROWS($A$10:$A51)+2,FALSE)</f>
        <v>0</v>
      </c>
      <c r="AL51" s="25">
        <f>HLOOKUP(AL$7,$I$66:$DJ$120,ROWS($A$10:$A51)+2,FALSE)</f>
        <v>1173</v>
      </c>
      <c r="AM51" s="25">
        <f>HLOOKUP(AM$7,$I$66:$DJ$120,ROWS($A$10:$A51)+2,FALSE)</f>
        <v>486</v>
      </c>
      <c r="AN51" s="25">
        <f>HLOOKUP(AN$7,$I$66:$DJ$120,ROWS($A$10:$A51)+2,FALSE)</f>
        <v>4908</v>
      </c>
      <c r="AO51" s="25">
        <f>HLOOKUP(AO$7,$I$66:$DJ$120,ROWS($A$10:$A51)+2,FALSE)</f>
        <v>1390</v>
      </c>
      <c r="AP51" s="25">
        <f>HLOOKUP(AP$7,$I$66:$DJ$120,ROWS($A$10:$A51)+2,FALSE)</f>
        <v>7912</v>
      </c>
      <c r="AQ51" s="25">
        <f>HLOOKUP(AQ$7,$I$66:$DJ$120,ROWS($A$10:$A51)+2,FALSE)</f>
        <v>20749</v>
      </c>
      <c r="AR51" s="25">
        <f>HLOOKUP(AR$7,$I$66:$DJ$120,ROWS($A$10:$A51)+2,FALSE)</f>
        <v>118</v>
      </c>
      <c r="AS51" s="25">
        <f>HLOOKUP(AS$7,$I$66:$DJ$120,ROWS($A$10:$A51)+2,FALSE)</f>
        <v>3883</v>
      </c>
      <c r="AT51" s="25">
        <f>HLOOKUP(AT$7,$I$66:$DJ$120,ROWS($A$10:$A51)+2,FALSE)</f>
        <v>1458</v>
      </c>
      <c r="AU51" s="25">
        <f>HLOOKUP(AU$7,$I$66:$DJ$120,ROWS($A$10:$A51)+2,FALSE)</f>
        <v>1020</v>
      </c>
      <c r="AV51" s="25">
        <f>HLOOKUP(AV$7,$I$66:$DJ$120,ROWS($A$10:$A51)+2,FALSE)</f>
        <v>4689</v>
      </c>
      <c r="AW51" s="25">
        <f>HLOOKUP(AW$7,$I$66:$DJ$120,ROWS($A$10:$A51)+2,FALSE)</f>
        <v>154</v>
      </c>
      <c r="AX51" s="25" t="str">
        <f>HLOOKUP(AX$7,$I$66:$DJ$120,ROWS($A$10:$A51)+2,FALSE)</f>
        <v>N/A</v>
      </c>
      <c r="AY51" s="25">
        <f>HLOOKUP(AY$7,$I$66:$DJ$120,ROWS($A$10:$A51)+2,FALSE)</f>
        <v>95</v>
      </c>
      <c r="AZ51" s="25">
        <f>HLOOKUP(AZ$7,$I$66:$DJ$120,ROWS($A$10:$A51)+2,FALSE)</f>
        <v>3816</v>
      </c>
      <c r="BA51" s="25">
        <f>HLOOKUP(BA$7,$I$66:$DJ$120,ROWS($A$10:$A51)+2,FALSE)</f>
        <v>4965</v>
      </c>
      <c r="BB51" s="25">
        <f>HLOOKUP(BB$7,$I$66:$DJ$120,ROWS($A$10:$A51)+2,FALSE)</f>
        <v>455</v>
      </c>
      <c r="BC51" s="25">
        <f>HLOOKUP(BC$7,$I$66:$DJ$120,ROWS($A$10:$A51)+2,FALSE)</f>
        <v>478</v>
      </c>
      <c r="BD51" s="25">
        <f>HLOOKUP(BD$7,$I$66:$DJ$120,ROWS($A$10:$A51)+2,FALSE)</f>
        <v>9786</v>
      </c>
      <c r="BE51" s="25">
        <f>HLOOKUP(BE$7,$I$66:$DJ$120,ROWS($A$10:$A51)+2,FALSE)</f>
        <v>3070</v>
      </c>
      <c r="BF51" s="25">
        <f>HLOOKUP(BF$7,$I$66:$DJ$120,ROWS($A$10:$A51)+2,FALSE)</f>
        <v>1190</v>
      </c>
      <c r="BG51" s="25">
        <f>HLOOKUP(BG$7,$I$66:$DJ$120,ROWS($A$10:$A51)+2,FALSE)</f>
        <v>1057</v>
      </c>
      <c r="BH51" s="25">
        <f>HLOOKUP(BH$7,$I$66:$DJ$120,ROWS($A$10:$A51)+2,FALSE)</f>
        <v>382</v>
      </c>
      <c r="BI51" s="25">
        <f>HLOOKUP(BI$7,$I$66:$DJ$120,ROWS($A$10:$A51)+2,FALSE)</f>
        <v>269</v>
      </c>
      <c r="BJ51" s="34">
        <f>HLOOKUP(BJ$7+0.5,$I$66:$DJ$120,ROWS($A$10:$A51)+2,FALSE)</f>
        <v>10548</v>
      </c>
      <c r="BK51" s="34">
        <f>HLOOKUP(BK$7+0.5,$I$66:$DJ$120,ROWS($A$10:$A51)+2,FALSE)</f>
        <v>721</v>
      </c>
      <c r="BL51" s="34">
        <f>HLOOKUP(BL$7+0.5,$I$66:$DJ$120,ROWS($A$10:$A51)+2,FALSE)</f>
        <v>1199</v>
      </c>
      <c r="BM51" s="34">
        <f>HLOOKUP(BM$7+0.5,$I$66:$DJ$120,ROWS($A$10:$A51)+2,FALSE)</f>
        <v>870</v>
      </c>
      <c r="BN51" s="34">
        <f>HLOOKUP(BN$7+0.5,$I$66:$DJ$120,ROWS($A$10:$A51)+2,FALSE)</f>
        <v>280</v>
      </c>
      <c r="BO51" s="34">
        <f>HLOOKUP(BO$7+0.5,$I$66:$DJ$120,ROWS($A$10:$A51)+2,FALSE)</f>
        <v>1983</v>
      </c>
      <c r="BP51" s="34">
        <f>HLOOKUP(BP$7+0.5,$I$66:$DJ$120,ROWS($A$10:$A51)+2,FALSE)</f>
        <v>1378</v>
      </c>
      <c r="BQ51" s="34">
        <f>HLOOKUP(BQ$7+0.5,$I$66:$DJ$120,ROWS($A$10:$A51)+2,FALSE)</f>
        <v>2132</v>
      </c>
      <c r="BR51" s="34">
        <f>HLOOKUP(BR$7+0.5,$I$66:$DJ$120,ROWS($A$10:$A51)+2,FALSE)</f>
        <v>274</v>
      </c>
      <c r="BS51" s="34">
        <f>HLOOKUP(BS$7+0.5,$I$66:$DJ$120,ROWS($A$10:$A51)+2,FALSE)</f>
        <v>63</v>
      </c>
      <c r="BT51" s="34">
        <f>HLOOKUP(BT$7+0.5,$I$66:$DJ$120,ROWS($A$10:$A51)+2,FALSE)</f>
        <v>3907</v>
      </c>
      <c r="BU51" s="34">
        <f>HLOOKUP(BU$7+0.5,$I$66:$DJ$120,ROWS($A$10:$A51)+2,FALSE)</f>
        <v>3100</v>
      </c>
      <c r="BV51" s="34">
        <f>HLOOKUP(BV$7+0.5,$I$66:$DJ$120,ROWS($A$10:$A51)+2,FALSE)</f>
        <v>521</v>
      </c>
      <c r="BW51" s="34">
        <f>HLOOKUP(BW$7+0.5,$I$66:$DJ$120,ROWS($A$10:$A51)+2,FALSE)</f>
        <v>207</v>
      </c>
      <c r="BX51" s="34">
        <f>HLOOKUP(BX$7+0.5,$I$66:$DJ$120,ROWS($A$10:$A51)+2,FALSE)</f>
        <v>1651</v>
      </c>
      <c r="BY51" s="34">
        <f>HLOOKUP(BY$7+0.5,$I$66:$DJ$120,ROWS($A$10:$A51)+2,FALSE)</f>
        <v>884</v>
      </c>
      <c r="BZ51" s="34">
        <f>HLOOKUP(BZ$7+0.5,$I$66:$DJ$120,ROWS($A$10:$A51)+2,FALSE)</f>
        <v>870</v>
      </c>
      <c r="CA51" s="34">
        <f>HLOOKUP(CA$7+0.5,$I$66:$DJ$120,ROWS($A$10:$A51)+2,FALSE)</f>
        <v>612</v>
      </c>
      <c r="CB51" s="34">
        <f>HLOOKUP(CB$7+0.5,$I$66:$DJ$120,ROWS($A$10:$A51)+2,FALSE)</f>
        <v>1215</v>
      </c>
      <c r="CC51" s="34">
        <f>HLOOKUP(CC$7+0.5,$I$66:$DJ$120,ROWS($A$10:$A51)+2,FALSE)</f>
        <v>986</v>
      </c>
      <c r="CD51" s="34">
        <f>HLOOKUP(CD$7+0.5,$I$66:$DJ$120,ROWS($A$10:$A51)+2,FALSE)</f>
        <v>448</v>
      </c>
      <c r="CE51" s="34">
        <f>HLOOKUP(CE$7+0.5,$I$66:$DJ$120,ROWS($A$10:$A51)+2,FALSE)</f>
        <v>2183</v>
      </c>
      <c r="CF51" s="34">
        <f>HLOOKUP(CF$7+0.5,$I$66:$DJ$120,ROWS($A$10:$A51)+2,FALSE)</f>
        <v>1826</v>
      </c>
      <c r="CG51" s="34">
        <f>HLOOKUP(CG$7+0.5,$I$66:$DJ$120,ROWS($A$10:$A51)+2,FALSE)</f>
        <v>1403</v>
      </c>
      <c r="CH51" s="34">
        <f>HLOOKUP(CH$7+0.5,$I$66:$DJ$120,ROWS($A$10:$A51)+2,FALSE)</f>
        <v>463</v>
      </c>
      <c r="CI51" s="34">
        <f>HLOOKUP(CI$7+0.5,$I$66:$DJ$120,ROWS($A$10:$A51)+2,FALSE)</f>
        <v>681</v>
      </c>
      <c r="CJ51" s="34">
        <f>HLOOKUP(CJ$7+0.5,$I$66:$DJ$120,ROWS($A$10:$A51)+2,FALSE)</f>
        <v>797</v>
      </c>
      <c r="CK51" s="34">
        <f>HLOOKUP(CK$7+0.5,$I$66:$DJ$120,ROWS($A$10:$A51)+2,FALSE)</f>
        <v>296</v>
      </c>
      <c r="CL51" s="34">
        <f>HLOOKUP(CL$7+0.5,$I$66:$DJ$120,ROWS($A$10:$A51)+2,FALSE)</f>
        <v>296</v>
      </c>
      <c r="CM51" s="34">
        <f>HLOOKUP(CM$7+0.5,$I$66:$DJ$120,ROWS($A$10:$A51)+2,FALSE)</f>
        <v>793</v>
      </c>
      <c r="CN51" s="34">
        <f>HLOOKUP(CN$7+0.5,$I$66:$DJ$120,ROWS($A$10:$A51)+2,FALSE)</f>
        <v>296</v>
      </c>
      <c r="CO51" s="34">
        <f>HLOOKUP(CO$7+0.5,$I$66:$DJ$120,ROWS($A$10:$A51)+2,FALSE)</f>
        <v>1660</v>
      </c>
      <c r="CP51" s="34">
        <f>HLOOKUP(CP$7+0.5,$I$66:$DJ$120,ROWS($A$10:$A51)+2,FALSE)</f>
        <v>1444</v>
      </c>
      <c r="CQ51" s="34">
        <f>HLOOKUP(CQ$7+0.5,$I$66:$DJ$120,ROWS($A$10:$A51)+2,FALSE)</f>
        <v>2045</v>
      </c>
      <c r="CR51" s="34">
        <f>HLOOKUP(CR$7+0.5,$I$66:$DJ$120,ROWS($A$10:$A51)+2,FALSE)</f>
        <v>3397</v>
      </c>
      <c r="CS51" s="34">
        <f>HLOOKUP(CS$7+0.5,$I$66:$DJ$120,ROWS($A$10:$A51)+2,FALSE)</f>
        <v>196</v>
      </c>
      <c r="CT51" s="34">
        <f>HLOOKUP(CT$7+0.5,$I$66:$DJ$120,ROWS($A$10:$A51)+2,FALSE)</f>
        <v>1190</v>
      </c>
      <c r="CU51" s="34">
        <f>HLOOKUP(CU$7+0.5,$I$66:$DJ$120,ROWS($A$10:$A51)+2,FALSE)</f>
        <v>1353</v>
      </c>
      <c r="CV51" s="34">
        <f>HLOOKUP(CV$7+0.5,$I$66:$DJ$120,ROWS($A$10:$A51)+2,FALSE)</f>
        <v>951</v>
      </c>
      <c r="CW51" s="34">
        <f>HLOOKUP(CW$7+0.5,$I$66:$DJ$120,ROWS($A$10:$A51)+2,FALSE)</f>
        <v>1531</v>
      </c>
      <c r="CX51" s="34">
        <f>HLOOKUP(CX$7+0.5,$I$66:$DJ$120,ROWS($A$10:$A51)+2,FALSE)</f>
        <v>179</v>
      </c>
      <c r="CY51" s="34" t="str">
        <f>HLOOKUP(CY$7+0.5,$I$66:$DJ$120,ROWS($A$10:$A51)+2,FALSE)</f>
        <v>N/A</v>
      </c>
      <c r="CZ51" s="34">
        <f>HLOOKUP(CZ$7+0.5,$I$66:$DJ$120,ROWS($A$10:$A51)+2,FALSE)</f>
        <v>109</v>
      </c>
      <c r="DA51" s="34">
        <f>HLOOKUP(DA$7+0.5,$I$66:$DJ$120,ROWS($A$10:$A51)+2,FALSE)</f>
        <v>1732</v>
      </c>
      <c r="DB51" s="34">
        <f>HLOOKUP(DB$7+0.5,$I$66:$DJ$120,ROWS($A$10:$A51)+2,FALSE)</f>
        <v>1539</v>
      </c>
      <c r="DC51" s="34">
        <f>HLOOKUP(DC$7+0.5,$I$66:$DJ$120,ROWS($A$10:$A51)+2,FALSE)</f>
        <v>437</v>
      </c>
      <c r="DD51" s="34">
        <f>HLOOKUP(DD$7+0.5,$I$66:$DJ$120,ROWS($A$10:$A51)+2,FALSE)</f>
        <v>500</v>
      </c>
      <c r="DE51" s="34">
        <f>HLOOKUP(DE$7+0.5,$I$66:$DJ$120,ROWS($A$10:$A51)+2,FALSE)</f>
        <v>2245</v>
      </c>
      <c r="DF51" s="34">
        <f>HLOOKUP(DF$7+0.5,$I$66:$DJ$120,ROWS($A$10:$A51)+2,FALSE)</f>
        <v>1589</v>
      </c>
      <c r="DG51" s="34">
        <f>HLOOKUP(DG$7+0.5,$I$66:$DJ$120,ROWS($A$10:$A51)+2,FALSE)</f>
        <v>536</v>
      </c>
      <c r="DH51" s="34">
        <f>HLOOKUP(DH$7+0.5,$I$66:$DJ$120,ROWS($A$10:$A51)+2,FALSE)</f>
        <v>639</v>
      </c>
      <c r="DI51" s="34">
        <f>HLOOKUP(DI$7+0.5,$I$66:$DJ$120,ROWS($A$10:$A51)+2,FALSE)</f>
        <v>524</v>
      </c>
      <c r="DJ51" s="34">
        <f>HLOOKUP(DJ$7+0.5,$I$66:$DJ$120,ROWS($A$10:$A51)+2,FALSE)</f>
        <v>229</v>
      </c>
    </row>
    <row r="52" spans="2:114" x14ac:dyDescent="0.25">
      <c r="B52" s="38" t="s">
        <v>48</v>
      </c>
      <c r="C52" s="15">
        <v>805616</v>
      </c>
      <c r="D52" s="14">
        <v>1372</v>
      </c>
      <c r="E52" s="15">
        <v>680993</v>
      </c>
      <c r="F52" s="14">
        <v>6027</v>
      </c>
      <c r="G52" s="15">
        <v>96805</v>
      </c>
      <c r="H52" s="14">
        <v>5853</v>
      </c>
      <c r="I52" s="36">
        <f>HLOOKUP(I$7,$I$66:$DJ$120,ROWS($A$10:$A52)+2,FALSE)</f>
        <v>25777</v>
      </c>
      <c r="J52" s="25">
        <f>HLOOKUP(J$7,$I$66:$DJ$120,ROWS($A$10:$A52)+2,FALSE)</f>
        <v>325</v>
      </c>
      <c r="K52" s="25">
        <f>HLOOKUP(K$7,$I$66:$DJ$120,ROWS($A$10:$A52)+2,FALSE)</f>
        <v>25</v>
      </c>
      <c r="L52" s="25">
        <f>HLOOKUP(L$7,$I$66:$DJ$120,ROWS($A$10:$A52)+2,FALSE)</f>
        <v>745</v>
      </c>
      <c r="M52" s="25">
        <f>HLOOKUP(M$7,$I$66:$DJ$120,ROWS($A$10:$A52)+2,FALSE)</f>
        <v>61</v>
      </c>
      <c r="N52" s="25">
        <f>HLOOKUP(N$7,$I$66:$DJ$120,ROWS($A$10:$A52)+2,FALSE)</f>
        <v>1338</v>
      </c>
      <c r="O52" s="25">
        <f>HLOOKUP(O$7,$I$66:$DJ$120,ROWS($A$10:$A52)+2,FALSE)</f>
        <v>807</v>
      </c>
      <c r="P52" s="25">
        <f>HLOOKUP(P$7,$I$66:$DJ$120,ROWS($A$10:$A52)+2,FALSE)</f>
        <v>0</v>
      </c>
      <c r="Q52" s="25">
        <f>HLOOKUP(Q$7,$I$66:$DJ$120,ROWS($A$10:$A52)+2,FALSE)</f>
        <v>0</v>
      </c>
      <c r="R52" s="25">
        <f>HLOOKUP(R$7,$I$66:$DJ$120,ROWS($A$10:$A52)+2,FALSE)</f>
        <v>0</v>
      </c>
      <c r="S52" s="25">
        <f>HLOOKUP(S$7,$I$66:$DJ$120,ROWS($A$10:$A52)+2,FALSE)</f>
        <v>251</v>
      </c>
      <c r="T52" s="25">
        <f>HLOOKUP(T$7,$I$66:$DJ$120,ROWS($A$10:$A52)+2,FALSE)</f>
        <v>24</v>
      </c>
      <c r="U52" s="25">
        <f>HLOOKUP(U$7,$I$66:$DJ$120,ROWS($A$10:$A52)+2,FALSE)</f>
        <v>75</v>
      </c>
      <c r="V52" s="25">
        <f>HLOOKUP(V$7,$I$66:$DJ$120,ROWS($A$10:$A52)+2,FALSE)</f>
        <v>457</v>
      </c>
      <c r="W52" s="25">
        <f>HLOOKUP(W$7,$I$66:$DJ$120,ROWS($A$10:$A52)+2,FALSE)</f>
        <v>80</v>
      </c>
      <c r="X52" s="25">
        <f>HLOOKUP(X$7,$I$66:$DJ$120,ROWS($A$10:$A52)+2,FALSE)</f>
        <v>439</v>
      </c>
      <c r="Y52" s="25">
        <f>HLOOKUP(Y$7,$I$66:$DJ$120,ROWS($A$10:$A52)+2,FALSE)</f>
        <v>3520</v>
      </c>
      <c r="Z52" s="25">
        <f>HLOOKUP(Z$7,$I$66:$DJ$120,ROWS($A$10:$A52)+2,FALSE)</f>
        <v>571</v>
      </c>
      <c r="AA52" s="25">
        <f>HLOOKUP(AA$7,$I$66:$DJ$120,ROWS($A$10:$A52)+2,FALSE)</f>
        <v>82</v>
      </c>
      <c r="AB52" s="25">
        <f>HLOOKUP(AB$7,$I$66:$DJ$120,ROWS($A$10:$A52)+2,FALSE)</f>
        <v>129</v>
      </c>
      <c r="AC52" s="25">
        <f>HLOOKUP(AC$7,$I$66:$DJ$120,ROWS($A$10:$A52)+2,FALSE)</f>
        <v>0</v>
      </c>
      <c r="AD52" s="25">
        <f>HLOOKUP(AD$7,$I$66:$DJ$120,ROWS($A$10:$A52)+2,FALSE)</f>
        <v>0</v>
      </c>
      <c r="AE52" s="25">
        <f>HLOOKUP(AE$7,$I$66:$DJ$120,ROWS($A$10:$A52)+2,FALSE)</f>
        <v>407</v>
      </c>
      <c r="AF52" s="25">
        <f>HLOOKUP(AF$7,$I$66:$DJ$120,ROWS($A$10:$A52)+2,FALSE)</f>
        <v>144</v>
      </c>
      <c r="AG52" s="25">
        <f>HLOOKUP(AG$7,$I$66:$DJ$120,ROWS($A$10:$A52)+2,FALSE)</f>
        <v>4615</v>
      </c>
      <c r="AH52" s="25">
        <f>HLOOKUP(AH$7,$I$66:$DJ$120,ROWS($A$10:$A52)+2,FALSE)</f>
        <v>201</v>
      </c>
      <c r="AI52" s="25">
        <f>HLOOKUP(AI$7,$I$66:$DJ$120,ROWS($A$10:$A52)+2,FALSE)</f>
        <v>252</v>
      </c>
      <c r="AJ52" s="25">
        <f>HLOOKUP(AJ$7,$I$66:$DJ$120,ROWS($A$10:$A52)+2,FALSE)</f>
        <v>560</v>
      </c>
      <c r="AK52" s="25">
        <f>HLOOKUP(AK$7,$I$66:$DJ$120,ROWS($A$10:$A52)+2,FALSE)</f>
        <v>2260</v>
      </c>
      <c r="AL52" s="25">
        <f>HLOOKUP(AL$7,$I$66:$DJ$120,ROWS($A$10:$A52)+2,FALSE)</f>
        <v>38</v>
      </c>
      <c r="AM52" s="25">
        <f>HLOOKUP(AM$7,$I$66:$DJ$120,ROWS($A$10:$A52)+2,FALSE)</f>
        <v>0</v>
      </c>
      <c r="AN52" s="25">
        <f>HLOOKUP(AN$7,$I$66:$DJ$120,ROWS($A$10:$A52)+2,FALSE)</f>
        <v>0</v>
      </c>
      <c r="AO52" s="25">
        <f>HLOOKUP(AO$7,$I$66:$DJ$120,ROWS($A$10:$A52)+2,FALSE)</f>
        <v>38</v>
      </c>
      <c r="AP52" s="25">
        <f>HLOOKUP(AP$7,$I$66:$DJ$120,ROWS($A$10:$A52)+2,FALSE)</f>
        <v>758</v>
      </c>
      <c r="AQ52" s="25">
        <f>HLOOKUP(AQ$7,$I$66:$DJ$120,ROWS($A$10:$A52)+2,FALSE)</f>
        <v>262</v>
      </c>
      <c r="AR52" s="25">
        <f>HLOOKUP(AR$7,$I$66:$DJ$120,ROWS($A$10:$A52)+2,FALSE)</f>
        <v>2020</v>
      </c>
      <c r="AS52" s="25">
        <f>HLOOKUP(AS$7,$I$66:$DJ$120,ROWS($A$10:$A52)+2,FALSE)</f>
        <v>160</v>
      </c>
      <c r="AT52" s="25">
        <f>HLOOKUP(AT$7,$I$66:$DJ$120,ROWS($A$10:$A52)+2,FALSE)</f>
        <v>296</v>
      </c>
      <c r="AU52" s="25">
        <f>HLOOKUP(AU$7,$I$66:$DJ$120,ROWS($A$10:$A52)+2,FALSE)</f>
        <v>122</v>
      </c>
      <c r="AV52" s="25">
        <f>HLOOKUP(AV$7,$I$66:$DJ$120,ROWS($A$10:$A52)+2,FALSE)</f>
        <v>209</v>
      </c>
      <c r="AW52" s="25">
        <f>HLOOKUP(AW$7,$I$66:$DJ$120,ROWS($A$10:$A52)+2,FALSE)</f>
        <v>0</v>
      </c>
      <c r="AX52" s="25">
        <f>HLOOKUP(AX$7,$I$66:$DJ$120,ROWS($A$10:$A52)+2,FALSE)</f>
        <v>0</v>
      </c>
      <c r="AY52" s="25" t="str">
        <f>HLOOKUP(AY$7,$I$66:$DJ$120,ROWS($A$10:$A52)+2,FALSE)</f>
        <v>N/A</v>
      </c>
      <c r="AZ52" s="25">
        <f>HLOOKUP(AZ$7,$I$66:$DJ$120,ROWS($A$10:$A52)+2,FALSE)</f>
        <v>0</v>
      </c>
      <c r="BA52" s="25">
        <f>HLOOKUP(BA$7,$I$66:$DJ$120,ROWS($A$10:$A52)+2,FALSE)</f>
        <v>1334</v>
      </c>
      <c r="BB52" s="25">
        <f>HLOOKUP(BB$7,$I$66:$DJ$120,ROWS($A$10:$A52)+2,FALSE)</f>
        <v>0</v>
      </c>
      <c r="BC52" s="25">
        <f>HLOOKUP(BC$7,$I$66:$DJ$120,ROWS($A$10:$A52)+2,FALSE)</f>
        <v>0</v>
      </c>
      <c r="BD52" s="25">
        <f>HLOOKUP(BD$7,$I$66:$DJ$120,ROWS($A$10:$A52)+2,FALSE)</f>
        <v>224</v>
      </c>
      <c r="BE52" s="25">
        <f>HLOOKUP(BE$7,$I$66:$DJ$120,ROWS($A$10:$A52)+2,FALSE)</f>
        <v>1564</v>
      </c>
      <c r="BF52" s="25">
        <f>HLOOKUP(BF$7,$I$66:$DJ$120,ROWS($A$10:$A52)+2,FALSE)</f>
        <v>0</v>
      </c>
      <c r="BG52" s="25">
        <f>HLOOKUP(BG$7,$I$66:$DJ$120,ROWS($A$10:$A52)+2,FALSE)</f>
        <v>736</v>
      </c>
      <c r="BH52" s="25">
        <f>HLOOKUP(BH$7,$I$66:$DJ$120,ROWS($A$10:$A52)+2,FALSE)</f>
        <v>648</v>
      </c>
      <c r="BI52" s="25">
        <f>HLOOKUP(BI$7,$I$66:$DJ$120,ROWS($A$10:$A52)+2,FALSE)</f>
        <v>0</v>
      </c>
      <c r="BJ52" s="34">
        <f>HLOOKUP(BJ$7+0.5,$I$66:$DJ$120,ROWS($A$10:$A52)+2,FALSE)</f>
        <v>3187</v>
      </c>
      <c r="BK52" s="34">
        <f>HLOOKUP(BK$7+0.5,$I$66:$DJ$120,ROWS($A$10:$A52)+2,FALSE)</f>
        <v>333</v>
      </c>
      <c r="BL52" s="34">
        <f>HLOOKUP(BL$7+0.5,$I$66:$DJ$120,ROWS($A$10:$A52)+2,FALSE)</f>
        <v>44</v>
      </c>
      <c r="BM52" s="34">
        <f>HLOOKUP(BM$7+0.5,$I$66:$DJ$120,ROWS($A$10:$A52)+2,FALSE)</f>
        <v>533</v>
      </c>
      <c r="BN52" s="34">
        <f>HLOOKUP(BN$7+0.5,$I$66:$DJ$120,ROWS($A$10:$A52)+2,FALSE)</f>
        <v>120</v>
      </c>
      <c r="BO52" s="34">
        <f>HLOOKUP(BO$7+0.5,$I$66:$DJ$120,ROWS($A$10:$A52)+2,FALSE)</f>
        <v>703</v>
      </c>
      <c r="BP52" s="34">
        <f>HLOOKUP(BP$7+0.5,$I$66:$DJ$120,ROWS($A$10:$A52)+2,FALSE)</f>
        <v>447</v>
      </c>
      <c r="BQ52" s="34">
        <f>HLOOKUP(BQ$7+0.5,$I$66:$DJ$120,ROWS($A$10:$A52)+2,FALSE)</f>
        <v>223</v>
      </c>
      <c r="BR52" s="34">
        <f>HLOOKUP(BR$7+0.5,$I$66:$DJ$120,ROWS($A$10:$A52)+2,FALSE)</f>
        <v>223</v>
      </c>
      <c r="BS52" s="34">
        <f>HLOOKUP(BS$7+0.5,$I$66:$DJ$120,ROWS($A$10:$A52)+2,FALSE)</f>
        <v>223</v>
      </c>
      <c r="BT52" s="34">
        <f>HLOOKUP(BT$7+0.5,$I$66:$DJ$120,ROWS($A$10:$A52)+2,FALSE)</f>
        <v>242</v>
      </c>
      <c r="BU52" s="34">
        <f>HLOOKUP(BU$7+0.5,$I$66:$DJ$120,ROWS($A$10:$A52)+2,FALSE)</f>
        <v>44</v>
      </c>
      <c r="BV52" s="34">
        <f>HLOOKUP(BV$7+0.5,$I$66:$DJ$120,ROWS($A$10:$A52)+2,FALSE)</f>
        <v>123</v>
      </c>
      <c r="BW52" s="34">
        <f>HLOOKUP(BW$7+0.5,$I$66:$DJ$120,ROWS($A$10:$A52)+2,FALSE)</f>
        <v>289</v>
      </c>
      <c r="BX52" s="34">
        <f>HLOOKUP(BX$7+0.5,$I$66:$DJ$120,ROWS($A$10:$A52)+2,FALSE)</f>
        <v>134</v>
      </c>
      <c r="BY52" s="34">
        <f>HLOOKUP(BY$7+0.5,$I$66:$DJ$120,ROWS($A$10:$A52)+2,FALSE)</f>
        <v>381</v>
      </c>
      <c r="BZ52" s="34">
        <f>HLOOKUP(BZ$7+0.5,$I$66:$DJ$120,ROWS($A$10:$A52)+2,FALSE)</f>
        <v>1429</v>
      </c>
      <c r="CA52" s="34">
        <f>HLOOKUP(CA$7+0.5,$I$66:$DJ$120,ROWS($A$10:$A52)+2,FALSE)</f>
        <v>471</v>
      </c>
      <c r="CB52" s="34">
        <f>HLOOKUP(CB$7+0.5,$I$66:$DJ$120,ROWS($A$10:$A52)+2,FALSE)</f>
        <v>103</v>
      </c>
      <c r="CC52" s="34">
        <f>HLOOKUP(CC$7+0.5,$I$66:$DJ$120,ROWS($A$10:$A52)+2,FALSE)</f>
        <v>196</v>
      </c>
      <c r="CD52" s="34">
        <f>HLOOKUP(CD$7+0.5,$I$66:$DJ$120,ROWS($A$10:$A52)+2,FALSE)</f>
        <v>223</v>
      </c>
      <c r="CE52" s="34">
        <f>HLOOKUP(CE$7+0.5,$I$66:$DJ$120,ROWS($A$10:$A52)+2,FALSE)</f>
        <v>223</v>
      </c>
      <c r="CF52" s="34">
        <f>HLOOKUP(CF$7+0.5,$I$66:$DJ$120,ROWS($A$10:$A52)+2,FALSE)</f>
        <v>471</v>
      </c>
      <c r="CG52" s="34">
        <f>HLOOKUP(CG$7+0.5,$I$66:$DJ$120,ROWS($A$10:$A52)+2,FALSE)</f>
        <v>127</v>
      </c>
      <c r="CH52" s="34">
        <f>HLOOKUP(CH$7+0.5,$I$66:$DJ$120,ROWS($A$10:$A52)+2,FALSE)</f>
        <v>1629</v>
      </c>
      <c r="CI52" s="34">
        <f>HLOOKUP(CI$7+0.5,$I$66:$DJ$120,ROWS($A$10:$A52)+2,FALSE)</f>
        <v>213</v>
      </c>
      <c r="CJ52" s="34">
        <f>HLOOKUP(CJ$7+0.5,$I$66:$DJ$120,ROWS($A$10:$A52)+2,FALSE)</f>
        <v>210</v>
      </c>
      <c r="CK52" s="34">
        <f>HLOOKUP(CK$7+0.5,$I$66:$DJ$120,ROWS($A$10:$A52)+2,FALSE)</f>
        <v>364</v>
      </c>
      <c r="CL52" s="34">
        <f>HLOOKUP(CL$7+0.5,$I$66:$DJ$120,ROWS($A$10:$A52)+2,FALSE)</f>
        <v>1028</v>
      </c>
      <c r="CM52" s="34">
        <f>HLOOKUP(CM$7+0.5,$I$66:$DJ$120,ROWS($A$10:$A52)+2,FALSE)</f>
        <v>63</v>
      </c>
      <c r="CN52" s="34">
        <f>HLOOKUP(CN$7+0.5,$I$66:$DJ$120,ROWS($A$10:$A52)+2,FALSE)</f>
        <v>223</v>
      </c>
      <c r="CO52" s="34">
        <f>HLOOKUP(CO$7+0.5,$I$66:$DJ$120,ROWS($A$10:$A52)+2,FALSE)</f>
        <v>223</v>
      </c>
      <c r="CP52" s="34">
        <f>HLOOKUP(CP$7+0.5,$I$66:$DJ$120,ROWS($A$10:$A52)+2,FALSE)</f>
        <v>67</v>
      </c>
      <c r="CQ52" s="34">
        <f>HLOOKUP(CQ$7+0.5,$I$66:$DJ$120,ROWS($A$10:$A52)+2,FALSE)</f>
        <v>469</v>
      </c>
      <c r="CR52" s="34">
        <f>HLOOKUP(CR$7+0.5,$I$66:$DJ$120,ROWS($A$10:$A52)+2,FALSE)</f>
        <v>231</v>
      </c>
      <c r="CS52" s="34">
        <f>HLOOKUP(CS$7+0.5,$I$66:$DJ$120,ROWS($A$10:$A52)+2,FALSE)</f>
        <v>1029</v>
      </c>
      <c r="CT52" s="34">
        <f>HLOOKUP(CT$7+0.5,$I$66:$DJ$120,ROWS($A$10:$A52)+2,FALSE)</f>
        <v>174</v>
      </c>
      <c r="CU52" s="34">
        <f>HLOOKUP(CU$7+0.5,$I$66:$DJ$120,ROWS($A$10:$A52)+2,FALSE)</f>
        <v>289</v>
      </c>
      <c r="CV52" s="34">
        <f>HLOOKUP(CV$7+0.5,$I$66:$DJ$120,ROWS($A$10:$A52)+2,FALSE)</f>
        <v>136</v>
      </c>
      <c r="CW52" s="34">
        <f>HLOOKUP(CW$7+0.5,$I$66:$DJ$120,ROWS($A$10:$A52)+2,FALSE)</f>
        <v>268</v>
      </c>
      <c r="CX52" s="34">
        <f>HLOOKUP(CX$7+0.5,$I$66:$DJ$120,ROWS($A$10:$A52)+2,FALSE)</f>
        <v>223</v>
      </c>
      <c r="CY52" s="34">
        <f>HLOOKUP(CY$7+0.5,$I$66:$DJ$120,ROWS($A$10:$A52)+2,FALSE)</f>
        <v>223</v>
      </c>
      <c r="CZ52" s="34" t="str">
        <f>HLOOKUP(CZ$7+0.5,$I$66:$DJ$120,ROWS($A$10:$A52)+2,FALSE)</f>
        <v>N/A</v>
      </c>
      <c r="DA52" s="34">
        <f>HLOOKUP(DA$7+0.5,$I$66:$DJ$120,ROWS($A$10:$A52)+2,FALSE)</f>
        <v>223</v>
      </c>
      <c r="DB52" s="34">
        <f>HLOOKUP(DB$7+0.5,$I$66:$DJ$120,ROWS($A$10:$A52)+2,FALSE)</f>
        <v>812</v>
      </c>
      <c r="DC52" s="34">
        <f>HLOOKUP(DC$7+0.5,$I$66:$DJ$120,ROWS($A$10:$A52)+2,FALSE)</f>
        <v>223</v>
      </c>
      <c r="DD52" s="34">
        <f>HLOOKUP(DD$7+0.5,$I$66:$DJ$120,ROWS($A$10:$A52)+2,FALSE)</f>
        <v>223</v>
      </c>
      <c r="DE52" s="34">
        <f>HLOOKUP(DE$7+0.5,$I$66:$DJ$120,ROWS($A$10:$A52)+2,FALSE)</f>
        <v>217</v>
      </c>
      <c r="DF52" s="34">
        <f>HLOOKUP(DF$7+0.5,$I$66:$DJ$120,ROWS($A$10:$A52)+2,FALSE)</f>
        <v>973</v>
      </c>
      <c r="DG52" s="34">
        <f>HLOOKUP(DG$7+0.5,$I$66:$DJ$120,ROWS($A$10:$A52)+2,FALSE)</f>
        <v>223</v>
      </c>
      <c r="DH52" s="34">
        <f>HLOOKUP(DH$7+0.5,$I$66:$DJ$120,ROWS($A$10:$A52)+2,FALSE)</f>
        <v>533</v>
      </c>
      <c r="DI52" s="34">
        <f>HLOOKUP(DI$7+0.5,$I$66:$DJ$120,ROWS($A$10:$A52)+2,FALSE)</f>
        <v>549</v>
      </c>
      <c r="DJ52" s="34">
        <f>HLOOKUP(DJ$7+0.5,$I$66:$DJ$120,ROWS($A$10:$A52)+2,FALSE)</f>
        <v>223</v>
      </c>
    </row>
    <row r="53" spans="2:114" x14ac:dyDescent="0.25">
      <c r="B53" s="38" t="s">
        <v>49</v>
      </c>
      <c r="C53" s="15">
        <v>6282706</v>
      </c>
      <c r="D53" s="14">
        <v>4009</v>
      </c>
      <c r="E53" s="15">
        <v>5299496</v>
      </c>
      <c r="F53" s="14">
        <v>24505</v>
      </c>
      <c r="G53" s="15">
        <v>801355</v>
      </c>
      <c r="H53" s="14">
        <v>21988</v>
      </c>
      <c r="I53" s="36">
        <f>HLOOKUP(I$7,$I$66:$DJ$120,ROWS($A$10:$A53)+2,FALSE)</f>
        <v>159778</v>
      </c>
      <c r="J53" s="25">
        <f>HLOOKUP(J$7,$I$66:$DJ$120,ROWS($A$10:$A53)+2,FALSE)</f>
        <v>8897</v>
      </c>
      <c r="K53" s="25">
        <f>HLOOKUP(K$7,$I$66:$DJ$120,ROWS($A$10:$A53)+2,FALSE)</f>
        <v>343</v>
      </c>
      <c r="L53" s="25">
        <f>HLOOKUP(L$7,$I$66:$DJ$120,ROWS($A$10:$A53)+2,FALSE)</f>
        <v>2291</v>
      </c>
      <c r="M53" s="25">
        <f>HLOOKUP(M$7,$I$66:$DJ$120,ROWS($A$10:$A53)+2,FALSE)</f>
        <v>4736</v>
      </c>
      <c r="N53" s="25">
        <f>HLOOKUP(N$7,$I$66:$DJ$120,ROWS($A$10:$A53)+2,FALSE)</f>
        <v>8019</v>
      </c>
      <c r="O53" s="25">
        <f>HLOOKUP(O$7,$I$66:$DJ$120,ROWS($A$10:$A53)+2,FALSE)</f>
        <v>1858</v>
      </c>
      <c r="P53" s="25">
        <f>HLOOKUP(P$7,$I$66:$DJ$120,ROWS($A$10:$A53)+2,FALSE)</f>
        <v>765</v>
      </c>
      <c r="Q53" s="25">
        <f>HLOOKUP(Q$7,$I$66:$DJ$120,ROWS($A$10:$A53)+2,FALSE)</f>
        <v>248</v>
      </c>
      <c r="R53" s="25">
        <f>HLOOKUP(R$7,$I$66:$DJ$120,ROWS($A$10:$A53)+2,FALSE)</f>
        <v>394</v>
      </c>
      <c r="S53" s="25">
        <f>HLOOKUP(S$7,$I$66:$DJ$120,ROWS($A$10:$A53)+2,FALSE)</f>
        <v>14168</v>
      </c>
      <c r="T53" s="25">
        <f>HLOOKUP(T$7,$I$66:$DJ$120,ROWS($A$10:$A53)+2,FALSE)</f>
        <v>11065</v>
      </c>
      <c r="U53" s="25">
        <f>HLOOKUP(U$7,$I$66:$DJ$120,ROWS($A$10:$A53)+2,FALSE)</f>
        <v>243</v>
      </c>
      <c r="V53" s="25">
        <f>HLOOKUP(V$7,$I$66:$DJ$120,ROWS($A$10:$A53)+2,FALSE)</f>
        <v>333</v>
      </c>
      <c r="W53" s="25">
        <f>HLOOKUP(W$7,$I$66:$DJ$120,ROWS($A$10:$A53)+2,FALSE)</f>
        <v>3162</v>
      </c>
      <c r="X53" s="25">
        <f>HLOOKUP(X$7,$I$66:$DJ$120,ROWS($A$10:$A53)+2,FALSE)</f>
        <v>4764</v>
      </c>
      <c r="Y53" s="25">
        <f>HLOOKUP(Y$7,$I$66:$DJ$120,ROWS($A$10:$A53)+2,FALSE)</f>
        <v>1052</v>
      </c>
      <c r="Z53" s="25">
        <f>HLOOKUP(Z$7,$I$66:$DJ$120,ROWS($A$10:$A53)+2,FALSE)</f>
        <v>2506</v>
      </c>
      <c r="AA53" s="25">
        <f>HLOOKUP(AA$7,$I$66:$DJ$120,ROWS($A$10:$A53)+2,FALSE)</f>
        <v>11188</v>
      </c>
      <c r="AB53" s="25">
        <f>HLOOKUP(AB$7,$I$66:$DJ$120,ROWS($A$10:$A53)+2,FALSE)</f>
        <v>2602</v>
      </c>
      <c r="AC53" s="25">
        <f>HLOOKUP(AC$7,$I$66:$DJ$120,ROWS($A$10:$A53)+2,FALSE)</f>
        <v>84</v>
      </c>
      <c r="AD53" s="25">
        <f>HLOOKUP(AD$7,$I$66:$DJ$120,ROWS($A$10:$A53)+2,FALSE)</f>
        <v>1450</v>
      </c>
      <c r="AE53" s="25">
        <f>HLOOKUP(AE$7,$I$66:$DJ$120,ROWS($A$10:$A53)+2,FALSE)</f>
        <v>1733</v>
      </c>
      <c r="AF53" s="25">
        <f>HLOOKUP(AF$7,$I$66:$DJ$120,ROWS($A$10:$A53)+2,FALSE)</f>
        <v>5529</v>
      </c>
      <c r="AG53" s="25">
        <f>HLOOKUP(AG$7,$I$66:$DJ$120,ROWS($A$10:$A53)+2,FALSE)</f>
        <v>1504</v>
      </c>
      <c r="AH53" s="25">
        <f>HLOOKUP(AH$7,$I$66:$DJ$120,ROWS($A$10:$A53)+2,FALSE)</f>
        <v>9029</v>
      </c>
      <c r="AI53" s="25">
        <f>HLOOKUP(AI$7,$I$66:$DJ$120,ROWS($A$10:$A53)+2,FALSE)</f>
        <v>4342</v>
      </c>
      <c r="AJ53" s="25">
        <f>HLOOKUP(AJ$7,$I$66:$DJ$120,ROWS($A$10:$A53)+2,FALSE)</f>
        <v>290</v>
      </c>
      <c r="AK53" s="25">
        <f>HLOOKUP(AK$7,$I$66:$DJ$120,ROWS($A$10:$A53)+2,FALSE)</f>
        <v>187</v>
      </c>
      <c r="AL53" s="25">
        <f>HLOOKUP(AL$7,$I$66:$DJ$120,ROWS($A$10:$A53)+2,FALSE)</f>
        <v>2433</v>
      </c>
      <c r="AM53" s="25">
        <f>HLOOKUP(AM$7,$I$66:$DJ$120,ROWS($A$10:$A53)+2,FALSE)</f>
        <v>197</v>
      </c>
      <c r="AN53" s="25">
        <f>HLOOKUP(AN$7,$I$66:$DJ$120,ROWS($A$10:$A53)+2,FALSE)</f>
        <v>2230</v>
      </c>
      <c r="AO53" s="25">
        <f>HLOOKUP(AO$7,$I$66:$DJ$120,ROWS($A$10:$A53)+2,FALSE)</f>
        <v>621</v>
      </c>
      <c r="AP53" s="25">
        <f>HLOOKUP(AP$7,$I$66:$DJ$120,ROWS($A$10:$A53)+2,FALSE)</f>
        <v>4800</v>
      </c>
      <c r="AQ53" s="25">
        <f>HLOOKUP(AQ$7,$I$66:$DJ$120,ROWS($A$10:$A53)+2,FALSE)</f>
        <v>7102</v>
      </c>
      <c r="AR53" s="25">
        <f>HLOOKUP(AR$7,$I$66:$DJ$120,ROWS($A$10:$A53)+2,FALSE)</f>
        <v>0</v>
      </c>
      <c r="AS53" s="25">
        <f>HLOOKUP(AS$7,$I$66:$DJ$120,ROWS($A$10:$A53)+2,FALSE)</f>
        <v>4462</v>
      </c>
      <c r="AT53" s="25">
        <f>HLOOKUP(AT$7,$I$66:$DJ$120,ROWS($A$10:$A53)+2,FALSE)</f>
        <v>669</v>
      </c>
      <c r="AU53" s="25">
        <f>HLOOKUP(AU$7,$I$66:$DJ$120,ROWS($A$10:$A53)+2,FALSE)</f>
        <v>430</v>
      </c>
      <c r="AV53" s="25">
        <f>HLOOKUP(AV$7,$I$66:$DJ$120,ROWS($A$10:$A53)+2,FALSE)</f>
        <v>2562</v>
      </c>
      <c r="AW53" s="25">
        <f>HLOOKUP(AW$7,$I$66:$DJ$120,ROWS($A$10:$A53)+2,FALSE)</f>
        <v>805</v>
      </c>
      <c r="AX53" s="25">
        <f>HLOOKUP(AX$7,$I$66:$DJ$120,ROWS($A$10:$A53)+2,FALSE)</f>
        <v>4765</v>
      </c>
      <c r="AY53" s="25">
        <f>HLOOKUP(AY$7,$I$66:$DJ$120,ROWS($A$10:$A53)+2,FALSE)</f>
        <v>63</v>
      </c>
      <c r="AZ53" s="25" t="str">
        <f>HLOOKUP(AZ$7,$I$66:$DJ$120,ROWS($A$10:$A53)+2,FALSE)</f>
        <v>N/A</v>
      </c>
      <c r="BA53" s="25">
        <f>HLOOKUP(BA$7,$I$66:$DJ$120,ROWS($A$10:$A53)+2,FALSE)</f>
        <v>8701</v>
      </c>
      <c r="BB53" s="25">
        <f>HLOOKUP(BB$7,$I$66:$DJ$120,ROWS($A$10:$A53)+2,FALSE)</f>
        <v>2062</v>
      </c>
      <c r="BC53" s="25">
        <f>HLOOKUP(BC$7,$I$66:$DJ$120,ROWS($A$10:$A53)+2,FALSE)</f>
        <v>0</v>
      </c>
      <c r="BD53" s="25">
        <f>HLOOKUP(BD$7,$I$66:$DJ$120,ROWS($A$10:$A53)+2,FALSE)</f>
        <v>8650</v>
      </c>
      <c r="BE53" s="25">
        <f>HLOOKUP(BE$7,$I$66:$DJ$120,ROWS($A$10:$A53)+2,FALSE)</f>
        <v>1412</v>
      </c>
      <c r="BF53" s="25">
        <f>HLOOKUP(BF$7,$I$66:$DJ$120,ROWS($A$10:$A53)+2,FALSE)</f>
        <v>2201</v>
      </c>
      <c r="BG53" s="25">
        <f>HLOOKUP(BG$7,$I$66:$DJ$120,ROWS($A$10:$A53)+2,FALSE)</f>
        <v>2831</v>
      </c>
      <c r="BH53" s="25">
        <f>HLOOKUP(BH$7,$I$66:$DJ$120,ROWS($A$10:$A53)+2,FALSE)</f>
        <v>0</v>
      </c>
      <c r="BI53" s="25">
        <f>HLOOKUP(BI$7,$I$66:$DJ$120,ROWS($A$10:$A53)+2,FALSE)</f>
        <v>0</v>
      </c>
      <c r="BJ53" s="34">
        <f>HLOOKUP(BJ$7+0.5,$I$66:$DJ$120,ROWS($A$10:$A53)+2,FALSE)</f>
        <v>11597</v>
      </c>
      <c r="BK53" s="34">
        <f>HLOOKUP(BK$7+0.5,$I$66:$DJ$120,ROWS($A$10:$A53)+2,FALSE)</f>
        <v>2131</v>
      </c>
      <c r="BL53" s="34">
        <f>HLOOKUP(BL$7+0.5,$I$66:$DJ$120,ROWS($A$10:$A53)+2,FALSE)</f>
        <v>300</v>
      </c>
      <c r="BM53" s="34">
        <f>HLOOKUP(BM$7+0.5,$I$66:$DJ$120,ROWS($A$10:$A53)+2,FALSE)</f>
        <v>1160</v>
      </c>
      <c r="BN53" s="34">
        <f>HLOOKUP(BN$7+0.5,$I$66:$DJ$120,ROWS($A$10:$A53)+2,FALSE)</f>
        <v>1836</v>
      </c>
      <c r="BO53" s="34">
        <f>HLOOKUP(BO$7+0.5,$I$66:$DJ$120,ROWS($A$10:$A53)+2,FALSE)</f>
        <v>2431</v>
      </c>
      <c r="BP53" s="34">
        <f>HLOOKUP(BP$7+0.5,$I$66:$DJ$120,ROWS($A$10:$A53)+2,FALSE)</f>
        <v>1182</v>
      </c>
      <c r="BQ53" s="34">
        <f>HLOOKUP(BQ$7+0.5,$I$66:$DJ$120,ROWS($A$10:$A53)+2,FALSE)</f>
        <v>713</v>
      </c>
      <c r="BR53" s="34">
        <f>HLOOKUP(BR$7+0.5,$I$66:$DJ$120,ROWS($A$10:$A53)+2,FALSE)</f>
        <v>254</v>
      </c>
      <c r="BS53" s="34">
        <f>HLOOKUP(BS$7+0.5,$I$66:$DJ$120,ROWS($A$10:$A53)+2,FALSE)</f>
        <v>484</v>
      </c>
      <c r="BT53" s="34">
        <f>HLOOKUP(BT$7+0.5,$I$66:$DJ$120,ROWS($A$10:$A53)+2,FALSE)</f>
        <v>3004</v>
      </c>
      <c r="BU53" s="34">
        <f>HLOOKUP(BU$7+0.5,$I$66:$DJ$120,ROWS($A$10:$A53)+2,FALSE)</f>
        <v>2592</v>
      </c>
      <c r="BV53" s="34">
        <f>HLOOKUP(BV$7+0.5,$I$66:$DJ$120,ROWS($A$10:$A53)+2,FALSE)</f>
        <v>402</v>
      </c>
      <c r="BW53" s="34">
        <f>HLOOKUP(BW$7+0.5,$I$66:$DJ$120,ROWS($A$10:$A53)+2,FALSE)</f>
        <v>374</v>
      </c>
      <c r="BX53" s="34">
        <f>HLOOKUP(BX$7+0.5,$I$66:$DJ$120,ROWS($A$10:$A53)+2,FALSE)</f>
        <v>1151</v>
      </c>
      <c r="BY53" s="34">
        <f>HLOOKUP(BY$7+0.5,$I$66:$DJ$120,ROWS($A$10:$A53)+2,FALSE)</f>
        <v>1593</v>
      </c>
      <c r="BZ53" s="34">
        <f>HLOOKUP(BZ$7+0.5,$I$66:$DJ$120,ROWS($A$10:$A53)+2,FALSE)</f>
        <v>864</v>
      </c>
      <c r="CA53" s="34">
        <f>HLOOKUP(CA$7+0.5,$I$66:$DJ$120,ROWS($A$10:$A53)+2,FALSE)</f>
        <v>2041</v>
      </c>
      <c r="CB53" s="34">
        <f>HLOOKUP(CB$7+0.5,$I$66:$DJ$120,ROWS($A$10:$A53)+2,FALSE)</f>
        <v>3378</v>
      </c>
      <c r="CC53" s="34">
        <f>HLOOKUP(CC$7+0.5,$I$66:$DJ$120,ROWS($A$10:$A53)+2,FALSE)</f>
        <v>1490</v>
      </c>
      <c r="CD53" s="34">
        <f>HLOOKUP(CD$7+0.5,$I$66:$DJ$120,ROWS($A$10:$A53)+2,FALSE)</f>
        <v>138</v>
      </c>
      <c r="CE53" s="34">
        <f>HLOOKUP(CE$7+0.5,$I$66:$DJ$120,ROWS($A$10:$A53)+2,FALSE)</f>
        <v>701</v>
      </c>
      <c r="CF53" s="34">
        <f>HLOOKUP(CF$7+0.5,$I$66:$DJ$120,ROWS($A$10:$A53)+2,FALSE)</f>
        <v>904</v>
      </c>
      <c r="CG53" s="34">
        <f>HLOOKUP(CG$7+0.5,$I$66:$DJ$120,ROWS($A$10:$A53)+2,FALSE)</f>
        <v>1806</v>
      </c>
      <c r="CH53" s="34">
        <f>HLOOKUP(CH$7+0.5,$I$66:$DJ$120,ROWS($A$10:$A53)+2,FALSE)</f>
        <v>1160</v>
      </c>
      <c r="CI53" s="34">
        <f>HLOOKUP(CI$7+0.5,$I$66:$DJ$120,ROWS($A$10:$A53)+2,FALSE)</f>
        <v>2461</v>
      </c>
      <c r="CJ53" s="34">
        <f>HLOOKUP(CJ$7+0.5,$I$66:$DJ$120,ROWS($A$10:$A53)+2,FALSE)</f>
        <v>1588</v>
      </c>
      <c r="CK53" s="34">
        <f>HLOOKUP(CK$7+0.5,$I$66:$DJ$120,ROWS($A$10:$A53)+2,FALSE)</f>
        <v>243</v>
      </c>
      <c r="CL53" s="34">
        <f>HLOOKUP(CL$7+0.5,$I$66:$DJ$120,ROWS($A$10:$A53)+2,FALSE)</f>
        <v>177</v>
      </c>
      <c r="CM53" s="34">
        <f>HLOOKUP(CM$7+0.5,$I$66:$DJ$120,ROWS($A$10:$A53)+2,FALSE)</f>
        <v>1517</v>
      </c>
      <c r="CN53" s="34">
        <f>HLOOKUP(CN$7+0.5,$I$66:$DJ$120,ROWS($A$10:$A53)+2,FALSE)</f>
        <v>238</v>
      </c>
      <c r="CO53" s="34">
        <f>HLOOKUP(CO$7+0.5,$I$66:$DJ$120,ROWS($A$10:$A53)+2,FALSE)</f>
        <v>1219</v>
      </c>
      <c r="CP53" s="34">
        <f>HLOOKUP(CP$7+0.5,$I$66:$DJ$120,ROWS($A$10:$A53)+2,FALSE)</f>
        <v>543</v>
      </c>
      <c r="CQ53" s="34">
        <f>HLOOKUP(CQ$7+0.5,$I$66:$DJ$120,ROWS($A$10:$A53)+2,FALSE)</f>
        <v>1691</v>
      </c>
      <c r="CR53" s="34">
        <f>HLOOKUP(CR$7+0.5,$I$66:$DJ$120,ROWS($A$10:$A53)+2,FALSE)</f>
        <v>1676</v>
      </c>
      <c r="CS53" s="34">
        <f>HLOOKUP(CS$7+0.5,$I$66:$DJ$120,ROWS($A$10:$A53)+2,FALSE)</f>
        <v>287</v>
      </c>
      <c r="CT53" s="34">
        <f>HLOOKUP(CT$7+0.5,$I$66:$DJ$120,ROWS($A$10:$A53)+2,FALSE)</f>
        <v>2091</v>
      </c>
      <c r="CU53" s="34">
        <f>HLOOKUP(CU$7+0.5,$I$66:$DJ$120,ROWS($A$10:$A53)+2,FALSE)</f>
        <v>482</v>
      </c>
      <c r="CV53" s="34">
        <f>HLOOKUP(CV$7+0.5,$I$66:$DJ$120,ROWS($A$10:$A53)+2,FALSE)</f>
        <v>497</v>
      </c>
      <c r="CW53" s="34">
        <f>HLOOKUP(CW$7+0.5,$I$66:$DJ$120,ROWS($A$10:$A53)+2,FALSE)</f>
        <v>1256</v>
      </c>
      <c r="CX53" s="34">
        <f>HLOOKUP(CX$7+0.5,$I$66:$DJ$120,ROWS($A$10:$A53)+2,FALSE)</f>
        <v>913</v>
      </c>
      <c r="CY53" s="34">
        <f>HLOOKUP(CY$7+0.5,$I$66:$DJ$120,ROWS($A$10:$A53)+2,FALSE)</f>
        <v>2102</v>
      </c>
      <c r="CZ53" s="34">
        <f>HLOOKUP(CZ$7+0.5,$I$66:$DJ$120,ROWS($A$10:$A53)+2,FALSE)</f>
        <v>112</v>
      </c>
      <c r="DA53" s="34" t="str">
        <f>HLOOKUP(DA$7+0.5,$I$66:$DJ$120,ROWS($A$10:$A53)+2,FALSE)</f>
        <v>N/A</v>
      </c>
      <c r="DB53" s="34">
        <f>HLOOKUP(DB$7+0.5,$I$66:$DJ$120,ROWS($A$10:$A53)+2,FALSE)</f>
        <v>2089</v>
      </c>
      <c r="DC53" s="34">
        <f>HLOOKUP(DC$7+0.5,$I$66:$DJ$120,ROWS($A$10:$A53)+2,FALSE)</f>
        <v>1241</v>
      </c>
      <c r="DD53" s="34">
        <f>HLOOKUP(DD$7+0.5,$I$66:$DJ$120,ROWS($A$10:$A53)+2,FALSE)</f>
        <v>287</v>
      </c>
      <c r="DE53" s="34">
        <f>HLOOKUP(DE$7+0.5,$I$66:$DJ$120,ROWS($A$10:$A53)+2,FALSE)</f>
        <v>2526</v>
      </c>
      <c r="DF53" s="34">
        <f>HLOOKUP(DF$7+0.5,$I$66:$DJ$120,ROWS($A$10:$A53)+2,FALSE)</f>
        <v>911</v>
      </c>
      <c r="DG53" s="34">
        <f>HLOOKUP(DG$7+0.5,$I$66:$DJ$120,ROWS($A$10:$A53)+2,FALSE)</f>
        <v>1455</v>
      </c>
      <c r="DH53" s="34">
        <f>HLOOKUP(DH$7+0.5,$I$66:$DJ$120,ROWS($A$10:$A53)+2,FALSE)</f>
        <v>1402</v>
      </c>
      <c r="DI53" s="34">
        <f>HLOOKUP(DI$7+0.5,$I$66:$DJ$120,ROWS($A$10:$A53)+2,FALSE)</f>
        <v>287</v>
      </c>
      <c r="DJ53" s="34">
        <f>HLOOKUP(DJ$7+0.5,$I$66:$DJ$120,ROWS($A$10:$A53)+2,FALSE)</f>
        <v>287</v>
      </c>
    </row>
    <row r="54" spans="2:114" x14ac:dyDescent="0.25">
      <c r="B54" s="38" t="s">
        <v>50</v>
      </c>
      <c r="C54" s="15">
        <v>24899075</v>
      </c>
      <c r="D54" s="14">
        <v>8102</v>
      </c>
      <c r="E54" s="15">
        <v>20500156</v>
      </c>
      <c r="F54" s="14">
        <v>52416</v>
      </c>
      <c r="G54" s="15">
        <v>3740344</v>
      </c>
      <c r="H54" s="14">
        <v>51566</v>
      </c>
      <c r="I54" s="36">
        <f>HLOOKUP(I$7,$I$66:$DJ$120,ROWS($A$10:$A54)+2,FALSE)</f>
        <v>486558</v>
      </c>
      <c r="J54" s="25">
        <f>HLOOKUP(J$7,$I$66:$DJ$120,ROWS($A$10:$A54)+2,FALSE)</f>
        <v>8636</v>
      </c>
      <c r="K54" s="25">
        <f>HLOOKUP(K$7,$I$66:$DJ$120,ROWS($A$10:$A54)+2,FALSE)</f>
        <v>11613</v>
      </c>
      <c r="L54" s="25">
        <f>HLOOKUP(L$7,$I$66:$DJ$120,ROWS($A$10:$A54)+2,FALSE)</f>
        <v>16521</v>
      </c>
      <c r="M54" s="25">
        <f>HLOOKUP(M$7,$I$66:$DJ$120,ROWS($A$10:$A54)+2,FALSE)</f>
        <v>15251</v>
      </c>
      <c r="N54" s="25">
        <f>HLOOKUP(N$7,$I$66:$DJ$120,ROWS($A$10:$A54)+2,FALSE)</f>
        <v>68959</v>
      </c>
      <c r="O54" s="25">
        <f>HLOOKUP(O$7,$I$66:$DJ$120,ROWS($A$10:$A54)+2,FALSE)</f>
        <v>16361</v>
      </c>
      <c r="P54" s="25">
        <f>HLOOKUP(P$7,$I$66:$DJ$120,ROWS($A$10:$A54)+2,FALSE)</f>
        <v>924</v>
      </c>
      <c r="Q54" s="25">
        <f>HLOOKUP(Q$7,$I$66:$DJ$120,ROWS($A$10:$A54)+2,FALSE)</f>
        <v>704</v>
      </c>
      <c r="R54" s="25">
        <f>HLOOKUP(R$7,$I$66:$DJ$120,ROWS($A$10:$A54)+2,FALSE)</f>
        <v>460</v>
      </c>
      <c r="S54" s="25">
        <f>HLOOKUP(S$7,$I$66:$DJ$120,ROWS($A$10:$A54)+2,FALSE)</f>
        <v>26668</v>
      </c>
      <c r="T54" s="25">
        <f>HLOOKUP(T$7,$I$66:$DJ$120,ROWS($A$10:$A54)+2,FALSE)</f>
        <v>16671</v>
      </c>
      <c r="U54" s="25">
        <f>HLOOKUP(U$7,$I$66:$DJ$120,ROWS($A$10:$A54)+2,FALSE)</f>
        <v>3718</v>
      </c>
      <c r="V54" s="25">
        <f>HLOOKUP(V$7,$I$66:$DJ$120,ROWS($A$10:$A54)+2,FALSE)</f>
        <v>2033</v>
      </c>
      <c r="W54" s="25">
        <f>HLOOKUP(W$7,$I$66:$DJ$120,ROWS($A$10:$A54)+2,FALSE)</f>
        <v>20169</v>
      </c>
      <c r="X54" s="25">
        <f>HLOOKUP(X$7,$I$66:$DJ$120,ROWS($A$10:$A54)+2,FALSE)</f>
        <v>6985</v>
      </c>
      <c r="Y54" s="25">
        <f>HLOOKUP(Y$7,$I$66:$DJ$120,ROWS($A$10:$A54)+2,FALSE)</f>
        <v>3946</v>
      </c>
      <c r="Z54" s="25">
        <f>HLOOKUP(Z$7,$I$66:$DJ$120,ROWS($A$10:$A54)+2,FALSE)</f>
        <v>11598</v>
      </c>
      <c r="AA54" s="25">
        <f>HLOOKUP(AA$7,$I$66:$DJ$120,ROWS($A$10:$A54)+2,FALSE)</f>
        <v>5153</v>
      </c>
      <c r="AB54" s="25">
        <f>HLOOKUP(AB$7,$I$66:$DJ$120,ROWS($A$10:$A54)+2,FALSE)</f>
        <v>31149</v>
      </c>
      <c r="AC54" s="25">
        <f>HLOOKUP(AC$7,$I$66:$DJ$120,ROWS($A$10:$A54)+2,FALSE)</f>
        <v>1318</v>
      </c>
      <c r="AD54" s="25">
        <f>HLOOKUP(AD$7,$I$66:$DJ$120,ROWS($A$10:$A54)+2,FALSE)</f>
        <v>4724</v>
      </c>
      <c r="AE54" s="25">
        <f>HLOOKUP(AE$7,$I$66:$DJ$120,ROWS($A$10:$A54)+2,FALSE)</f>
        <v>7139</v>
      </c>
      <c r="AF54" s="25">
        <f>HLOOKUP(AF$7,$I$66:$DJ$120,ROWS($A$10:$A54)+2,FALSE)</f>
        <v>13775</v>
      </c>
      <c r="AG54" s="25">
        <f>HLOOKUP(AG$7,$I$66:$DJ$120,ROWS($A$10:$A54)+2,FALSE)</f>
        <v>6088</v>
      </c>
      <c r="AH54" s="25">
        <f>HLOOKUP(AH$7,$I$66:$DJ$120,ROWS($A$10:$A54)+2,FALSE)</f>
        <v>7773</v>
      </c>
      <c r="AI54" s="25">
        <f>HLOOKUP(AI$7,$I$66:$DJ$120,ROWS($A$10:$A54)+2,FALSE)</f>
        <v>12061</v>
      </c>
      <c r="AJ54" s="25">
        <f>HLOOKUP(AJ$7,$I$66:$DJ$120,ROWS($A$10:$A54)+2,FALSE)</f>
        <v>1027</v>
      </c>
      <c r="AK54" s="25">
        <f>HLOOKUP(AK$7,$I$66:$DJ$120,ROWS($A$10:$A54)+2,FALSE)</f>
        <v>4893</v>
      </c>
      <c r="AL54" s="25">
        <f>HLOOKUP(AL$7,$I$66:$DJ$120,ROWS($A$10:$A54)+2,FALSE)</f>
        <v>8324</v>
      </c>
      <c r="AM54" s="25">
        <f>HLOOKUP(AM$7,$I$66:$DJ$120,ROWS($A$10:$A54)+2,FALSE)</f>
        <v>1067</v>
      </c>
      <c r="AN54" s="25">
        <f>HLOOKUP(AN$7,$I$66:$DJ$120,ROWS($A$10:$A54)+2,FALSE)</f>
        <v>7058</v>
      </c>
      <c r="AO54" s="25">
        <f>HLOOKUP(AO$7,$I$66:$DJ$120,ROWS($A$10:$A54)+2,FALSE)</f>
        <v>11752</v>
      </c>
      <c r="AP54" s="25">
        <f>HLOOKUP(AP$7,$I$66:$DJ$120,ROWS($A$10:$A54)+2,FALSE)</f>
        <v>16624</v>
      </c>
      <c r="AQ54" s="25">
        <f>HLOOKUP(AQ$7,$I$66:$DJ$120,ROWS($A$10:$A54)+2,FALSE)</f>
        <v>12183</v>
      </c>
      <c r="AR54" s="25">
        <f>HLOOKUP(AR$7,$I$66:$DJ$120,ROWS($A$10:$A54)+2,FALSE)</f>
        <v>2452</v>
      </c>
      <c r="AS54" s="25">
        <f>HLOOKUP(AS$7,$I$66:$DJ$120,ROWS($A$10:$A54)+2,FALSE)</f>
        <v>8317</v>
      </c>
      <c r="AT54" s="25">
        <f>HLOOKUP(AT$7,$I$66:$DJ$120,ROWS($A$10:$A54)+2,FALSE)</f>
        <v>22969</v>
      </c>
      <c r="AU54" s="25">
        <f>HLOOKUP(AU$7,$I$66:$DJ$120,ROWS($A$10:$A54)+2,FALSE)</f>
        <v>4373</v>
      </c>
      <c r="AV54" s="25">
        <f>HLOOKUP(AV$7,$I$66:$DJ$120,ROWS($A$10:$A54)+2,FALSE)</f>
        <v>7161</v>
      </c>
      <c r="AW54" s="25">
        <f>HLOOKUP(AW$7,$I$66:$DJ$120,ROWS($A$10:$A54)+2,FALSE)</f>
        <v>975</v>
      </c>
      <c r="AX54" s="25">
        <f>HLOOKUP(AX$7,$I$66:$DJ$120,ROWS($A$10:$A54)+2,FALSE)</f>
        <v>5249</v>
      </c>
      <c r="AY54" s="25">
        <f>HLOOKUP(AY$7,$I$66:$DJ$120,ROWS($A$10:$A54)+2,FALSE)</f>
        <v>1936</v>
      </c>
      <c r="AZ54" s="25">
        <f>HLOOKUP(AZ$7,$I$66:$DJ$120,ROWS($A$10:$A54)+2,FALSE)</f>
        <v>13044</v>
      </c>
      <c r="BA54" s="25" t="str">
        <f>HLOOKUP(BA$7,$I$66:$DJ$120,ROWS($A$10:$A54)+2,FALSE)</f>
        <v>N/A</v>
      </c>
      <c r="BB54" s="25">
        <f>HLOOKUP(BB$7,$I$66:$DJ$120,ROWS($A$10:$A54)+2,FALSE)</f>
        <v>4123</v>
      </c>
      <c r="BC54" s="25">
        <f>HLOOKUP(BC$7,$I$66:$DJ$120,ROWS($A$10:$A54)+2,FALSE)</f>
        <v>52</v>
      </c>
      <c r="BD54" s="25">
        <f>HLOOKUP(BD$7,$I$66:$DJ$120,ROWS($A$10:$A54)+2,FALSE)</f>
        <v>13713</v>
      </c>
      <c r="BE54" s="25">
        <f>HLOOKUP(BE$7,$I$66:$DJ$120,ROWS($A$10:$A54)+2,FALSE)</f>
        <v>8847</v>
      </c>
      <c r="BF54" s="25">
        <f>HLOOKUP(BF$7,$I$66:$DJ$120,ROWS($A$10:$A54)+2,FALSE)</f>
        <v>2221</v>
      </c>
      <c r="BG54" s="25">
        <f>HLOOKUP(BG$7,$I$66:$DJ$120,ROWS($A$10:$A54)+2,FALSE)</f>
        <v>5927</v>
      </c>
      <c r="BH54" s="25">
        <f>HLOOKUP(BH$7,$I$66:$DJ$120,ROWS($A$10:$A54)+2,FALSE)</f>
        <v>1874</v>
      </c>
      <c r="BI54" s="25">
        <f>HLOOKUP(BI$7,$I$66:$DJ$120,ROWS($A$10:$A54)+2,FALSE)</f>
        <v>4180</v>
      </c>
      <c r="BJ54" s="34">
        <f>HLOOKUP(BJ$7+0.5,$I$66:$DJ$120,ROWS($A$10:$A54)+2,FALSE)</f>
        <v>20955</v>
      </c>
      <c r="BK54" s="34">
        <f>HLOOKUP(BK$7+0.5,$I$66:$DJ$120,ROWS($A$10:$A54)+2,FALSE)</f>
        <v>2633</v>
      </c>
      <c r="BL54" s="34">
        <f>HLOOKUP(BL$7+0.5,$I$66:$DJ$120,ROWS($A$10:$A54)+2,FALSE)</f>
        <v>3256</v>
      </c>
      <c r="BM54" s="34">
        <f>HLOOKUP(BM$7+0.5,$I$66:$DJ$120,ROWS($A$10:$A54)+2,FALSE)</f>
        <v>3719</v>
      </c>
      <c r="BN54" s="34">
        <f>HLOOKUP(BN$7+0.5,$I$66:$DJ$120,ROWS($A$10:$A54)+2,FALSE)</f>
        <v>3182</v>
      </c>
      <c r="BO54" s="34">
        <f>HLOOKUP(BO$7+0.5,$I$66:$DJ$120,ROWS($A$10:$A54)+2,FALSE)</f>
        <v>7058</v>
      </c>
      <c r="BP54" s="34">
        <f>HLOOKUP(BP$7+0.5,$I$66:$DJ$120,ROWS($A$10:$A54)+2,FALSE)</f>
        <v>3311</v>
      </c>
      <c r="BQ54" s="34">
        <f>HLOOKUP(BQ$7+0.5,$I$66:$DJ$120,ROWS($A$10:$A54)+2,FALSE)</f>
        <v>551</v>
      </c>
      <c r="BR54" s="34">
        <f>HLOOKUP(BR$7+0.5,$I$66:$DJ$120,ROWS($A$10:$A54)+2,FALSE)</f>
        <v>533</v>
      </c>
      <c r="BS54" s="34">
        <f>HLOOKUP(BS$7+0.5,$I$66:$DJ$120,ROWS($A$10:$A54)+2,FALSE)</f>
        <v>400</v>
      </c>
      <c r="BT54" s="34">
        <f>HLOOKUP(BT$7+0.5,$I$66:$DJ$120,ROWS($A$10:$A54)+2,FALSE)</f>
        <v>4238</v>
      </c>
      <c r="BU54" s="34">
        <f>HLOOKUP(BU$7+0.5,$I$66:$DJ$120,ROWS($A$10:$A54)+2,FALSE)</f>
        <v>3792</v>
      </c>
      <c r="BV54" s="34">
        <f>HLOOKUP(BV$7+0.5,$I$66:$DJ$120,ROWS($A$10:$A54)+2,FALSE)</f>
        <v>1263</v>
      </c>
      <c r="BW54" s="34">
        <f>HLOOKUP(BW$7+0.5,$I$66:$DJ$120,ROWS($A$10:$A54)+2,FALSE)</f>
        <v>1171</v>
      </c>
      <c r="BX54" s="34">
        <f>HLOOKUP(BX$7+0.5,$I$66:$DJ$120,ROWS($A$10:$A54)+2,FALSE)</f>
        <v>3942</v>
      </c>
      <c r="BY54" s="34">
        <f>HLOOKUP(BY$7+0.5,$I$66:$DJ$120,ROWS($A$10:$A54)+2,FALSE)</f>
        <v>2350</v>
      </c>
      <c r="BZ54" s="34">
        <f>HLOOKUP(BZ$7+0.5,$I$66:$DJ$120,ROWS($A$10:$A54)+2,FALSE)</f>
        <v>1452</v>
      </c>
      <c r="CA54" s="34">
        <f>HLOOKUP(CA$7+0.5,$I$66:$DJ$120,ROWS($A$10:$A54)+2,FALSE)</f>
        <v>2743</v>
      </c>
      <c r="CB54" s="34">
        <f>HLOOKUP(CB$7+0.5,$I$66:$DJ$120,ROWS($A$10:$A54)+2,FALSE)</f>
        <v>1839</v>
      </c>
      <c r="CC54" s="34">
        <f>HLOOKUP(CC$7+0.5,$I$66:$DJ$120,ROWS($A$10:$A54)+2,FALSE)</f>
        <v>5628</v>
      </c>
      <c r="CD54" s="34">
        <f>HLOOKUP(CD$7+0.5,$I$66:$DJ$120,ROWS($A$10:$A54)+2,FALSE)</f>
        <v>889</v>
      </c>
      <c r="CE54" s="34">
        <f>HLOOKUP(CE$7+0.5,$I$66:$DJ$120,ROWS($A$10:$A54)+2,FALSE)</f>
        <v>1564</v>
      </c>
      <c r="CF54" s="34">
        <f>HLOOKUP(CF$7+0.5,$I$66:$DJ$120,ROWS($A$10:$A54)+2,FALSE)</f>
        <v>2275</v>
      </c>
      <c r="CG54" s="34">
        <f>HLOOKUP(CG$7+0.5,$I$66:$DJ$120,ROWS($A$10:$A54)+2,FALSE)</f>
        <v>3091</v>
      </c>
      <c r="CH54" s="34">
        <f>HLOOKUP(CH$7+0.5,$I$66:$DJ$120,ROWS($A$10:$A54)+2,FALSE)</f>
        <v>2182</v>
      </c>
      <c r="CI54" s="34">
        <f>HLOOKUP(CI$7+0.5,$I$66:$DJ$120,ROWS($A$10:$A54)+2,FALSE)</f>
        <v>2477</v>
      </c>
      <c r="CJ54" s="34">
        <f>HLOOKUP(CJ$7+0.5,$I$66:$DJ$120,ROWS($A$10:$A54)+2,FALSE)</f>
        <v>2517</v>
      </c>
      <c r="CK54" s="34">
        <f>HLOOKUP(CK$7+0.5,$I$66:$DJ$120,ROWS($A$10:$A54)+2,FALSE)</f>
        <v>614</v>
      </c>
      <c r="CL54" s="34">
        <f>HLOOKUP(CL$7+0.5,$I$66:$DJ$120,ROWS($A$10:$A54)+2,FALSE)</f>
        <v>2391</v>
      </c>
      <c r="CM54" s="34">
        <f>HLOOKUP(CM$7+0.5,$I$66:$DJ$120,ROWS($A$10:$A54)+2,FALSE)</f>
        <v>2790</v>
      </c>
      <c r="CN54" s="34">
        <f>HLOOKUP(CN$7+0.5,$I$66:$DJ$120,ROWS($A$10:$A54)+2,FALSE)</f>
        <v>637</v>
      </c>
      <c r="CO54" s="34">
        <f>HLOOKUP(CO$7+0.5,$I$66:$DJ$120,ROWS($A$10:$A54)+2,FALSE)</f>
        <v>2884</v>
      </c>
      <c r="CP54" s="34">
        <f>HLOOKUP(CP$7+0.5,$I$66:$DJ$120,ROWS($A$10:$A54)+2,FALSE)</f>
        <v>2780</v>
      </c>
      <c r="CQ54" s="34">
        <f>HLOOKUP(CQ$7+0.5,$I$66:$DJ$120,ROWS($A$10:$A54)+2,FALSE)</f>
        <v>4092</v>
      </c>
      <c r="CR54" s="34">
        <f>HLOOKUP(CR$7+0.5,$I$66:$DJ$120,ROWS($A$10:$A54)+2,FALSE)</f>
        <v>3708</v>
      </c>
      <c r="CS54" s="34">
        <f>HLOOKUP(CS$7+0.5,$I$66:$DJ$120,ROWS($A$10:$A54)+2,FALSE)</f>
        <v>1624</v>
      </c>
      <c r="CT54" s="34">
        <f>HLOOKUP(CT$7+0.5,$I$66:$DJ$120,ROWS($A$10:$A54)+2,FALSE)</f>
        <v>1971</v>
      </c>
      <c r="CU54" s="34">
        <f>HLOOKUP(CU$7+0.5,$I$66:$DJ$120,ROWS($A$10:$A54)+2,FALSE)</f>
        <v>4302</v>
      </c>
      <c r="CV54" s="34">
        <f>HLOOKUP(CV$7+0.5,$I$66:$DJ$120,ROWS($A$10:$A54)+2,FALSE)</f>
        <v>1618</v>
      </c>
      <c r="CW54" s="34">
        <f>HLOOKUP(CW$7+0.5,$I$66:$DJ$120,ROWS($A$10:$A54)+2,FALSE)</f>
        <v>2092</v>
      </c>
      <c r="CX54" s="34">
        <f>HLOOKUP(CX$7+0.5,$I$66:$DJ$120,ROWS($A$10:$A54)+2,FALSE)</f>
        <v>613</v>
      </c>
      <c r="CY54" s="34">
        <f>HLOOKUP(CY$7+0.5,$I$66:$DJ$120,ROWS($A$10:$A54)+2,FALSE)</f>
        <v>1965</v>
      </c>
      <c r="CZ54" s="34">
        <f>HLOOKUP(CZ$7+0.5,$I$66:$DJ$120,ROWS($A$10:$A54)+2,FALSE)</f>
        <v>836</v>
      </c>
      <c r="DA54" s="34">
        <f>HLOOKUP(DA$7+0.5,$I$66:$DJ$120,ROWS($A$10:$A54)+2,FALSE)</f>
        <v>3538</v>
      </c>
      <c r="DB54" s="34" t="str">
        <f>HLOOKUP(DB$7+0.5,$I$66:$DJ$120,ROWS($A$10:$A54)+2,FALSE)</f>
        <v>N/A</v>
      </c>
      <c r="DC54" s="34">
        <f>HLOOKUP(DC$7+0.5,$I$66:$DJ$120,ROWS($A$10:$A54)+2,FALSE)</f>
        <v>1574</v>
      </c>
      <c r="DD54" s="34">
        <f>HLOOKUP(DD$7+0.5,$I$66:$DJ$120,ROWS($A$10:$A54)+2,FALSE)</f>
        <v>88</v>
      </c>
      <c r="DE54" s="34">
        <f>HLOOKUP(DE$7+0.5,$I$66:$DJ$120,ROWS($A$10:$A54)+2,FALSE)</f>
        <v>2694</v>
      </c>
      <c r="DF54" s="34">
        <f>HLOOKUP(DF$7+0.5,$I$66:$DJ$120,ROWS($A$10:$A54)+2,FALSE)</f>
        <v>2397</v>
      </c>
      <c r="DG54" s="34">
        <f>HLOOKUP(DG$7+0.5,$I$66:$DJ$120,ROWS($A$10:$A54)+2,FALSE)</f>
        <v>1231</v>
      </c>
      <c r="DH54" s="34">
        <f>HLOOKUP(DH$7+0.5,$I$66:$DJ$120,ROWS($A$10:$A54)+2,FALSE)</f>
        <v>1723</v>
      </c>
      <c r="DI54" s="34">
        <f>HLOOKUP(DI$7+0.5,$I$66:$DJ$120,ROWS($A$10:$A54)+2,FALSE)</f>
        <v>1022</v>
      </c>
      <c r="DJ54" s="34">
        <f>HLOOKUP(DJ$7+0.5,$I$66:$DJ$120,ROWS($A$10:$A54)+2,FALSE)</f>
        <v>2074</v>
      </c>
    </row>
    <row r="55" spans="2:114" x14ac:dyDescent="0.25">
      <c r="B55" s="38" t="s">
        <v>51</v>
      </c>
      <c r="C55" s="15">
        <v>2724064</v>
      </c>
      <c r="D55" s="14">
        <v>2775</v>
      </c>
      <c r="E55" s="15">
        <v>2240636</v>
      </c>
      <c r="F55" s="14">
        <v>18397</v>
      </c>
      <c r="G55" s="15">
        <v>388410</v>
      </c>
      <c r="H55" s="14">
        <v>17535</v>
      </c>
      <c r="I55" s="36">
        <f>HLOOKUP(I$7,$I$66:$DJ$120,ROWS($A$10:$A55)+2,FALSE)</f>
        <v>77780</v>
      </c>
      <c r="J55" s="25">
        <f>HLOOKUP(J$7,$I$66:$DJ$120,ROWS($A$10:$A55)+2,FALSE)</f>
        <v>93</v>
      </c>
      <c r="K55" s="25">
        <f>HLOOKUP(K$7,$I$66:$DJ$120,ROWS($A$10:$A55)+2,FALSE)</f>
        <v>1798</v>
      </c>
      <c r="L55" s="25">
        <f>HLOOKUP(L$7,$I$66:$DJ$120,ROWS($A$10:$A55)+2,FALSE)</f>
        <v>8147</v>
      </c>
      <c r="M55" s="25">
        <f>HLOOKUP(M$7,$I$66:$DJ$120,ROWS($A$10:$A55)+2,FALSE)</f>
        <v>316</v>
      </c>
      <c r="N55" s="25">
        <f>HLOOKUP(N$7,$I$66:$DJ$120,ROWS($A$10:$A55)+2,FALSE)</f>
        <v>12187</v>
      </c>
      <c r="O55" s="25">
        <f>HLOOKUP(O$7,$I$66:$DJ$120,ROWS($A$10:$A55)+2,FALSE)</f>
        <v>3987</v>
      </c>
      <c r="P55" s="25">
        <f>HLOOKUP(P$7,$I$66:$DJ$120,ROWS($A$10:$A55)+2,FALSE)</f>
        <v>119</v>
      </c>
      <c r="Q55" s="25">
        <f>HLOOKUP(Q$7,$I$66:$DJ$120,ROWS($A$10:$A55)+2,FALSE)</f>
        <v>0</v>
      </c>
      <c r="R55" s="25">
        <f>HLOOKUP(R$7,$I$66:$DJ$120,ROWS($A$10:$A55)+2,FALSE)</f>
        <v>138</v>
      </c>
      <c r="S55" s="25">
        <f>HLOOKUP(S$7,$I$66:$DJ$120,ROWS($A$10:$A55)+2,FALSE)</f>
        <v>2097</v>
      </c>
      <c r="T55" s="25">
        <f>HLOOKUP(T$7,$I$66:$DJ$120,ROWS($A$10:$A55)+2,FALSE)</f>
        <v>966</v>
      </c>
      <c r="U55" s="25">
        <f>HLOOKUP(U$7,$I$66:$DJ$120,ROWS($A$10:$A55)+2,FALSE)</f>
        <v>932</v>
      </c>
      <c r="V55" s="25">
        <f>HLOOKUP(V$7,$I$66:$DJ$120,ROWS($A$10:$A55)+2,FALSE)</f>
        <v>7692</v>
      </c>
      <c r="W55" s="25">
        <f>HLOOKUP(W$7,$I$66:$DJ$120,ROWS($A$10:$A55)+2,FALSE)</f>
        <v>1831</v>
      </c>
      <c r="X55" s="25">
        <f>HLOOKUP(X$7,$I$66:$DJ$120,ROWS($A$10:$A55)+2,FALSE)</f>
        <v>517</v>
      </c>
      <c r="Y55" s="25">
        <f>HLOOKUP(Y$7,$I$66:$DJ$120,ROWS($A$10:$A55)+2,FALSE)</f>
        <v>483</v>
      </c>
      <c r="Z55" s="25">
        <f>HLOOKUP(Z$7,$I$66:$DJ$120,ROWS($A$10:$A55)+2,FALSE)</f>
        <v>299</v>
      </c>
      <c r="AA55" s="25">
        <f>HLOOKUP(AA$7,$I$66:$DJ$120,ROWS($A$10:$A55)+2,FALSE)</f>
        <v>235</v>
      </c>
      <c r="AB55" s="25">
        <f>HLOOKUP(AB$7,$I$66:$DJ$120,ROWS($A$10:$A55)+2,FALSE)</f>
        <v>46</v>
      </c>
      <c r="AC55" s="25">
        <f>HLOOKUP(AC$7,$I$66:$DJ$120,ROWS($A$10:$A55)+2,FALSE)</f>
        <v>148</v>
      </c>
      <c r="AD55" s="25">
        <f>HLOOKUP(AD$7,$I$66:$DJ$120,ROWS($A$10:$A55)+2,FALSE)</f>
        <v>426</v>
      </c>
      <c r="AE55" s="25">
        <f>HLOOKUP(AE$7,$I$66:$DJ$120,ROWS($A$10:$A55)+2,FALSE)</f>
        <v>246</v>
      </c>
      <c r="AF55" s="25">
        <f>HLOOKUP(AF$7,$I$66:$DJ$120,ROWS($A$10:$A55)+2,FALSE)</f>
        <v>261</v>
      </c>
      <c r="AG55" s="25">
        <f>HLOOKUP(AG$7,$I$66:$DJ$120,ROWS($A$10:$A55)+2,FALSE)</f>
        <v>914</v>
      </c>
      <c r="AH55" s="25">
        <f>HLOOKUP(AH$7,$I$66:$DJ$120,ROWS($A$10:$A55)+2,FALSE)</f>
        <v>127</v>
      </c>
      <c r="AI55" s="25">
        <f>HLOOKUP(AI$7,$I$66:$DJ$120,ROWS($A$10:$A55)+2,FALSE)</f>
        <v>1255</v>
      </c>
      <c r="AJ55" s="25">
        <f>HLOOKUP(AJ$7,$I$66:$DJ$120,ROWS($A$10:$A55)+2,FALSE)</f>
        <v>1929</v>
      </c>
      <c r="AK55" s="25">
        <f>HLOOKUP(AK$7,$I$66:$DJ$120,ROWS($A$10:$A55)+2,FALSE)</f>
        <v>118</v>
      </c>
      <c r="AL55" s="25">
        <f>HLOOKUP(AL$7,$I$66:$DJ$120,ROWS($A$10:$A55)+2,FALSE)</f>
        <v>4549</v>
      </c>
      <c r="AM55" s="25">
        <f>HLOOKUP(AM$7,$I$66:$DJ$120,ROWS($A$10:$A55)+2,FALSE)</f>
        <v>0</v>
      </c>
      <c r="AN55" s="25">
        <f>HLOOKUP(AN$7,$I$66:$DJ$120,ROWS($A$10:$A55)+2,FALSE)</f>
        <v>247</v>
      </c>
      <c r="AO55" s="25">
        <f>HLOOKUP(AO$7,$I$66:$DJ$120,ROWS($A$10:$A55)+2,FALSE)</f>
        <v>518</v>
      </c>
      <c r="AP55" s="25">
        <f>HLOOKUP(AP$7,$I$66:$DJ$120,ROWS($A$10:$A55)+2,FALSE)</f>
        <v>1462</v>
      </c>
      <c r="AQ55" s="25">
        <f>HLOOKUP(AQ$7,$I$66:$DJ$120,ROWS($A$10:$A55)+2,FALSE)</f>
        <v>1167</v>
      </c>
      <c r="AR55" s="25">
        <f>HLOOKUP(AR$7,$I$66:$DJ$120,ROWS($A$10:$A55)+2,FALSE)</f>
        <v>0</v>
      </c>
      <c r="AS55" s="25">
        <f>HLOOKUP(AS$7,$I$66:$DJ$120,ROWS($A$10:$A55)+2,FALSE)</f>
        <v>1527</v>
      </c>
      <c r="AT55" s="25">
        <f>HLOOKUP(AT$7,$I$66:$DJ$120,ROWS($A$10:$A55)+2,FALSE)</f>
        <v>886</v>
      </c>
      <c r="AU55" s="25">
        <f>HLOOKUP(AU$7,$I$66:$DJ$120,ROWS($A$10:$A55)+2,FALSE)</f>
        <v>2525</v>
      </c>
      <c r="AV55" s="25">
        <f>HLOOKUP(AV$7,$I$66:$DJ$120,ROWS($A$10:$A55)+2,FALSE)</f>
        <v>557</v>
      </c>
      <c r="AW55" s="25">
        <f>HLOOKUP(AW$7,$I$66:$DJ$120,ROWS($A$10:$A55)+2,FALSE)</f>
        <v>0</v>
      </c>
      <c r="AX55" s="25">
        <f>HLOOKUP(AX$7,$I$66:$DJ$120,ROWS($A$10:$A55)+2,FALSE)</f>
        <v>838</v>
      </c>
      <c r="AY55" s="25">
        <f>HLOOKUP(AY$7,$I$66:$DJ$120,ROWS($A$10:$A55)+2,FALSE)</f>
        <v>875</v>
      </c>
      <c r="AZ55" s="25">
        <f>HLOOKUP(AZ$7,$I$66:$DJ$120,ROWS($A$10:$A55)+2,FALSE)</f>
        <v>459</v>
      </c>
      <c r="BA55" s="25">
        <f>HLOOKUP(BA$7,$I$66:$DJ$120,ROWS($A$10:$A55)+2,FALSE)</f>
        <v>5305</v>
      </c>
      <c r="BB55" s="25" t="str">
        <f>HLOOKUP(BB$7,$I$66:$DJ$120,ROWS($A$10:$A55)+2,FALSE)</f>
        <v>N/A</v>
      </c>
      <c r="BC55" s="25">
        <f>HLOOKUP(BC$7,$I$66:$DJ$120,ROWS($A$10:$A55)+2,FALSE)</f>
        <v>297</v>
      </c>
      <c r="BD55" s="25">
        <f>HLOOKUP(BD$7,$I$66:$DJ$120,ROWS($A$10:$A55)+2,FALSE)</f>
        <v>3005</v>
      </c>
      <c r="BE55" s="25">
        <f>HLOOKUP(BE$7,$I$66:$DJ$120,ROWS($A$10:$A55)+2,FALSE)</f>
        <v>3792</v>
      </c>
      <c r="BF55" s="25">
        <f>HLOOKUP(BF$7,$I$66:$DJ$120,ROWS($A$10:$A55)+2,FALSE)</f>
        <v>0</v>
      </c>
      <c r="BG55" s="25">
        <f>HLOOKUP(BG$7,$I$66:$DJ$120,ROWS($A$10:$A55)+2,FALSE)</f>
        <v>338</v>
      </c>
      <c r="BH55" s="25">
        <f>HLOOKUP(BH$7,$I$66:$DJ$120,ROWS($A$10:$A55)+2,FALSE)</f>
        <v>2126</v>
      </c>
      <c r="BI55" s="25">
        <f>HLOOKUP(BI$7,$I$66:$DJ$120,ROWS($A$10:$A55)+2,FALSE)</f>
        <v>383</v>
      </c>
      <c r="BJ55" s="34">
        <f>HLOOKUP(BJ$7+0.5,$I$66:$DJ$120,ROWS($A$10:$A55)+2,FALSE)</f>
        <v>6769</v>
      </c>
      <c r="BK55" s="34">
        <f>HLOOKUP(BK$7+0.5,$I$66:$DJ$120,ROWS($A$10:$A55)+2,FALSE)</f>
        <v>114</v>
      </c>
      <c r="BL55" s="34">
        <f>HLOOKUP(BL$7+0.5,$I$66:$DJ$120,ROWS($A$10:$A55)+2,FALSE)</f>
        <v>1320</v>
      </c>
      <c r="BM55" s="34">
        <f>HLOOKUP(BM$7+0.5,$I$66:$DJ$120,ROWS($A$10:$A55)+2,FALSE)</f>
        <v>2522</v>
      </c>
      <c r="BN55" s="34">
        <f>HLOOKUP(BN$7+0.5,$I$66:$DJ$120,ROWS($A$10:$A55)+2,FALSE)</f>
        <v>262</v>
      </c>
      <c r="BO55" s="34">
        <f>HLOOKUP(BO$7+0.5,$I$66:$DJ$120,ROWS($A$10:$A55)+2,FALSE)</f>
        <v>2104</v>
      </c>
      <c r="BP55" s="34">
        <f>HLOOKUP(BP$7+0.5,$I$66:$DJ$120,ROWS($A$10:$A55)+2,FALSE)</f>
        <v>1226</v>
      </c>
      <c r="BQ55" s="34">
        <f>HLOOKUP(BQ$7+0.5,$I$66:$DJ$120,ROWS($A$10:$A55)+2,FALSE)</f>
        <v>148</v>
      </c>
      <c r="BR55" s="34">
        <f>HLOOKUP(BR$7+0.5,$I$66:$DJ$120,ROWS($A$10:$A55)+2,FALSE)</f>
        <v>267</v>
      </c>
      <c r="BS55" s="34">
        <f>HLOOKUP(BS$7+0.5,$I$66:$DJ$120,ROWS($A$10:$A55)+2,FALSE)</f>
        <v>168</v>
      </c>
      <c r="BT55" s="34">
        <f>HLOOKUP(BT$7+0.5,$I$66:$DJ$120,ROWS($A$10:$A55)+2,FALSE)</f>
        <v>1007</v>
      </c>
      <c r="BU55" s="34">
        <f>HLOOKUP(BU$7+0.5,$I$66:$DJ$120,ROWS($A$10:$A55)+2,FALSE)</f>
        <v>644</v>
      </c>
      <c r="BV55" s="34">
        <f>HLOOKUP(BV$7+0.5,$I$66:$DJ$120,ROWS($A$10:$A55)+2,FALSE)</f>
        <v>930</v>
      </c>
      <c r="BW55" s="34">
        <f>HLOOKUP(BW$7+0.5,$I$66:$DJ$120,ROWS($A$10:$A55)+2,FALSE)</f>
        <v>2177</v>
      </c>
      <c r="BX55" s="34">
        <f>HLOOKUP(BX$7+0.5,$I$66:$DJ$120,ROWS($A$10:$A55)+2,FALSE)</f>
        <v>767</v>
      </c>
      <c r="BY55" s="34">
        <f>HLOOKUP(BY$7+0.5,$I$66:$DJ$120,ROWS($A$10:$A55)+2,FALSE)</f>
        <v>475</v>
      </c>
      <c r="BZ55" s="34">
        <f>HLOOKUP(BZ$7+0.5,$I$66:$DJ$120,ROWS($A$10:$A55)+2,FALSE)</f>
        <v>348</v>
      </c>
      <c r="CA55" s="34">
        <f>HLOOKUP(CA$7+0.5,$I$66:$DJ$120,ROWS($A$10:$A55)+2,FALSE)</f>
        <v>340</v>
      </c>
      <c r="CB55" s="34">
        <f>HLOOKUP(CB$7+0.5,$I$66:$DJ$120,ROWS($A$10:$A55)+2,FALSE)</f>
        <v>266</v>
      </c>
      <c r="CC55" s="34">
        <f>HLOOKUP(CC$7+0.5,$I$66:$DJ$120,ROWS($A$10:$A55)+2,FALSE)</f>
        <v>98</v>
      </c>
      <c r="CD55" s="34">
        <f>HLOOKUP(CD$7+0.5,$I$66:$DJ$120,ROWS($A$10:$A55)+2,FALSE)</f>
        <v>237</v>
      </c>
      <c r="CE55" s="34">
        <f>HLOOKUP(CE$7+0.5,$I$66:$DJ$120,ROWS($A$10:$A55)+2,FALSE)</f>
        <v>302</v>
      </c>
      <c r="CF55" s="34">
        <f>HLOOKUP(CF$7+0.5,$I$66:$DJ$120,ROWS($A$10:$A55)+2,FALSE)</f>
        <v>253</v>
      </c>
      <c r="CG55" s="34">
        <f>HLOOKUP(CG$7+0.5,$I$66:$DJ$120,ROWS($A$10:$A55)+2,FALSE)</f>
        <v>243</v>
      </c>
      <c r="CH55" s="34">
        <f>HLOOKUP(CH$7+0.5,$I$66:$DJ$120,ROWS($A$10:$A55)+2,FALSE)</f>
        <v>545</v>
      </c>
      <c r="CI55" s="34">
        <f>HLOOKUP(CI$7+0.5,$I$66:$DJ$120,ROWS($A$10:$A55)+2,FALSE)</f>
        <v>134</v>
      </c>
      <c r="CJ55" s="34">
        <f>HLOOKUP(CJ$7+0.5,$I$66:$DJ$120,ROWS($A$10:$A55)+2,FALSE)</f>
        <v>929</v>
      </c>
      <c r="CK55" s="34">
        <f>HLOOKUP(CK$7+0.5,$I$66:$DJ$120,ROWS($A$10:$A55)+2,FALSE)</f>
        <v>1099</v>
      </c>
      <c r="CL55" s="34">
        <f>HLOOKUP(CL$7+0.5,$I$66:$DJ$120,ROWS($A$10:$A55)+2,FALSE)</f>
        <v>121</v>
      </c>
      <c r="CM55" s="34">
        <f>HLOOKUP(CM$7+0.5,$I$66:$DJ$120,ROWS($A$10:$A55)+2,FALSE)</f>
        <v>1568</v>
      </c>
      <c r="CN55" s="34">
        <f>HLOOKUP(CN$7+0.5,$I$66:$DJ$120,ROWS($A$10:$A55)+2,FALSE)</f>
        <v>267</v>
      </c>
      <c r="CO55" s="34">
        <f>HLOOKUP(CO$7+0.5,$I$66:$DJ$120,ROWS($A$10:$A55)+2,FALSE)</f>
        <v>240</v>
      </c>
      <c r="CP55" s="34">
        <f>HLOOKUP(CP$7+0.5,$I$66:$DJ$120,ROWS($A$10:$A55)+2,FALSE)</f>
        <v>480</v>
      </c>
      <c r="CQ55" s="34">
        <f>HLOOKUP(CQ$7+0.5,$I$66:$DJ$120,ROWS($A$10:$A55)+2,FALSE)</f>
        <v>752</v>
      </c>
      <c r="CR55" s="34">
        <f>HLOOKUP(CR$7+0.5,$I$66:$DJ$120,ROWS($A$10:$A55)+2,FALSE)</f>
        <v>840</v>
      </c>
      <c r="CS55" s="34">
        <f>HLOOKUP(CS$7+0.5,$I$66:$DJ$120,ROWS($A$10:$A55)+2,FALSE)</f>
        <v>267</v>
      </c>
      <c r="CT55" s="34">
        <f>HLOOKUP(CT$7+0.5,$I$66:$DJ$120,ROWS($A$10:$A55)+2,FALSE)</f>
        <v>1163</v>
      </c>
      <c r="CU55" s="34">
        <f>HLOOKUP(CU$7+0.5,$I$66:$DJ$120,ROWS($A$10:$A55)+2,FALSE)</f>
        <v>947</v>
      </c>
      <c r="CV55" s="34">
        <f>HLOOKUP(CV$7+0.5,$I$66:$DJ$120,ROWS($A$10:$A55)+2,FALSE)</f>
        <v>1094</v>
      </c>
      <c r="CW55" s="34">
        <f>HLOOKUP(CW$7+0.5,$I$66:$DJ$120,ROWS($A$10:$A55)+2,FALSE)</f>
        <v>347</v>
      </c>
      <c r="CX55" s="34">
        <f>HLOOKUP(CX$7+0.5,$I$66:$DJ$120,ROWS($A$10:$A55)+2,FALSE)</f>
        <v>267</v>
      </c>
      <c r="CY55" s="34">
        <f>HLOOKUP(CY$7+0.5,$I$66:$DJ$120,ROWS($A$10:$A55)+2,FALSE)</f>
        <v>716</v>
      </c>
      <c r="CZ55" s="34">
        <f>HLOOKUP(CZ$7+0.5,$I$66:$DJ$120,ROWS($A$10:$A55)+2,FALSE)</f>
        <v>1215</v>
      </c>
      <c r="DA55" s="34">
        <f>HLOOKUP(DA$7+0.5,$I$66:$DJ$120,ROWS($A$10:$A55)+2,FALSE)</f>
        <v>385</v>
      </c>
      <c r="DB55" s="34">
        <f>HLOOKUP(DB$7+0.5,$I$66:$DJ$120,ROWS($A$10:$A55)+2,FALSE)</f>
        <v>1508</v>
      </c>
      <c r="DC55" s="34" t="str">
        <f>HLOOKUP(DC$7+0.5,$I$66:$DJ$120,ROWS($A$10:$A55)+2,FALSE)</f>
        <v>N/A</v>
      </c>
      <c r="DD55" s="34">
        <f>HLOOKUP(DD$7+0.5,$I$66:$DJ$120,ROWS($A$10:$A55)+2,FALSE)</f>
        <v>494</v>
      </c>
      <c r="DE55" s="34">
        <f>HLOOKUP(DE$7+0.5,$I$66:$DJ$120,ROWS($A$10:$A55)+2,FALSE)</f>
        <v>2000</v>
      </c>
      <c r="DF55" s="34">
        <f>HLOOKUP(DF$7+0.5,$I$66:$DJ$120,ROWS($A$10:$A55)+2,FALSE)</f>
        <v>1538</v>
      </c>
      <c r="DG55" s="34">
        <f>HLOOKUP(DG$7+0.5,$I$66:$DJ$120,ROWS($A$10:$A55)+2,FALSE)</f>
        <v>267</v>
      </c>
      <c r="DH55" s="34">
        <f>HLOOKUP(DH$7+0.5,$I$66:$DJ$120,ROWS($A$10:$A55)+2,FALSE)</f>
        <v>323</v>
      </c>
      <c r="DI55" s="34">
        <f>HLOOKUP(DI$7+0.5,$I$66:$DJ$120,ROWS($A$10:$A55)+2,FALSE)</f>
        <v>1168</v>
      </c>
      <c r="DJ55" s="34">
        <f>HLOOKUP(DJ$7+0.5,$I$66:$DJ$120,ROWS($A$10:$A55)+2,FALSE)</f>
        <v>446</v>
      </c>
    </row>
    <row r="56" spans="2:114" x14ac:dyDescent="0.25">
      <c r="B56" s="38" t="s">
        <v>52</v>
      </c>
      <c r="C56" s="15">
        <v>619363</v>
      </c>
      <c r="D56" s="14">
        <v>779</v>
      </c>
      <c r="E56" s="15">
        <v>534975</v>
      </c>
      <c r="F56" s="14">
        <v>5691</v>
      </c>
      <c r="G56" s="15">
        <v>59032</v>
      </c>
      <c r="H56" s="14">
        <v>4857</v>
      </c>
      <c r="I56" s="36">
        <f>HLOOKUP(I$7,$I$66:$DJ$120,ROWS($A$10:$A56)+2,FALSE)</f>
        <v>22529</v>
      </c>
      <c r="J56" s="25">
        <f>HLOOKUP(J$7,$I$66:$DJ$120,ROWS($A$10:$A56)+2,FALSE)</f>
        <v>0</v>
      </c>
      <c r="K56" s="25">
        <f>HLOOKUP(K$7,$I$66:$DJ$120,ROWS($A$10:$A56)+2,FALSE)</f>
        <v>184</v>
      </c>
      <c r="L56" s="25">
        <f>HLOOKUP(L$7,$I$66:$DJ$120,ROWS($A$10:$A56)+2,FALSE)</f>
        <v>65</v>
      </c>
      <c r="M56" s="25">
        <f>HLOOKUP(M$7,$I$66:$DJ$120,ROWS($A$10:$A56)+2,FALSE)</f>
        <v>0</v>
      </c>
      <c r="N56" s="25">
        <f>HLOOKUP(N$7,$I$66:$DJ$120,ROWS($A$10:$A56)+2,FALSE)</f>
        <v>1001</v>
      </c>
      <c r="O56" s="25">
        <f>HLOOKUP(O$7,$I$66:$DJ$120,ROWS($A$10:$A56)+2,FALSE)</f>
        <v>326</v>
      </c>
      <c r="P56" s="25">
        <f>HLOOKUP(P$7,$I$66:$DJ$120,ROWS($A$10:$A56)+2,FALSE)</f>
        <v>1287</v>
      </c>
      <c r="Q56" s="25">
        <f>HLOOKUP(Q$7,$I$66:$DJ$120,ROWS($A$10:$A56)+2,FALSE)</f>
        <v>87</v>
      </c>
      <c r="R56" s="25">
        <f>HLOOKUP(R$7,$I$66:$DJ$120,ROWS($A$10:$A56)+2,FALSE)</f>
        <v>9</v>
      </c>
      <c r="S56" s="25">
        <f>HLOOKUP(S$7,$I$66:$DJ$120,ROWS($A$10:$A56)+2,FALSE)</f>
        <v>2063</v>
      </c>
      <c r="T56" s="25">
        <f>HLOOKUP(T$7,$I$66:$DJ$120,ROWS($A$10:$A56)+2,FALSE)</f>
        <v>496</v>
      </c>
      <c r="U56" s="25">
        <f>HLOOKUP(U$7,$I$66:$DJ$120,ROWS($A$10:$A56)+2,FALSE)</f>
        <v>49</v>
      </c>
      <c r="V56" s="25">
        <f>HLOOKUP(V$7,$I$66:$DJ$120,ROWS($A$10:$A56)+2,FALSE)</f>
        <v>0</v>
      </c>
      <c r="W56" s="25">
        <f>HLOOKUP(W$7,$I$66:$DJ$120,ROWS($A$10:$A56)+2,FALSE)</f>
        <v>370</v>
      </c>
      <c r="X56" s="25">
        <f>HLOOKUP(X$7,$I$66:$DJ$120,ROWS($A$10:$A56)+2,FALSE)</f>
        <v>0</v>
      </c>
      <c r="Y56" s="25">
        <f>HLOOKUP(Y$7,$I$66:$DJ$120,ROWS($A$10:$A56)+2,FALSE)</f>
        <v>91</v>
      </c>
      <c r="Z56" s="25">
        <f>HLOOKUP(Z$7,$I$66:$DJ$120,ROWS($A$10:$A56)+2,FALSE)</f>
        <v>0</v>
      </c>
      <c r="AA56" s="25">
        <f>HLOOKUP(AA$7,$I$66:$DJ$120,ROWS($A$10:$A56)+2,FALSE)</f>
        <v>176</v>
      </c>
      <c r="AB56" s="25">
        <f>HLOOKUP(AB$7,$I$66:$DJ$120,ROWS($A$10:$A56)+2,FALSE)</f>
        <v>0</v>
      </c>
      <c r="AC56" s="25">
        <f>HLOOKUP(AC$7,$I$66:$DJ$120,ROWS($A$10:$A56)+2,FALSE)</f>
        <v>824</v>
      </c>
      <c r="AD56" s="25">
        <f>HLOOKUP(AD$7,$I$66:$DJ$120,ROWS($A$10:$A56)+2,FALSE)</f>
        <v>300</v>
      </c>
      <c r="AE56" s="25">
        <f>HLOOKUP(AE$7,$I$66:$DJ$120,ROWS($A$10:$A56)+2,FALSE)</f>
        <v>3599</v>
      </c>
      <c r="AF56" s="25">
        <f>HLOOKUP(AF$7,$I$66:$DJ$120,ROWS($A$10:$A56)+2,FALSE)</f>
        <v>201</v>
      </c>
      <c r="AG56" s="25">
        <f>HLOOKUP(AG$7,$I$66:$DJ$120,ROWS($A$10:$A56)+2,FALSE)</f>
        <v>85</v>
      </c>
      <c r="AH56" s="25">
        <f>HLOOKUP(AH$7,$I$66:$DJ$120,ROWS($A$10:$A56)+2,FALSE)</f>
        <v>0</v>
      </c>
      <c r="AI56" s="25">
        <f>HLOOKUP(AI$7,$I$66:$DJ$120,ROWS($A$10:$A56)+2,FALSE)</f>
        <v>51</v>
      </c>
      <c r="AJ56" s="25">
        <f>HLOOKUP(AJ$7,$I$66:$DJ$120,ROWS($A$10:$A56)+2,FALSE)</f>
        <v>236</v>
      </c>
      <c r="AK56" s="25">
        <f>HLOOKUP(AK$7,$I$66:$DJ$120,ROWS($A$10:$A56)+2,FALSE)</f>
        <v>0</v>
      </c>
      <c r="AL56" s="25">
        <f>HLOOKUP(AL$7,$I$66:$DJ$120,ROWS($A$10:$A56)+2,FALSE)</f>
        <v>58</v>
      </c>
      <c r="AM56" s="25">
        <f>HLOOKUP(AM$7,$I$66:$DJ$120,ROWS($A$10:$A56)+2,FALSE)</f>
        <v>2760</v>
      </c>
      <c r="AN56" s="25">
        <f>HLOOKUP(AN$7,$I$66:$DJ$120,ROWS($A$10:$A56)+2,FALSE)</f>
        <v>751</v>
      </c>
      <c r="AO56" s="25">
        <f>HLOOKUP(AO$7,$I$66:$DJ$120,ROWS($A$10:$A56)+2,FALSE)</f>
        <v>0</v>
      </c>
      <c r="AP56" s="25">
        <f>HLOOKUP(AP$7,$I$66:$DJ$120,ROWS($A$10:$A56)+2,FALSE)</f>
        <v>4056</v>
      </c>
      <c r="AQ56" s="25">
        <f>HLOOKUP(AQ$7,$I$66:$DJ$120,ROWS($A$10:$A56)+2,FALSE)</f>
        <v>539</v>
      </c>
      <c r="AR56" s="25">
        <f>HLOOKUP(AR$7,$I$66:$DJ$120,ROWS($A$10:$A56)+2,FALSE)</f>
        <v>30</v>
      </c>
      <c r="AS56" s="25">
        <f>HLOOKUP(AS$7,$I$66:$DJ$120,ROWS($A$10:$A56)+2,FALSE)</f>
        <v>50</v>
      </c>
      <c r="AT56" s="25">
        <f>HLOOKUP(AT$7,$I$66:$DJ$120,ROWS($A$10:$A56)+2,FALSE)</f>
        <v>0</v>
      </c>
      <c r="AU56" s="25">
        <f>HLOOKUP(AU$7,$I$66:$DJ$120,ROWS($A$10:$A56)+2,FALSE)</f>
        <v>100</v>
      </c>
      <c r="AV56" s="25">
        <f>HLOOKUP(AV$7,$I$66:$DJ$120,ROWS($A$10:$A56)+2,FALSE)</f>
        <v>524</v>
      </c>
      <c r="AW56" s="25">
        <f>HLOOKUP(AW$7,$I$66:$DJ$120,ROWS($A$10:$A56)+2,FALSE)</f>
        <v>227</v>
      </c>
      <c r="AX56" s="25">
        <f>HLOOKUP(AX$7,$I$66:$DJ$120,ROWS($A$10:$A56)+2,FALSE)</f>
        <v>134</v>
      </c>
      <c r="AY56" s="25">
        <f>HLOOKUP(AY$7,$I$66:$DJ$120,ROWS($A$10:$A56)+2,FALSE)</f>
        <v>153</v>
      </c>
      <c r="AZ56" s="25">
        <f>HLOOKUP(AZ$7,$I$66:$DJ$120,ROWS($A$10:$A56)+2,FALSE)</f>
        <v>125</v>
      </c>
      <c r="BA56" s="25">
        <f>HLOOKUP(BA$7,$I$66:$DJ$120,ROWS($A$10:$A56)+2,FALSE)</f>
        <v>565</v>
      </c>
      <c r="BB56" s="25">
        <f>HLOOKUP(BB$7,$I$66:$DJ$120,ROWS($A$10:$A56)+2,FALSE)</f>
        <v>0</v>
      </c>
      <c r="BC56" s="25" t="str">
        <f>HLOOKUP(BC$7,$I$66:$DJ$120,ROWS($A$10:$A56)+2,FALSE)</f>
        <v>N/A</v>
      </c>
      <c r="BD56" s="25">
        <f>HLOOKUP(BD$7,$I$66:$DJ$120,ROWS($A$10:$A56)+2,FALSE)</f>
        <v>400</v>
      </c>
      <c r="BE56" s="25">
        <f>HLOOKUP(BE$7,$I$66:$DJ$120,ROWS($A$10:$A56)+2,FALSE)</f>
        <v>128</v>
      </c>
      <c r="BF56" s="25">
        <f>HLOOKUP(BF$7,$I$66:$DJ$120,ROWS($A$10:$A56)+2,FALSE)</f>
        <v>0</v>
      </c>
      <c r="BG56" s="25">
        <f>HLOOKUP(BG$7,$I$66:$DJ$120,ROWS($A$10:$A56)+2,FALSE)</f>
        <v>377</v>
      </c>
      <c r="BH56" s="25">
        <f>HLOOKUP(BH$7,$I$66:$DJ$120,ROWS($A$10:$A56)+2,FALSE)</f>
        <v>52</v>
      </c>
      <c r="BI56" s="25">
        <f>HLOOKUP(BI$7,$I$66:$DJ$120,ROWS($A$10:$A56)+2,FALSE)</f>
        <v>0</v>
      </c>
      <c r="BJ56" s="34">
        <f>HLOOKUP(BJ$7+0.5,$I$66:$DJ$120,ROWS($A$10:$A56)+2,FALSE)</f>
        <v>2945</v>
      </c>
      <c r="BK56" s="34">
        <f>HLOOKUP(BK$7+0.5,$I$66:$DJ$120,ROWS($A$10:$A56)+2,FALSE)</f>
        <v>211</v>
      </c>
      <c r="BL56" s="34">
        <f>HLOOKUP(BL$7+0.5,$I$66:$DJ$120,ROWS($A$10:$A56)+2,FALSE)</f>
        <v>181</v>
      </c>
      <c r="BM56" s="34">
        <f>HLOOKUP(BM$7+0.5,$I$66:$DJ$120,ROWS($A$10:$A56)+2,FALSE)</f>
        <v>76</v>
      </c>
      <c r="BN56" s="34">
        <f>HLOOKUP(BN$7+0.5,$I$66:$DJ$120,ROWS($A$10:$A56)+2,FALSE)</f>
        <v>211</v>
      </c>
      <c r="BO56" s="34">
        <f>HLOOKUP(BO$7+0.5,$I$66:$DJ$120,ROWS($A$10:$A56)+2,FALSE)</f>
        <v>506</v>
      </c>
      <c r="BP56" s="34">
        <f>HLOOKUP(BP$7+0.5,$I$66:$DJ$120,ROWS($A$10:$A56)+2,FALSE)</f>
        <v>238</v>
      </c>
      <c r="BQ56" s="34">
        <f>HLOOKUP(BQ$7+0.5,$I$66:$DJ$120,ROWS($A$10:$A56)+2,FALSE)</f>
        <v>585</v>
      </c>
      <c r="BR56" s="34">
        <f>HLOOKUP(BR$7+0.5,$I$66:$DJ$120,ROWS($A$10:$A56)+2,FALSE)</f>
        <v>111</v>
      </c>
      <c r="BS56" s="34">
        <f>HLOOKUP(BS$7+0.5,$I$66:$DJ$120,ROWS($A$10:$A56)+2,FALSE)</f>
        <v>15</v>
      </c>
      <c r="BT56" s="34">
        <f>HLOOKUP(BT$7+0.5,$I$66:$DJ$120,ROWS($A$10:$A56)+2,FALSE)</f>
        <v>1237</v>
      </c>
      <c r="BU56" s="34">
        <f>HLOOKUP(BU$7+0.5,$I$66:$DJ$120,ROWS($A$10:$A56)+2,FALSE)</f>
        <v>395</v>
      </c>
      <c r="BV56" s="34">
        <f>HLOOKUP(BV$7+0.5,$I$66:$DJ$120,ROWS($A$10:$A56)+2,FALSE)</f>
        <v>71</v>
      </c>
      <c r="BW56" s="34">
        <f>HLOOKUP(BW$7+0.5,$I$66:$DJ$120,ROWS($A$10:$A56)+2,FALSE)</f>
        <v>211</v>
      </c>
      <c r="BX56" s="34">
        <f>HLOOKUP(BX$7+0.5,$I$66:$DJ$120,ROWS($A$10:$A56)+2,FALSE)</f>
        <v>415</v>
      </c>
      <c r="BY56" s="34">
        <f>HLOOKUP(BY$7+0.5,$I$66:$DJ$120,ROWS($A$10:$A56)+2,FALSE)</f>
        <v>211</v>
      </c>
      <c r="BZ56" s="34">
        <f>HLOOKUP(BZ$7+0.5,$I$66:$DJ$120,ROWS($A$10:$A56)+2,FALSE)</f>
        <v>93</v>
      </c>
      <c r="CA56" s="34">
        <f>HLOOKUP(CA$7+0.5,$I$66:$DJ$120,ROWS($A$10:$A56)+2,FALSE)</f>
        <v>211</v>
      </c>
      <c r="CB56" s="34">
        <f>HLOOKUP(CB$7+0.5,$I$66:$DJ$120,ROWS($A$10:$A56)+2,FALSE)</f>
        <v>146</v>
      </c>
      <c r="CC56" s="34">
        <f>HLOOKUP(CC$7+0.5,$I$66:$DJ$120,ROWS($A$10:$A56)+2,FALSE)</f>
        <v>211</v>
      </c>
      <c r="CD56" s="34">
        <f>HLOOKUP(CD$7+0.5,$I$66:$DJ$120,ROWS($A$10:$A56)+2,FALSE)</f>
        <v>365</v>
      </c>
      <c r="CE56" s="34">
        <f>HLOOKUP(CE$7+0.5,$I$66:$DJ$120,ROWS($A$10:$A56)+2,FALSE)</f>
        <v>294</v>
      </c>
      <c r="CF56" s="34">
        <f>HLOOKUP(CF$7+0.5,$I$66:$DJ$120,ROWS($A$10:$A56)+2,FALSE)</f>
        <v>1075</v>
      </c>
      <c r="CG56" s="34">
        <f>HLOOKUP(CG$7+0.5,$I$66:$DJ$120,ROWS($A$10:$A56)+2,FALSE)</f>
        <v>209</v>
      </c>
      <c r="CH56" s="34">
        <f>HLOOKUP(CH$7+0.5,$I$66:$DJ$120,ROWS($A$10:$A56)+2,FALSE)</f>
        <v>116</v>
      </c>
      <c r="CI56" s="34">
        <f>HLOOKUP(CI$7+0.5,$I$66:$DJ$120,ROWS($A$10:$A56)+2,FALSE)</f>
        <v>211</v>
      </c>
      <c r="CJ56" s="34">
        <f>HLOOKUP(CJ$7+0.5,$I$66:$DJ$120,ROWS($A$10:$A56)+2,FALSE)</f>
        <v>86</v>
      </c>
      <c r="CK56" s="34">
        <f>HLOOKUP(CK$7+0.5,$I$66:$DJ$120,ROWS($A$10:$A56)+2,FALSE)</f>
        <v>207</v>
      </c>
      <c r="CL56" s="34">
        <f>HLOOKUP(CL$7+0.5,$I$66:$DJ$120,ROWS($A$10:$A56)+2,FALSE)</f>
        <v>211</v>
      </c>
      <c r="CM56" s="34">
        <f>HLOOKUP(CM$7+0.5,$I$66:$DJ$120,ROWS($A$10:$A56)+2,FALSE)</f>
        <v>75</v>
      </c>
      <c r="CN56" s="34">
        <f>HLOOKUP(CN$7+0.5,$I$66:$DJ$120,ROWS($A$10:$A56)+2,FALSE)</f>
        <v>827</v>
      </c>
      <c r="CO56" s="34">
        <f>HLOOKUP(CO$7+0.5,$I$66:$DJ$120,ROWS($A$10:$A56)+2,FALSE)</f>
        <v>390</v>
      </c>
      <c r="CP56" s="34">
        <f>HLOOKUP(CP$7+0.5,$I$66:$DJ$120,ROWS($A$10:$A56)+2,FALSE)</f>
        <v>211</v>
      </c>
      <c r="CQ56" s="34">
        <f>HLOOKUP(CQ$7+0.5,$I$66:$DJ$120,ROWS($A$10:$A56)+2,FALSE)</f>
        <v>1050</v>
      </c>
      <c r="CR56" s="34">
        <f>HLOOKUP(CR$7+0.5,$I$66:$DJ$120,ROWS($A$10:$A56)+2,FALSE)</f>
        <v>455</v>
      </c>
      <c r="CS56" s="34">
        <f>HLOOKUP(CS$7+0.5,$I$66:$DJ$120,ROWS($A$10:$A56)+2,FALSE)</f>
        <v>50</v>
      </c>
      <c r="CT56" s="34">
        <f>HLOOKUP(CT$7+0.5,$I$66:$DJ$120,ROWS($A$10:$A56)+2,FALSE)</f>
        <v>65</v>
      </c>
      <c r="CU56" s="34">
        <f>HLOOKUP(CU$7+0.5,$I$66:$DJ$120,ROWS($A$10:$A56)+2,FALSE)</f>
        <v>211</v>
      </c>
      <c r="CV56" s="34">
        <f>HLOOKUP(CV$7+0.5,$I$66:$DJ$120,ROWS($A$10:$A56)+2,FALSE)</f>
        <v>122</v>
      </c>
      <c r="CW56" s="34">
        <f>HLOOKUP(CW$7+0.5,$I$66:$DJ$120,ROWS($A$10:$A56)+2,FALSE)</f>
        <v>339</v>
      </c>
      <c r="CX56" s="34">
        <f>HLOOKUP(CX$7+0.5,$I$66:$DJ$120,ROWS($A$10:$A56)+2,FALSE)</f>
        <v>154</v>
      </c>
      <c r="CY56" s="34">
        <f>HLOOKUP(CY$7+0.5,$I$66:$DJ$120,ROWS($A$10:$A56)+2,FALSE)</f>
        <v>157</v>
      </c>
      <c r="CZ56" s="34">
        <f>HLOOKUP(CZ$7+0.5,$I$66:$DJ$120,ROWS($A$10:$A56)+2,FALSE)</f>
        <v>214</v>
      </c>
      <c r="DA56" s="34">
        <f>HLOOKUP(DA$7+0.5,$I$66:$DJ$120,ROWS($A$10:$A56)+2,FALSE)</f>
        <v>104</v>
      </c>
      <c r="DB56" s="34">
        <f>HLOOKUP(DB$7+0.5,$I$66:$DJ$120,ROWS($A$10:$A56)+2,FALSE)</f>
        <v>449</v>
      </c>
      <c r="DC56" s="34">
        <f>HLOOKUP(DC$7+0.5,$I$66:$DJ$120,ROWS($A$10:$A56)+2,FALSE)</f>
        <v>211</v>
      </c>
      <c r="DD56" s="34" t="str">
        <f>HLOOKUP(DD$7+0.5,$I$66:$DJ$120,ROWS($A$10:$A56)+2,FALSE)</f>
        <v>N/A</v>
      </c>
      <c r="DE56" s="34">
        <f>HLOOKUP(DE$7+0.5,$I$66:$DJ$120,ROWS($A$10:$A56)+2,FALSE)</f>
        <v>361</v>
      </c>
      <c r="DF56" s="34">
        <f>HLOOKUP(DF$7+0.5,$I$66:$DJ$120,ROWS($A$10:$A56)+2,FALSE)</f>
        <v>115</v>
      </c>
      <c r="DG56" s="34">
        <f>HLOOKUP(DG$7+0.5,$I$66:$DJ$120,ROWS($A$10:$A56)+2,FALSE)</f>
        <v>211</v>
      </c>
      <c r="DH56" s="34">
        <f>HLOOKUP(DH$7+0.5,$I$66:$DJ$120,ROWS($A$10:$A56)+2,FALSE)</f>
        <v>488</v>
      </c>
      <c r="DI56" s="34">
        <f>HLOOKUP(DI$7+0.5,$I$66:$DJ$120,ROWS($A$10:$A56)+2,FALSE)</f>
        <v>86</v>
      </c>
      <c r="DJ56" s="34">
        <f>HLOOKUP(DJ$7+0.5,$I$66:$DJ$120,ROWS($A$10:$A56)+2,FALSE)</f>
        <v>211</v>
      </c>
    </row>
    <row r="57" spans="2:114" x14ac:dyDescent="0.25">
      <c r="B57" s="38" t="s">
        <v>53</v>
      </c>
      <c r="C57" s="15">
        <v>7930773</v>
      </c>
      <c r="D57" s="14">
        <v>4735</v>
      </c>
      <c r="E57" s="15">
        <v>6752310</v>
      </c>
      <c r="F57" s="14">
        <v>28251</v>
      </c>
      <c r="G57" s="15">
        <v>870491</v>
      </c>
      <c r="H57" s="14">
        <v>21599</v>
      </c>
      <c r="I57" s="36">
        <f>HLOOKUP(I$7,$I$66:$DJ$120,ROWS($A$10:$A57)+2,FALSE)</f>
        <v>259507</v>
      </c>
      <c r="J57" s="25">
        <f>HLOOKUP(J$7,$I$66:$DJ$120,ROWS($A$10:$A57)+2,FALSE)</f>
        <v>2671</v>
      </c>
      <c r="K57" s="25">
        <f>HLOOKUP(K$7,$I$66:$DJ$120,ROWS($A$10:$A57)+2,FALSE)</f>
        <v>3296</v>
      </c>
      <c r="L57" s="25">
        <f>HLOOKUP(L$7,$I$66:$DJ$120,ROWS($A$10:$A57)+2,FALSE)</f>
        <v>3807</v>
      </c>
      <c r="M57" s="25">
        <f>HLOOKUP(M$7,$I$66:$DJ$120,ROWS($A$10:$A57)+2,FALSE)</f>
        <v>1233</v>
      </c>
      <c r="N57" s="25">
        <f>HLOOKUP(N$7,$I$66:$DJ$120,ROWS($A$10:$A57)+2,FALSE)</f>
        <v>17088</v>
      </c>
      <c r="O57" s="25">
        <f>HLOOKUP(O$7,$I$66:$DJ$120,ROWS($A$10:$A57)+2,FALSE)</f>
        <v>3229</v>
      </c>
      <c r="P57" s="25">
        <f>HLOOKUP(P$7,$I$66:$DJ$120,ROWS($A$10:$A57)+2,FALSE)</f>
        <v>2468</v>
      </c>
      <c r="Q57" s="25">
        <f>HLOOKUP(Q$7,$I$66:$DJ$120,ROWS($A$10:$A57)+2,FALSE)</f>
        <v>1265</v>
      </c>
      <c r="R57" s="25">
        <f>HLOOKUP(R$7,$I$66:$DJ$120,ROWS($A$10:$A57)+2,FALSE)</f>
        <v>10593</v>
      </c>
      <c r="S57" s="25">
        <f>HLOOKUP(S$7,$I$66:$DJ$120,ROWS($A$10:$A57)+2,FALSE)</f>
        <v>18165</v>
      </c>
      <c r="T57" s="25">
        <f>HLOOKUP(T$7,$I$66:$DJ$120,ROWS($A$10:$A57)+2,FALSE)</f>
        <v>11927</v>
      </c>
      <c r="U57" s="25">
        <f>HLOOKUP(U$7,$I$66:$DJ$120,ROWS($A$10:$A57)+2,FALSE)</f>
        <v>2347</v>
      </c>
      <c r="V57" s="25">
        <f>HLOOKUP(V$7,$I$66:$DJ$120,ROWS($A$10:$A57)+2,FALSE)</f>
        <v>1159</v>
      </c>
      <c r="W57" s="25">
        <f>HLOOKUP(W$7,$I$66:$DJ$120,ROWS($A$10:$A57)+2,FALSE)</f>
        <v>7576</v>
      </c>
      <c r="X57" s="25">
        <f>HLOOKUP(X$7,$I$66:$DJ$120,ROWS($A$10:$A57)+2,FALSE)</f>
        <v>2892</v>
      </c>
      <c r="Y57" s="25">
        <f>HLOOKUP(Y$7,$I$66:$DJ$120,ROWS($A$10:$A57)+2,FALSE)</f>
        <v>1135</v>
      </c>
      <c r="Z57" s="25">
        <f>HLOOKUP(Z$7,$I$66:$DJ$120,ROWS($A$10:$A57)+2,FALSE)</f>
        <v>2103</v>
      </c>
      <c r="AA57" s="25">
        <f>HLOOKUP(AA$7,$I$66:$DJ$120,ROWS($A$10:$A57)+2,FALSE)</f>
        <v>2051</v>
      </c>
      <c r="AB57" s="25">
        <f>HLOOKUP(AB$7,$I$66:$DJ$120,ROWS($A$10:$A57)+2,FALSE)</f>
        <v>2148</v>
      </c>
      <c r="AC57" s="25">
        <f>HLOOKUP(AC$7,$I$66:$DJ$120,ROWS($A$10:$A57)+2,FALSE)</f>
        <v>1494</v>
      </c>
      <c r="AD57" s="25">
        <f>HLOOKUP(AD$7,$I$66:$DJ$120,ROWS($A$10:$A57)+2,FALSE)</f>
        <v>24822</v>
      </c>
      <c r="AE57" s="25">
        <f>HLOOKUP(AE$7,$I$66:$DJ$120,ROWS($A$10:$A57)+2,FALSE)</f>
        <v>4104</v>
      </c>
      <c r="AF57" s="25">
        <f>HLOOKUP(AF$7,$I$66:$DJ$120,ROWS($A$10:$A57)+2,FALSE)</f>
        <v>5733</v>
      </c>
      <c r="AG57" s="25">
        <f>HLOOKUP(AG$7,$I$66:$DJ$120,ROWS($A$10:$A57)+2,FALSE)</f>
        <v>462</v>
      </c>
      <c r="AH57" s="25">
        <f>HLOOKUP(AH$7,$I$66:$DJ$120,ROWS($A$10:$A57)+2,FALSE)</f>
        <v>1858</v>
      </c>
      <c r="AI57" s="25">
        <f>HLOOKUP(AI$7,$I$66:$DJ$120,ROWS($A$10:$A57)+2,FALSE)</f>
        <v>4262</v>
      </c>
      <c r="AJ57" s="25">
        <f>HLOOKUP(AJ$7,$I$66:$DJ$120,ROWS($A$10:$A57)+2,FALSE)</f>
        <v>866</v>
      </c>
      <c r="AK57" s="25">
        <f>HLOOKUP(AK$7,$I$66:$DJ$120,ROWS($A$10:$A57)+2,FALSE)</f>
        <v>523</v>
      </c>
      <c r="AL57" s="25">
        <f>HLOOKUP(AL$7,$I$66:$DJ$120,ROWS($A$10:$A57)+2,FALSE)</f>
        <v>748</v>
      </c>
      <c r="AM57" s="25">
        <f>HLOOKUP(AM$7,$I$66:$DJ$120,ROWS($A$10:$A57)+2,FALSE)</f>
        <v>372</v>
      </c>
      <c r="AN57" s="25">
        <f>HLOOKUP(AN$7,$I$66:$DJ$120,ROWS($A$10:$A57)+2,FALSE)</f>
        <v>6825</v>
      </c>
      <c r="AO57" s="25">
        <f>HLOOKUP(AO$7,$I$66:$DJ$120,ROWS($A$10:$A57)+2,FALSE)</f>
        <v>1098</v>
      </c>
      <c r="AP57" s="25">
        <f>HLOOKUP(AP$7,$I$66:$DJ$120,ROWS($A$10:$A57)+2,FALSE)</f>
        <v>17525</v>
      </c>
      <c r="AQ57" s="25">
        <f>HLOOKUP(AQ$7,$I$66:$DJ$120,ROWS($A$10:$A57)+2,FALSE)</f>
        <v>23829</v>
      </c>
      <c r="AR57" s="25">
        <f>HLOOKUP(AR$7,$I$66:$DJ$120,ROWS($A$10:$A57)+2,FALSE)</f>
        <v>201</v>
      </c>
      <c r="AS57" s="25">
        <f>HLOOKUP(AS$7,$I$66:$DJ$120,ROWS($A$10:$A57)+2,FALSE)</f>
        <v>7708</v>
      </c>
      <c r="AT57" s="25">
        <f>HLOOKUP(AT$7,$I$66:$DJ$120,ROWS($A$10:$A57)+2,FALSE)</f>
        <v>781</v>
      </c>
      <c r="AU57" s="25">
        <f>HLOOKUP(AU$7,$I$66:$DJ$120,ROWS($A$10:$A57)+2,FALSE)</f>
        <v>2137</v>
      </c>
      <c r="AV57" s="25">
        <f>HLOOKUP(AV$7,$I$66:$DJ$120,ROWS($A$10:$A57)+2,FALSE)</f>
        <v>11796</v>
      </c>
      <c r="AW57" s="25">
        <f>HLOOKUP(AW$7,$I$66:$DJ$120,ROWS($A$10:$A57)+2,FALSE)</f>
        <v>1543</v>
      </c>
      <c r="AX57" s="25">
        <f>HLOOKUP(AX$7,$I$66:$DJ$120,ROWS($A$10:$A57)+2,FALSE)</f>
        <v>8339</v>
      </c>
      <c r="AY57" s="25">
        <f>HLOOKUP(AY$7,$I$66:$DJ$120,ROWS($A$10:$A57)+2,FALSE)</f>
        <v>98</v>
      </c>
      <c r="AZ57" s="25">
        <f>HLOOKUP(AZ$7,$I$66:$DJ$120,ROWS($A$10:$A57)+2,FALSE)</f>
        <v>5842</v>
      </c>
      <c r="BA57" s="25">
        <f>HLOOKUP(BA$7,$I$66:$DJ$120,ROWS($A$10:$A57)+2,FALSE)</f>
        <v>12938</v>
      </c>
      <c r="BB57" s="25">
        <f>HLOOKUP(BB$7,$I$66:$DJ$120,ROWS($A$10:$A57)+2,FALSE)</f>
        <v>1551</v>
      </c>
      <c r="BC57" s="25">
        <f>HLOOKUP(BC$7,$I$66:$DJ$120,ROWS($A$10:$A57)+2,FALSE)</f>
        <v>676</v>
      </c>
      <c r="BD57" s="25" t="str">
        <f>HLOOKUP(BD$7,$I$66:$DJ$120,ROWS($A$10:$A57)+2,FALSE)</f>
        <v>N/A</v>
      </c>
      <c r="BE57" s="25">
        <f>HLOOKUP(BE$7,$I$66:$DJ$120,ROWS($A$10:$A57)+2,FALSE)</f>
        <v>4373</v>
      </c>
      <c r="BF57" s="25">
        <f>HLOOKUP(BF$7,$I$66:$DJ$120,ROWS($A$10:$A57)+2,FALSE)</f>
        <v>6779</v>
      </c>
      <c r="BG57" s="25">
        <f>HLOOKUP(BG$7,$I$66:$DJ$120,ROWS($A$10:$A57)+2,FALSE)</f>
        <v>2648</v>
      </c>
      <c r="BH57" s="25">
        <f>HLOOKUP(BH$7,$I$66:$DJ$120,ROWS($A$10:$A57)+2,FALSE)</f>
        <v>423</v>
      </c>
      <c r="BI57" s="25">
        <f>HLOOKUP(BI$7,$I$66:$DJ$120,ROWS($A$10:$A57)+2,FALSE)</f>
        <v>1306</v>
      </c>
      <c r="BJ57" s="34">
        <f>HLOOKUP(BJ$7+0.5,$I$66:$DJ$120,ROWS($A$10:$A57)+2,FALSE)</f>
        <v>12319</v>
      </c>
      <c r="BK57" s="34">
        <f>HLOOKUP(BK$7+0.5,$I$66:$DJ$120,ROWS($A$10:$A57)+2,FALSE)</f>
        <v>1201</v>
      </c>
      <c r="BL57" s="34">
        <f>HLOOKUP(BL$7+0.5,$I$66:$DJ$120,ROWS($A$10:$A57)+2,FALSE)</f>
        <v>1952</v>
      </c>
      <c r="BM57" s="34">
        <f>HLOOKUP(BM$7+0.5,$I$66:$DJ$120,ROWS($A$10:$A57)+2,FALSE)</f>
        <v>1454</v>
      </c>
      <c r="BN57" s="34">
        <f>HLOOKUP(BN$7+0.5,$I$66:$DJ$120,ROWS($A$10:$A57)+2,FALSE)</f>
        <v>1034</v>
      </c>
      <c r="BO57" s="34">
        <f>HLOOKUP(BO$7+0.5,$I$66:$DJ$120,ROWS($A$10:$A57)+2,FALSE)</f>
        <v>3674</v>
      </c>
      <c r="BP57" s="34">
        <f>HLOOKUP(BP$7+0.5,$I$66:$DJ$120,ROWS($A$10:$A57)+2,FALSE)</f>
        <v>1571</v>
      </c>
      <c r="BQ57" s="34">
        <f>HLOOKUP(BQ$7+0.5,$I$66:$DJ$120,ROWS($A$10:$A57)+2,FALSE)</f>
        <v>921</v>
      </c>
      <c r="BR57" s="34">
        <f>HLOOKUP(BR$7+0.5,$I$66:$DJ$120,ROWS($A$10:$A57)+2,FALSE)</f>
        <v>828</v>
      </c>
      <c r="BS57" s="34">
        <f>HLOOKUP(BS$7+0.5,$I$66:$DJ$120,ROWS($A$10:$A57)+2,FALSE)</f>
        <v>2299</v>
      </c>
      <c r="BT57" s="34">
        <f>HLOOKUP(BT$7+0.5,$I$66:$DJ$120,ROWS($A$10:$A57)+2,FALSE)</f>
        <v>3554</v>
      </c>
      <c r="BU57" s="34">
        <f>HLOOKUP(BU$7+0.5,$I$66:$DJ$120,ROWS($A$10:$A57)+2,FALSE)</f>
        <v>3210</v>
      </c>
      <c r="BV57" s="34">
        <f>HLOOKUP(BV$7+0.5,$I$66:$DJ$120,ROWS($A$10:$A57)+2,FALSE)</f>
        <v>1394</v>
      </c>
      <c r="BW57" s="34">
        <f>HLOOKUP(BW$7+0.5,$I$66:$DJ$120,ROWS($A$10:$A57)+2,FALSE)</f>
        <v>787</v>
      </c>
      <c r="BX57" s="34">
        <f>HLOOKUP(BX$7+0.5,$I$66:$DJ$120,ROWS($A$10:$A57)+2,FALSE)</f>
        <v>2202</v>
      </c>
      <c r="BY57" s="34">
        <f>HLOOKUP(BY$7+0.5,$I$66:$DJ$120,ROWS($A$10:$A57)+2,FALSE)</f>
        <v>1856</v>
      </c>
      <c r="BZ57" s="34">
        <f>HLOOKUP(BZ$7+0.5,$I$66:$DJ$120,ROWS($A$10:$A57)+2,FALSE)</f>
        <v>758</v>
      </c>
      <c r="CA57" s="34">
        <f>HLOOKUP(CA$7+0.5,$I$66:$DJ$120,ROWS($A$10:$A57)+2,FALSE)</f>
        <v>1418</v>
      </c>
      <c r="CB57" s="34">
        <f>HLOOKUP(CB$7+0.5,$I$66:$DJ$120,ROWS($A$10:$A57)+2,FALSE)</f>
        <v>1056</v>
      </c>
      <c r="CC57" s="34">
        <f>HLOOKUP(CC$7+0.5,$I$66:$DJ$120,ROWS($A$10:$A57)+2,FALSE)</f>
        <v>926</v>
      </c>
      <c r="CD57" s="34">
        <f>HLOOKUP(CD$7+0.5,$I$66:$DJ$120,ROWS($A$10:$A57)+2,FALSE)</f>
        <v>932</v>
      </c>
      <c r="CE57" s="34">
        <f>HLOOKUP(CE$7+0.5,$I$66:$DJ$120,ROWS($A$10:$A57)+2,FALSE)</f>
        <v>4371</v>
      </c>
      <c r="CF57" s="34">
        <f>HLOOKUP(CF$7+0.5,$I$66:$DJ$120,ROWS($A$10:$A57)+2,FALSE)</f>
        <v>1347</v>
      </c>
      <c r="CG57" s="34">
        <f>HLOOKUP(CG$7+0.5,$I$66:$DJ$120,ROWS($A$10:$A57)+2,FALSE)</f>
        <v>2245</v>
      </c>
      <c r="CH57" s="34">
        <f>HLOOKUP(CH$7+0.5,$I$66:$DJ$120,ROWS($A$10:$A57)+2,FALSE)</f>
        <v>292</v>
      </c>
      <c r="CI57" s="34">
        <f>HLOOKUP(CI$7+0.5,$I$66:$DJ$120,ROWS($A$10:$A57)+2,FALSE)</f>
        <v>1007</v>
      </c>
      <c r="CJ57" s="34">
        <f>HLOOKUP(CJ$7+0.5,$I$66:$DJ$120,ROWS($A$10:$A57)+2,FALSE)</f>
        <v>2141</v>
      </c>
      <c r="CK57" s="34">
        <f>HLOOKUP(CK$7+0.5,$I$66:$DJ$120,ROWS($A$10:$A57)+2,FALSE)</f>
        <v>1090</v>
      </c>
      <c r="CL57" s="34">
        <f>HLOOKUP(CL$7+0.5,$I$66:$DJ$120,ROWS($A$10:$A57)+2,FALSE)</f>
        <v>475</v>
      </c>
      <c r="CM57" s="34">
        <f>HLOOKUP(CM$7+0.5,$I$66:$DJ$120,ROWS($A$10:$A57)+2,FALSE)</f>
        <v>469</v>
      </c>
      <c r="CN57" s="34">
        <f>HLOOKUP(CN$7+0.5,$I$66:$DJ$120,ROWS($A$10:$A57)+2,FALSE)</f>
        <v>515</v>
      </c>
      <c r="CO57" s="34">
        <f>HLOOKUP(CO$7+0.5,$I$66:$DJ$120,ROWS($A$10:$A57)+2,FALSE)</f>
        <v>1687</v>
      </c>
      <c r="CP57" s="34">
        <f>HLOOKUP(CP$7+0.5,$I$66:$DJ$120,ROWS($A$10:$A57)+2,FALSE)</f>
        <v>735</v>
      </c>
      <c r="CQ57" s="34">
        <f>HLOOKUP(CQ$7+0.5,$I$66:$DJ$120,ROWS($A$10:$A57)+2,FALSE)</f>
        <v>3087</v>
      </c>
      <c r="CR57" s="34">
        <f>HLOOKUP(CR$7+0.5,$I$66:$DJ$120,ROWS($A$10:$A57)+2,FALSE)</f>
        <v>4041</v>
      </c>
      <c r="CS57" s="34">
        <f>HLOOKUP(CS$7+0.5,$I$66:$DJ$120,ROWS($A$10:$A57)+2,FALSE)</f>
        <v>325</v>
      </c>
      <c r="CT57" s="34">
        <f>HLOOKUP(CT$7+0.5,$I$66:$DJ$120,ROWS($A$10:$A57)+2,FALSE)</f>
        <v>2181</v>
      </c>
      <c r="CU57" s="34">
        <f>HLOOKUP(CU$7+0.5,$I$66:$DJ$120,ROWS($A$10:$A57)+2,FALSE)</f>
        <v>611</v>
      </c>
      <c r="CV57" s="34">
        <f>HLOOKUP(CV$7+0.5,$I$66:$DJ$120,ROWS($A$10:$A57)+2,FALSE)</f>
        <v>2081</v>
      </c>
      <c r="CW57" s="34">
        <f>HLOOKUP(CW$7+0.5,$I$66:$DJ$120,ROWS($A$10:$A57)+2,FALSE)</f>
        <v>2546</v>
      </c>
      <c r="CX57" s="34">
        <f>HLOOKUP(CX$7+0.5,$I$66:$DJ$120,ROWS($A$10:$A57)+2,FALSE)</f>
        <v>1150</v>
      </c>
      <c r="CY57" s="34">
        <f>HLOOKUP(CY$7+0.5,$I$66:$DJ$120,ROWS($A$10:$A57)+2,FALSE)</f>
        <v>2247</v>
      </c>
      <c r="CZ57" s="34">
        <f>HLOOKUP(CZ$7+0.5,$I$66:$DJ$120,ROWS($A$10:$A57)+2,FALSE)</f>
        <v>179</v>
      </c>
      <c r="DA57" s="34">
        <f>HLOOKUP(DA$7+0.5,$I$66:$DJ$120,ROWS($A$10:$A57)+2,FALSE)</f>
        <v>1776</v>
      </c>
      <c r="DB57" s="34">
        <f>HLOOKUP(DB$7+0.5,$I$66:$DJ$120,ROWS($A$10:$A57)+2,FALSE)</f>
        <v>3212</v>
      </c>
      <c r="DC57" s="34">
        <f>HLOOKUP(DC$7+0.5,$I$66:$DJ$120,ROWS($A$10:$A57)+2,FALSE)</f>
        <v>822</v>
      </c>
      <c r="DD57" s="34">
        <f>HLOOKUP(DD$7+0.5,$I$66:$DJ$120,ROWS($A$10:$A57)+2,FALSE)</f>
        <v>599</v>
      </c>
      <c r="DE57" s="34" t="str">
        <f>HLOOKUP(DE$7+0.5,$I$66:$DJ$120,ROWS($A$10:$A57)+2,FALSE)</f>
        <v>N/A</v>
      </c>
      <c r="DF57" s="34">
        <f>HLOOKUP(DF$7+0.5,$I$66:$DJ$120,ROWS($A$10:$A57)+2,FALSE)</f>
        <v>1700</v>
      </c>
      <c r="DG57" s="34">
        <f>HLOOKUP(DG$7+0.5,$I$66:$DJ$120,ROWS($A$10:$A57)+2,FALSE)</f>
        <v>2481</v>
      </c>
      <c r="DH57" s="34">
        <f>HLOOKUP(DH$7+0.5,$I$66:$DJ$120,ROWS($A$10:$A57)+2,FALSE)</f>
        <v>1525</v>
      </c>
      <c r="DI57" s="34">
        <f>HLOOKUP(DI$7+0.5,$I$66:$DJ$120,ROWS($A$10:$A57)+2,FALSE)</f>
        <v>429</v>
      </c>
      <c r="DJ57" s="34">
        <f>HLOOKUP(DJ$7+0.5,$I$66:$DJ$120,ROWS($A$10:$A57)+2,FALSE)</f>
        <v>872</v>
      </c>
    </row>
    <row r="58" spans="2:114" x14ac:dyDescent="0.25">
      <c r="B58" s="38" t="s">
        <v>54</v>
      </c>
      <c r="C58" s="15">
        <v>6661321</v>
      </c>
      <c r="D58" s="14">
        <v>4568</v>
      </c>
      <c r="E58" s="15">
        <v>5464985</v>
      </c>
      <c r="F58" s="14">
        <v>26926</v>
      </c>
      <c r="G58" s="15">
        <v>946923</v>
      </c>
      <c r="H58" s="14">
        <v>24983</v>
      </c>
      <c r="I58" s="36">
        <f>HLOOKUP(I$7,$I$66:$DJ$120,ROWS($A$10:$A58)+2,FALSE)</f>
        <v>191784</v>
      </c>
      <c r="J58" s="25">
        <f>HLOOKUP(J$7,$I$66:$DJ$120,ROWS($A$10:$A58)+2,FALSE)</f>
        <v>1322</v>
      </c>
      <c r="K58" s="25">
        <f>HLOOKUP(K$7,$I$66:$DJ$120,ROWS($A$10:$A58)+2,FALSE)</f>
        <v>5644</v>
      </c>
      <c r="L58" s="25">
        <f>HLOOKUP(L$7,$I$66:$DJ$120,ROWS($A$10:$A58)+2,FALSE)</f>
        <v>5971</v>
      </c>
      <c r="M58" s="25">
        <f>HLOOKUP(M$7,$I$66:$DJ$120,ROWS($A$10:$A58)+2,FALSE)</f>
        <v>658</v>
      </c>
      <c r="N58" s="25">
        <f>HLOOKUP(N$7,$I$66:$DJ$120,ROWS($A$10:$A58)+2,FALSE)</f>
        <v>39468</v>
      </c>
      <c r="O58" s="25">
        <f>HLOOKUP(O$7,$I$66:$DJ$120,ROWS($A$10:$A58)+2,FALSE)</f>
        <v>4883</v>
      </c>
      <c r="P58" s="25">
        <f>HLOOKUP(P$7,$I$66:$DJ$120,ROWS($A$10:$A58)+2,FALSE)</f>
        <v>642</v>
      </c>
      <c r="Q58" s="25">
        <f>HLOOKUP(Q$7,$I$66:$DJ$120,ROWS($A$10:$A58)+2,FALSE)</f>
        <v>202</v>
      </c>
      <c r="R58" s="25">
        <f>HLOOKUP(R$7,$I$66:$DJ$120,ROWS($A$10:$A58)+2,FALSE)</f>
        <v>243</v>
      </c>
      <c r="S58" s="25">
        <f>HLOOKUP(S$7,$I$66:$DJ$120,ROWS($A$10:$A58)+2,FALSE)</f>
        <v>5378</v>
      </c>
      <c r="T58" s="25">
        <f>HLOOKUP(T$7,$I$66:$DJ$120,ROWS($A$10:$A58)+2,FALSE)</f>
        <v>3107</v>
      </c>
      <c r="U58" s="25">
        <f>HLOOKUP(U$7,$I$66:$DJ$120,ROWS($A$10:$A58)+2,FALSE)</f>
        <v>4246</v>
      </c>
      <c r="V58" s="25">
        <f>HLOOKUP(V$7,$I$66:$DJ$120,ROWS($A$10:$A58)+2,FALSE)</f>
        <v>12661</v>
      </c>
      <c r="W58" s="25">
        <f>HLOOKUP(W$7,$I$66:$DJ$120,ROWS($A$10:$A58)+2,FALSE)</f>
        <v>3931</v>
      </c>
      <c r="X58" s="25">
        <f>HLOOKUP(X$7,$I$66:$DJ$120,ROWS($A$10:$A58)+2,FALSE)</f>
        <v>1912</v>
      </c>
      <c r="Y58" s="25">
        <f>HLOOKUP(Y$7,$I$66:$DJ$120,ROWS($A$10:$A58)+2,FALSE)</f>
        <v>1685</v>
      </c>
      <c r="Z58" s="25">
        <f>HLOOKUP(Z$7,$I$66:$DJ$120,ROWS($A$10:$A58)+2,FALSE)</f>
        <v>1694</v>
      </c>
      <c r="AA58" s="25">
        <f>HLOOKUP(AA$7,$I$66:$DJ$120,ROWS($A$10:$A58)+2,FALSE)</f>
        <v>886</v>
      </c>
      <c r="AB58" s="25">
        <f>HLOOKUP(AB$7,$I$66:$DJ$120,ROWS($A$10:$A58)+2,FALSE)</f>
        <v>1011</v>
      </c>
      <c r="AC58" s="25">
        <f>HLOOKUP(AC$7,$I$66:$DJ$120,ROWS($A$10:$A58)+2,FALSE)</f>
        <v>717</v>
      </c>
      <c r="AD58" s="25">
        <f>HLOOKUP(AD$7,$I$66:$DJ$120,ROWS($A$10:$A58)+2,FALSE)</f>
        <v>629</v>
      </c>
      <c r="AE58" s="25">
        <f>HLOOKUP(AE$7,$I$66:$DJ$120,ROWS($A$10:$A58)+2,FALSE)</f>
        <v>1448</v>
      </c>
      <c r="AF58" s="25">
        <f>HLOOKUP(AF$7,$I$66:$DJ$120,ROWS($A$10:$A58)+2,FALSE)</f>
        <v>2871</v>
      </c>
      <c r="AG58" s="25">
        <f>HLOOKUP(AG$7,$I$66:$DJ$120,ROWS($A$10:$A58)+2,FALSE)</f>
        <v>1323</v>
      </c>
      <c r="AH58" s="25">
        <f>HLOOKUP(AH$7,$I$66:$DJ$120,ROWS($A$10:$A58)+2,FALSE)</f>
        <v>737</v>
      </c>
      <c r="AI58" s="25">
        <f>HLOOKUP(AI$7,$I$66:$DJ$120,ROWS($A$10:$A58)+2,FALSE)</f>
        <v>3727</v>
      </c>
      <c r="AJ58" s="25">
        <f>HLOOKUP(AJ$7,$I$66:$DJ$120,ROWS($A$10:$A58)+2,FALSE)</f>
        <v>5094</v>
      </c>
      <c r="AK58" s="25">
        <f>HLOOKUP(AK$7,$I$66:$DJ$120,ROWS($A$10:$A58)+2,FALSE)</f>
        <v>323</v>
      </c>
      <c r="AL58" s="25">
        <f>HLOOKUP(AL$7,$I$66:$DJ$120,ROWS($A$10:$A58)+2,FALSE)</f>
        <v>5310</v>
      </c>
      <c r="AM58" s="25">
        <f>HLOOKUP(AM$7,$I$66:$DJ$120,ROWS($A$10:$A58)+2,FALSE)</f>
        <v>282</v>
      </c>
      <c r="AN58" s="25">
        <f>HLOOKUP(AN$7,$I$66:$DJ$120,ROWS($A$10:$A58)+2,FALSE)</f>
        <v>721</v>
      </c>
      <c r="AO58" s="25">
        <f>HLOOKUP(AO$7,$I$66:$DJ$120,ROWS($A$10:$A58)+2,FALSE)</f>
        <v>1012</v>
      </c>
      <c r="AP58" s="25">
        <f>HLOOKUP(AP$7,$I$66:$DJ$120,ROWS($A$10:$A58)+2,FALSE)</f>
        <v>4140</v>
      </c>
      <c r="AQ58" s="25">
        <f>HLOOKUP(AQ$7,$I$66:$DJ$120,ROWS($A$10:$A58)+2,FALSE)</f>
        <v>2143</v>
      </c>
      <c r="AR58" s="25">
        <f>HLOOKUP(AR$7,$I$66:$DJ$120,ROWS($A$10:$A58)+2,FALSE)</f>
        <v>515</v>
      </c>
      <c r="AS58" s="25">
        <f>HLOOKUP(AS$7,$I$66:$DJ$120,ROWS($A$10:$A58)+2,FALSE)</f>
        <v>2727</v>
      </c>
      <c r="AT58" s="25">
        <f>HLOOKUP(AT$7,$I$66:$DJ$120,ROWS($A$10:$A58)+2,FALSE)</f>
        <v>1986</v>
      </c>
      <c r="AU58" s="25">
        <f>HLOOKUP(AU$7,$I$66:$DJ$120,ROWS($A$10:$A58)+2,FALSE)</f>
        <v>26235</v>
      </c>
      <c r="AV58" s="25">
        <f>HLOOKUP(AV$7,$I$66:$DJ$120,ROWS($A$10:$A58)+2,FALSE)</f>
        <v>2893</v>
      </c>
      <c r="AW58" s="25">
        <f>HLOOKUP(AW$7,$I$66:$DJ$120,ROWS($A$10:$A58)+2,FALSE)</f>
        <v>220</v>
      </c>
      <c r="AX58" s="25">
        <f>HLOOKUP(AX$7,$I$66:$DJ$120,ROWS($A$10:$A58)+2,FALSE)</f>
        <v>3047</v>
      </c>
      <c r="AY58" s="25">
        <f>HLOOKUP(AY$7,$I$66:$DJ$120,ROWS($A$10:$A58)+2,FALSE)</f>
        <v>866</v>
      </c>
      <c r="AZ58" s="25">
        <f>HLOOKUP(AZ$7,$I$66:$DJ$120,ROWS($A$10:$A58)+2,FALSE)</f>
        <v>789</v>
      </c>
      <c r="BA58" s="25">
        <f>HLOOKUP(BA$7,$I$66:$DJ$120,ROWS($A$10:$A58)+2,FALSE)</f>
        <v>11338</v>
      </c>
      <c r="BB58" s="25">
        <f>HLOOKUP(BB$7,$I$66:$DJ$120,ROWS($A$10:$A58)+2,FALSE)</f>
        <v>4020</v>
      </c>
      <c r="BC58" s="25">
        <f>HLOOKUP(BC$7,$I$66:$DJ$120,ROWS($A$10:$A58)+2,FALSE)</f>
        <v>981</v>
      </c>
      <c r="BD58" s="25">
        <f>HLOOKUP(BD$7,$I$66:$DJ$120,ROWS($A$10:$A58)+2,FALSE)</f>
        <v>7266</v>
      </c>
      <c r="BE58" s="25" t="str">
        <f>HLOOKUP(BE$7,$I$66:$DJ$120,ROWS($A$10:$A58)+2,FALSE)</f>
        <v>N/A</v>
      </c>
      <c r="BF58" s="25">
        <f>HLOOKUP(BF$7,$I$66:$DJ$120,ROWS($A$10:$A58)+2,FALSE)</f>
        <v>62</v>
      </c>
      <c r="BG58" s="25">
        <f>HLOOKUP(BG$7,$I$66:$DJ$120,ROWS($A$10:$A58)+2,FALSE)</f>
        <v>2180</v>
      </c>
      <c r="BH58" s="25">
        <f>HLOOKUP(BH$7,$I$66:$DJ$120,ROWS($A$10:$A58)+2,FALSE)</f>
        <v>638</v>
      </c>
      <c r="BI58" s="25">
        <f>HLOOKUP(BI$7,$I$66:$DJ$120,ROWS($A$10:$A58)+2,FALSE)</f>
        <v>0</v>
      </c>
      <c r="BJ58" s="34">
        <f>HLOOKUP(BJ$7+0.5,$I$66:$DJ$120,ROWS($A$10:$A58)+2,FALSE)</f>
        <v>12094</v>
      </c>
      <c r="BK58" s="34">
        <f>HLOOKUP(BK$7+0.5,$I$66:$DJ$120,ROWS($A$10:$A58)+2,FALSE)</f>
        <v>1150</v>
      </c>
      <c r="BL58" s="34">
        <f>HLOOKUP(BL$7+0.5,$I$66:$DJ$120,ROWS($A$10:$A58)+2,FALSE)</f>
        <v>2055</v>
      </c>
      <c r="BM58" s="34">
        <f>HLOOKUP(BM$7+0.5,$I$66:$DJ$120,ROWS($A$10:$A58)+2,FALSE)</f>
        <v>2284</v>
      </c>
      <c r="BN58" s="34">
        <f>HLOOKUP(BN$7+0.5,$I$66:$DJ$120,ROWS($A$10:$A58)+2,FALSE)</f>
        <v>531</v>
      </c>
      <c r="BO58" s="34">
        <f>HLOOKUP(BO$7+0.5,$I$66:$DJ$120,ROWS($A$10:$A58)+2,FALSE)</f>
        <v>5451</v>
      </c>
      <c r="BP58" s="34">
        <f>HLOOKUP(BP$7+0.5,$I$66:$DJ$120,ROWS($A$10:$A58)+2,FALSE)</f>
        <v>1316</v>
      </c>
      <c r="BQ58" s="34">
        <f>HLOOKUP(BQ$7+0.5,$I$66:$DJ$120,ROWS($A$10:$A58)+2,FALSE)</f>
        <v>450</v>
      </c>
      <c r="BR58" s="34">
        <f>HLOOKUP(BR$7+0.5,$I$66:$DJ$120,ROWS($A$10:$A58)+2,FALSE)</f>
        <v>198</v>
      </c>
      <c r="BS58" s="34">
        <f>HLOOKUP(BS$7+0.5,$I$66:$DJ$120,ROWS($A$10:$A58)+2,FALSE)</f>
        <v>260</v>
      </c>
      <c r="BT58" s="34">
        <f>HLOOKUP(BT$7+0.5,$I$66:$DJ$120,ROWS($A$10:$A58)+2,FALSE)</f>
        <v>1314</v>
      </c>
      <c r="BU58" s="34">
        <f>HLOOKUP(BU$7+0.5,$I$66:$DJ$120,ROWS($A$10:$A58)+2,FALSE)</f>
        <v>1650</v>
      </c>
      <c r="BV58" s="34">
        <f>HLOOKUP(BV$7+0.5,$I$66:$DJ$120,ROWS($A$10:$A58)+2,FALSE)</f>
        <v>1482</v>
      </c>
      <c r="BW58" s="34">
        <f>HLOOKUP(BW$7+0.5,$I$66:$DJ$120,ROWS($A$10:$A58)+2,FALSE)</f>
        <v>3237</v>
      </c>
      <c r="BX58" s="34">
        <f>HLOOKUP(BX$7+0.5,$I$66:$DJ$120,ROWS($A$10:$A58)+2,FALSE)</f>
        <v>1438</v>
      </c>
      <c r="BY58" s="34">
        <f>HLOOKUP(BY$7+0.5,$I$66:$DJ$120,ROWS($A$10:$A58)+2,FALSE)</f>
        <v>1321</v>
      </c>
      <c r="BZ58" s="34">
        <f>HLOOKUP(BZ$7+0.5,$I$66:$DJ$120,ROWS($A$10:$A58)+2,FALSE)</f>
        <v>993</v>
      </c>
      <c r="CA58" s="34">
        <f>HLOOKUP(CA$7+0.5,$I$66:$DJ$120,ROWS($A$10:$A58)+2,FALSE)</f>
        <v>1174</v>
      </c>
      <c r="CB58" s="34">
        <f>HLOOKUP(CB$7+0.5,$I$66:$DJ$120,ROWS($A$10:$A58)+2,FALSE)</f>
        <v>626</v>
      </c>
      <c r="CC58" s="34">
        <f>HLOOKUP(CC$7+0.5,$I$66:$DJ$120,ROWS($A$10:$A58)+2,FALSE)</f>
        <v>588</v>
      </c>
      <c r="CD58" s="34">
        <f>HLOOKUP(CD$7+0.5,$I$66:$DJ$120,ROWS($A$10:$A58)+2,FALSE)</f>
        <v>653</v>
      </c>
      <c r="CE58" s="34">
        <f>HLOOKUP(CE$7+0.5,$I$66:$DJ$120,ROWS($A$10:$A58)+2,FALSE)</f>
        <v>445</v>
      </c>
      <c r="CF58" s="34">
        <f>HLOOKUP(CF$7+0.5,$I$66:$DJ$120,ROWS($A$10:$A58)+2,FALSE)</f>
        <v>796</v>
      </c>
      <c r="CG58" s="34">
        <f>HLOOKUP(CG$7+0.5,$I$66:$DJ$120,ROWS($A$10:$A58)+2,FALSE)</f>
        <v>1443</v>
      </c>
      <c r="CH58" s="34">
        <f>HLOOKUP(CH$7+0.5,$I$66:$DJ$120,ROWS($A$10:$A58)+2,FALSE)</f>
        <v>656</v>
      </c>
      <c r="CI58" s="34">
        <f>HLOOKUP(CI$7+0.5,$I$66:$DJ$120,ROWS($A$10:$A58)+2,FALSE)</f>
        <v>784</v>
      </c>
      <c r="CJ58" s="34">
        <f>HLOOKUP(CJ$7+0.5,$I$66:$DJ$120,ROWS($A$10:$A58)+2,FALSE)</f>
        <v>2288</v>
      </c>
      <c r="CK58" s="34">
        <f>HLOOKUP(CK$7+0.5,$I$66:$DJ$120,ROWS($A$10:$A58)+2,FALSE)</f>
        <v>1449</v>
      </c>
      <c r="CL58" s="34">
        <f>HLOOKUP(CL$7+0.5,$I$66:$DJ$120,ROWS($A$10:$A58)+2,FALSE)</f>
        <v>245</v>
      </c>
      <c r="CM58" s="34">
        <f>HLOOKUP(CM$7+0.5,$I$66:$DJ$120,ROWS($A$10:$A58)+2,FALSE)</f>
        <v>1954</v>
      </c>
      <c r="CN58" s="34">
        <f>HLOOKUP(CN$7+0.5,$I$66:$DJ$120,ROWS($A$10:$A58)+2,FALSE)</f>
        <v>305</v>
      </c>
      <c r="CO58" s="34">
        <f>HLOOKUP(CO$7+0.5,$I$66:$DJ$120,ROWS($A$10:$A58)+2,FALSE)</f>
        <v>604</v>
      </c>
      <c r="CP58" s="34">
        <f>HLOOKUP(CP$7+0.5,$I$66:$DJ$120,ROWS($A$10:$A58)+2,FALSE)</f>
        <v>599</v>
      </c>
      <c r="CQ58" s="34">
        <f>HLOOKUP(CQ$7+0.5,$I$66:$DJ$120,ROWS($A$10:$A58)+2,FALSE)</f>
        <v>1494</v>
      </c>
      <c r="CR58" s="34">
        <f>HLOOKUP(CR$7+0.5,$I$66:$DJ$120,ROWS($A$10:$A58)+2,FALSE)</f>
        <v>1189</v>
      </c>
      <c r="CS58" s="34">
        <f>HLOOKUP(CS$7+0.5,$I$66:$DJ$120,ROWS($A$10:$A58)+2,FALSE)</f>
        <v>426</v>
      </c>
      <c r="CT58" s="34">
        <f>HLOOKUP(CT$7+0.5,$I$66:$DJ$120,ROWS($A$10:$A58)+2,FALSE)</f>
        <v>1146</v>
      </c>
      <c r="CU58" s="34">
        <f>HLOOKUP(CU$7+0.5,$I$66:$DJ$120,ROWS($A$10:$A58)+2,FALSE)</f>
        <v>1131</v>
      </c>
      <c r="CV58" s="34">
        <f>HLOOKUP(CV$7+0.5,$I$66:$DJ$120,ROWS($A$10:$A58)+2,FALSE)</f>
        <v>4414</v>
      </c>
      <c r="CW58" s="34">
        <f>HLOOKUP(CW$7+0.5,$I$66:$DJ$120,ROWS($A$10:$A58)+2,FALSE)</f>
        <v>1410</v>
      </c>
      <c r="CX58" s="34">
        <f>HLOOKUP(CX$7+0.5,$I$66:$DJ$120,ROWS($A$10:$A58)+2,FALSE)</f>
        <v>197</v>
      </c>
      <c r="CY58" s="34">
        <f>HLOOKUP(CY$7+0.5,$I$66:$DJ$120,ROWS($A$10:$A58)+2,FALSE)</f>
        <v>1800</v>
      </c>
      <c r="CZ58" s="34">
        <f>HLOOKUP(CZ$7+0.5,$I$66:$DJ$120,ROWS($A$10:$A58)+2,FALSE)</f>
        <v>729</v>
      </c>
      <c r="DA58" s="34">
        <f>HLOOKUP(DA$7+0.5,$I$66:$DJ$120,ROWS($A$10:$A58)+2,FALSE)</f>
        <v>511</v>
      </c>
      <c r="DB58" s="34">
        <f>HLOOKUP(DB$7+0.5,$I$66:$DJ$120,ROWS($A$10:$A58)+2,FALSE)</f>
        <v>3003</v>
      </c>
      <c r="DC58" s="34">
        <f>HLOOKUP(DC$7+0.5,$I$66:$DJ$120,ROWS($A$10:$A58)+2,FALSE)</f>
        <v>1681</v>
      </c>
      <c r="DD58" s="34">
        <f>HLOOKUP(DD$7+0.5,$I$66:$DJ$120,ROWS($A$10:$A58)+2,FALSE)</f>
        <v>803</v>
      </c>
      <c r="DE58" s="34">
        <f>HLOOKUP(DE$7+0.5,$I$66:$DJ$120,ROWS($A$10:$A58)+2,FALSE)</f>
        <v>2764</v>
      </c>
      <c r="DF58" s="34" t="str">
        <f>HLOOKUP(DF$7+0.5,$I$66:$DJ$120,ROWS($A$10:$A58)+2,FALSE)</f>
        <v>N/A</v>
      </c>
      <c r="DG58" s="34">
        <f>HLOOKUP(DG$7+0.5,$I$66:$DJ$120,ROWS($A$10:$A58)+2,FALSE)</f>
        <v>107</v>
      </c>
      <c r="DH58" s="34">
        <f>HLOOKUP(DH$7+0.5,$I$66:$DJ$120,ROWS($A$10:$A58)+2,FALSE)</f>
        <v>1074</v>
      </c>
      <c r="DI58" s="34">
        <f>HLOOKUP(DI$7+0.5,$I$66:$DJ$120,ROWS($A$10:$A58)+2,FALSE)</f>
        <v>524</v>
      </c>
      <c r="DJ58" s="34">
        <f>HLOOKUP(DJ$7+0.5,$I$66:$DJ$120,ROWS($A$10:$A58)+2,FALSE)</f>
        <v>277</v>
      </c>
    </row>
    <row r="59" spans="2:114" x14ac:dyDescent="0.25">
      <c r="B59" s="38" t="s">
        <v>55</v>
      </c>
      <c r="C59" s="15">
        <v>1833535</v>
      </c>
      <c r="D59" s="14">
        <v>1890</v>
      </c>
      <c r="E59" s="15">
        <v>1625125</v>
      </c>
      <c r="F59" s="14">
        <v>9824</v>
      </c>
      <c r="G59" s="15">
        <v>166168</v>
      </c>
      <c r="H59" s="14">
        <v>9198</v>
      </c>
      <c r="I59" s="36">
        <f>HLOOKUP(I$7,$I$66:$DJ$120,ROWS($A$10:$A59)+2,FALSE)</f>
        <v>39609</v>
      </c>
      <c r="J59" s="25">
        <f>HLOOKUP(J$7,$I$66:$DJ$120,ROWS($A$10:$A59)+2,FALSE)</f>
        <v>41</v>
      </c>
      <c r="K59" s="25">
        <f>HLOOKUP(K$7,$I$66:$DJ$120,ROWS($A$10:$A59)+2,FALSE)</f>
        <v>1326</v>
      </c>
      <c r="L59" s="25">
        <f>HLOOKUP(L$7,$I$66:$DJ$120,ROWS($A$10:$A59)+2,FALSE)</f>
        <v>0</v>
      </c>
      <c r="M59" s="25">
        <f>HLOOKUP(M$7,$I$66:$DJ$120,ROWS($A$10:$A59)+2,FALSE)</f>
        <v>0</v>
      </c>
      <c r="N59" s="25">
        <f>HLOOKUP(N$7,$I$66:$DJ$120,ROWS($A$10:$A59)+2,FALSE)</f>
        <v>760</v>
      </c>
      <c r="O59" s="25">
        <f>HLOOKUP(O$7,$I$66:$DJ$120,ROWS($A$10:$A59)+2,FALSE)</f>
        <v>608</v>
      </c>
      <c r="P59" s="25">
        <f>HLOOKUP(P$7,$I$66:$DJ$120,ROWS($A$10:$A59)+2,FALSE)</f>
        <v>84</v>
      </c>
      <c r="Q59" s="25">
        <f>HLOOKUP(Q$7,$I$66:$DJ$120,ROWS($A$10:$A59)+2,FALSE)</f>
        <v>556</v>
      </c>
      <c r="R59" s="25">
        <f>HLOOKUP(R$7,$I$66:$DJ$120,ROWS($A$10:$A59)+2,FALSE)</f>
        <v>480</v>
      </c>
      <c r="S59" s="25">
        <f>HLOOKUP(S$7,$I$66:$DJ$120,ROWS($A$10:$A59)+2,FALSE)</f>
        <v>1842</v>
      </c>
      <c r="T59" s="25">
        <f>HLOOKUP(T$7,$I$66:$DJ$120,ROWS($A$10:$A59)+2,FALSE)</f>
        <v>485</v>
      </c>
      <c r="U59" s="25">
        <f>HLOOKUP(U$7,$I$66:$DJ$120,ROWS($A$10:$A59)+2,FALSE)</f>
        <v>0</v>
      </c>
      <c r="V59" s="25">
        <f>HLOOKUP(V$7,$I$66:$DJ$120,ROWS($A$10:$A59)+2,FALSE)</f>
        <v>88</v>
      </c>
      <c r="W59" s="25">
        <f>HLOOKUP(W$7,$I$66:$DJ$120,ROWS($A$10:$A59)+2,FALSE)</f>
        <v>356</v>
      </c>
      <c r="X59" s="25">
        <f>HLOOKUP(X$7,$I$66:$DJ$120,ROWS($A$10:$A59)+2,FALSE)</f>
        <v>366</v>
      </c>
      <c r="Y59" s="25">
        <f>HLOOKUP(Y$7,$I$66:$DJ$120,ROWS($A$10:$A59)+2,FALSE)</f>
        <v>0</v>
      </c>
      <c r="Z59" s="25">
        <f>HLOOKUP(Z$7,$I$66:$DJ$120,ROWS($A$10:$A59)+2,FALSE)</f>
        <v>161</v>
      </c>
      <c r="AA59" s="25">
        <f>HLOOKUP(AA$7,$I$66:$DJ$120,ROWS($A$10:$A59)+2,FALSE)</f>
        <v>851</v>
      </c>
      <c r="AB59" s="25">
        <f>HLOOKUP(AB$7,$I$66:$DJ$120,ROWS($A$10:$A59)+2,FALSE)</f>
        <v>60</v>
      </c>
      <c r="AC59" s="25">
        <f>HLOOKUP(AC$7,$I$66:$DJ$120,ROWS($A$10:$A59)+2,FALSE)</f>
        <v>0</v>
      </c>
      <c r="AD59" s="25">
        <f>HLOOKUP(AD$7,$I$66:$DJ$120,ROWS($A$10:$A59)+2,FALSE)</f>
        <v>4249</v>
      </c>
      <c r="AE59" s="25">
        <f>HLOOKUP(AE$7,$I$66:$DJ$120,ROWS($A$10:$A59)+2,FALSE)</f>
        <v>191</v>
      </c>
      <c r="AF59" s="25">
        <f>HLOOKUP(AF$7,$I$66:$DJ$120,ROWS($A$10:$A59)+2,FALSE)</f>
        <v>657</v>
      </c>
      <c r="AG59" s="25">
        <f>HLOOKUP(AG$7,$I$66:$DJ$120,ROWS($A$10:$A59)+2,FALSE)</f>
        <v>0</v>
      </c>
      <c r="AH59" s="25">
        <f>HLOOKUP(AH$7,$I$66:$DJ$120,ROWS($A$10:$A59)+2,FALSE)</f>
        <v>44</v>
      </c>
      <c r="AI59" s="25">
        <f>HLOOKUP(AI$7,$I$66:$DJ$120,ROWS($A$10:$A59)+2,FALSE)</f>
        <v>160</v>
      </c>
      <c r="AJ59" s="25">
        <f>HLOOKUP(AJ$7,$I$66:$DJ$120,ROWS($A$10:$A59)+2,FALSE)</f>
        <v>39</v>
      </c>
      <c r="AK59" s="25">
        <f>HLOOKUP(AK$7,$I$66:$DJ$120,ROWS($A$10:$A59)+2,FALSE)</f>
        <v>0</v>
      </c>
      <c r="AL59" s="25">
        <f>HLOOKUP(AL$7,$I$66:$DJ$120,ROWS($A$10:$A59)+2,FALSE)</f>
        <v>25</v>
      </c>
      <c r="AM59" s="25">
        <f>HLOOKUP(AM$7,$I$66:$DJ$120,ROWS($A$10:$A59)+2,FALSE)</f>
        <v>107</v>
      </c>
      <c r="AN59" s="25">
        <f>HLOOKUP(AN$7,$I$66:$DJ$120,ROWS($A$10:$A59)+2,FALSE)</f>
        <v>906</v>
      </c>
      <c r="AO59" s="25">
        <f>HLOOKUP(AO$7,$I$66:$DJ$120,ROWS($A$10:$A59)+2,FALSE)</f>
        <v>0</v>
      </c>
      <c r="AP59" s="25">
        <f>HLOOKUP(AP$7,$I$66:$DJ$120,ROWS($A$10:$A59)+2,FALSE)</f>
        <v>611</v>
      </c>
      <c r="AQ59" s="25">
        <f>HLOOKUP(AQ$7,$I$66:$DJ$120,ROWS($A$10:$A59)+2,FALSE)</f>
        <v>2552</v>
      </c>
      <c r="AR59" s="25">
        <f>HLOOKUP(AR$7,$I$66:$DJ$120,ROWS($A$10:$A59)+2,FALSE)</f>
        <v>268</v>
      </c>
      <c r="AS59" s="25">
        <f>HLOOKUP(AS$7,$I$66:$DJ$120,ROWS($A$10:$A59)+2,FALSE)</f>
        <v>7925</v>
      </c>
      <c r="AT59" s="25">
        <f>HLOOKUP(AT$7,$I$66:$DJ$120,ROWS($A$10:$A59)+2,FALSE)</f>
        <v>229</v>
      </c>
      <c r="AU59" s="25">
        <f>HLOOKUP(AU$7,$I$66:$DJ$120,ROWS($A$10:$A59)+2,FALSE)</f>
        <v>0</v>
      </c>
      <c r="AV59" s="25">
        <f>HLOOKUP(AV$7,$I$66:$DJ$120,ROWS($A$10:$A59)+2,FALSE)</f>
        <v>4908</v>
      </c>
      <c r="AW59" s="25">
        <f>HLOOKUP(AW$7,$I$66:$DJ$120,ROWS($A$10:$A59)+2,FALSE)</f>
        <v>238</v>
      </c>
      <c r="AX59" s="25">
        <f>HLOOKUP(AX$7,$I$66:$DJ$120,ROWS($A$10:$A59)+2,FALSE)</f>
        <v>647</v>
      </c>
      <c r="AY59" s="25">
        <f>HLOOKUP(AY$7,$I$66:$DJ$120,ROWS($A$10:$A59)+2,FALSE)</f>
        <v>0</v>
      </c>
      <c r="AZ59" s="25">
        <f>HLOOKUP(AZ$7,$I$66:$DJ$120,ROWS($A$10:$A59)+2,FALSE)</f>
        <v>1160</v>
      </c>
      <c r="BA59" s="25">
        <f>HLOOKUP(BA$7,$I$66:$DJ$120,ROWS($A$10:$A59)+2,FALSE)</f>
        <v>968</v>
      </c>
      <c r="BB59" s="25">
        <f>HLOOKUP(BB$7,$I$66:$DJ$120,ROWS($A$10:$A59)+2,FALSE)</f>
        <v>112</v>
      </c>
      <c r="BC59" s="25">
        <f>HLOOKUP(BC$7,$I$66:$DJ$120,ROWS($A$10:$A59)+2,FALSE)</f>
        <v>208</v>
      </c>
      <c r="BD59" s="25">
        <f>HLOOKUP(BD$7,$I$66:$DJ$120,ROWS($A$10:$A59)+2,FALSE)</f>
        <v>4999</v>
      </c>
      <c r="BE59" s="25">
        <f>HLOOKUP(BE$7,$I$66:$DJ$120,ROWS($A$10:$A59)+2,FALSE)</f>
        <v>192</v>
      </c>
      <c r="BF59" s="25" t="str">
        <f>HLOOKUP(BF$7,$I$66:$DJ$120,ROWS($A$10:$A59)+2,FALSE)</f>
        <v>N/A</v>
      </c>
      <c r="BG59" s="25">
        <f>HLOOKUP(BG$7,$I$66:$DJ$120,ROWS($A$10:$A59)+2,FALSE)</f>
        <v>150</v>
      </c>
      <c r="BH59" s="25">
        <f>HLOOKUP(BH$7,$I$66:$DJ$120,ROWS($A$10:$A59)+2,FALSE)</f>
        <v>0</v>
      </c>
      <c r="BI59" s="25">
        <f>HLOOKUP(BI$7,$I$66:$DJ$120,ROWS($A$10:$A59)+2,FALSE)</f>
        <v>182</v>
      </c>
      <c r="BJ59" s="34">
        <f>HLOOKUP(BJ$7+0.5,$I$66:$DJ$120,ROWS($A$10:$A59)+2,FALSE)</f>
        <v>4590</v>
      </c>
      <c r="BK59" s="34">
        <f>HLOOKUP(BK$7+0.5,$I$66:$DJ$120,ROWS($A$10:$A59)+2,FALSE)</f>
        <v>69</v>
      </c>
      <c r="BL59" s="34">
        <f>HLOOKUP(BL$7+0.5,$I$66:$DJ$120,ROWS($A$10:$A59)+2,FALSE)</f>
        <v>1210</v>
      </c>
      <c r="BM59" s="34">
        <f>HLOOKUP(BM$7+0.5,$I$66:$DJ$120,ROWS($A$10:$A59)+2,FALSE)</f>
        <v>269</v>
      </c>
      <c r="BN59" s="34">
        <f>HLOOKUP(BN$7+0.5,$I$66:$DJ$120,ROWS($A$10:$A59)+2,FALSE)</f>
        <v>269</v>
      </c>
      <c r="BO59" s="34">
        <f>HLOOKUP(BO$7+0.5,$I$66:$DJ$120,ROWS($A$10:$A59)+2,FALSE)</f>
        <v>511</v>
      </c>
      <c r="BP59" s="34">
        <f>HLOOKUP(BP$7+0.5,$I$66:$DJ$120,ROWS($A$10:$A59)+2,FALSE)</f>
        <v>553</v>
      </c>
      <c r="BQ59" s="34">
        <f>HLOOKUP(BQ$7+0.5,$I$66:$DJ$120,ROWS($A$10:$A59)+2,FALSE)</f>
        <v>148</v>
      </c>
      <c r="BR59" s="34">
        <f>HLOOKUP(BR$7+0.5,$I$66:$DJ$120,ROWS($A$10:$A59)+2,FALSE)</f>
        <v>506</v>
      </c>
      <c r="BS59" s="34">
        <f>HLOOKUP(BS$7+0.5,$I$66:$DJ$120,ROWS($A$10:$A59)+2,FALSE)</f>
        <v>466</v>
      </c>
      <c r="BT59" s="34">
        <f>HLOOKUP(BT$7+0.5,$I$66:$DJ$120,ROWS($A$10:$A59)+2,FALSE)</f>
        <v>825</v>
      </c>
      <c r="BU59" s="34">
        <f>HLOOKUP(BU$7+0.5,$I$66:$DJ$120,ROWS($A$10:$A59)+2,FALSE)</f>
        <v>354</v>
      </c>
      <c r="BV59" s="34">
        <f>HLOOKUP(BV$7+0.5,$I$66:$DJ$120,ROWS($A$10:$A59)+2,FALSE)</f>
        <v>269</v>
      </c>
      <c r="BW59" s="34">
        <f>HLOOKUP(BW$7+0.5,$I$66:$DJ$120,ROWS($A$10:$A59)+2,FALSE)</f>
        <v>158</v>
      </c>
      <c r="BX59" s="34">
        <f>HLOOKUP(BX$7+0.5,$I$66:$DJ$120,ROWS($A$10:$A59)+2,FALSE)</f>
        <v>338</v>
      </c>
      <c r="BY59" s="34">
        <f>HLOOKUP(BY$7+0.5,$I$66:$DJ$120,ROWS($A$10:$A59)+2,FALSE)</f>
        <v>311</v>
      </c>
      <c r="BZ59" s="34">
        <f>HLOOKUP(BZ$7+0.5,$I$66:$DJ$120,ROWS($A$10:$A59)+2,FALSE)</f>
        <v>269</v>
      </c>
      <c r="CA59" s="34">
        <f>HLOOKUP(CA$7+0.5,$I$66:$DJ$120,ROWS($A$10:$A59)+2,FALSE)</f>
        <v>198</v>
      </c>
      <c r="CB59" s="34">
        <f>HLOOKUP(CB$7+0.5,$I$66:$DJ$120,ROWS($A$10:$A59)+2,FALSE)</f>
        <v>732</v>
      </c>
      <c r="CC59" s="34">
        <f>HLOOKUP(CC$7+0.5,$I$66:$DJ$120,ROWS($A$10:$A59)+2,FALSE)</f>
        <v>117</v>
      </c>
      <c r="CD59" s="34">
        <f>HLOOKUP(CD$7+0.5,$I$66:$DJ$120,ROWS($A$10:$A59)+2,FALSE)</f>
        <v>269</v>
      </c>
      <c r="CE59" s="34">
        <f>HLOOKUP(CE$7+0.5,$I$66:$DJ$120,ROWS($A$10:$A59)+2,FALSE)</f>
        <v>1182</v>
      </c>
      <c r="CF59" s="34">
        <f>HLOOKUP(CF$7+0.5,$I$66:$DJ$120,ROWS($A$10:$A59)+2,FALSE)</f>
        <v>169</v>
      </c>
      <c r="CG59" s="34">
        <f>HLOOKUP(CG$7+0.5,$I$66:$DJ$120,ROWS($A$10:$A59)+2,FALSE)</f>
        <v>379</v>
      </c>
      <c r="CH59" s="34">
        <f>HLOOKUP(CH$7+0.5,$I$66:$DJ$120,ROWS($A$10:$A59)+2,FALSE)</f>
        <v>269</v>
      </c>
      <c r="CI59" s="34">
        <f>HLOOKUP(CI$7+0.5,$I$66:$DJ$120,ROWS($A$10:$A59)+2,FALSE)</f>
        <v>75</v>
      </c>
      <c r="CJ59" s="34">
        <f>HLOOKUP(CJ$7+0.5,$I$66:$DJ$120,ROWS($A$10:$A59)+2,FALSE)</f>
        <v>190</v>
      </c>
      <c r="CK59" s="34">
        <f>HLOOKUP(CK$7+0.5,$I$66:$DJ$120,ROWS($A$10:$A59)+2,FALSE)</f>
        <v>62</v>
      </c>
      <c r="CL59" s="34">
        <f>HLOOKUP(CL$7+0.5,$I$66:$DJ$120,ROWS($A$10:$A59)+2,FALSE)</f>
        <v>269</v>
      </c>
      <c r="CM59" s="34">
        <f>HLOOKUP(CM$7+0.5,$I$66:$DJ$120,ROWS($A$10:$A59)+2,FALSE)</f>
        <v>42</v>
      </c>
      <c r="CN59" s="34">
        <f>HLOOKUP(CN$7+0.5,$I$66:$DJ$120,ROWS($A$10:$A59)+2,FALSE)</f>
        <v>185</v>
      </c>
      <c r="CO59" s="34">
        <f>HLOOKUP(CO$7+0.5,$I$66:$DJ$120,ROWS($A$10:$A59)+2,FALSE)</f>
        <v>537</v>
      </c>
      <c r="CP59" s="34">
        <f>HLOOKUP(CP$7+0.5,$I$66:$DJ$120,ROWS($A$10:$A59)+2,FALSE)</f>
        <v>269</v>
      </c>
      <c r="CQ59" s="34">
        <f>HLOOKUP(CQ$7+0.5,$I$66:$DJ$120,ROWS($A$10:$A59)+2,FALSE)</f>
        <v>416</v>
      </c>
      <c r="CR59" s="34">
        <f>HLOOKUP(CR$7+0.5,$I$66:$DJ$120,ROWS($A$10:$A59)+2,FALSE)</f>
        <v>985</v>
      </c>
      <c r="CS59" s="34">
        <f>HLOOKUP(CS$7+0.5,$I$66:$DJ$120,ROWS($A$10:$A59)+2,FALSE)</f>
        <v>399</v>
      </c>
      <c r="CT59" s="34">
        <f>HLOOKUP(CT$7+0.5,$I$66:$DJ$120,ROWS($A$10:$A59)+2,FALSE)</f>
        <v>2201</v>
      </c>
      <c r="CU59" s="34">
        <f>HLOOKUP(CU$7+0.5,$I$66:$DJ$120,ROWS($A$10:$A59)+2,FALSE)</f>
        <v>363</v>
      </c>
      <c r="CV59" s="34">
        <f>HLOOKUP(CV$7+0.5,$I$66:$DJ$120,ROWS($A$10:$A59)+2,FALSE)</f>
        <v>269</v>
      </c>
      <c r="CW59" s="34">
        <f>HLOOKUP(CW$7+0.5,$I$66:$DJ$120,ROWS($A$10:$A59)+2,FALSE)</f>
        <v>1396</v>
      </c>
      <c r="CX59" s="34">
        <f>HLOOKUP(CX$7+0.5,$I$66:$DJ$120,ROWS($A$10:$A59)+2,FALSE)</f>
        <v>292</v>
      </c>
      <c r="CY59" s="34">
        <f>HLOOKUP(CY$7+0.5,$I$66:$DJ$120,ROWS($A$10:$A59)+2,FALSE)</f>
        <v>493</v>
      </c>
      <c r="CZ59" s="34">
        <f>HLOOKUP(CZ$7+0.5,$I$66:$DJ$120,ROWS($A$10:$A59)+2,FALSE)</f>
        <v>269</v>
      </c>
      <c r="DA59" s="34">
        <f>HLOOKUP(DA$7+0.5,$I$66:$DJ$120,ROWS($A$10:$A59)+2,FALSE)</f>
        <v>833</v>
      </c>
      <c r="DB59" s="34">
        <f>HLOOKUP(DB$7+0.5,$I$66:$DJ$120,ROWS($A$10:$A59)+2,FALSE)</f>
        <v>650</v>
      </c>
      <c r="DC59" s="34">
        <f>HLOOKUP(DC$7+0.5,$I$66:$DJ$120,ROWS($A$10:$A59)+2,FALSE)</f>
        <v>144</v>
      </c>
      <c r="DD59" s="34">
        <f>HLOOKUP(DD$7+0.5,$I$66:$DJ$120,ROWS($A$10:$A59)+2,FALSE)</f>
        <v>205</v>
      </c>
      <c r="DE59" s="34">
        <f>HLOOKUP(DE$7+0.5,$I$66:$DJ$120,ROWS($A$10:$A59)+2,FALSE)</f>
        <v>1573</v>
      </c>
      <c r="DF59" s="34">
        <f>HLOOKUP(DF$7+0.5,$I$66:$DJ$120,ROWS($A$10:$A59)+2,FALSE)</f>
        <v>199</v>
      </c>
      <c r="DG59" s="34" t="str">
        <f>HLOOKUP(DG$7+0.5,$I$66:$DJ$120,ROWS($A$10:$A59)+2,FALSE)</f>
        <v>N/A</v>
      </c>
      <c r="DH59" s="34">
        <f>HLOOKUP(DH$7+0.5,$I$66:$DJ$120,ROWS($A$10:$A59)+2,FALSE)</f>
        <v>188</v>
      </c>
      <c r="DI59" s="34">
        <f>HLOOKUP(DI$7+0.5,$I$66:$DJ$120,ROWS($A$10:$A59)+2,FALSE)</f>
        <v>269</v>
      </c>
      <c r="DJ59" s="34">
        <f>HLOOKUP(DJ$7+0.5,$I$66:$DJ$120,ROWS($A$10:$A59)+2,FALSE)</f>
        <v>232</v>
      </c>
    </row>
    <row r="60" spans="2:114" x14ac:dyDescent="0.25">
      <c r="B60" s="38" t="s">
        <v>56</v>
      </c>
      <c r="C60" s="15">
        <v>5623196</v>
      </c>
      <c r="D60" s="14">
        <v>3124</v>
      </c>
      <c r="E60" s="15">
        <v>4824045</v>
      </c>
      <c r="F60" s="14">
        <v>20412</v>
      </c>
      <c r="G60" s="15">
        <v>691592</v>
      </c>
      <c r="H60" s="14">
        <v>17462</v>
      </c>
      <c r="I60" s="36">
        <f>HLOOKUP(I$7,$I$66:$DJ$120,ROWS($A$10:$A60)+2,FALSE)</f>
        <v>93065</v>
      </c>
      <c r="J60" s="25">
        <f>HLOOKUP(J$7,$I$66:$DJ$120,ROWS($A$10:$A60)+2,FALSE)</f>
        <v>552</v>
      </c>
      <c r="K60" s="25">
        <f>HLOOKUP(K$7,$I$66:$DJ$120,ROWS($A$10:$A60)+2,FALSE)</f>
        <v>798</v>
      </c>
      <c r="L60" s="25">
        <f>HLOOKUP(L$7,$I$66:$DJ$120,ROWS($A$10:$A60)+2,FALSE)</f>
        <v>1854</v>
      </c>
      <c r="M60" s="25">
        <f>HLOOKUP(M$7,$I$66:$DJ$120,ROWS($A$10:$A60)+2,FALSE)</f>
        <v>518</v>
      </c>
      <c r="N60" s="25">
        <f>HLOOKUP(N$7,$I$66:$DJ$120,ROWS($A$10:$A60)+2,FALSE)</f>
        <v>4506</v>
      </c>
      <c r="O60" s="25">
        <f>HLOOKUP(O$7,$I$66:$DJ$120,ROWS($A$10:$A60)+2,FALSE)</f>
        <v>1890</v>
      </c>
      <c r="P60" s="25">
        <f>HLOOKUP(P$7,$I$66:$DJ$120,ROWS($A$10:$A60)+2,FALSE)</f>
        <v>359</v>
      </c>
      <c r="Q60" s="25">
        <f>HLOOKUP(Q$7,$I$66:$DJ$120,ROWS($A$10:$A60)+2,FALSE)</f>
        <v>351</v>
      </c>
      <c r="R60" s="25">
        <f>HLOOKUP(R$7,$I$66:$DJ$120,ROWS($A$10:$A60)+2,FALSE)</f>
        <v>98</v>
      </c>
      <c r="S60" s="25">
        <f>HLOOKUP(S$7,$I$66:$DJ$120,ROWS($A$10:$A60)+2,FALSE)</f>
        <v>4492</v>
      </c>
      <c r="T60" s="25">
        <f>HLOOKUP(T$7,$I$66:$DJ$120,ROWS($A$10:$A60)+2,FALSE)</f>
        <v>1656</v>
      </c>
      <c r="U60" s="25">
        <f>HLOOKUP(U$7,$I$66:$DJ$120,ROWS($A$10:$A60)+2,FALSE)</f>
        <v>550</v>
      </c>
      <c r="V60" s="25">
        <f>HLOOKUP(V$7,$I$66:$DJ$120,ROWS($A$10:$A60)+2,FALSE)</f>
        <v>902</v>
      </c>
      <c r="W60" s="25">
        <f>HLOOKUP(W$7,$I$66:$DJ$120,ROWS($A$10:$A60)+2,FALSE)</f>
        <v>20299</v>
      </c>
      <c r="X60" s="25">
        <f>HLOOKUP(X$7,$I$66:$DJ$120,ROWS($A$10:$A60)+2,FALSE)</f>
        <v>2563</v>
      </c>
      <c r="Y60" s="25">
        <f>HLOOKUP(Y$7,$I$66:$DJ$120,ROWS($A$10:$A60)+2,FALSE)</f>
        <v>2300</v>
      </c>
      <c r="Z60" s="25">
        <f>HLOOKUP(Z$7,$I$66:$DJ$120,ROWS($A$10:$A60)+2,FALSE)</f>
        <v>752</v>
      </c>
      <c r="AA60" s="25">
        <f>HLOOKUP(AA$7,$I$66:$DJ$120,ROWS($A$10:$A60)+2,FALSE)</f>
        <v>287</v>
      </c>
      <c r="AB60" s="25">
        <f>HLOOKUP(AB$7,$I$66:$DJ$120,ROWS($A$10:$A60)+2,FALSE)</f>
        <v>331</v>
      </c>
      <c r="AC60" s="25">
        <f>HLOOKUP(AC$7,$I$66:$DJ$120,ROWS($A$10:$A60)+2,FALSE)</f>
        <v>448</v>
      </c>
      <c r="AD60" s="25">
        <f>HLOOKUP(AD$7,$I$66:$DJ$120,ROWS($A$10:$A60)+2,FALSE)</f>
        <v>1088</v>
      </c>
      <c r="AE60" s="25">
        <f>HLOOKUP(AE$7,$I$66:$DJ$120,ROWS($A$10:$A60)+2,FALSE)</f>
        <v>992</v>
      </c>
      <c r="AF60" s="25">
        <f>HLOOKUP(AF$7,$I$66:$DJ$120,ROWS($A$10:$A60)+2,FALSE)</f>
        <v>6317</v>
      </c>
      <c r="AG60" s="25">
        <f>HLOOKUP(AG$7,$I$66:$DJ$120,ROWS($A$10:$A60)+2,FALSE)</f>
        <v>16741</v>
      </c>
      <c r="AH60" s="25">
        <f>HLOOKUP(AH$7,$I$66:$DJ$120,ROWS($A$10:$A60)+2,FALSE)</f>
        <v>810</v>
      </c>
      <c r="AI60" s="25">
        <f>HLOOKUP(AI$7,$I$66:$DJ$120,ROWS($A$10:$A60)+2,FALSE)</f>
        <v>1716</v>
      </c>
      <c r="AJ60" s="25">
        <f>HLOOKUP(AJ$7,$I$66:$DJ$120,ROWS($A$10:$A60)+2,FALSE)</f>
        <v>154</v>
      </c>
      <c r="AK60" s="25">
        <f>HLOOKUP(AK$7,$I$66:$DJ$120,ROWS($A$10:$A60)+2,FALSE)</f>
        <v>853</v>
      </c>
      <c r="AL60" s="25">
        <f>HLOOKUP(AL$7,$I$66:$DJ$120,ROWS($A$10:$A60)+2,FALSE)</f>
        <v>1049</v>
      </c>
      <c r="AM60" s="25">
        <f>HLOOKUP(AM$7,$I$66:$DJ$120,ROWS($A$10:$A60)+2,FALSE)</f>
        <v>69</v>
      </c>
      <c r="AN60" s="25">
        <f>HLOOKUP(AN$7,$I$66:$DJ$120,ROWS($A$10:$A60)+2,FALSE)</f>
        <v>632</v>
      </c>
      <c r="AO60" s="25">
        <f>HLOOKUP(AO$7,$I$66:$DJ$120,ROWS($A$10:$A60)+2,FALSE)</f>
        <v>123</v>
      </c>
      <c r="AP60" s="25">
        <f>HLOOKUP(AP$7,$I$66:$DJ$120,ROWS($A$10:$A60)+2,FALSE)</f>
        <v>1291</v>
      </c>
      <c r="AQ60" s="25">
        <f>HLOOKUP(AQ$7,$I$66:$DJ$120,ROWS($A$10:$A60)+2,FALSE)</f>
        <v>1817</v>
      </c>
      <c r="AR60" s="25">
        <f>HLOOKUP(AR$7,$I$66:$DJ$120,ROWS($A$10:$A60)+2,FALSE)</f>
        <v>497</v>
      </c>
      <c r="AS60" s="25">
        <f>HLOOKUP(AS$7,$I$66:$DJ$120,ROWS($A$10:$A60)+2,FALSE)</f>
        <v>1674</v>
      </c>
      <c r="AT60" s="25">
        <f>HLOOKUP(AT$7,$I$66:$DJ$120,ROWS($A$10:$A60)+2,FALSE)</f>
        <v>89</v>
      </c>
      <c r="AU60" s="25">
        <f>HLOOKUP(AU$7,$I$66:$DJ$120,ROWS($A$10:$A60)+2,FALSE)</f>
        <v>1444</v>
      </c>
      <c r="AV60" s="25">
        <f>HLOOKUP(AV$7,$I$66:$DJ$120,ROWS($A$10:$A60)+2,FALSE)</f>
        <v>2211</v>
      </c>
      <c r="AW60" s="25">
        <f>HLOOKUP(AW$7,$I$66:$DJ$120,ROWS($A$10:$A60)+2,FALSE)</f>
        <v>0</v>
      </c>
      <c r="AX60" s="25">
        <f>HLOOKUP(AX$7,$I$66:$DJ$120,ROWS($A$10:$A60)+2,FALSE)</f>
        <v>1142</v>
      </c>
      <c r="AY60" s="25">
        <f>HLOOKUP(AY$7,$I$66:$DJ$120,ROWS($A$10:$A60)+2,FALSE)</f>
        <v>235</v>
      </c>
      <c r="AZ60" s="25">
        <f>HLOOKUP(AZ$7,$I$66:$DJ$120,ROWS($A$10:$A60)+2,FALSE)</f>
        <v>856</v>
      </c>
      <c r="BA60" s="25">
        <f>HLOOKUP(BA$7,$I$66:$DJ$120,ROWS($A$10:$A60)+2,FALSE)</f>
        <v>3039</v>
      </c>
      <c r="BB60" s="25">
        <f>HLOOKUP(BB$7,$I$66:$DJ$120,ROWS($A$10:$A60)+2,FALSE)</f>
        <v>476</v>
      </c>
      <c r="BC60" s="25">
        <f>HLOOKUP(BC$7,$I$66:$DJ$120,ROWS($A$10:$A60)+2,FALSE)</f>
        <v>75</v>
      </c>
      <c r="BD60" s="25">
        <f>HLOOKUP(BD$7,$I$66:$DJ$120,ROWS($A$10:$A60)+2,FALSE)</f>
        <v>771</v>
      </c>
      <c r="BE60" s="25">
        <f>HLOOKUP(BE$7,$I$66:$DJ$120,ROWS($A$10:$A60)+2,FALSE)</f>
        <v>1013</v>
      </c>
      <c r="BF60" s="25">
        <f>HLOOKUP(BF$7,$I$66:$DJ$120,ROWS($A$10:$A60)+2,FALSE)</f>
        <v>256</v>
      </c>
      <c r="BG60" s="25" t="str">
        <f>HLOOKUP(BG$7,$I$66:$DJ$120,ROWS($A$10:$A60)+2,FALSE)</f>
        <v>N/A</v>
      </c>
      <c r="BH60" s="25">
        <f>HLOOKUP(BH$7,$I$66:$DJ$120,ROWS($A$10:$A60)+2,FALSE)</f>
        <v>129</v>
      </c>
      <c r="BI60" s="25">
        <f>HLOOKUP(BI$7,$I$66:$DJ$120,ROWS($A$10:$A60)+2,FALSE)</f>
        <v>521</v>
      </c>
      <c r="BJ60" s="34">
        <f>HLOOKUP(BJ$7+0.5,$I$66:$DJ$120,ROWS($A$10:$A60)+2,FALSE)</f>
        <v>6949</v>
      </c>
      <c r="BK60" s="34">
        <f>HLOOKUP(BK$7+0.5,$I$66:$DJ$120,ROWS($A$10:$A60)+2,FALSE)</f>
        <v>523</v>
      </c>
      <c r="BL60" s="34">
        <f>HLOOKUP(BL$7+0.5,$I$66:$DJ$120,ROWS($A$10:$A60)+2,FALSE)</f>
        <v>549</v>
      </c>
      <c r="BM60" s="34">
        <f>HLOOKUP(BM$7+0.5,$I$66:$DJ$120,ROWS($A$10:$A60)+2,FALSE)</f>
        <v>674</v>
      </c>
      <c r="BN60" s="34">
        <f>HLOOKUP(BN$7+0.5,$I$66:$DJ$120,ROWS($A$10:$A60)+2,FALSE)</f>
        <v>299</v>
      </c>
      <c r="BO60" s="34">
        <f>HLOOKUP(BO$7+0.5,$I$66:$DJ$120,ROWS($A$10:$A60)+2,FALSE)</f>
        <v>1080</v>
      </c>
      <c r="BP60" s="34">
        <f>HLOOKUP(BP$7+0.5,$I$66:$DJ$120,ROWS($A$10:$A60)+2,FALSE)</f>
        <v>806</v>
      </c>
      <c r="BQ60" s="34">
        <f>HLOOKUP(BQ$7+0.5,$I$66:$DJ$120,ROWS($A$10:$A60)+2,FALSE)</f>
        <v>356</v>
      </c>
      <c r="BR60" s="34">
        <f>HLOOKUP(BR$7+0.5,$I$66:$DJ$120,ROWS($A$10:$A60)+2,FALSE)</f>
        <v>522</v>
      </c>
      <c r="BS60" s="34">
        <f>HLOOKUP(BS$7+0.5,$I$66:$DJ$120,ROWS($A$10:$A60)+2,FALSE)</f>
        <v>118</v>
      </c>
      <c r="BT60" s="34">
        <f>HLOOKUP(BT$7+0.5,$I$66:$DJ$120,ROWS($A$10:$A60)+2,FALSE)</f>
        <v>1416</v>
      </c>
      <c r="BU60" s="34">
        <f>HLOOKUP(BU$7+0.5,$I$66:$DJ$120,ROWS($A$10:$A60)+2,FALSE)</f>
        <v>684</v>
      </c>
      <c r="BV60" s="34">
        <f>HLOOKUP(BV$7+0.5,$I$66:$DJ$120,ROWS($A$10:$A60)+2,FALSE)</f>
        <v>532</v>
      </c>
      <c r="BW60" s="34">
        <f>HLOOKUP(BW$7+0.5,$I$66:$DJ$120,ROWS($A$10:$A60)+2,FALSE)</f>
        <v>771</v>
      </c>
      <c r="BX60" s="34">
        <f>HLOOKUP(BX$7+0.5,$I$66:$DJ$120,ROWS($A$10:$A60)+2,FALSE)</f>
        <v>3115</v>
      </c>
      <c r="BY60" s="34">
        <f>HLOOKUP(BY$7+0.5,$I$66:$DJ$120,ROWS($A$10:$A60)+2,FALSE)</f>
        <v>921</v>
      </c>
      <c r="BZ60" s="34">
        <f>HLOOKUP(BZ$7+0.5,$I$66:$DJ$120,ROWS($A$10:$A60)+2,FALSE)</f>
        <v>936</v>
      </c>
      <c r="CA60" s="34">
        <f>HLOOKUP(CA$7+0.5,$I$66:$DJ$120,ROWS($A$10:$A60)+2,FALSE)</f>
        <v>696</v>
      </c>
      <c r="CB60" s="34">
        <f>HLOOKUP(CB$7+0.5,$I$66:$DJ$120,ROWS($A$10:$A60)+2,FALSE)</f>
        <v>215</v>
      </c>
      <c r="CC60" s="34">
        <f>HLOOKUP(CC$7+0.5,$I$66:$DJ$120,ROWS($A$10:$A60)+2,FALSE)</f>
        <v>302</v>
      </c>
      <c r="CD60" s="34">
        <f>HLOOKUP(CD$7+0.5,$I$66:$DJ$120,ROWS($A$10:$A60)+2,FALSE)</f>
        <v>427</v>
      </c>
      <c r="CE60" s="34">
        <f>HLOOKUP(CE$7+0.5,$I$66:$DJ$120,ROWS($A$10:$A60)+2,FALSE)</f>
        <v>700</v>
      </c>
      <c r="CF60" s="34">
        <f>HLOOKUP(CF$7+0.5,$I$66:$DJ$120,ROWS($A$10:$A60)+2,FALSE)</f>
        <v>1121</v>
      </c>
      <c r="CG60" s="34">
        <f>HLOOKUP(CG$7+0.5,$I$66:$DJ$120,ROWS($A$10:$A60)+2,FALSE)</f>
        <v>1567</v>
      </c>
      <c r="CH60" s="34">
        <f>HLOOKUP(CH$7+0.5,$I$66:$DJ$120,ROWS($A$10:$A60)+2,FALSE)</f>
        <v>2575</v>
      </c>
      <c r="CI60" s="34">
        <f>HLOOKUP(CI$7+0.5,$I$66:$DJ$120,ROWS($A$10:$A60)+2,FALSE)</f>
        <v>987</v>
      </c>
      <c r="CJ60" s="34">
        <f>HLOOKUP(CJ$7+0.5,$I$66:$DJ$120,ROWS($A$10:$A60)+2,FALSE)</f>
        <v>890</v>
      </c>
      <c r="CK60" s="34">
        <f>HLOOKUP(CK$7+0.5,$I$66:$DJ$120,ROWS($A$10:$A60)+2,FALSE)</f>
        <v>164</v>
      </c>
      <c r="CL60" s="34">
        <f>HLOOKUP(CL$7+0.5,$I$66:$DJ$120,ROWS($A$10:$A60)+2,FALSE)</f>
        <v>685</v>
      </c>
      <c r="CM60" s="34">
        <f>HLOOKUP(CM$7+0.5,$I$66:$DJ$120,ROWS($A$10:$A60)+2,FALSE)</f>
        <v>897</v>
      </c>
      <c r="CN60" s="34">
        <f>HLOOKUP(CN$7+0.5,$I$66:$DJ$120,ROWS($A$10:$A60)+2,FALSE)</f>
        <v>116</v>
      </c>
      <c r="CO60" s="34">
        <f>HLOOKUP(CO$7+0.5,$I$66:$DJ$120,ROWS($A$10:$A60)+2,FALSE)</f>
        <v>422</v>
      </c>
      <c r="CP60" s="34">
        <f>HLOOKUP(CP$7+0.5,$I$66:$DJ$120,ROWS($A$10:$A60)+2,FALSE)</f>
        <v>115</v>
      </c>
      <c r="CQ60" s="34">
        <f>HLOOKUP(CQ$7+0.5,$I$66:$DJ$120,ROWS($A$10:$A60)+2,FALSE)</f>
        <v>512</v>
      </c>
      <c r="CR60" s="34">
        <f>HLOOKUP(CR$7+0.5,$I$66:$DJ$120,ROWS($A$10:$A60)+2,FALSE)</f>
        <v>1007</v>
      </c>
      <c r="CS60" s="34">
        <f>HLOOKUP(CS$7+0.5,$I$66:$DJ$120,ROWS($A$10:$A60)+2,FALSE)</f>
        <v>373</v>
      </c>
      <c r="CT60" s="34">
        <f>HLOOKUP(CT$7+0.5,$I$66:$DJ$120,ROWS($A$10:$A60)+2,FALSE)</f>
        <v>1063</v>
      </c>
      <c r="CU60" s="34">
        <f>HLOOKUP(CU$7+0.5,$I$66:$DJ$120,ROWS($A$10:$A60)+2,FALSE)</f>
        <v>137</v>
      </c>
      <c r="CV60" s="34">
        <f>HLOOKUP(CV$7+0.5,$I$66:$DJ$120,ROWS($A$10:$A60)+2,FALSE)</f>
        <v>768</v>
      </c>
      <c r="CW60" s="34">
        <f>HLOOKUP(CW$7+0.5,$I$66:$DJ$120,ROWS($A$10:$A60)+2,FALSE)</f>
        <v>1428</v>
      </c>
      <c r="CX60" s="34">
        <f>HLOOKUP(CX$7+0.5,$I$66:$DJ$120,ROWS($A$10:$A60)+2,FALSE)</f>
        <v>218</v>
      </c>
      <c r="CY60" s="34">
        <f>HLOOKUP(CY$7+0.5,$I$66:$DJ$120,ROWS($A$10:$A60)+2,FALSE)</f>
        <v>626</v>
      </c>
      <c r="CZ60" s="34">
        <f>HLOOKUP(CZ$7+0.5,$I$66:$DJ$120,ROWS($A$10:$A60)+2,FALSE)</f>
        <v>159</v>
      </c>
      <c r="DA60" s="34">
        <f>HLOOKUP(DA$7+0.5,$I$66:$DJ$120,ROWS($A$10:$A60)+2,FALSE)</f>
        <v>469</v>
      </c>
      <c r="DB60" s="34">
        <f>HLOOKUP(DB$7+0.5,$I$66:$DJ$120,ROWS($A$10:$A60)+2,FALSE)</f>
        <v>983</v>
      </c>
      <c r="DC60" s="34">
        <f>HLOOKUP(DC$7+0.5,$I$66:$DJ$120,ROWS($A$10:$A60)+2,FALSE)</f>
        <v>398</v>
      </c>
      <c r="DD60" s="34">
        <f>HLOOKUP(DD$7+0.5,$I$66:$DJ$120,ROWS($A$10:$A60)+2,FALSE)</f>
        <v>123</v>
      </c>
      <c r="DE60" s="34">
        <f>HLOOKUP(DE$7+0.5,$I$66:$DJ$120,ROWS($A$10:$A60)+2,FALSE)</f>
        <v>543</v>
      </c>
      <c r="DF60" s="34">
        <f>HLOOKUP(DF$7+0.5,$I$66:$DJ$120,ROWS($A$10:$A60)+2,FALSE)</f>
        <v>634</v>
      </c>
      <c r="DG60" s="34">
        <f>HLOOKUP(DG$7+0.5,$I$66:$DJ$120,ROWS($A$10:$A60)+2,FALSE)</f>
        <v>229</v>
      </c>
      <c r="DH60" s="34" t="str">
        <f>HLOOKUP(DH$7+0.5,$I$66:$DJ$120,ROWS($A$10:$A60)+2,FALSE)</f>
        <v>N/A</v>
      </c>
      <c r="DI60" s="34">
        <f>HLOOKUP(DI$7+0.5,$I$66:$DJ$120,ROWS($A$10:$A60)+2,FALSE)</f>
        <v>104</v>
      </c>
      <c r="DJ60" s="34">
        <f>HLOOKUP(DJ$7+0.5,$I$66:$DJ$120,ROWS($A$10:$A60)+2,FALSE)</f>
        <v>478</v>
      </c>
    </row>
    <row r="61" spans="2:114" x14ac:dyDescent="0.25">
      <c r="B61" s="38" t="s">
        <v>57</v>
      </c>
      <c r="C61" s="15">
        <v>556954</v>
      </c>
      <c r="D61" s="14">
        <v>1133</v>
      </c>
      <c r="E61" s="15">
        <v>444614</v>
      </c>
      <c r="F61" s="14">
        <v>8794</v>
      </c>
      <c r="G61" s="15">
        <v>82255</v>
      </c>
      <c r="H61" s="14">
        <v>8679</v>
      </c>
      <c r="I61" s="36">
        <f>HLOOKUP(I$7,$I$66:$DJ$120,ROWS($A$10:$A61)+2,FALSE)</f>
        <v>28046</v>
      </c>
      <c r="J61" s="25">
        <f>HLOOKUP(J$7,$I$66:$DJ$120,ROWS($A$10:$A61)+2,FALSE)</f>
        <v>172</v>
      </c>
      <c r="K61" s="25">
        <f>HLOOKUP(K$7,$I$66:$DJ$120,ROWS($A$10:$A61)+2,FALSE)</f>
        <v>0</v>
      </c>
      <c r="L61" s="25">
        <f>HLOOKUP(L$7,$I$66:$DJ$120,ROWS($A$10:$A61)+2,FALSE)</f>
        <v>1511</v>
      </c>
      <c r="M61" s="25">
        <f>HLOOKUP(M$7,$I$66:$DJ$120,ROWS($A$10:$A61)+2,FALSE)</f>
        <v>0</v>
      </c>
      <c r="N61" s="25">
        <f>HLOOKUP(N$7,$I$66:$DJ$120,ROWS($A$10:$A61)+2,FALSE)</f>
        <v>2784</v>
      </c>
      <c r="O61" s="25">
        <f>HLOOKUP(O$7,$I$66:$DJ$120,ROWS($A$10:$A61)+2,FALSE)</f>
        <v>4390</v>
      </c>
      <c r="P61" s="25">
        <f>HLOOKUP(P$7,$I$66:$DJ$120,ROWS($A$10:$A61)+2,FALSE)</f>
        <v>0</v>
      </c>
      <c r="Q61" s="25">
        <f>HLOOKUP(Q$7,$I$66:$DJ$120,ROWS($A$10:$A61)+2,FALSE)</f>
        <v>0</v>
      </c>
      <c r="R61" s="25">
        <f>HLOOKUP(R$7,$I$66:$DJ$120,ROWS($A$10:$A61)+2,FALSE)</f>
        <v>0</v>
      </c>
      <c r="S61" s="25">
        <f>HLOOKUP(S$7,$I$66:$DJ$120,ROWS($A$10:$A61)+2,FALSE)</f>
        <v>396</v>
      </c>
      <c r="T61" s="25">
        <f>HLOOKUP(T$7,$I$66:$DJ$120,ROWS($A$10:$A61)+2,FALSE)</f>
        <v>745</v>
      </c>
      <c r="U61" s="25">
        <f>HLOOKUP(U$7,$I$66:$DJ$120,ROWS($A$10:$A61)+2,FALSE)</f>
        <v>25</v>
      </c>
      <c r="V61" s="25">
        <f>HLOOKUP(V$7,$I$66:$DJ$120,ROWS($A$10:$A61)+2,FALSE)</f>
        <v>942</v>
      </c>
      <c r="W61" s="25">
        <f>HLOOKUP(W$7,$I$66:$DJ$120,ROWS($A$10:$A61)+2,FALSE)</f>
        <v>415</v>
      </c>
      <c r="X61" s="25">
        <f>HLOOKUP(X$7,$I$66:$DJ$120,ROWS($A$10:$A61)+2,FALSE)</f>
        <v>132</v>
      </c>
      <c r="Y61" s="25">
        <f>HLOOKUP(Y$7,$I$66:$DJ$120,ROWS($A$10:$A61)+2,FALSE)</f>
        <v>462</v>
      </c>
      <c r="Z61" s="25">
        <f>HLOOKUP(Z$7,$I$66:$DJ$120,ROWS($A$10:$A61)+2,FALSE)</f>
        <v>532</v>
      </c>
      <c r="AA61" s="25">
        <f>HLOOKUP(AA$7,$I$66:$DJ$120,ROWS($A$10:$A61)+2,FALSE)</f>
        <v>519</v>
      </c>
      <c r="AB61" s="25">
        <f>HLOOKUP(AB$7,$I$66:$DJ$120,ROWS($A$10:$A61)+2,FALSE)</f>
        <v>107</v>
      </c>
      <c r="AC61" s="25">
        <f>HLOOKUP(AC$7,$I$66:$DJ$120,ROWS($A$10:$A61)+2,FALSE)</f>
        <v>0</v>
      </c>
      <c r="AD61" s="25">
        <f>HLOOKUP(AD$7,$I$66:$DJ$120,ROWS($A$10:$A61)+2,FALSE)</f>
        <v>51</v>
      </c>
      <c r="AE61" s="25">
        <f>HLOOKUP(AE$7,$I$66:$DJ$120,ROWS($A$10:$A61)+2,FALSE)</f>
        <v>252</v>
      </c>
      <c r="AF61" s="25">
        <f>HLOOKUP(AF$7,$I$66:$DJ$120,ROWS($A$10:$A61)+2,FALSE)</f>
        <v>570</v>
      </c>
      <c r="AG61" s="25">
        <f>HLOOKUP(AG$7,$I$66:$DJ$120,ROWS($A$10:$A61)+2,FALSE)</f>
        <v>218</v>
      </c>
      <c r="AH61" s="25">
        <f>HLOOKUP(AH$7,$I$66:$DJ$120,ROWS($A$10:$A61)+2,FALSE)</f>
        <v>0</v>
      </c>
      <c r="AI61" s="25">
        <f>HLOOKUP(AI$7,$I$66:$DJ$120,ROWS($A$10:$A61)+2,FALSE)</f>
        <v>421</v>
      </c>
      <c r="AJ61" s="25">
        <f>HLOOKUP(AJ$7,$I$66:$DJ$120,ROWS($A$10:$A61)+2,FALSE)</f>
        <v>2528</v>
      </c>
      <c r="AK61" s="25">
        <f>HLOOKUP(AK$7,$I$66:$DJ$120,ROWS($A$10:$A61)+2,FALSE)</f>
        <v>1711</v>
      </c>
      <c r="AL61" s="25">
        <f>HLOOKUP(AL$7,$I$66:$DJ$120,ROWS($A$10:$A61)+2,FALSE)</f>
        <v>416</v>
      </c>
      <c r="AM61" s="25">
        <f>HLOOKUP(AM$7,$I$66:$DJ$120,ROWS($A$10:$A61)+2,FALSE)</f>
        <v>0</v>
      </c>
      <c r="AN61" s="25">
        <f>HLOOKUP(AN$7,$I$66:$DJ$120,ROWS($A$10:$A61)+2,FALSE)</f>
        <v>0</v>
      </c>
      <c r="AO61" s="25">
        <f>HLOOKUP(AO$7,$I$66:$DJ$120,ROWS($A$10:$A61)+2,FALSE)</f>
        <v>707</v>
      </c>
      <c r="AP61" s="25">
        <f>HLOOKUP(AP$7,$I$66:$DJ$120,ROWS($A$10:$A61)+2,FALSE)</f>
        <v>146</v>
      </c>
      <c r="AQ61" s="25">
        <f>HLOOKUP(AQ$7,$I$66:$DJ$120,ROWS($A$10:$A61)+2,FALSE)</f>
        <v>34</v>
      </c>
      <c r="AR61" s="25">
        <f>HLOOKUP(AR$7,$I$66:$DJ$120,ROWS($A$10:$A61)+2,FALSE)</f>
        <v>233</v>
      </c>
      <c r="AS61" s="25">
        <f>HLOOKUP(AS$7,$I$66:$DJ$120,ROWS($A$10:$A61)+2,FALSE)</f>
        <v>56</v>
      </c>
      <c r="AT61" s="25">
        <f>HLOOKUP(AT$7,$I$66:$DJ$120,ROWS($A$10:$A61)+2,FALSE)</f>
        <v>62</v>
      </c>
      <c r="AU61" s="25">
        <f>HLOOKUP(AU$7,$I$66:$DJ$120,ROWS($A$10:$A61)+2,FALSE)</f>
        <v>14</v>
      </c>
      <c r="AV61" s="25">
        <f>HLOOKUP(AV$7,$I$66:$DJ$120,ROWS($A$10:$A61)+2,FALSE)</f>
        <v>95</v>
      </c>
      <c r="AW61" s="25">
        <f>HLOOKUP(AW$7,$I$66:$DJ$120,ROWS($A$10:$A61)+2,FALSE)</f>
        <v>0</v>
      </c>
      <c r="AX61" s="25">
        <f>HLOOKUP(AX$7,$I$66:$DJ$120,ROWS($A$10:$A61)+2,FALSE)</f>
        <v>220</v>
      </c>
      <c r="AY61" s="25">
        <f>HLOOKUP(AY$7,$I$66:$DJ$120,ROWS($A$10:$A61)+2,FALSE)</f>
        <v>258</v>
      </c>
      <c r="AZ61" s="25">
        <f>HLOOKUP(AZ$7,$I$66:$DJ$120,ROWS($A$10:$A61)+2,FALSE)</f>
        <v>495</v>
      </c>
      <c r="BA61" s="25">
        <f>HLOOKUP(BA$7,$I$66:$DJ$120,ROWS($A$10:$A61)+2,FALSE)</f>
        <v>1990</v>
      </c>
      <c r="BB61" s="25">
        <f>HLOOKUP(BB$7,$I$66:$DJ$120,ROWS($A$10:$A61)+2,FALSE)</f>
        <v>3226</v>
      </c>
      <c r="BC61" s="25">
        <f>HLOOKUP(BC$7,$I$66:$DJ$120,ROWS($A$10:$A61)+2,FALSE)</f>
        <v>75</v>
      </c>
      <c r="BD61" s="25">
        <f>HLOOKUP(BD$7,$I$66:$DJ$120,ROWS($A$10:$A61)+2,FALSE)</f>
        <v>580</v>
      </c>
      <c r="BE61" s="25">
        <f>HLOOKUP(BE$7,$I$66:$DJ$120,ROWS($A$10:$A61)+2,FALSE)</f>
        <v>556</v>
      </c>
      <c r="BF61" s="25">
        <f>HLOOKUP(BF$7,$I$66:$DJ$120,ROWS($A$10:$A61)+2,FALSE)</f>
        <v>0</v>
      </c>
      <c r="BG61" s="25">
        <f>HLOOKUP(BG$7,$I$66:$DJ$120,ROWS($A$10:$A61)+2,FALSE)</f>
        <v>0</v>
      </c>
      <c r="BH61" s="25" t="str">
        <f>HLOOKUP(BH$7,$I$66:$DJ$120,ROWS($A$10:$A61)+2,FALSE)</f>
        <v>N/A</v>
      </c>
      <c r="BI61" s="25">
        <f>HLOOKUP(BI$7,$I$66:$DJ$120,ROWS($A$10:$A61)+2,FALSE)</f>
        <v>0</v>
      </c>
      <c r="BJ61" s="34">
        <f>HLOOKUP(BJ$7+0.5,$I$66:$DJ$120,ROWS($A$10:$A61)+2,FALSE)</f>
        <v>4226</v>
      </c>
      <c r="BK61" s="34">
        <f>HLOOKUP(BK$7+0.5,$I$66:$DJ$120,ROWS($A$10:$A61)+2,FALSE)</f>
        <v>257</v>
      </c>
      <c r="BL61" s="34">
        <f>HLOOKUP(BL$7+0.5,$I$66:$DJ$120,ROWS($A$10:$A61)+2,FALSE)</f>
        <v>269</v>
      </c>
      <c r="BM61" s="34">
        <f>HLOOKUP(BM$7+0.5,$I$66:$DJ$120,ROWS($A$10:$A61)+2,FALSE)</f>
        <v>915</v>
      </c>
      <c r="BN61" s="34">
        <f>HLOOKUP(BN$7+0.5,$I$66:$DJ$120,ROWS($A$10:$A61)+2,FALSE)</f>
        <v>269</v>
      </c>
      <c r="BO61" s="34">
        <f>HLOOKUP(BO$7+0.5,$I$66:$DJ$120,ROWS($A$10:$A61)+2,FALSE)</f>
        <v>1647</v>
      </c>
      <c r="BP61" s="34">
        <f>HLOOKUP(BP$7+0.5,$I$66:$DJ$120,ROWS($A$10:$A61)+2,FALSE)</f>
        <v>1357</v>
      </c>
      <c r="BQ61" s="34">
        <f>HLOOKUP(BQ$7+0.5,$I$66:$DJ$120,ROWS($A$10:$A61)+2,FALSE)</f>
        <v>269</v>
      </c>
      <c r="BR61" s="34">
        <f>HLOOKUP(BR$7+0.5,$I$66:$DJ$120,ROWS($A$10:$A61)+2,FALSE)</f>
        <v>269</v>
      </c>
      <c r="BS61" s="34">
        <f>HLOOKUP(BS$7+0.5,$I$66:$DJ$120,ROWS($A$10:$A61)+2,FALSE)</f>
        <v>269</v>
      </c>
      <c r="BT61" s="34">
        <f>HLOOKUP(BT$7+0.5,$I$66:$DJ$120,ROWS($A$10:$A61)+2,FALSE)</f>
        <v>347</v>
      </c>
      <c r="BU61" s="34">
        <f>HLOOKUP(BU$7+0.5,$I$66:$DJ$120,ROWS($A$10:$A61)+2,FALSE)</f>
        <v>553</v>
      </c>
      <c r="BV61" s="34">
        <f>HLOOKUP(BV$7+0.5,$I$66:$DJ$120,ROWS($A$10:$A61)+2,FALSE)</f>
        <v>41</v>
      </c>
      <c r="BW61" s="34">
        <f>HLOOKUP(BW$7+0.5,$I$66:$DJ$120,ROWS($A$10:$A61)+2,FALSE)</f>
        <v>849</v>
      </c>
      <c r="BX61" s="34">
        <f>HLOOKUP(BX$7+0.5,$I$66:$DJ$120,ROWS($A$10:$A61)+2,FALSE)</f>
        <v>444</v>
      </c>
      <c r="BY61" s="34">
        <f>HLOOKUP(BY$7+0.5,$I$66:$DJ$120,ROWS($A$10:$A61)+2,FALSE)</f>
        <v>217</v>
      </c>
      <c r="BZ61" s="34">
        <f>HLOOKUP(BZ$7+0.5,$I$66:$DJ$120,ROWS($A$10:$A61)+2,FALSE)</f>
        <v>641</v>
      </c>
      <c r="CA61" s="34">
        <f>HLOOKUP(CA$7+0.5,$I$66:$DJ$120,ROWS($A$10:$A61)+2,FALSE)</f>
        <v>514</v>
      </c>
      <c r="CB61" s="34">
        <f>HLOOKUP(CB$7+0.5,$I$66:$DJ$120,ROWS($A$10:$A61)+2,FALSE)</f>
        <v>743</v>
      </c>
      <c r="CC61" s="34">
        <f>HLOOKUP(CC$7+0.5,$I$66:$DJ$120,ROWS($A$10:$A61)+2,FALSE)</f>
        <v>144</v>
      </c>
      <c r="CD61" s="34">
        <f>HLOOKUP(CD$7+0.5,$I$66:$DJ$120,ROWS($A$10:$A61)+2,FALSE)</f>
        <v>269</v>
      </c>
      <c r="CE61" s="34">
        <f>HLOOKUP(CE$7+0.5,$I$66:$DJ$120,ROWS($A$10:$A61)+2,FALSE)</f>
        <v>92</v>
      </c>
      <c r="CF61" s="34">
        <f>HLOOKUP(CF$7+0.5,$I$66:$DJ$120,ROWS($A$10:$A61)+2,FALSE)</f>
        <v>470</v>
      </c>
      <c r="CG61" s="34">
        <f>HLOOKUP(CG$7+0.5,$I$66:$DJ$120,ROWS($A$10:$A61)+2,FALSE)</f>
        <v>597</v>
      </c>
      <c r="CH61" s="34">
        <f>HLOOKUP(CH$7+0.5,$I$66:$DJ$120,ROWS($A$10:$A61)+2,FALSE)</f>
        <v>277</v>
      </c>
      <c r="CI61" s="34">
        <f>HLOOKUP(CI$7+0.5,$I$66:$DJ$120,ROWS($A$10:$A61)+2,FALSE)</f>
        <v>269</v>
      </c>
      <c r="CJ61" s="34">
        <f>HLOOKUP(CJ$7+0.5,$I$66:$DJ$120,ROWS($A$10:$A61)+2,FALSE)</f>
        <v>418</v>
      </c>
      <c r="CK61" s="34">
        <f>HLOOKUP(CK$7+0.5,$I$66:$DJ$120,ROWS($A$10:$A61)+2,FALSE)</f>
        <v>1395</v>
      </c>
      <c r="CL61" s="34">
        <f>HLOOKUP(CL$7+0.5,$I$66:$DJ$120,ROWS($A$10:$A61)+2,FALSE)</f>
        <v>1394</v>
      </c>
      <c r="CM61" s="34">
        <f>HLOOKUP(CM$7+0.5,$I$66:$DJ$120,ROWS($A$10:$A61)+2,FALSE)</f>
        <v>383</v>
      </c>
      <c r="CN61" s="34">
        <f>HLOOKUP(CN$7+0.5,$I$66:$DJ$120,ROWS($A$10:$A61)+2,FALSE)</f>
        <v>269</v>
      </c>
      <c r="CO61" s="34">
        <f>HLOOKUP(CO$7+0.5,$I$66:$DJ$120,ROWS($A$10:$A61)+2,FALSE)</f>
        <v>269</v>
      </c>
      <c r="CP61" s="34">
        <f>HLOOKUP(CP$7+0.5,$I$66:$DJ$120,ROWS($A$10:$A61)+2,FALSE)</f>
        <v>527</v>
      </c>
      <c r="CQ61" s="34">
        <f>HLOOKUP(CQ$7+0.5,$I$66:$DJ$120,ROWS($A$10:$A61)+2,FALSE)</f>
        <v>144</v>
      </c>
      <c r="CR61" s="34">
        <f>HLOOKUP(CR$7+0.5,$I$66:$DJ$120,ROWS($A$10:$A61)+2,FALSE)</f>
        <v>84</v>
      </c>
      <c r="CS61" s="34">
        <f>HLOOKUP(CS$7+0.5,$I$66:$DJ$120,ROWS($A$10:$A61)+2,FALSE)</f>
        <v>228</v>
      </c>
      <c r="CT61" s="34">
        <f>HLOOKUP(CT$7+0.5,$I$66:$DJ$120,ROWS($A$10:$A61)+2,FALSE)</f>
        <v>90</v>
      </c>
      <c r="CU61" s="34">
        <f>HLOOKUP(CU$7+0.5,$I$66:$DJ$120,ROWS($A$10:$A61)+2,FALSE)</f>
        <v>79</v>
      </c>
      <c r="CV61" s="34">
        <f>HLOOKUP(CV$7+0.5,$I$66:$DJ$120,ROWS($A$10:$A61)+2,FALSE)</f>
        <v>25</v>
      </c>
      <c r="CW61" s="34">
        <f>HLOOKUP(CW$7+0.5,$I$66:$DJ$120,ROWS($A$10:$A61)+2,FALSE)</f>
        <v>118</v>
      </c>
      <c r="CX61" s="34">
        <f>HLOOKUP(CX$7+0.5,$I$66:$DJ$120,ROWS($A$10:$A61)+2,FALSE)</f>
        <v>269</v>
      </c>
      <c r="CY61" s="34">
        <f>HLOOKUP(CY$7+0.5,$I$66:$DJ$120,ROWS($A$10:$A61)+2,FALSE)</f>
        <v>235</v>
      </c>
      <c r="CZ61" s="34">
        <f>HLOOKUP(CZ$7+0.5,$I$66:$DJ$120,ROWS($A$10:$A61)+2,FALSE)</f>
        <v>183</v>
      </c>
      <c r="DA61" s="34">
        <f>HLOOKUP(DA$7+0.5,$I$66:$DJ$120,ROWS($A$10:$A61)+2,FALSE)</f>
        <v>638</v>
      </c>
      <c r="DB61" s="34">
        <f>HLOOKUP(DB$7+0.5,$I$66:$DJ$120,ROWS($A$10:$A61)+2,FALSE)</f>
        <v>1143</v>
      </c>
      <c r="DC61" s="34">
        <f>HLOOKUP(DC$7+0.5,$I$66:$DJ$120,ROWS($A$10:$A61)+2,FALSE)</f>
        <v>1437</v>
      </c>
      <c r="DD61" s="34">
        <f>HLOOKUP(DD$7+0.5,$I$66:$DJ$120,ROWS($A$10:$A61)+2,FALSE)</f>
        <v>137</v>
      </c>
      <c r="DE61" s="34">
        <f>HLOOKUP(DE$7+0.5,$I$66:$DJ$120,ROWS($A$10:$A61)+2,FALSE)</f>
        <v>459</v>
      </c>
      <c r="DF61" s="34">
        <f>HLOOKUP(DF$7+0.5,$I$66:$DJ$120,ROWS($A$10:$A61)+2,FALSE)</f>
        <v>469</v>
      </c>
      <c r="DG61" s="34">
        <f>HLOOKUP(DG$7+0.5,$I$66:$DJ$120,ROWS($A$10:$A61)+2,FALSE)</f>
        <v>269</v>
      </c>
      <c r="DH61" s="34">
        <f>HLOOKUP(DH$7+0.5,$I$66:$DJ$120,ROWS($A$10:$A61)+2,FALSE)</f>
        <v>269</v>
      </c>
      <c r="DI61" s="34" t="str">
        <f>HLOOKUP(DI$7+0.5,$I$66:$DJ$120,ROWS($A$10:$A61)+2,FALSE)</f>
        <v>N/A</v>
      </c>
      <c r="DJ61" s="34">
        <f>HLOOKUP(DJ$7+0.5,$I$66:$DJ$120,ROWS($A$10:$A61)+2,FALSE)</f>
        <v>269</v>
      </c>
    </row>
    <row r="62" spans="2:114" x14ac:dyDescent="0.25">
      <c r="B62" s="38" t="s">
        <v>61</v>
      </c>
      <c r="C62" s="15">
        <v>3676493</v>
      </c>
      <c r="D62" s="14">
        <v>2933</v>
      </c>
      <c r="E62" s="15">
        <v>3392179</v>
      </c>
      <c r="F62" s="14">
        <v>13112</v>
      </c>
      <c r="G62" s="15">
        <v>247593</v>
      </c>
      <c r="H62" s="14">
        <v>12844</v>
      </c>
      <c r="I62" s="36">
        <f>HLOOKUP(I$7,$I$66:$DJ$120,ROWS($A$10:$A62)+2,FALSE)</f>
        <v>31732</v>
      </c>
      <c r="J62" s="25">
        <f>HLOOKUP(J$7,$I$66:$DJ$120,ROWS($A$10:$A62)+2,FALSE)</f>
        <v>629</v>
      </c>
      <c r="K62" s="25">
        <f>HLOOKUP(K$7,$I$66:$DJ$120,ROWS($A$10:$A62)+2,FALSE)</f>
        <v>156</v>
      </c>
      <c r="L62" s="25">
        <f>HLOOKUP(L$7,$I$66:$DJ$120,ROWS($A$10:$A62)+2,FALSE)</f>
        <v>288</v>
      </c>
      <c r="M62" s="25">
        <f>HLOOKUP(M$7,$I$66:$DJ$120,ROWS($A$10:$A62)+2,FALSE)</f>
        <v>0</v>
      </c>
      <c r="N62" s="25">
        <f>HLOOKUP(N$7,$I$66:$DJ$120,ROWS($A$10:$A62)+2,FALSE)</f>
        <v>1177</v>
      </c>
      <c r="O62" s="25">
        <f>HLOOKUP(O$7,$I$66:$DJ$120,ROWS($A$10:$A62)+2,FALSE)</f>
        <v>388</v>
      </c>
      <c r="P62" s="25">
        <f>HLOOKUP(P$7,$I$66:$DJ$120,ROWS($A$10:$A62)+2,FALSE)</f>
        <v>899</v>
      </c>
      <c r="Q62" s="25">
        <f>HLOOKUP(Q$7,$I$66:$DJ$120,ROWS($A$10:$A62)+2,FALSE)</f>
        <v>0</v>
      </c>
      <c r="R62" s="25">
        <f>HLOOKUP(R$7,$I$66:$DJ$120,ROWS($A$10:$A62)+2,FALSE)</f>
        <v>0</v>
      </c>
      <c r="S62" s="25">
        <f>HLOOKUP(S$7,$I$66:$DJ$120,ROWS($A$10:$A62)+2,FALSE)</f>
        <v>11262</v>
      </c>
      <c r="T62" s="25">
        <f>HLOOKUP(T$7,$I$66:$DJ$120,ROWS($A$10:$A62)+2,FALSE)</f>
        <v>207</v>
      </c>
      <c r="U62" s="25">
        <f>HLOOKUP(U$7,$I$66:$DJ$120,ROWS($A$10:$A62)+2,FALSE)</f>
        <v>0</v>
      </c>
      <c r="V62" s="25">
        <f>HLOOKUP(V$7,$I$66:$DJ$120,ROWS($A$10:$A62)+2,FALSE)</f>
        <v>0</v>
      </c>
      <c r="W62" s="25">
        <f>HLOOKUP(W$7,$I$66:$DJ$120,ROWS($A$10:$A62)+2,FALSE)</f>
        <v>1642</v>
      </c>
      <c r="X62" s="25">
        <f>HLOOKUP(X$7,$I$66:$DJ$120,ROWS($A$10:$A62)+2,FALSE)</f>
        <v>109</v>
      </c>
      <c r="Y62" s="25">
        <f>HLOOKUP(Y$7,$I$66:$DJ$120,ROWS($A$10:$A62)+2,FALSE)</f>
        <v>0</v>
      </c>
      <c r="Z62" s="25">
        <f>HLOOKUP(Z$7,$I$66:$DJ$120,ROWS($A$10:$A62)+2,FALSE)</f>
        <v>112</v>
      </c>
      <c r="AA62" s="25">
        <f>HLOOKUP(AA$7,$I$66:$DJ$120,ROWS($A$10:$A62)+2,FALSE)</f>
        <v>254</v>
      </c>
      <c r="AB62" s="25">
        <f>HLOOKUP(AB$7,$I$66:$DJ$120,ROWS($A$10:$A62)+2,FALSE)</f>
        <v>109</v>
      </c>
      <c r="AC62" s="25">
        <f>HLOOKUP(AC$7,$I$66:$DJ$120,ROWS($A$10:$A62)+2,FALSE)</f>
        <v>0</v>
      </c>
      <c r="AD62" s="25">
        <f>HLOOKUP(AD$7,$I$66:$DJ$120,ROWS($A$10:$A62)+2,FALSE)</f>
        <v>59</v>
      </c>
      <c r="AE62" s="25">
        <f>HLOOKUP(AE$7,$I$66:$DJ$120,ROWS($A$10:$A62)+2,FALSE)</f>
        <v>2004</v>
      </c>
      <c r="AF62" s="25">
        <f>HLOOKUP(AF$7,$I$66:$DJ$120,ROWS($A$10:$A62)+2,FALSE)</f>
        <v>89</v>
      </c>
      <c r="AG62" s="25">
        <f>HLOOKUP(AG$7,$I$66:$DJ$120,ROWS($A$10:$A62)+2,FALSE)</f>
        <v>50</v>
      </c>
      <c r="AH62" s="25">
        <f>HLOOKUP(AH$7,$I$66:$DJ$120,ROWS($A$10:$A62)+2,FALSE)</f>
        <v>170</v>
      </c>
      <c r="AI62" s="25">
        <f>HLOOKUP(AI$7,$I$66:$DJ$120,ROWS($A$10:$A62)+2,FALSE)</f>
        <v>221</v>
      </c>
      <c r="AJ62" s="25">
        <f>HLOOKUP(AJ$7,$I$66:$DJ$120,ROWS($A$10:$A62)+2,FALSE)</f>
        <v>0</v>
      </c>
      <c r="AK62" s="25">
        <f>HLOOKUP(AK$7,$I$66:$DJ$120,ROWS($A$10:$A62)+2,FALSE)</f>
        <v>0</v>
      </c>
      <c r="AL62" s="25">
        <f>HLOOKUP(AL$7,$I$66:$DJ$120,ROWS($A$10:$A62)+2,FALSE)</f>
        <v>0</v>
      </c>
      <c r="AM62" s="25">
        <f>HLOOKUP(AM$7,$I$66:$DJ$120,ROWS($A$10:$A62)+2,FALSE)</f>
        <v>0</v>
      </c>
      <c r="AN62" s="25">
        <f>HLOOKUP(AN$7,$I$66:$DJ$120,ROWS($A$10:$A62)+2,FALSE)</f>
        <v>1244</v>
      </c>
      <c r="AO62" s="25">
        <f>HLOOKUP(AO$7,$I$66:$DJ$120,ROWS($A$10:$A62)+2,FALSE)</f>
        <v>364</v>
      </c>
      <c r="AP62" s="25">
        <f>HLOOKUP(AP$7,$I$66:$DJ$120,ROWS($A$10:$A62)+2,FALSE)</f>
        <v>4768</v>
      </c>
      <c r="AQ62" s="25">
        <f>HLOOKUP(AQ$7,$I$66:$DJ$120,ROWS($A$10:$A62)+2,FALSE)</f>
        <v>146</v>
      </c>
      <c r="AR62" s="25">
        <f>HLOOKUP(AR$7,$I$66:$DJ$120,ROWS($A$10:$A62)+2,FALSE)</f>
        <v>0</v>
      </c>
      <c r="AS62" s="25">
        <f>HLOOKUP(AS$7,$I$66:$DJ$120,ROWS($A$10:$A62)+2,FALSE)</f>
        <v>69</v>
      </c>
      <c r="AT62" s="25">
        <f>HLOOKUP(AT$7,$I$66:$DJ$120,ROWS($A$10:$A62)+2,FALSE)</f>
        <v>0</v>
      </c>
      <c r="AU62" s="25">
        <f>HLOOKUP(AU$7,$I$66:$DJ$120,ROWS($A$10:$A62)+2,FALSE)</f>
        <v>0</v>
      </c>
      <c r="AV62" s="25">
        <f>HLOOKUP(AV$7,$I$66:$DJ$120,ROWS($A$10:$A62)+2,FALSE)</f>
        <v>1516</v>
      </c>
      <c r="AW62" s="25">
        <f>HLOOKUP(AW$7,$I$66:$DJ$120,ROWS($A$10:$A62)+2,FALSE)</f>
        <v>684</v>
      </c>
      <c r="AX62" s="25">
        <f>HLOOKUP(AX$7,$I$66:$DJ$120,ROWS($A$10:$A62)+2,FALSE)</f>
        <v>109</v>
      </c>
      <c r="AY62" s="25">
        <f>HLOOKUP(AY$7,$I$66:$DJ$120,ROWS($A$10:$A62)+2,FALSE)</f>
        <v>0</v>
      </c>
      <c r="AZ62" s="25">
        <f>HLOOKUP(AZ$7,$I$66:$DJ$120,ROWS($A$10:$A62)+2,FALSE)</f>
        <v>30</v>
      </c>
      <c r="BA62" s="25">
        <f>HLOOKUP(BA$7,$I$66:$DJ$120,ROWS($A$10:$A62)+2,FALSE)</f>
        <v>977</v>
      </c>
      <c r="BB62" s="25">
        <f>HLOOKUP(BB$7,$I$66:$DJ$120,ROWS($A$10:$A62)+2,FALSE)</f>
        <v>882</v>
      </c>
      <c r="BC62" s="25">
        <f>HLOOKUP(BC$7,$I$66:$DJ$120,ROWS($A$10:$A62)+2,FALSE)</f>
        <v>0</v>
      </c>
      <c r="BD62" s="25">
        <f>HLOOKUP(BD$7,$I$66:$DJ$120,ROWS($A$10:$A62)+2,FALSE)</f>
        <v>392</v>
      </c>
      <c r="BE62" s="25">
        <f>HLOOKUP(BE$7,$I$66:$DJ$120,ROWS($A$10:$A62)+2,FALSE)</f>
        <v>0</v>
      </c>
      <c r="BF62" s="25">
        <f>HLOOKUP(BF$7,$I$66:$DJ$120,ROWS($A$10:$A62)+2,FALSE)</f>
        <v>141</v>
      </c>
      <c r="BG62" s="25">
        <f>HLOOKUP(BG$7,$I$66:$DJ$120,ROWS($A$10:$A62)+2,FALSE)</f>
        <v>585</v>
      </c>
      <c r="BH62" s="25">
        <f>HLOOKUP(BH$7,$I$66:$DJ$120,ROWS($A$10:$A62)+2,FALSE)</f>
        <v>0</v>
      </c>
      <c r="BI62" s="25" t="str">
        <f>HLOOKUP(BI$7,$I$66:$DJ$120,ROWS($A$10:$A62)+2,FALSE)</f>
        <v>N/A</v>
      </c>
      <c r="BJ62" s="34">
        <f>HLOOKUP(BJ$7+0.5,$I$66:$DJ$120,ROWS($A$10:$A62)+2,FALSE)</f>
        <v>4381</v>
      </c>
      <c r="BK62" s="34">
        <f>HLOOKUP(BK$7+0.5,$I$66:$DJ$120,ROWS($A$10:$A62)+2,FALSE)</f>
        <v>711</v>
      </c>
      <c r="BL62" s="34">
        <f>HLOOKUP(BL$7+0.5,$I$66:$DJ$120,ROWS($A$10:$A62)+2,FALSE)</f>
        <v>259</v>
      </c>
      <c r="BM62" s="34">
        <f>HLOOKUP(BM$7+0.5,$I$66:$DJ$120,ROWS($A$10:$A62)+2,FALSE)</f>
        <v>356</v>
      </c>
      <c r="BN62" s="34">
        <f>HLOOKUP(BN$7+0.5,$I$66:$DJ$120,ROWS($A$10:$A62)+2,FALSE)</f>
        <v>285</v>
      </c>
      <c r="BO62" s="34">
        <f>HLOOKUP(BO$7+0.5,$I$66:$DJ$120,ROWS($A$10:$A62)+2,FALSE)</f>
        <v>949</v>
      </c>
      <c r="BP62" s="34">
        <f>HLOOKUP(BP$7+0.5,$I$66:$DJ$120,ROWS($A$10:$A62)+2,FALSE)</f>
        <v>492</v>
      </c>
      <c r="BQ62" s="34">
        <f>HLOOKUP(BQ$7+0.5,$I$66:$DJ$120,ROWS($A$10:$A62)+2,FALSE)</f>
        <v>653</v>
      </c>
      <c r="BR62" s="34">
        <f>HLOOKUP(BR$7+0.5,$I$66:$DJ$120,ROWS($A$10:$A62)+2,FALSE)</f>
        <v>285</v>
      </c>
      <c r="BS62" s="34">
        <f>HLOOKUP(BS$7+0.5,$I$66:$DJ$120,ROWS($A$10:$A62)+2,FALSE)</f>
        <v>285</v>
      </c>
      <c r="BT62" s="34">
        <f>HLOOKUP(BT$7+0.5,$I$66:$DJ$120,ROWS($A$10:$A62)+2,FALSE)</f>
        <v>2512</v>
      </c>
      <c r="BU62" s="34">
        <f>HLOOKUP(BU$7+0.5,$I$66:$DJ$120,ROWS($A$10:$A62)+2,FALSE)</f>
        <v>334</v>
      </c>
      <c r="BV62" s="34">
        <f>HLOOKUP(BV$7+0.5,$I$66:$DJ$120,ROWS($A$10:$A62)+2,FALSE)</f>
        <v>285</v>
      </c>
      <c r="BW62" s="34">
        <f>HLOOKUP(BW$7+0.5,$I$66:$DJ$120,ROWS($A$10:$A62)+2,FALSE)</f>
        <v>285</v>
      </c>
      <c r="BX62" s="34">
        <f>HLOOKUP(BX$7+0.5,$I$66:$DJ$120,ROWS($A$10:$A62)+2,FALSE)</f>
        <v>1175</v>
      </c>
      <c r="BY62" s="34">
        <f>HLOOKUP(BY$7+0.5,$I$66:$DJ$120,ROWS($A$10:$A62)+2,FALSE)</f>
        <v>173</v>
      </c>
      <c r="BZ62" s="34">
        <f>HLOOKUP(BZ$7+0.5,$I$66:$DJ$120,ROWS($A$10:$A62)+2,FALSE)</f>
        <v>285</v>
      </c>
      <c r="CA62" s="34">
        <f>HLOOKUP(CA$7+0.5,$I$66:$DJ$120,ROWS($A$10:$A62)+2,FALSE)</f>
        <v>184</v>
      </c>
      <c r="CB62" s="34">
        <f>HLOOKUP(CB$7+0.5,$I$66:$DJ$120,ROWS($A$10:$A62)+2,FALSE)</f>
        <v>211</v>
      </c>
      <c r="CC62" s="34">
        <f>HLOOKUP(CC$7+0.5,$I$66:$DJ$120,ROWS($A$10:$A62)+2,FALSE)</f>
        <v>130</v>
      </c>
      <c r="CD62" s="34">
        <f>HLOOKUP(CD$7+0.5,$I$66:$DJ$120,ROWS($A$10:$A62)+2,FALSE)</f>
        <v>285</v>
      </c>
      <c r="CE62" s="34">
        <f>HLOOKUP(CE$7+0.5,$I$66:$DJ$120,ROWS($A$10:$A62)+2,FALSE)</f>
        <v>106</v>
      </c>
      <c r="CF62" s="34">
        <f>HLOOKUP(CF$7+0.5,$I$66:$DJ$120,ROWS($A$10:$A62)+2,FALSE)</f>
        <v>960</v>
      </c>
      <c r="CG62" s="34">
        <f>HLOOKUP(CG$7+0.5,$I$66:$DJ$120,ROWS($A$10:$A62)+2,FALSE)</f>
        <v>149</v>
      </c>
      <c r="CH62" s="34">
        <f>HLOOKUP(CH$7+0.5,$I$66:$DJ$120,ROWS($A$10:$A62)+2,FALSE)</f>
        <v>83</v>
      </c>
      <c r="CI62" s="34">
        <f>HLOOKUP(CI$7+0.5,$I$66:$DJ$120,ROWS($A$10:$A62)+2,FALSE)</f>
        <v>198</v>
      </c>
      <c r="CJ62" s="34">
        <f>HLOOKUP(CJ$7+0.5,$I$66:$DJ$120,ROWS($A$10:$A62)+2,FALSE)</f>
        <v>258</v>
      </c>
      <c r="CK62" s="34">
        <f>HLOOKUP(CK$7+0.5,$I$66:$DJ$120,ROWS($A$10:$A62)+2,FALSE)</f>
        <v>285</v>
      </c>
      <c r="CL62" s="34">
        <f>HLOOKUP(CL$7+0.5,$I$66:$DJ$120,ROWS($A$10:$A62)+2,FALSE)</f>
        <v>285</v>
      </c>
      <c r="CM62" s="34">
        <f>HLOOKUP(CM$7+0.5,$I$66:$DJ$120,ROWS($A$10:$A62)+2,FALSE)</f>
        <v>285</v>
      </c>
      <c r="CN62" s="34">
        <f>HLOOKUP(CN$7+0.5,$I$66:$DJ$120,ROWS($A$10:$A62)+2,FALSE)</f>
        <v>285</v>
      </c>
      <c r="CO62" s="34">
        <f>HLOOKUP(CO$7+0.5,$I$66:$DJ$120,ROWS($A$10:$A62)+2,FALSE)</f>
        <v>830</v>
      </c>
      <c r="CP62" s="34">
        <f>HLOOKUP(CP$7+0.5,$I$66:$DJ$120,ROWS($A$10:$A62)+2,FALSE)</f>
        <v>603</v>
      </c>
      <c r="CQ62" s="34">
        <f>HLOOKUP(CQ$7+0.5,$I$66:$DJ$120,ROWS($A$10:$A62)+2,FALSE)</f>
        <v>1546</v>
      </c>
      <c r="CR62" s="34">
        <f>HLOOKUP(CR$7+0.5,$I$66:$DJ$120,ROWS($A$10:$A62)+2,FALSE)</f>
        <v>240</v>
      </c>
      <c r="CS62" s="34">
        <f>HLOOKUP(CS$7+0.5,$I$66:$DJ$120,ROWS($A$10:$A62)+2,FALSE)</f>
        <v>285</v>
      </c>
      <c r="CT62" s="34">
        <f>HLOOKUP(CT$7+0.5,$I$66:$DJ$120,ROWS($A$10:$A62)+2,FALSE)</f>
        <v>127</v>
      </c>
      <c r="CU62" s="34">
        <f>HLOOKUP(CU$7+0.5,$I$66:$DJ$120,ROWS($A$10:$A62)+2,FALSE)</f>
        <v>285</v>
      </c>
      <c r="CV62" s="34">
        <f>HLOOKUP(CV$7+0.5,$I$66:$DJ$120,ROWS($A$10:$A62)+2,FALSE)</f>
        <v>285</v>
      </c>
      <c r="CW62" s="34">
        <f>HLOOKUP(CW$7+0.5,$I$66:$DJ$120,ROWS($A$10:$A62)+2,FALSE)</f>
        <v>772</v>
      </c>
      <c r="CX62" s="34">
        <f>HLOOKUP(CX$7+0.5,$I$66:$DJ$120,ROWS($A$10:$A62)+2,FALSE)</f>
        <v>829</v>
      </c>
      <c r="CY62" s="34">
        <f>HLOOKUP(CY$7+0.5,$I$66:$DJ$120,ROWS($A$10:$A62)+2,FALSE)</f>
        <v>173</v>
      </c>
      <c r="CZ62" s="34">
        <f>HLOOKUP(CZ$7+0.5,$I$66:$DJ$120,ROWS($A$10:$A62)+2,FALSE)</f>
        <v>285</v>
      </c>
      <c r="DA62" s="34">
        <f>HLOOKUP(DA$7+0.5,$I$66:$DJ$120,ROWS($A$10:$A62)+2,FALSE)</f>
        <v>56</v>
      </c>
      <c r="DB62" s="34">
        <f>HLOOKUP(DB$7+0.5,$I$66:$DJ$120,ROWS($A$10:$A62)+2,FALSE)</f>
        <v>742</v>
      </c>
      <c r="DC62" s="34">
        <f>HLOOKUP(DC$7+0.5,$I$66:$DJ$120,ROWS($A$10:$A62)+2,FALSE)</f>
        <v>1289</v>
      </c>
      <c r="DD62" s="34">
        <f>HLOOKUP(DD$7+0.5,$I$66:$DJ$120,ROWS($A$10:$A62)+2,FALSE)</f>
        <v>285</v>
      </c>
      <c r="DE62" s="34">
        <f>HLOOKUP(DE$7+0.5,$I$66:$DJ$120,ROWS($A$10:$A62)+2,FALSE)</f>
        <v>320</v>
      </c>
      <c r="DF62" s="34">
        <f>HLOOKUP(DF$7+0.5,$I$66:$DJ$120,ROWS($A$10:$A62)+2,FALSE)</f>
        <v>285</v>
      </c>
      <c r="DG62" s="34">
        <f>HLOOKUP(DG$7+0.5,$I$66:$DJ$120,ROWS($A$10:$A62)+2,FALSE)</f>
        <v>135</v>
      </c>
      <c r="DH62" s="34">
        <f>HLOOKUP(DH$7+0.5,$I$66:$DJ$120,ROWS($A$10:$A62)+2,FALSE)</f>
        <v>815</v>
      </c>
      <c r="DI62" s="34">
        <f>HLOOKUP(DI$7+0.5,$I$66:$DJ$120,ROWS($A$10:$A62)+2,FALSE)</f>
        <v>285</v>
      </c>
      <c r="DJ62" s="34" t="str">
        <f>HLOOKUP(DJ$7+0.5,$I$66:$DJ$120,ROWS($A$10:$A62)+2,FALSE)</f>
        <v>N/A</v>
      </c>
    </row>
    <row r="66" spans="9:120" x14ac:dyDescent="0.25">
      <c r="I66" s="28">
        <v>1</v>
      </c>
      <c r="J66" s="28">
        <v>1.5</v>
      </c>
      <c r="K66" s="28">
        <v>2</v>
      </c>
      <c r="L66" s="28">
        <v>2.5</v>
      </c>
      <c r="M66" s="28">
        <v>3</v>
      </c>
      <c r="N66" s="28">
        <v>3.5</v>
      </c>
      <c r="O66" s="28">
        <v>4</v>
      </c>
      <c r="P66" s="28">
        <v>4.5</v>
      </c>
      <c r="Q66" s="28">
        <v>5</v>
      </c>
      <c r="R66" s="28">
        <v>5.5</v>
      </c>
      <c r="S66" s="28">
        <v>6</v>
      </c>
      <c r="T66" s="28">
        <v>6.5</v>
      </c>
      <c r="U66" s="28">
        <v>7</v>
      </c>
      <c r="V66" s="28">
        <v>7.5</v>
      </c>
      <c r="W66" s="28">
        <v>8</v>
      </c>
      <c r="X66" s="28">
        <v>8.5</v>
      </c>
      <c r="Y66" s="28">
        <v>9</v>
      </c>
      <c r="Z66" s="28">
        <v>9.5</v>
      </c>
      <c r="AA66" s="28">
        <v>10</v>
      </c>
      <c r="AB66" s="28">
        <v>10.5</v>
      </c>
      <c r="AC66" s="28">
        <v>11</v>
      </c>
      <c r="AD66" s="28">
        <v>11.5</v>
      </c>
      <c r="AE66" s="28">
        <v>12</v>
      </c>
      <c r="AF66" s="28">
        <v>12.5</v>
      </c>
      <c r="AG66" s="28">
        <v>13</v>
      </c>
      <c r="AH66" s="28">
        <v>13.5</v>
      </c>
      <c r="AI66" s="28">
        <v>14</v>
      </c>
      <c r="AJ66" s="28">
        <v>14.5</v>
      </c>
      <c r="AK66" s="28">
        <v>15</v>
      </c>
      <c r="AL66" s="28">
        <v>15.5</v>
      </c>
      <c r="AM66" s="28">
        <v>16</v>
      </c>
      <c r="AN66" s="28">
        <v>16.5</v>
      </c>
      <c r="AO66" s="28">
        <v>17</v>
      </c>
      <c r="AP66" s="28">
        <v>17.5</v>
      </c>
      <c r="AQ66" s="28">
        <v>18</v>
      </c>
      <c r="AR66" s="28">
        <v>18.5</v>
      </c>
      <c r="AS66" s="28">
        <v>19</v>
      </c>
      <c r="AT66" s="28">
        <v>19.5</v>
      </c>
      <c r="AU66" s="28">
        <v>20</v>
      </c>
      <c r="AV66" s="28">
        <v>20.5</v>
      </c>
      <c r="AW66" s="28">
        <v>21</v>
      </c>
      <c r="AX66" s="28">
        <v>21.5</v>
      </c>
      <c r="AY66" s="28">
        <v>22</v>
      </c>
      <c r="AZ66" s="28">
        <v>22.5</v>
      </c>
      <c r="BA66" s="28">
        <v>23</v>
      </c>
      <c r="BB66" s="28">
        <v>23.5</v>
      </c>
      <c r="BC66" s="28">
        <v>24</v>
      </c>
      <c r="BD66" s="28">
        <v>24.5</v>
      </c>
      <c r="BE66" s="28">
        <v>25</v>
      </c>
      <c r="BF66" s="28">
        <v>25.5</v>
      </c>
      <c r="BG66" s="28">
        <v>26</v>
      </c>
      <c r="BH66" s="28">
        <v>26.5</v>
      </c>
      <c r="BI66" s="28">
        <v>27</v>
      </c>
      <c r="BJ66" s="28">
        <v>27.5</v>
      </c>
      <c r="BK66" s="28">
        <v>28</v>
      </c>
      <c r="BL66" s="28">
        <v>28.5</v>
      </c>
      <c r="BM66" s="28">
        <v>29</v>
      </c>
      <c r="BN66" s="28">
        <v>29.5</v>
      </c>
      <c r="BO66" s="28">
        <v>30</v>
      </c>
      <c r="BP66" s="28">
        <v>30.5</v>
      </c>
      <c r="BQ66" s="28">
        <v>31</v>
      </c>
      <c r="BR66" s="28">
        <v>31.5</v>
      </c>
      <c r="BS66" s="28">
        <v>32</v>
      </c>
      <c r="BT66" s="28">
        <v>32.5</v>
      </c>
      <c r="BU66" s="28">
        <v>33</v>
      </c>
      <c r="BV66" s="28">
        <v>33.5</v>
      </c>
      <c r="BW66" s="28">
        <v>34</v>
      </c>
      <c r="BX66" s="28">
        <v>34.5</v>
      </c>
      <c r="BY66" s="28">
        <v>35</v>
      </c>
      <c r="BZ66" s="28">
        <v>35.5</v>
      </c>
      <c r="CA66" s="28">
        <v>36</v>
      </c>
      <c r="CB66" s="28">
        <v>36.5</v>
      </c>
      <c r="CC66" s="28">
        <v>37</v>
      </c>
      <c r="CD66" s="28">
        <v>37.5</v>
      </c>
      <c r="CE66" s="28">
        <v>38</v>
      </c>
      <c r="CF66" s="28">
        <v>38.5</v>
      </c>
      <c r="CG66" s="28">
        <v>39</v>
      </c>
      <c r="CH66" s="28">
        <v>39.5</v>
      </c>
      <c r="CI66" s="28">
        <v>40</v>
      </c>
      <c r="CJ66" s="28">
        <v>40.5</v>
      </c>
      <c r="CK66" s="28">
        <v>41</v>
      </c>
      <c r="CL66" s="28">
        <v>41.5</v>
      </c>
      <c r="CM66" s="28">
        <v>42</v>
      </c>
      <c r="CN66" s="28">
        <v>42.5</v>
      </c>
      <c r="CO66" s="28">
        <v>43</v>
      </c>
      <c r="CP66" s="28">
        <v>43.5</v>
      </c>
      <c r="CQ66" s="28">
        <v>44</v>
      </c>
      <c r="CR66" s="28">
        <v>44.5</v>
      </c>
      <c r="CS66" s="28">
        <v>45</v>
      </c>
      <c r="CT66" s="28">
        <v>45.5</v>
      </c>
      <c r="CU66" s="28">
        <v>46</v>
      </c>
      <c r="CV66" s="28">
        <v>46.5</v>
      </c>
      <c r="CW66" s="28">
        <v>47</v>
      </c>
      <c r="CX66" s="28">
        <v>47.5</v>
      </c>
      <c r="CY66" s="28">
        <v>48</v>
      </c>
      <c r="CZ66" s="28">
        <v>48.5</v>
      </c>
      <c r="DA66" s="28">
        <v>49</v>
      </c>
      <c r="DB66" s="28">
        <v>49.5</v>
      </c>
      <c r="DC66" s="28">
        <v>50</v>
      </c>
      <c r="DD66" s="28">
        <v>50.5</v>
      </c>
      <c r="DE66" s="28">
        <v>51</v>
      </c>
      <c r="DF66" s="28">
        <v>51.5</v>
      </c>
      <c r="DG66" s="28">
        <v>52</v>
      </c>
      <c r="DH66" s="28">
        <v>52.5</v>
      </c>
      <c r="DI66" s="28">
        <v>53</v>
      </c>
      <c r="DJ66" s="28">
        <v>53.5</v>
      </c>
    </row>
    <row r="67" spans="9:120" x14ac:dyDescent="0.25">
      <c r="I67" s="29" t="s">
        <v>58</v>
      </c>
      <c r="J67" s="30" t="s">
        <v>59</v>
      </c>
      <c r="K67" s="31" t="s">
        <v>58</v>
      </c>
      <c r="L67" s="30" t="s">
        <v>59</v>
      </c>
      <c r="M67" s="31" t="s">
        <v>58</v>
      </c>
      <c r="N67" s="30" t="s">
        <v>59</v>
      </c>
      <c r="O67" s="31" t="s">
        <v>58</v>
      </c>
      <c r="P67" s="30" t="s">
        <v>59</v>
      </c>
      <c r="Q67" s="31" t="s">
        <v>58</v>
      </c>
      <c r="R67" s="30" t="s">
        <v>59</v>
      </c>
      <c r="S67" s="31" t="s">
        <v>58</v>
      </c>
      <c r="T67" s="30" t="s">
        <v>59</v>
      </c>
      <c r="U67" s="31" t="s">
        <v>58</v>
      </c>
      <c r="V67" s="30" t="s">
        <v>59</v>
      </c>
      <c r="W67" s="31" t="s">
        <v>58</v>
      </c>
      <c r="X67" s="30" t="s">
        <v>59</v>
      </c>
      <c r="Y67" s="31" t="s">
        <v>58</v>
      </c>
      <c r="Z67" s="30" t="s">
        <v>59</v>
      </c>
      <c r="AA67" s="31" t="s">
        <v>58</v>
      </c>
      <c r="AB67" s="30" t="s">
        <v>59</v>
      </c>
      <c r="AC67" s="31" t="s">
        <v>58</v>
      </c>
      <c r="AD67" s="30" t="s">
        <v>59</v>
      </c>
      <c r="AE67" s="31" t="s">
        <v>58</v>
      </c>
      <c r="AF67" s="30" t="s">
        <v>59</v>
      </c>
      <c r="AG67" s="31" t="s">
        <v>58</v>
      </c>
      <c r="AH67" s="30" t="s">
        <v>59</v>
      </c>
      <c r="AI67" s="31" t="s">
        <v>58</v>
      </c>
      <c r="AJ67" s="30" t="s">
        <v>59</v>
      </c>
      <c r="AK67" s="31" t="s">
        <v>58</v>
      </c>
      <c r="AL67" s="30" t="s">
        <v>59</v>
      </c>
      <c r="AM67" s="31" t="s">
        <v>58</v>
      </c>
      <c r="AN67" s="30" t="s">
        <v>59</v>
      </c>
      <c r="AO67" s="31" t="s">
        <v>58</v>
      </c>
      <c r="AP67" s="30" t="s">
        <v>59</v>
      </c>
      <c r="AQ67" s="31" t="s">
        <v>58</v>
      </c>
      <c r="AR67" s="30" t="s">
        <v>59</v>
      </c>
      <c r="AS67" s="31" t="s">
        <v>58</v>
      </c>
      <c r="AT67" s="30" t="s">
        <v>59</v>
      </c>
      <c r="AU67" s="31" t="s">
        <v>58</v>
      </c>
      <c r="AV67" s="30" t="s">
        <v>59</v>
      </c>
      <c r="AW67" s="31" t="s">
        <v>58</v>
      </c>
      <c r="AX67" s="30" t="s">
        <v>59</v>
      </c>
      <c r="AY67" s="31" t="s">
        <v>58</v>
      </c>
      <c r="AZ67" s="30" t="s">
        <v>59</v>
      </c>
      <c r="BA67" s="31" t="s">
        <v>58</v>
      </c>
      <c r="BB67" s="30" t="s">
        <v>59</v>
      </c>
      <c r="BC67" s="31" t="s">
        <v>58</v>
      </c>
      <c r="BD67" s="30" t="s">
        <v>59</v>
      </c>
      <c r="BE67" s="31" t="s">
        <v>58</v>
      </c>
      <c r="BF67" s="30" t="s">
        <v>59</v>
      </c>
      <c r="BG67" s="31" t="s">
        <v>58</v>
      </c>
      <c r="BH67" s="30" t="s">
        <v>59</v>
      </c>
      <c r="BI67" s="31" t="s">
        <v>58</v>
      </c>
      <c r="BJ67" s="30" t="s">
        <v>59</v>
      </c>
      <c r="BK67" s="31" t="s">
        <v>58</v>
      </c>
      <c r="BL67" s="30" t="s">
        <v>59</v>
      </c>
      <c r="BM67" s="31" t="s">
        <v>58</v>
      </c>
      <c r="BN67" s="30" t="s">
        <v>59</v>
      </c>
      <c r="BO67" s="31" t="s">
        <v>58</v>
      </c>
      <c r="BP67" s="30" t="s">
        <v>59</v>
      </c>
      <c r="BQ67" s="31" t="s">
        <v>58</v>
      </c>
      <c r="BR67" s="30" t="s">
        <v>59</v>
      </c>
      <c r="BS67" s="31" t="s">
        <v>58</v>
      </c>
      <c r="BT67" s="30" t="s">
        <v>59</v>
      </c>
      <c r="BU67" s="31" t="s">
        <v>58</v>
      </c>
      <c r="BV67" s="30" t="s">
        <v>59</v>
      </c>
      <c r="BW67" s="31" t="s">
        <v>58</v>
      </c>
      <c r="BX67" s="30" t="s">
        <v>59</v>
      </c>
      <c r="BY67" s="31" t="s">
        <v>58</v>
      </c>
      <c r="BZ67" s="30" t="s">
        <v>59</v>
      </c>
      <c r="CA67" s="31" t="s">
        <v>58</v>
      </c>
      <c r="CB67" s="30" t="s">
        <v>59</v>
      </c>
      <c r="CC67" s="31" t="s">
        <v>58</v>
      </c>
      <c r="CD67" s="30" t="s">
        <v>59</v>
      </c>
      <c r="CE67" s="31" t="s">
        <v>58</v>
      </c>
      <c r="CF67" s="30" t="s">
        <v>59</v>
      </c>
      <c r="CG67" s="31" t="s">
        <v>58</v>
      </c>
      <c r="CH67" s="30" t="s">
        <v>59</v>
      </c>
      <c r="CI67" s="31" t="s">
        <v>58</v>
      </c>
      <c r="CJ67" s="30" t="s">
        <v>59</v>
      </c>
      <c r="CK67" s="31" t="s">
        <v>58</v>
      </c>
      <c r="CL67" s="30" t="s">
        <v>59</v>
      </c>
      <c r="CM67" s="31" t="s">
        <v>58</v>
      </c>
      <c r="CN67" s="30" t="s">
        <v>59</v>
      </c>
      <c r="CO67" s="31" t="s">
        <v>58</v>
      </c>
      <c r="CP67" s="30" t="s">
        <v>59</v>
      </c>
      <c r="CQ67" s="31" t="s">
        <v>58</v>
      </c>
      <c r="CR67" s="30" t="s">
        <v>59</v>
      </c>
      <c r="CS67" s="31" t="s">
        <v>58</v>
      </c>
      <c r="CT67" s="30" t="s">
        <v>59</v>
      </c>
      <c r="CU67" s="31" t="s">
        <v>58</v>
      </c>
      <c r="CV67" s="30" t="s">
        <v>59</v>
      </c>
      <c r="CW67" s="31" t="s">
        <v>58</v>
      </c>
      <c r="CX67" s="30" t="s">
        <v>59</v>
      </c>
      <c r="CY67" s="31" t="s">
        <v>58</v>
      </c>
      <c r="CZ67" s="30" t="s">
        <v>59</v>
      </c>
      <c r="DA67" s="31" t="s">
        <v>58</v>
      </c>
      <c r="DB67" s="30" t="s">
        <v>59</v>
      </c>
      <c r="DC67" s="31" t="s">
        <v>58</v>
      </c>
      <c r="DD67" s="30" t="s">
        <v>59</v>
      </c>
      <c r="DE67" s="31" t="s">
        <v>58</v>
      </c>
      <c r="DF67" s="30" t="s">
        <v>59</v>
      </c>
      <c r="DG67" s="31" t="s">
        <v>58</v>
      </c>
      <c r="DH67" s="30" t="s">
        <v>59</v>
      </c>
      <c r="DI67" s="31" t="s">
        <v>58</v>
      </c>
      <c r="DJ67" s="30" t="s">
        <v>59</v>
      </c>
      <c r="DM67"/>
      <c r="DN67"/>
      <c r="DO67"/>
      <c r="DP67"/>
    </row>
    <row r="68" spans="9:120" x14ac:dyDescent="0.25">
      <c r="I68" s="11">
        <v>6743229</v>
      </c>
      <c r="J68" s="12">
        <v>69387</v>
      </c>
      <c r="K68" s="11">
        <v>99221</v>
      </c>
      <c r="L68" s="12">
        <v>8532</v>
      </c>
      <c r="M68" s="13">
        <v>94692</v>
      </c>
      <c r="N68" s="14">
        <v>9780</v>
      </c>
      <c r="O68" s="15">
        <v>176768</v>
      </c>
      <c r="P68" s="14">
        <v>9764</v>
      </c>
      <c r="Q68" s="15">
        <v>64264</v>
      </c>
      <c r="R68" s="14">
        <v>6502</v>
      </c>
      <c r="S68" s="15">
        <v>573988</v>
      </c>
      <c r="T68" s="14">
        <v>20898</v>
      </c>
      <c r="U68" s="15">
        <v>140620</v>
      </c>
      <c r="V68" s="14">
        <v>8392</v>
      </c>
      <c r="W68" s="15">
        <v>89360</v>
      </c>
      <c r="X68" s="14">
        <v>8104</v>
      </c>
      <c r="Y68" s="15">
        <v>30055</v>
      </c>
      <c r="Z68" s="14">
        <v>4817</v>
      </c>
      <c r="AA68" s="15">
        <v>56052</v>
      </c>
      <c r="AB68" s="14">
        <v>5274</v>
      </c>
      <c r="AC68" s="15">
        <v>427853</v>
      </c>
      <c r="AD68" s="14">
        <v>16117</v>
      </c>
      <c r="AE68" s="15">
        <v>244992</v>
      </c>
      <c r="AF68" s="14">
        <v>13712</v>
      </c>
      <c r="AG68" s="15">
        <v>49218</v>
      </c>
      <c r="AH68" s="14">
        <v>5580</v>
      </c>
      <c r="AI68" s="15">
        <v>53122</v>
      </c>
      <c r="AJ68" s="14">
        <v>6197</v>
      </c>
      <c r="AK68" s="15">
        <v>277579</v>
      </c>
      <c r="AL68" s="14">
        <v>14177</v>
      </c>
      <c r="AM68" s="15">
        <v>130170</v>
      </c>
      <c r="AN68" s="14">
        <v>9685</v>
      </c>
      <c r="AO68" s="15">
        <v>66922</v>
      </c>
      <c r="AP68" s="14">
        <v>5441</v>
      </c>
      <c r="AQ68" s="15">
        <v>90681</v>
      </c>
      <c r="AR68" s="14">
        <v>7300</v>
      </c>
      <c r="AS68" s="15">
        <v>92999</v>
      </c>
      <c r="AT68" s="14">
        <v>8240</v>
      </c>
      <c r="AU68" s="15">
        <v>88131</v>
      </c>
      <c r="AV68" s="14">
        <v>8540</v>
      </c>
      <c r="AW68" s="15">
        <v>32209</v>
      </c>
      <c r="AX68" s="14">
        <v>4475</v>
      </c>
      <c r="AY68" s="15">
        <v>159866</v>
      </c>
      <c r="AZ68" s="14">
        <v>9741</v>
      </c>
      <c r="BA68" s="15">
        <v>144152</v>
      </c>
      <c r="BB68" s="14">
        <v>8102</v>
      </c>
      <c r="BC68" s="15">
        <v>178207</v>
      </c>
      <c r="BD68" s="14">
        <v>11238</v>
      </c>
      <c r="BE68" s="15">
        <v>104765</v>
      </c>
      <c r="BF68" s="14">
        <v>7734</v>
      </c>
      <c r="BG68" s="15">
        <v>68363</v>
      </c>
      <c r="BH68" s="14">
        <v>7286</v>
      </c>
      <c r="BI68" s="15">
        <v>148055</v>
      </c>
      <c r="BJ68" s="14">
        <v>11141</v>
      </c>
      <c r="BK68" s="15">
        <v>35870</v>
      </c>
      <c r="BL68" s="14">
        <v>4482</v>
      </c>
      <c r="BM68" s="15">
        <v>43531</v>
      </c>
      <c r="BN68" s="14">
        <v>5996</v>
      </c>
      <c r="BO68" s="15">
        <v>109409</v>
      </c>
      <c r="BP68" s="14">
        <v>10422</v>
      </c>
      <c r="BQ68" s="15">
        <v>38399</v>
      </c>
      <c r="BR68" s="14">
        <v>4262</v>
      </c>
      <c r="BS68" s="15">
        <v>193972</v>
      </c>
      <c r="BT68" s="14">
        <v>11560</v>
      </c>
      <c r="BU68" s="15">
        <v>50438</v>
      </c>
      <c r="BV68" s="14">
        <v>5032</v>
      </c>
      <c r="BW68" s="15">
        <v>363139</v>
      </c>
      <c r="BX68" s="14">
        <v>16245</v>
      </c>
      <c r="BY68" s="15">
        <v>207025</v>
      </c>
      <c r="BZ68" s="14">
        <v>11068</v>
      </c>
      <c r="CA68" s="15">
        <v>24450</v>
      </c>
      <c r="CB68" s="14">
        <v>3757</v>
      </c>
      <c r="CC68" s="15">
        <v>188013</v>
      </c>
      <c r="CD68" s="14">
        <v>11207</v>
      </c>
      <c r="CE68" s="15">
        <v>90616</v>
      </c>
      <c r="CF68" s="14">
        <v>7414</v>
      </c>
      <c r="CG68" s="15">
        <v>100185</v>
      </c>
      <c r="CH68" s="14">
        <v>8825</v>
      </c>
      <c r="CI68" s="15">
        <v>209810</v>
      </c>
      <c r="CJ68" s="14">
        <v>10357</v>
      </c>
      <c r="CK68" s="15">
        <v>24948</v>
      </c>
      <c r="CL68" s="14">
        <v>3127</v>
      </c>
      <c r="CM68" s="15">
        <v>117569</v>
      </c>
      <c r="CN68" s="14">
        <v>9315</v>
      </c>
      <c r="CO68" s="15">
        <v>27915</v>
      </c>
      <c r="CP68" s="14">
        <v>3665</v>
      </c>
      <c r="CQ68" s="15">
        <v>143135</v>
      </c>
      <c r="CR68" s="14">
        <v>9159</v>
      </c>
      <c r="CS68" s="15">
        <v>411641</v>
      </c>
      <c r="CT68" s="14">
        <v>16805</v>
      </c>
      <c r="CU68" s="15">
        <v>75541</v>
      </c>
      <c r="CV68" s="14">
        <v>7183</v>
      </c>
      <c r="CW68" s="15">
        <v>18380</v>
      </c>
      <c r="CX68" s="14">
        <v>3009</v>
      </c>
      <c r="CY68" s="15">
        <v>232002</v>
      </c>
      <c r="CZ68" s="14">
        <v>11248</v>
      </c>
      <c r="DA68" s="15">
        <v>166162</v>
      </c>
      <c r="DB68" s="14">
        <v>10010</v>
      </c>
      <c r="DC68" s="15">
        <v>49349</v>
      </c>
      <c r="DD68" s="14">
        <v>5605</v>
      </c>
      <c r="DE68" s="15">
        <v>111240</v>
      </c>
      <c r="DF68" s="14">
        <v>9166</v>
      </c>
      <c r="DG68" s="15">
        <v>28186</v>
      </c>
      <c r="DH68" s="14">
        <v>3185</v>
      </c>
      <c r="DI68" s="15">
        <v>59885</v>
      </c>
      <c r="DJ68" s="14">
        <v>6923</v>
      </c>
      <c r="DM68"/>
      <c r="DN68"/>
      <c r="DO68"/>
      <c r="DP68"/>
    </row>
    <row r="69" spans="9:120" x14ac:dyDescent="0.25">
      <c r="I69" s="16">
        <v>108723</v>
      </c>
      <c r="J69" s="17">
        <v>8781</v>
      </c>
      <c r="K69" s="18" t="s">
        <v>60</v>
      </c>
      <c r="L69" s="14" t="s">
        <v>60</v>
      </c>
      <c r="M69" s="13">
        <v>3013</v>
      </c>
      <c r="N69" s="14">
        <v>1452</v>
      </c>
      <c r="O69" s="15">
        <v>676</v>
      </c>
      <c r="P69" s="14">
        <v>606</v>
      </c>
      <c r="Q69" s="15">
        <v>1481</v>
      </c>
      <c r="R69" s="14">
        <v>1038</v>
      </c>
      <c r="S69" s="15">
        <v>3827</v>
      </c>
      <c r="T69" s="14">
        <v>1660</v>
      </c>
      <c r="U69" s="15">
        <v>1278</v>
      </c>
      <c r="V69" s="14">
        <v>778</v>
      </c>
      <c r="W69" s="15">
        <v>454</v>
      </c>
      <c r="X69" s="14">
        <v>694</v>
      </c>
      <c r="Y69" s="15">
        <v>811</v>
      </c>
      <c r="Z69" s="14">
        <v>694</v>
      </c>
      <c r="AA69" s="15">
        <v>211</v>
      </c>
      <c r="AB69" s="14">
        <v>186</v>
      </c>
      <c r="AC69" s="15">
        <v>15062</v>
      </c>
      <c r="AD69" s="14">
        <v>3138</v>
      </c>
      <c r="AE69" s="15">
        <v>21644</v>
      </c>
      <c r="AF69" s="14">
        <v>3955</v>
      </c>
      <c r="AG69" s="15">
        <v>267</v>
      </c>
      <c r="AH69" s="14">
        <v>440</v>
      </c>
      <c r="AI69" s="15">
        <v>304</v>
      </c>
      <c r="AJ69" s="14">
        <v>399</v>
      </c>
      <c r="AK69" s="15">
        <v>2503</v>
      </c>
      <c r="AL69" s="14">
        <v>1224</v>
      </c>
      <c r="AM69" s="15">
        <v>3945</v>
      </c>
      <c r="AN69" s="14">
        <v>1979</v>
      </c>
      <c r="AO69" s="15">
        <v>669</v>
      </c>
      <c r="AP69" s="14">
        <v>882</v>
      </c>
      <c r="AQ69" s="15">
        <v>649</v>
      </c>
      <c r="AR69" s="14">
        <v>516</v>
      </c>
      <c r="AS69" s="15">
        <v>1967</v>
      </c>
      <c r="AT69" s="14">
        <v>1192</v>
      </c>
      <c r="AU69" s="15">
        <v>1901</v>
      </c>
      <c r="AV69" s="14">
        <v>868</v>
      </c>
      <c r="AW69" s="15">
        <v>97</v>
      </c>
      <c r="AX69" s="14">
        <v>158</v>
      </c>
      <c r="AY69" s="15">
        <v>716</v>
      </c>
      <c r="AZ69" s="14">
        <v>458</v>
      </c>
      <c r="BA69" s="15">
        <v>435</v>
      </c>
      <c r="BB69" s="14">
        <v>396</v>
      </c>
      <c r="BC69" s="15">
        <v>2334</v>
      </c>
      <c r="BD69" s="14">
        <v>1294</v>
      </c>
      <c r="BE69" s="15">
        <v>386</v>
      </c>
      <c r="BF69" s="14">
        <v>358</v>
      </c>
      <c r="BG69" s="15">
        <v>7233</v>
      </c>
      <c r="BH69" s="14">
        <v>2367</v>
      </c>
      <c r="BI69" s="15">
        <v>1373</v>
      </c>
      <c r="BJ69" s="14">
        <v>1180</v>
      </c>
      <c r="BK69" s="15">
        <v>229</v>
      </c>
      <c r="BL69" s="14">
        <v>182</v>
      </c>
      <c r="BM69" s="15">
        <v>169</v>
      </c>
      <c r="BN69" s="14">
        <v>286</v>
      </c>
      <c r="BO69" s="15">
        <v>265</v>
      </c>
      <c r="BP69" s="14">
        <v>297</v>
      </c>
      <c r="BQ69" s="15">
        <v>0</v>
      </c>
      <c r="BR69" s="14">
        <v>273</v>
      </c>
      <c r="BS69" s="15">
        <v>356</v>
      </c>
      <c r="BT69" s="14">
        <v>285</v>
      </c>
      <c r="BU69" s="15">
        <v>650</v>
      </c>
      <c r="BV69" s="14">
        <v>749</v>
      </c>
      <c r="BW69" s="15">
        <v>3686</v>
      </c>
      <c r="BX69" s="14">
        <v>2920</v>
      </c>
      <c r="BY69" s="15">
        <v>2371</v>
      </c>
      <c r="BZ69" s="14">
        <v>945</v>
      </c>
      <c r="CA69" s="15">
        <v>169</v>
      </c>
      <c r="CB69" s="14">
        <v>213</v>
      </c>
      <c r="CC69" s="15">
        <v>2222</v>
      </c>
      <c r="CD69" s="14">
        <v>931</v>
      </c>
      <c r="CE69" s="15">
        <v>880</v>
      </c>
      <c r="CF69" s="14">
        <v>609</v>
      </c>
      <c r="CG69" s="15">
        <v>485</v>
      </c>
      <c r="CH69" s="14">
        <v>435</v>
      </c>
      <c r="CI69" s="15">
        <v>1477</v>
      </c>
      <c r="CJ69" s="14">
        <v>696</v>
      </c>
      <c r="CK69" s="15">
        <v>0</v>
      </c>
      <c r="CL69" s="14">
        <v>273</v>
      </c>
      <c r="CM69" s="15">
        <v>2368</v>
      </c>
      <c r="CN69" s="14">
        <v>1142</v>
      </c>
      <c r="CO69" s="15">
        <v>31</v>
      </c>
      <c r="CP69" s="14">
        <v>62</v>
      </c>
      <c r="CQ69" s="15">
        <v>7409</v>
      </c>
      <c r="CR69" s="14">
        <v>1926</v>
      </c>
      <c r="CS69" s="15">
        <v>6500</v>
      </c>
      <c r="CT69" s="14">
        <v>2016</v>
      </c>
      <c r="CU69" s="15">
        <v>1336</v>
      </c>
      <c r="CV69" s="14">
        <v>1129</v>
      </c>
      <c r="CW69" s="15">
        <v>0</v>
      </c>
      <c r="CX69" s="14">
        <v>273</v>
      </c>
      <c r="CY69" s="15">
        <v>2490</v>
      </c>
      <c r="CZ69" s="14">
        <v>1026</v>
      </c>
      <c r="DA69" s="15">
        <v>1171</v>
      </c>
      <c r="DB69" s="14">
        <v>756</v>
      </c>
      <c r="DC69" s="15">
        <v>41</v>
      </c>
      <c r="DD69" s="14">
        <v>73</v>
      </c>
      <c r="DE69" s="15">
        <v>1155</v>
      </c>
      <c r="DF69" s="14">
        <v>895</v>
      </c>
      <c r="DG69" s="15">
        <v>27</v>
      </c>
      <c r="DH69" s="14">
        <v>52</v>
      </c>
      <c r="DI69" s="15">
        <v>228</v>
      </c>
      <c r="DJ69" s="14">
        <v>265</v>
      </c>
      <c r="DM69"/>
      <c r="DN69"/>
      <c r="DO69"/>
      <c r="DP69"/>
    </row>
    <row r="70" spans="9:120" x14ac:dyDescent="0.25">
      <c r="I70" s="16">
        <v>36326</v>
      </c>
      <c r="J70" s="17">
        <v>3708</v>
      </c>
      <c r="K70" s="15">
        <v>477</v>
      </c>
      <c r="L70" s="14">
        <v>790</v>
      </c>
      <c r="M70" s="18" t="s">
        <v>60</v>
      </c>
      <c r="N70" s="14" t="s">
        <v>60</v>
      </c>
      <c r="O70" s="15">
        <v>1354</v>
      </c>
      <c r="P70" s="14">
        <v>805</v>
      </c>
      <c r="Q70" s="15">
        <v>47</v>
      </c>
      <c r="R70" s="14">
        <v>78</v>
      </c>
      <c r="S70" s="15">
        <v>3906</v>
      </c>
      <c r="T70" s="14">
        <v>1041</v>
      </c>
      <c r="U70" s="15">
        <v>1930</v>
      </c>
      <c r="V70" s="14">
        <v>866</v>
      </c>
      <c r="W70" s="15">
        <v>0</v>
      </c>
      <c r="X70" s="14">
        <v>246</v>
      </c>
      <c r="Y70" s="15">
        <v>0</v>
      </c>
      <c r="Z70" s="14">
        <v>246</v>
      </c>
      <c r="AA70" s="15">
        <v>14</v>
      </c>
      <c r="AB70" s="14">
        <v>23</v>
      </c>
      <c r="AC70" s="15">
        <v>2315</v>
      </c>
      <c r="AD70" s="14">
        <v>1026</v>
      </c>
      <c r="AE70" s="15">
        <v>1251</v>
      </c>
      <c r="AF70" s="14">
        <v>902</v>
      </c>
      <c r="AG70" s="15">
        <v>1705</v>
      </c>
      <c r="AH70" s="14">
        <v>1289</v>
      </c>
      <c r="AI70" s="15">
        <v>895</v>
      </c>
      <c r="AJ70" s="14">
        <v>524</v>
      </c>
      <c r="AK70" s="15">
        <v>388</v>
      </c>
      <c r="AL70" s="14">
        <v>293</v>
      </c>
      <c r="AM70" s="15">
        <v>9</v>
      </c>
      <c r="AN70" s="14">
        <v>24</v>
      </c>
      <c r="AO70" s="15">
        <v>262</v>
      </c>
      <c r="AP70" s="14">
        <v>349</v>
      </c>
      <c r="AQ70" s="15">
        <v>106</v>
      </c>
      <c r="AR70" s="14">
        <v>107</v>
      </c>
      <c r="AS70" s="15">
        <v>1440</v>
      </c>
      <c r="AT70" s="14">
        <v>1506</v>
      </c>
      <c r="AU70" s="15">
        <v>100</v>
      </c>
      <c r="AV70" s="14">
        <v>171</v>
      </c>
      <c r="AW70" s="15">
        <v>574</v>
      </c>
      <c r="AX70" s="14">
        <v>655</v>
      </c>
      <c r="AY70" s="15">
        <v>704</v>
      </c>
      <c r="AZ70" s="14">
        <v>460</v>
      </c>
      <c r="BA70" s="15">
        <v>107</v>
      </c>
      <c r="BB70" s="14">
        <v>183</v>
      </c>
      <c r="BC70" s="15">
        <v>923</v>
      </c>
      <c r="BD70" s="14">
        <v>814</v>
      </c>
      <c r="BE70" s="15">
        <v>530</v>
      </c>
      <c r="BF70" s="14">
        <v>409</v>
      </c>
      <c r="BG70" s="15">
        <v>263</v>
      </c>
      <c r="BH70" s="14">
        <v>386</v>
      </c>
      <c r="BI70" s="15">
        <v>0</v>
      </c>
      <c r="BJ70" s="14">
        <v>246</v>
      </c>
      <c r="BK70" s="15">
        <v>616</v>
      </c>
      <c r="BL70" s="14">
        <v>507</v>
      </c>
      <c r="BM70" s="15">
        <v>215</v>
      </c>
      <c r="BN70" s="14">
        <v>259</v>
      </c>
      <c r="BO70" s="15">
        <v>240</v>
      </c>
      <c r="BP70" s="14">
        <v>247</v>
      </c>
      <c r="BQ70" s="15">
        <v>316</v>
      </c>
      <c r="BR70" s="14">
        <v>368</v>
      </c>
      <c r="BS70" s="15">
        <v>413</v>
      </c>
      <c r="BT70" s="14">
        <v>501</v>
      </c>
      <c r="BU70" s="15">
        <v>421</v>
      </c>
      <c r="BV70" s="14">
        <v>446</v>
      </c>
      <c r="BW70" s="15">
        <v>255</v>
      </c>
      <c r="BX70" s="14">
        <v>206</v>
      </c>
      <c r="BY70" s="15">
        <v>698</v>
      </c>
      <c r="BZ70" s="14">
        <v>587</v>
      </c>
      <c r="CA70" s="15">
        <v>69</v>
      </c>
      <c r="CB70" s="14">
        <v>89</v>
      </c>
      <c r="CC70" s="15">
        <v>156</v>
      </c>
      <c r="CD70" s="14">
        <v>213</v>
      </c>
      <c r="CE70" s="15">
        <v>1455</v>
      </c>
      <c r="CF70" s="14">
        <v>971</v>
      </c>
      <c r="CG70" s="15">
        <v>1793</v>
      </c>
      <c r="CH70" s="14">
        <v>1104</v>
      </c>
      <c r="CI70" s="15">
        <v>126</v>
      </c>
      <c r="CJ70" s="14">
        <v>164</v>
      </c>
      <c r="CK70" s="15">
        <v>0</v>
      </c>
      <c r="CL70" s="14">
        <v>246</v>
      </c>
      <c r="CM70" s="15">
        <v>121</v>
      </c>
      <c r="CN70" s="14">
        <v>153</v>
      </c>
      <c r="CO70" s="15">
        <v>531</v>
      </c>
      <c r="CP70" s="14">
        <v>817</v>
      </c>
      <c r="CQ70" s="15">
        <v>477</v>
      </c>
      <c r="CR70" s="14">
        <v>341</v>
      </c>
      <c r="CS70" s="15">
        <v>4123</v>
      </c>
      <c r="CT70" s="14">
        <v>1774</v>
      </c>
      <c r="CU70" s="15">
        <v>1274</v>
      </c>
      <c r="CV70" s="14">
        <v>926</v>
      </c>
      <c r="CW70" s="15">
        <v>353</v>
      </c>
      <c r="CX70" s="14">
        <v>429</v>
      </c>
      <c r="CY70" s="15">
        <v>714</v>
      </c>
      <c r="CZ70" s="14">
        <v>681</v>
      </c>
      <c r="DA70" s="15">
        <v>2421</v>
      </c>
      <c r="DB70" s="14">
        <v>790</v>
      </c>
      <c r="DC70" s="15">
        <v>0</v>
      </c>
      <c r="DD70" s="14">
        <v>246</v>
      </c>
      <c r="DE70" s="15">
        <v>158</v>
      </c>
      <c r="DF70" s="14">
        <v>198</v>
      </c>
      <c r="DG70" s="15">
        <v>81</v>
      </c>
      <c r="DH70" s="14">
        <v>131</v>
      </c>
      <c r="DI70" s="15">
        <v>19</v>
      </c>
      <c r="DJ70" s="14">
        <v>30</v>
      </c>
      <c r="DM70"/>
      <c r="DN70"/>
      <c r="DO70"/>
      <c r="DP70"/>
    </row>
    <row r="71" spans="9:120" x14ac:dyDescent="0.25">
      <c r="I71" s="16">
        <v>222725</v>
      </c>
      <c r="J71" s="17">
        <v>11873</v>
      </c>
      <c r="K71" s="15">
        <v>416</v>
      </c>
      <c r="L71" s="14">
        <v>305</v>
      </c>
      <c r="M71" s="13">
        <v>3109</v>
      </c>
      <c r="N71" s="14">
        <v>1297</v>
      </c>
      <c r="O71" s="18" t="s">
        <v>60</v>
      </c>
      <c r="P71" s="14" t="s">
        <v>60</v>
      </c>
      <c r="Q71" s="15">
        <v>689</v>
      </c>
      <c r="R71" s="14">
        <v>415</v>
      </c>
      <c r="S71" s="15">
        <v>47164</v>
      </c>
      <c r="T71" s="14">
        <v>6018</v>
      </c>
      <c r="U71" s="15">
        <v>7687</v>
      </c>
      <c r="V71" s="14">
        <v>2494</v>
      </c>
      <c r="W71" s="15">
        <v>479</v>
      </c>
      <c r="X71" s="14">
        <v>386</v>
      </c>
      <c r="Y71" s="15">
        <v>738</v>
      </c>
      <c r="Z71" s="14">
        <v>774</v>
      </c>
      <c r="AA71" s="15">
        <v>0</v>
      </c>
      <c r="AB71" s="14">
        <v>305</v>
      </c>
      <c r="AC71" s="15">
        <v>7712</v>
      </c>
      <c r="AD71" s="14">
        <v>2149</v>
      </c>
      <c r="AE71" s="15">
        <v>4261</v>
      </c>
      <c r="AF71" s="14">
        <v>1828</v>
      </c>
      <c r="AG71" s="15">
        <v>1966</v>
      </c>
      <c r="AH71" s="14">
        <v>928</v>
      </c>
      <c r="AI71" s="15">
        <v>2147</v>
      </c>
      <c r="AJ71" s="14">
        <v>984</v>
      </c>
      <c r="AK71" s="15">
        <v>12250</v>
      </c>
      <c r="AL71" s="14">
        <v>3263</v>
      </c>
      <c r="AM71" s="15">
        <v>2690</v>
      </c>
      <c r="AN71" s="14">
        <v>1358</v>
      </c>
      <c r="AO71" s="15">
        <v>3008</v>
      </c>
      <c r="AP71" s="14">
        <v>1405</v>
      </c>
      <c r="AQ71" s="15">
        <v>1935</v>
      </c>
      <c r="AR71" s="14">
        <v>1008</v>
      </c>
      <c r="AS71" s="15">
        <v>1705</v>
      </c>
      <c r="AT71" s="14">
        <v>928</v>
      </c>
      <c r="AU71" s="15">
        <v>2014</v>
      </c>
      <c r="AV71" s="14">
        <v>1697</v>
      </c>
      <c r="AW71" s="15">
        <v>241</v>
      </c>
      <c r="AX71" s="14">
        <v>308</v>
      </c>
      <c r="AY71" s="15">
        <v>1284</v>
      </c>
      <c r="AZ71" s="14">
        <v>1052</v>
      </c>
      <c r="BA71" s="15">
        <v>1449</v>
      </c>
      <c r="BB71" s="14">
        <v>975</v>
      </c>
      <c r="BC71" s="15">
        <v>6354</v>
      </c>
      <c r="BD71" s="14">
        <v>1796</v>
      </c>
      <c r="BE71" s="15">
        <v>5421</v>
      </c>
      <c r="BF71" s="14">
        <v>1542</v>
      </c>
      <c r="BG71" s="15">
        <v>272</v>
      </c>
      <c r="BH71" s="14">
        <v>238</v>
      </c>
      <c r="BI71" s="15">
        <v>4567</v>
      </c>
      <c r="BJ71" s="14">
        <v>1621</v>
      </c>
      <c r="BK71" s="15">
        <v>1343</v>
      </c>
      <c r="BL71" s="14">
        <v>1038</v>
      </c>
      <c r="BM71" s="15">
        <v>1750</v>
      </c>
      <c r="BN71" s="14">
        <v>1130</v>
      </c>
      <c r="BO71" s="15">
        <v>10342</v>
      </c>
      <c r="BP71" s="14">
        <v>3881</v>
      </c>
      <c r="BQ71" s="15">
        <v>64</v>
      </c>
      <c r="BR71" s="14">
        <v>105</v>
      </c>
      <c r="BS71" s="15">
        <v>1782</v>
      </c>
      <c r="BT71" s="14">
        <v>762</v>
      </c>
      <c r="BU71" s="15">
        <v>4419</v>
      </c>
      <c r="BV71" s="14">
        <v>1430</v>
      </c>
      <c r="BW71" s="15">
        <v>6618</v>
      </c>
      <c r="BX71" s="14">
        <v>2661</v>
      </c>
      <c r="BY71" s="15">
        <v>4463</v>
      </c>
      <c r="BZ71" s="14">
        <v>1627</v>
      </c>
      <c r="CA71" s="15">
        <v>826</v>
      </c>
      <c r="CB71" s="14">
        <v>612</v>
      </c>
      <c r="CC71" s="15">
        <v>5225</v>
      </c>
      <c r="CD71" s="14">
        <v>1513</v>
      </c>
      <c r="CE71" s="15">
        <v>2910</v>
      </c>
      <c r="CF71" s="14">
        <v>1310</v>
      </c>
      <c r="CG71" s="15">
        <v>5430</v>
      </c>
      <c r="CH71" s="14">
        <v>1887</v>
      </c>
      <c r="CI71" s="15">
        <v>5535</v>
      </c>
      <c r="CJ71" s="14">
        <v>2842</v>
      </c>
      <c r="CK71" s="15">
        <v>403</v>
      </c>
      <c r="CL71" s="14">
        <v>336</v>
      </c>
      <c r="CM71" s="15">
        <v>2310</v>
      </c>
      <c r="CN71" s="14">
        <v>1189</v>
      </c>
      <c r="CO71" s="15">
        <v>1351</v>
      </c>
      <c r="CP71" s="14">
        <v>843</v>
      </c>
      <c r="CQ71" s="15">
        <v>3061</v>
      </c>
      <c r="CR71" s="14">
        <v>1643</v>
      </c>
      <c r="CS71" s="15">
        <v>14705</v>
      </c>
      <c r="CT71" s="14">
        <v>3301</v>
      </c>
      <c r="CU71" s="15">
        <v>7164</v>
      </c>
      <c r="CV71" s="14">
        <v>3154</v>
      </c>
      <c r="CW71" s="15">
        <v>664</v>
      </c>
      <c r="CX71" s="14">
        <v>498</v>
      </c>
      <c r="CY71" s="15">
        <v>3413</v>
      </c>
      <c r="CZ71" s="14">
        <v>1613</v>
      </c>
      <c r="DA71" s="15">
        <v>12645</v>
      </c>
      <c r="DB71" s="14">
        <v>2459</v>
      </c>
      <c r="DC71" s="15">
        <v>595</v>
      </c>
      <c r="DD71" s="14">
        <v>563</v>
      </c>
      <c r="DE71" s="15">
        <v>5556</v>
      </c>
      <c r="DF71" s="14">
        <v>1827</v>
      </c>
      <c r="DG71" s="15">
        <v>593</v>
      </c>
      <c r="DH71" s="14">
        <v>393</v>
      </c>
      <c r="DI71" s="15">
        <v>599</v>
      </c>
      <c r="DJ71" s="14">
        <v>771</v>
      </c>
      <c r="DM71"/>
      <c r="DN71"/>
      <c r="DO71"/>
      <c r="DP71"/>
    </row>
    <row r="72" spans="9:120" x14ac:dyDescent="0.25">
      <c r="I72" s="16">
        <v>79127</v>
      </c>
      <c r="J72" s="17">
        <v>7901</v>
      </c>
      <c r="K72" s="15">
        <v>1405</v>
      </c>
      <c r="L72" s="14">
        <v>1001</v>
      </c>
      <c r="M72" s="13">
        <v>934</v>
      </c>
      <c r="N72" s="14">
        <v>798</v>
      </c>
      <c r="O72" s="15">
        <v>777</v>
      </c>
      <c r="P72" s="14">
        <v>557</v>
      </c>
      <c r="Q72" s="18" t="s">
        <v>60</v>
      </c>
      <c r="R72" s="14" t="s">
        <v>60</v>
      </c>
      <c r="S72" s="15">
        <v>4457</v>
      </c>
      <c r="T72" s="14">
        <v>1991</v>
      </c>
      <c r="U72" s="15">
        <v>2535</v>
      </c>
      <c r="V72" s="14">
        <v>1149</v>
      </c>
      <c r="W72" s="15">
        <v>451</v>
      </c>
      <c r="X72" s="14">
        <v>315</v>
      </c>
      <c r="Y72" s="15">
        <v>0</v>
      </c>
      <c r="Z72" s="14">
        <v>273</v>
      </c>
      <c r="AA72" s="15">
        <v>154</v>
      </c>
      <c r="AB72" s="14">
        <v>264</v>
      </c>
      <c r="AC72" s="15">
        <v>3578</v>
      </c>
      <c r="AD72" s="14">
        <v>1239</v>
      </c>
      <c r="AE72" s="15">
        <v>3921</v>
      </c>
      <c r="AF72" s="14">
        <v>2077</v>
      </c>
      <c r="AG72" s="15">
        <v>129</v>
      </c>
      <c r="AH72" s="14">
        <v>166</v>
      </c>
      <c r="AI72" s="15">
        <v>618</v>
      </c>
      <c r="AJ72" s="14">
        <v>754</v>
      </c>
      <c r="AK72" s="15">
        <v>3221</v>
      </c>
      <c r="AL72" s="14">
        <v>1474</v>
      </c>
      <c r="AM72" s="15">
        <v>722</v>
      </c>
      <c r="AN72" s="14">
        <v>498</v>
      </c>
      <c r="AO72" s="15">
        <v>85</v>
      </c>
      <c r="AP72" s="14">
        <v>143</v>
      </c>
      <c r="AQ72" s="15">
        <v>3611</v>
      </c>
      <c r="AR72" s="14">
        <v>1704</v>
      </c>
      <c r="AS72" s="15">
        <v>2540</v>
      </c>
      <c r="AT72" s="14">
        <v>1895</v>
      </c>
      <c r="AU72" s="15">
        <v>4012</v>
      </c>
      <c r="AV72" s="14">
        <v>1625</v>
      </c>
      <c r="AW72" s="15">
        <v>0</v>
      </c>
      <c r="AX72" s="14">
        <v>273</v>
      </c>
      <c r="AY72" s="15">
        <v>306</v>
      </c>
      <c r="AZ72" s="14">
        <v>254</v>
      </c>
      <c r="BA72" s="15">
        <v>190</v>
      </c>
      <c r="BB72" s="14">
        <v>196</v>
      </c>
      <c r="BC72" s="15">
        <v>1506</v>
      </c>
      <c r="BD72" s="14">
        <v>674</v>
      </c>
      <c r="BE72" s="15">
        <v>222</v>
      </c>
      <c r="BF72" s="14">
        <v>153</v>
      </c>
      <c r="BG72" s="15">
        <v>2764</v>
      </c>
      <c r="BH72" s="14">
        <v>1337</v>
      </c>
      <c r="BI72" s="15">
        <v>7320</v>
      </c>
      <c r="BJ72" s="14">
        <v>2181</v>
      </c>
      <c r="BK72" s="15">
        <v>85</v>
      </c>
      <c r="BL72" s="14">
        <v>159</v>
      </c>
      <c r="BM72" s="15">
        <v>394</v>
      </c>
      <c r="BN72" s="14">
        <v>538</v>
      </c>
      <c r="BO72" s="15">
        <v>67</v>
      </c>
      <c r="BP72" s="14">
        <v>104</v>
      </c>
      <c r="BQ72" s="15">
        <v>0</v>
      </c>
      <c r="BR72" s="14">
        <v>273</v>
      </c>
      <c r="BS72" s="15">
        <v>77</v>
      </c>
      <c r="BT72" s="14">
        <v>130</v>
      </c>
      <c r="BU72" s="15">
        <v>0</v>
      </c>
      <c r="BV72" s="14">
        <v>273</v>
      </c>
      <c r="BW72" s="15">
        <v>289</v>
      </c>
      <c r="BX72" s="14">
        <v>336</v>
      </c>
      <c r="BY72" s="15">
        <v>1561</v>
      </c>
      <c r="BZ72" s="14">
        <v>900</v>
      </c>
      <c r="CA72" s="15">
        <v>0</v>
      </c>
      <c r="CB72" s="14">
        <v>273</v>
      </c>
      <c r="CC72" s="15">
        <v>1137</v>
      </c>
      <c r="CD72" s="14">
        <v>811</v>
      </c>
      <c r="CE72" s="15">
        <v>8607</v>
      </c>
      <c r="CF72" s="14">
        <v>3434</v>
      </c>
      <c r="CG72" s="15">
        <v>239</v>
      </c>
      <c r="CH72" s="14">
        <v>174</v>
      </c>
      <c r="CI72" s="15">
        <v>731</v>
      </c>
      <c r="CJ72" s="14">
        <v>570</v>
      </c>
      <c r="CK72" s="15">
        <v>0</v>
      </c>
      <c r="CL72" s="14">
        <v>273</v>
      </c>
      <c r="CM72" s="15">
        <v>1496</v>
      </c>
      <c r="CN72" s="14">
        <v>983</v>
      </c>
      <c r="CO72" s="15">
        <v>243</v>
      </c>
      <c r="CP72" s="14">
        <v>264</v>
      </c>
      <c r="CQ72" s="15">
        <v>2653</v>
      </c>
      <c r="CR72" s="14">
        <v>1121</v>
      </c>
      <c r="CS72" s="15">
        <v>13707</v>
      </c>
      <c r="CT72" s="14">
        <v>2911</v>
      </c>
      <c r="CU72" s="15">
        <v>361</v>
      </c>
      <c r="CV72" s="14">
        <v>322</v>
      </c>
      <c r="CW72" s="15">
        <v>0</v>
      </c>
      <c r="CX72" s="14">
        <v>273</v>
      </c>
      <c r="CY72" s="15">
        <v>494</v>
      </c>
      <c r="CZ72" s="14">
        <v>382</v>
      </c>
      <c r="DA72" s="15">
        <v>264</v>
      </c>
      <c r="DB72" s="14">
        <v>228</v>
      </c>
      <c r="DC72" s="15">
        <v>0</v>
      </c>
      <c r="DD72" s="14">
        <v>273</v>
      </c>
      <c r="DE72" s="15">
        <v>821</v>
      </c>
      <c r="DF72" s="14">
        <v>503</v>
      </c>
      <c r="DG72" s="15">
        <v>443</v>
      </c>
      <c r="DH72" s="14">
        <v>513</v>
      </c>
      <c r="DI72" s="15">
        <v>87</v>
      </c>
      <c r="DJ72" s="14">
        <v>146</v>
      </c>
      <c r="DM72"/>
      <c r="DN72"/>
      <c r="DO72"/>
      <c r="DP72"/>
    </row>
    <row r="73" spans="9:120" x14ac:dyDescent="0.25">
      <c r="I73" s="16">
        <v>444749</v>
      </c>
      <c r="J73" s="17">
        <v>18415</v>
      </c>
      <c r="K73" s="15">
        <v>3364</v>
      </c>
      <c r="L73" s="14">
        <v>1977</v>
      </c>
      <c r="M73" s="13">
        <v>9579</v>
      </c>
      <c r="N73" s="14">
        <v>2911</v>
      </c>
      <c r="O73" s="15">
        <v>33854</v>
      </c>
      <c r="P73" s="14">
        <v>4816</v>
      </c>
      <c r="Q73" s="15">
        <v>4172</v>
      </c>
      <c r="R73" s="14">
        <v>1340</v>
      </c>
      <c r="S73" s="18" t="s">
        <v>60</v>
      </c>
      <c r="T73" s="14" t="s">
        <v>60</v>
      </c>
      <c r="U73" s="15">
        <v>15662</v>
      </c>
      <c r="V73" s="14">
        <v>3236</v>
      </c>
      <c r="W73" s="15">
        <v>4631</v>
      </c>
      <c r="X73" s="14">
        <v>1802</v>
      </c>
      <c r="Y73" s="15">
        <v>643</v>
      </c>
      <c r="Z73" s="14">
        <v>408</v>
      </c>
      <c r="AA73" s="15">
        <v>3683</v>
      </c>
      <c r="AB73" s="14">
        <v>1306</v>
      </c>
      <c r="AC73" s="15">
        <v>20362</v>
      </c>
      <c r="AD73" s="14">
        <v>4008</v>
      </c>
      <c r="AE73" s="15">
        <v>8820</v>
      </c>
      <c r="AF73" s="14">
        <v>2545</v>
      </c>
      <c r="AG73" s="15">
        <v>9528</v>
      </c>
      <c r="AH73" s="14">
        <v>2191</v>
      </c>
      <c r="AI73" s="15">
        <v>5719</v>
      </c>
      <c r="AJ73" s="14">
        <v>1572</v>
      </c>
      <c r="AK73" s="15">
        <v>16482</v>
      </c>
      <c r="AL73" s="14">
        <v>2806</v>
      </c>
      <c r="AM73" s="15">
        <v>6550</v>
      </c>
      <c r="AN73" s="14">
        <v>1860</v>
      </c>
      <c r="AO73" s="15">
        <v>3163</v>
      </c>
      <c r="AP73" s="14">
        <v>1259</v>
      </c>
      <c r="AQ73" s="15">
        <v>3857</v>
      </c>
      <c r="AR73" s="14">
        <v>1813</v>
      </c>
      <c r="AS73" s="15">
        <v>3394</v>
      </c>
      <c r="AT73" s="14">
        <v>1797</v>
      </c>
      <c r="AU73" s="15">
        <v>2989</v>
      </c>
      <c r="AV73" s="14">
        <v>1207</v>
      </c>
      <c r="AW73" s="15">
        <v>1796</v>
      </c>
      <c r="AX73" s="14">
        <v>1139</v>
      </c>
      <c r="AY73" s="15">
        <v>10626</v>
      </c>
      <c r="AZ73" s="14">
        <v>2848</v>
      </c>
      <c r="BA73" s="15">
        <v>11969</v>
      </c>
      <c r="BB73" s="14">
        <v>2774</v>
      </c>
      <c r="BC73" s="15">
        <v>10435</v>
      </c>
      <c r="BD73" s="14">
        <v>2487</v>
      </c>
      <c r="BE73" s="15">
        <v>5095</v>
      </c>
      <c r="BF73" s="14">
        <v>1319</v>
      </c>
      <c r="BG73" s="15">
        <v>2757</v>
      </c>
      <c r="BH73" s="14">
        <v>1338</v>
      </c>
      <c r="BI73" s="15">
        <v>6921</v>
      </c>
      <c r="BJ73" s="14">
        <v>2357</v>
      </c>
      <c r="BK73" s="15">
        <v>3009</v>
      </c>
      <c r="BL73" s="14">
        <v>1511</v>
      </c>
      <c r="BM73" s="15">
        <v>3062</v>
      </c>
      <c r="BN73" s="14">
        <v>1860</v>
      </c>
      <c r="BO73" s="15">
        <v>27724</v>
      </c>
      <c r="BP73" s="14">
        <v>4878</v>
      </c>
      <c r="BQ73" s="15">
        <v>1614</v>
      </c>
      <c r="BR73" s="14">
        <v>1059</v>
      </c>
      <c r="BS73" s="15">
        <v>10108</v>
      </c>
      <c r="BT73" s="14">
        <v>2848</v>
      </c>
      <c r="BU73" s="15">
        <v>4632</v>
      </c>
      <c r="BV73" s="14">
        <v>1266</v>
      </c>
      <c r="BW73" s="15">
        <v>20981</v>
      </c>
      <c r="BX73" s="14">
        <v>2977</v>
      </c>
      <c r="BY73" s="15">
        <v>9593</v>
      </c>
      <c r="BZ73" s="14">
        <v>2005</v>
      </c>
      <c r="CA73" s="15">
        <v>392</v>
      </c>
      <c r="CB73" s="14">
        <v>343</v>
      </c>
      <c r="CC73" s="15">
        <v>8170</v>
      </c>
      <c r="CD73" s="14">
        <v>2399</v>
      </c>
      <c r="CE73" s="15">
        <v>5708</v>
      </c>
      <c r="CF73" s="14">
        <v>1591</v>
      </c>
      <c r="CG73" s="15">
        <v>20913</v>
      </c>
      <c r="CH73" s="14">
        <v>3580</v>
      </c>
      <c r="CI73" s="15">
        <v>9948</v>
      </c>
      <c r="CJ73" s="14">
        <v>1991</v>
      </c>
      <c r="CK73" s="15">
        <v>526</v>
      </c>
      <c r="CL73" s="14">
        <v>264</v>
      </c>
      <c r="CM73" s="15">
        <v>5016</v>
      </c>
      <c r="CN73" s="14">
        <v>2183</v>
      </c>
      <c r="CO73" s="15">
        <v>1604</v>
      </c>
      <c r="CP73" s="14">
        <v>1117</v>
      </c>
      <c r="CQ73" s="15">
        <v>4349</v>
      </c>
      <c r="CR73" s="14">
        <v>1174</v>
      </c>
      <c r="CS73" s="15">
        <v>36582</v>
      </c>
      <c r="CT73" s="14">
        <v>5299</v>
      </c>
      <c r="CU73" s="15">
        <v>10653</v>
      </c>
      <c r="CV73" s="14">
        <v>2235</v>
      </c>
      <c r="CW73" s="15">
        <v>525</v>
      </c>
      <c r="CX73" s="14">
        <v>369</v>
      </c>
      <c r="CY73" s="15">
        <v>14232</v>
      </c>
      <c r="CZ73" s="14">
        <v>2597</v>
      </c>
      <c r="DA73" s="15">
        <v>30544</v>
      </c>
      <c r="DB73" s="14">
        <v>4481</v>
      </c>
      <c r="DC73" s="15">
        <v>1446</v>
      </c>
      <c r="DD73" s="14">
        <v>919</v>
      </c>
      <c r="DE73" s="15">
        <v>6031</v>
      </c>
      <c r="DF73" s="14">
        <v>2181</v>
      </c>
      <c r="DG73" s="15">
        <v>1336</v>
      </c>
      <c r="DH73" s="14">
        <v>664</v>
      </c>
      <c r="DI73" s="15">
        <v>1223</v>
      </c>
      <c r="DJ73" s="14">
        <v>1128</v>
      </c>
      <c r="DM73"/>
      <c r="DN73"/>
      <c r="DO73"/>
      <c r="DP73"/>
    </row>
    <row r="74" spans="9:120" x14ac:dyDescent="0.25">
      <c r="I74" s="16">
        <v>186366</v>
      </c>
      <c r="J74" s="17">
        <v>9897</v>
      </c>
      <c r="K74" s="15">
        <v>954</v>
      </c>
      <c r="L74" s="14">
        <v>803</v>
      </c>
      <c r="M74" s="13">
        <v>2225</v>
      </c>
      <c r="N74" s="14">
        <v>1220</v>
      </c>
      <c r="O74" s="15">
        <v>12287</v>
      </c>
      <c r="P74" s="14">
        <v>2324</v>
      </c>
      <c r="Q74" s="15">
        <v>1034</v>
      </c>
      <c r="R74" s="14">
        <v>739</v>
      </c>
      <c r="S74" s="15">
        <v>26089</v>
      </c>
      <c r="T74" s="14">
        <v>4183</v>
      </c>
      <c r="U74" s="18" t="s">
        <v>60</v>
      </c>
      <c r="V74" s="14" t="s">
        <v>60</v>
      </c>
      <c r="W74" s="15">
        <v>459</v>
      </c>
      <c r="X74" s="14">
        <v>360</v>
      </c>
      <c r="Y74" s="15">
        <v>486</v>
      </c>
      <c r="Z74" s="14">
        <v>486</v>
      </c>
      <c r="AA74" s="15">
        <v>479</v>
      </c>
      <c r="AB74" s="14">
        <v>381</v>
      </c>
      <c r="AC74" s="15">
        <v>8849</v>
      </c>
      <c r="AD74" s="14">
        <v>2300</v>
      </c>
      <c r="AE74" s="15">
        <v>6445</v>
      </c>
      <c r="AF74" s="14">
        <v>2553</v>
      </c>
      <c r="AG74" s="15">
        <v>2355</v>
      </c>
      <c r="AH74" s="14">
        <v>1220</v>
      </c>
      <c r="AI74" s="15">
        <v>839</v>
      </c>
      <c r="AJ74" s="14">
        <v>572</v>
      </c>
      <c r="AK74" s="15">
        <v>6950</v>
      </c>
      <c r="AL74" s="14">
        <v>1968</v>
      </c>
      <c r="AM74" s="15">
        <v>3296</v>
      </c>
      <c r="AN74" s="14">
        <v>1584</v>
      </c>
      <c r="AO74" s="15">
        <v>2140</v>
      </c>
      <c r="AP74" s="14">
        <v>1179</v>
      </c>
      <c r="AQ74" s="15">
        <v>4308</v>
      </c>
      <c r="AR74" s="14">
        <v>1577</v>
      </c>
      <c r="AS74" s="15">
        <v>1961</v>
      </c>
      <c r="AT74" s="14">
        <v>1194</v>
      </c>
      <c r="AU74" s="15">
        <v>968</v>
      </c>
      <c r="AV74" s="14">
        <v>664</v>
      </c>
      <c r="AW74" s="15">
        <v>532</v>
      </c>
      <c r="AX74" s="14">
        <v>385</v>
      </c>
      <c r="AY74" s="15">
        <v>1532</v>
      </c>
      <c r="AZ74" s="14">
        <v>978</v>
      </c>
      <c r="BA74" s="15">
        <v>2242</v>
      </c>
      <c r="BB74" s="14">
        <v>778</v>
      </c>
      <c r="BC74" s="15">
        <v>4587</v>
      </c>
      <c r="BD74" s="14">
        <v>1679</v>
      </c>
      <c r="BE74" s="15">
        <v>2878</v>
      </c>
      <c r="BF74" s="14">
        <v>1093</v>
      </c>
      <c r="BG74" s="15">
        <v>1277</v>
      </c>
      <c r="BH74" s="14">
        <v>883</v>
      </c>
      <c r="BI74" s="15">
        <v>1978</v>
      </c>
      <c r="BJ74" s="14">
        <v>803</v>
      </c>
      <c r="BK74" s="15">
        <v>2042</v>
      </c>
      <c r="BL74" s="14">
        <v>1490</v>
      </c>
      <c r="BM74" s="15">
        <v>4065</v>
      </c>
      <c r="BN74" s="14">
        <v>1455</v>
      </c>
      <c r="BO74" s="15">
        <v>4131</v>
      </c>
      <c r="BP74" s="14">
        <v>1784</v>
      </c>
      <c r="BQ74" s="15">
        <v>791</v>
      </c>
      <c r="BR74" s="14">
        <v>521</v>
      </c>
      <c r="BS74" s="15">
        <v>1259</v>
      </c>
      <c r="BT74" s="14">
        <v>537</v>
      </c>
      <c r="BU74" s="15">
        <v>3921</v>
      </c>
      <c r="BV74" s="14">
        <v>1326</v>
      </c>
      <c r="BW74" s="15">
        <v>4594</v>
      </c>
      <c r="BX74" s="14">
        <v>1518</v>
      </c>
      <c r="BY74" s="15">
        <v>2940</v>
      </c>
      <c r="BZ74" s="14">
        <v>1376</v>
      </c>
      <c r="CA74" s="15">
        <v>802</v>
      </c>
      <c r="CB74" s="14">
        <v>598</v>
      </c>
      <c r="CC74" s="15">
        <v>2838</v>
      </c>
      <c r="CD74" s="14">
        <v>1325</v>
      </c>
      <c r="CE74" s="15">
        <v>3464</v>
      </c>
      <c r="CF74" s="14">
        <v>1440</v>
      </c>
      <c r="CG74" s="15">
        <v>4330</v>
      </c>
      <c r="CH74" s="14">
        <v>1962</v>
      </c>
      <c r="CI74" s="15">
        <v>3928</v>
      </c>
      <c r="CJ74" s="14">
        <v>1124</v>
      </c>
      <c r="CK74" s="15">
        <v>192</v>
      </c>
      <c r="CL74" s="14">
        <v>248</v>
      </c>
      <c r="CM74" s="15">
        <v>1231</v>
      </c>
      <c r="CN74" s="14">
        <v>796</v>
      </c>
      <c r="CO74" s="15">
        <v>1847</v>
      </c>
      <c r="CP74" s="14">
        <v>826</v>
      </c>
      <c r="CQ74" s="15">
        <v>1628</v>
      </c>
      <c r="CR74" s="14">
        <v>706</v>
      </c>
      <c r="CS74" s="15">
        <v>22253</v>
      </c>
      <c r="CT74" s="14">
        <v>4494</v>
      </c>
      <c r="CU74" s="15">
        <v>4748</v>
      </c>
      <c r="CV74" s="14">
        <v>1658</v>
      </c>
      <c r="CW74" s="15">
        <v>350</v>
      </c>
      <c r="CX74" s="14">
        <v>246</v>
      </c>
      <c r="CY74" s="15">
        <v>2739</v>
      </c>
      <c r="CZ74" s="14">
        <v>1077</v>
      </c>
      <c r="DA74" s="15">
        <v>7583</v>
      </c>
      <c r="DB74" s="14">
        <v>3004</v>
      </c>
      <c r="DC74" s="15">
        <v>623</v>
      </c>
      <c r="DD74" s="14">
        <v>493</v>
      </c>
      <c r="DE74" s="15">
        <v>2499</v>
      </c>
      <c r="DF74" s="14">
        <v>1153</v>
      </c>
      <c r="DG74" s="15">
        <v>4418</v>
      </c>
      <c r="DH74" s="14">
        <v>1439</v>
      </c>
      <c r="DI74" s="15">
        <v>874</v>
      </c>
      <c r="DJ74" s="14">
        <v>880</v>
      </c>
      <c r="DM74"/>
      <c r="DN74"/>
      <c r="DO74"/>
      <c r="DP74"/>
    </row>
    <row r="75" spans="9:120" x14ac:dyDescent="0.25">
      <c r="I75" s="16">
        <v>77333</v>
      </c>
      <c r="J75" s="17">
        <v>6651</v>
      </c>
      <c r="K75" s="15">
        <v>896</v>
      </c>
      <c r="L75" s="14">
        <v>891</v>
      </c>
      <c r="M75" s="13">
        <v>0</v>
      </c>
      <c r="N75" s="14">
        <v>281</v>
      </c>
      <c r="O75" s="15">
        <v>664</v>
      </c>
      <c r="P75" s="14">
        <v>484</v>
      </c>
      <c r="Q75" s="15">
        <v>334</v>
      </c>
      <c r="R75" s="14">
        <v>517</v>
      </c>
      <c r="S75" s="15">
        <v>4479</v>
      </c>
      <c r="T75" s="14">
        <v>1653</v>
      </c>
      <c r="U75" s="15">
        <v>547</v>
      </c>
      <c r="V75" s="14">
        <v>487</v>
      </c>
      <c r="W75" s="18" t="s">
        <v>60</v>
      </c>
      <c r="X75" s="14" t="s">
        <v>60</v>
      </c>
      <c r="Y75" s="15">
        <v>149</v>
      </c>
      <c r="Z75" s="14">
        <v>227</v>
      </c>
      <c r="AA75" s="15">
        <v>331</v>
      </c>
      <c r="AB75" s="14">
        <v>343</v>
      </c>
      <c r="AC75" s="15">
        <v>9207</v>
      </c>
      <c r="AD75" s="14">
        <v>2532</v>
      </c>
      <c r="AE75" s="15">
        <v>748</v>
      </c>
      <c r="AF75" s="14">
        <v>467</v>
      </c>
      <c r="AG75" s="15">
        <v>182</v>
      </c>
      <c r="AH75" s="14">
        <v>171</v>
      </c>
      <c r="AI75" s="15">
        <v>147</v>
      </c>
      <c r="AJ75" s="14">
        <v>130</v>
      </c>
      <c r="AK75" s="15">
        <v>3391</v>
      </c>
      <c r="AL75" s="14">
        <v>1847</v>
      </c>
      <c r="AM75" s="15">
        <v>1074</v>
      </c>
      <c r="AN75" s="14">
        <v>798</v>
      </c>
      <c r="AO75" s="15">
        <v>108</v>
      </c>
      <c r="AP75" s="14">
        <v>131</v>
      </c>
      <c r="AQ75" s="15">
        <v>0</v>
      </c>
      <c r="AR75" s="14">
        <v>281</v>
      </c>
      <c r="AS75" s="15">
        <v>400</v>
      </c>
      <c r="AT75" s="14">
        <v>430</v>
      </c>
      <c r="AU75" s="15">
        <v>0</v>
      </c>
      <c r="AV75" s="14">
        <v>281</v>
      </c>
      <c r="AW75" s="15">
        <v>528</v>
      </c>
      <c r="AX75" s="14">
        <v>447</v>
      </c>
      <c r="AY75" s="15">
        <v>1531</v>
      </c>
      <c r="AZ75" s="14">
        <v>814</v>
      </c>
      <c r="BA75" s="15">
        <v>8510</v>
      </c>
      <c r="BB75" s="14">
        <v>2107</v>
      </c>
      <c r="BC75" s="15">
        <v>770</v>
      </c>
      <c r="BD75" s="14">
        <v>486</v>
      </c>
      <c r="BE75" s="15">
        <v>934</v>
      </c>
      <c r="BF75" s="14">
        <v>659</v>
      </c>
      <c r="BG75" s="15">
        <v>67</v>
      </c>
      <c r="BH75" s="14">
        <v>111</v>
      </c>
      <c r="BI75" s="15">
        <v>42</v>
      </c>
      <c r="BJ75" s="14">
        <v>68</v>
      </c>
      <c r="BK75" s="15">
        <v>0</v>
      </c>
      <c r="BL75" s="14">
        <v>281</v>
      </c>
      <c r="BM75" s="15">
        <v>0</v>
      </c>
      <c r="BN75" s="14">
        <v>281</v>
      </c>
      <c r="BO75" s="15">
        <v>507</v>
      </c>
      <c r="BP75" s="14">
        <v>424</v>
      </c>
      <c r="BQ75" s="15">
        <v>1049</v>
      </c>
      <c r="BR75" s="14">
        <v>628</v>
      </c>
      <c r="BS75" s="15">
        <v>3475</v>
      </c>
      <c r="BT75" s="14">
        <v>1175</v>
      </c>
      <c r="BU75" s="15">
        <v>112</v>
      </c>
      <c r="BV75" s="14">
        <v>189</v>
      </c>
      <c r="BW75" s="15">
        <v>20727</v>
      </c>
      <c r="BX75" s="14">
        <v>3325</v>
      </c>
      <c r="BY75" s="15">
        <v>1345</v>
      </c>
      <c r="BZ75" s="14">
        <v>587</v>
      </c>
      <c r="CA75" s="15">
        <v>0</v>
      </c>
      <c r="CB75" s="14">
        <v>281</v>
      </c>
      <c r="CC75" s="15">
        <v>1296</v>
      </c>
      <c r="CD75" s="14">
        <v>710</v>
      </c>
      <c r="CE75" s="15">
        <v>145</v>
      </c>
      <c r="CF75" s="14">
        <v>171</v>
      </c>
      <c r="CG75" s="15">
        <v>640</v>
      </c>
      <c r="CH75" s="14">
        <v>592</v>
      </c>
      <c r="CI75" s="15">
        <v>1955</v>
      </c>
      <c r="CJ75" s="14">
        <v>808</v>
      </c>
      <c r="CK75" s="15">
        <v>1728</v>
      </c>
      <c r="CL75" s="14">
        <v>796</v>
      </c>
      <c r="CM75" s="15">
        <v>1140</v>
      </c>
      <c r="CN75" s="14">
        <v>627</v>
      </c>
      <c r="CO75" s="15">
        <v>0</v>
      </c>
      <c r="CP75" s="14">
        <v>281</v>
      </c>
      <c r="CQ75" s="15">
        <v>430</v>
      </c>
      <c r="CR75" s="14">
        <v>389</v>
      </c>
      <c r="CS75" s="15">
        <v>1887</v>
      </c>
      <c r="CT75" s="14">
        <v>1100</v>
      </c>
      <c r="CU75" s="15">
        <v>0</v>
      </c>
      <c r="CV75" s="14">
        <v>281</v>
      </c>
      <c r="CW75" s="15">
        <v>458</v>
      </c>
      <c r="CX75" s="14">
        <v>419</v>
      </c>
      <c r="CY75" s="15">
        <v>1735</v>
      </c>
      <c r="CZ75" s="14">
        <v>691</v>
      </c>
      <c r="DA75" s="15">
        <v>2084</v>
      </c>
      <c r="DB75" s="14">
        <v>1631</v>
      </c>
      <c r="DC75" s="15">
        <v>442</v>
      </c>
      <c r="DD75" s="14">
        <v>674</v>
      </c>
      <c r="DE75" s="15">
        <v>1092</v>
      </c>
      <c r="DF75" s="14">
        <v>1321</v>
      </c>
      <c r="DG75" s="15">
        <v>47</v>
      </c>
      <c r="DH75" s="14">
        <v>78</v>
      </c>
      <c r="DI75" s="15">
        <v>2027</v>
      </c>
      <c r="DJ75" s="14">
        <v>1233</v>
      </c>
      <c r="DM75"/>
      <c r="DN75"/>
      <c r="DO75"/>
      <c r="DP75"/>
    </row>
    <row r="76" spans="9:120" x14ac:dyDescent="0.25">
      <c r="I76" s="16">
        <v>30759</v>
      </c>
      <c r="J76" s="17">
        <v>4030</v>
      </c>
      <c r="K76" s="15">
        <v>128</v>
      </c>
      <c r="L76" s="14">
        <v>211</v>
      </c>
      <c r="M76" s="13">
        <v>68</v>
      </c>
      <c r="N76" s="14">
        <v>111</v>
      </c>
      <c r="O76" s="15">
        <v>60</v>
      </c>
      <c r="P76" s="14">
        <v>78</v>
      </c>
      <c r="Q76" s="15">
        <v>0</v>
      </c>
      <c r="R76" s="14">
        <v>265</v>
      </c>
      <c r="S76" s="15">
        <v>353</v>
      </c>
      <c r="T76" s="14">
        <v>290</v>
      </c>
      <c r="U76" s="15">
        <v>178</v>
      </c>
      <c r="V76" s="14">
        <v>249</v>
      </c>
      <c r="W76" s="15">
        <v>714</v>
      </c>
      <c r="X76" s="14">
        <v>693</v>
      </c>
      <c r="Y76" s="18" t="s">
        <v>60</v>
      </c>
      <c r="Z76" s="14" t="s">
        <v>60</v>
      </c>
      <c r="AA76" s="15">
        <v>432</v>
      </c>
      <c r="AB76" s="14">
        <v>467</v>
      </c>
      <c r="AC76" s="15">
        <v>2362</v>
      </c>
      <c r="AD76" s="14">
        <v>996</v>
      </c>
      <c r="AE76" s="15">
        <v>585</v>
      </c>
      <c r="AF76" s="14">
        <v>575</v>
      </c>
      <c r="AG76" s="15">
        <v>0</v>
      </c>
      <c r="AH76" s="14">
        <v>265</v>
      </c>
      <c r="AI76" s="15">
        <v>0</v>
      </c>
      <c r="AJ76" s="14">
        <v>265</v>
      </c>
      <c r="AK76" s="15">
        <v>612</v>
      </c>
      <c r="AL76" s="14">
        <v>583</v>
      </c>
      <c r="AM76" s="15">
        <v>0</v>
      </c>
      <c r="AN76" s="14">
        <v>265</v>
      </c>
      <c r="AO76" s="15">
        <v>0</v>
      </c>
      <c r="AP76" s="14">
        <v>265</v>
      </c>
      <c r="AQ76" s="15">
        <v>28</v>
      </c>
      <c r="AR76" s="14">
        <v>47</v>
      </c>
      <c r="AS76" s="15">
        <v>163</v>
      </c>
      <c r="AT76" s="14">
        <v>273</v>
      </c>
      <c r="AU76" s="15">
        <v>0</v>
      </c>
      <c r="AV76" s="14">
        <v>265</v>
      </c>
      <c r="AW76" s="15">
        <v>294</v>
      </c>
      <c r="AX76" s="14">
        <v>406</v>
      </c>
      <c r="AY76" s="15">
        <v>4969</v>
      </c>
      <c r="AZ76" s="14">
        <v>1144</v>
      </c>
      <c r="BA76" s="15">
        <v>689</v>
      </c>
      <c r="BB76" s="14">
        <v>538</v>
      </c>
      <c r="BC76" s="15">
        <v>61</v>
      </c>
      <c r="BD76" s="14">
        <v>102</v>
      </c>
      <c r="BE76" s="15">
        <v>55</v>
      </c>
      <c r="BF76" s="14">
        <v>92</v>
      </c>
      <c r="BG76" s="15">
        <v>0</v>
      </c>
      <c r="BH76" s="14">
        <v>265</v>
      </c>
      <c r="BI76" s="15">
        <v>539</v>
      </c>
      <c r="BJ76" s="14">
        <v>842</v>
      </c>
      <c r="BK76" s="15">
        <v>73</v>
      </c>
      <c r="BL76" s="14">
        <v>120</v>
      </c>
      <c r="BM76" s="15">
        <v>0</v>
      </c>
      <c r="BN76" s="14">
        <v>265</v>
      </c>
      <c r="BO76" s="15">
        <v>106</v>
      </c>
      <c r="BP76" s="14">
        <v>183</v>
      </c>
      <c r="BQ76" s="15">
        <v>139</v>
      </c>
      <c r="BR76" s="14">
        <v>246</v>
      </c>
      <c r="BS76" s="15">
        <v>3678</v>
      </c>
      <c r="BT76" s="14">
        <v>935</v>
      </c>
      <c r="BU76" s="15">
        <v>59</v>
      </c>
      <c r="BV76" s="14">
        <v>98</v>
      </c>
      <c r="BW76" s="15">
        <v>4251</v>
      </c>
      <c r="BX76" s="14">
        <v>1555</v>
      </c>
      <c r="BY76" s="15">
        <v>424</v>
      </c>
      <c r="BZ76" s="14">
        <v>466</v>
      </c>
      <c r="CA76" s="15">
        <v>0</v>
      </c>
      <c r="CB76" s="14">
        <v>265</v>
      </c>
      <c r="CC76" s="15">
        <v>325</v>
      </c>
      <c r="CD76" s="14">
        <v>339</v>
      </c>
      <c r="CE76" s="15">
        <v>0</v>
      </c>
      <c r="CF76" s="14">
        <v>265</v>
      </c>
      <c r="CG76" s="15">
        <v>0</v>
      </c>
      <c r="CH76" s="14">
        <v>265</v>
      </c>
      <c r="CI76" s="15">
        <v>7318</v>
      </c>
      <c r="CJ76" s="14">
        <v>2368</v>
      </c>
      <c r="CK76" s="15">
        <v>149</v>
      </c>
      <c r="CL76" s="14">
        <v>241</v>
      </c>
      <c r="CM76" s="15">
        <v>195</v>
      </c>
      <c r="CN76" s="14">
        <v>272</v>
      </c>
      <c r="CO76" s="15">
        <v>0</v>
      </c>
      <c r="CP76" s="14">
        <v>265</v>
      </c>
      <c r="CQ76" s="15">
        <v>146</v>
      </c>
      <c r="CR76" s="14">
        <v>248</v>
      </c>
      <c r="CS76" s="15">
        <v>178</v>
      </c>
      <c r="CT76" s="14">
        <v>313</v>
      </c>
      <c r="CU76" s="15">
        <v>0</v>
      </c>
      <c r="CV76" s="14">
        <v>265</v>
      </c>
      <c r="CW76" s="15">
        <v>0</v>
      </c>
      <c r="CX76" s="14">
        <v>265</v>
      </c>
      <c r="CY76" s="15">
        <v>1051</v>
      </c>
      <c r="CZ76" s="14">
        <v>538</v>
      </c>
      <c r="DA76" s="15">
        <v>377</v>
      </c>
      <c r="DB76" s="14">
        <v>280</v>
      </c>
      <c r="DC76" s="15">
        <v>0</v>
      </c>
      <c r="DD76" s="14">
        <v>265</v>
      </c>
      <c r="DE76" s="15">
        <v>0</v>
      </c>
      <c r="DF76" s="14">
        <v>265</v>
      </c>
      <c r="DG76" s="15">
        <v>0</v>
      </c>
      <c r="DH76" s="14">
        <v>265</v>
      </c>
      <c r="DI76" s="15">
        <v>954</v>
      </c>
      <c r="DJ76" s="14">
        <v>1095</v>
      </c>
      <c r="DM76"/>
      <c r="DN76"/>
      <c r="DO76"/>
      <c r="DP76"/>
    </row>
    <row r="77" spans="9:120" x14ac:dyDescent="0.25">
      <c r="I77" s="16">
        <v>51244</v>
      </c>
      <c r="J77" s="17">
        <v>4828</v>
      </c>
      <c r="K77" s="15">
        <v>360</v>
      </c>
      <c r="L77" s="14">
        <v>418</v>
      </c>
      <c r="M77" s="13">
        <v>591</v>
      </c>
      <c r="N77" s="14">
        <v>529</v>
      </c>
      <c r="O77" s="15">
        <v>662</v>
      </c>
      <c r="P77" s="14">
        <v>466</v>
      </c>
      <c r="Q77" s="15">
        <v>155</v>
      </c>
      <c r="R77" s="14">
        <v>195</v>
      </c>
      <c r="S77" s="15">
        <v>4205</v>
      </c>
      <c r="T77" s="14">
        <v>1255</v>
      </c>
      <c r="U77" s="15">
        <v>656</v>
      </c>
      <c r="V77" s="14">
        <v>637</v>
      </c>
      <c r="W77" s="15">
        <v>926</v>
      </c>
      <c r="X77" s="14">
        <v>592</v>
      </c>
      <c r="Y77" s="15">
        <v>0</v>
      </c>
      <c r="Z77" s="14">
        <v>292</v>
      </c>
      <c r="AA77" s="18" t="s">
        <v>60</v>
      </c>
      <c r="AB77" s="14" t="s">
        <v>60</v>
      </c>
      <c r="AC77" s="15">
        <v>1100</v>
      </c>
      <c r="AD77" s="14">
        <v>609</v>
      </c>
      <c r="AE77" s="15">
        <v>1597</v>
      </c>
      <c r="AF77" s="14">
        <v>795</v>
      </c>
      <c r="AG77" s="15">
        <v>0</v>
      </c>
      <c r="AH77" s="14">
        <v>292</v>
      </c>
      <c r="AI77" s="15">
        <v>0</v>
      </c>
      <c r="AJ77" s="14">
        <v>292</v>
      </c>
      <c r="AK77" s="15">
        <v>615</v>
      </c>
      <c r="AL77" s="14">
        <v>373</v>
      </c>
      <c r="AM77" s="15">
        <v>711</v>
      </c>
      <c r="AN77" s="14">
        <v>461</v>
      </c>
      <c r="AO77" s="15">
        <v>392</v>
      </c>
      <c r="AP77" s="14">
        <v>377</v>
      </c>
      <c r="AQ77" s="15">
        <v>83</v>
      </c>
      <c r="AR77" s="14">
        <v>137</v>
      </c>
      <c r="AS77" s="15">
        <v>94</v>
      </c>
      <c r="AT77" s="14">
        <v>155</v>
      </c>
      <c r="AU77" s="15">
        <v>0</v>
      </c>
      <c r="AV77" s="14">
        <v>292</v>
      </c>
      <c r="AW77" s="15">
        <v>76</v>
      </c>
      <c r="AX77" s="14">
        <v>121</v>
      </c>
      <c r="AY77" s="15">
        <v>13503</v>
      </c>
      <c r="AZ77" s="14">
        <v>2647</v>
      </c>
      <c r="BA77" s="15">
        <v>1376</v>
      </c>
      <c r="BB77" s="14">
        <v>540</v>
      </c>
      <c r="BC77" s="15">
        <v>126</v>
      </c>
      <c r="BD77" s="14">
        <v>153</v>
      </c>
      <c r="BE77" s="15">
        <v>87</v>
      </c>
      <c r="BF77" s="14">
        <v>105</v>
      </c>
      <c r="BG77" s="15">
        <v>0</v>
      </c>
      <c r="BH77" s="14">
        <v>292</v>
      </c>
      <c r="BI77" s="15">
        <v>272</v>
      </c>
      <c r="BJ77" s="14">
        <v>371</v>
      </c>
      <c r="BK77" s="15">
        <v>0</v>
      </c>
      <c r="BL77" s="14">
        <v>292</v>
      </c>
      <c r="BM77" s="15">
        <v>62</v>
      </c>
      <c r="BN77" s="14">
        <v>103</v>
      </c>
      <c r="BO77" s="15">
        <v>0</v>
      </c>
      <c r="BP77" s="14">
        <v>292</v>
      </c>
      <c r="BQ77" s="15">
        <v>137</v>
      </c>
      <c r="BR77" s="14">
        <v>136</v>
      </c>
      <c r="BS77" s="15">
        <v>1924</v>
      </c>
      <c r="BT77" s="14">
        <v>694</v>
      </c>
      <c r="BU77" s="15">
        <v>61</v>
      </c>
      <c r="BV77" s="14">
        <v>100</v>
      </c>
      <c r="BW77" s="15">
        <v>3852</v>
      </c>
      <c r="BX77" s="14">
        <v>1325</v>
      </c>
      <c r="BY77" s="15">
        <v>1897</v>
      </c>
      <c r="BZ77" s="14">
        <v>1089</v>
      </c>
      <c r="CA77" s="15">
        <v>98</v>
      </c>
      <c r="CB77" s="14">
        <v>165</v>
      </c>
      <c r="CC77" s="15">
        <v>598</v>
      </c>
      <c r="CD77" s="14">
        <v>359</v>
      </c>
      <c r="CE77" s="15">
        <v>0</v>
      </c>
      <c r="CF77" s="14">
        <v>292</v>
      </c>
      <c r="CG77" s="15">
        <v>601</v>
      </c>
      <c r="CH77" s="14">
        <v>520</v>
      </c>
      <c r="CI77" s="15">
        <v>2378</v>
      </c>
      <c r="CJ77" s="14">
        <v>771</v>
      </c>
      <c r="CK77" s="15">
        <v>249</v>
      </c>
      <c r="CL77" s="14">
        <v>206</v>
      </c>
      <c r="CM77" s="15">
        <v>380</v>
      </c>
      <c r="CN77" s="14">
        <v>339</v>
      </c>
      <c r="CO77" s="15">
        <v>0</v>
      </c>
      <c r="CP77" s="14">
        <v>292</v>
      </c>
      <c r="CQ77" s="15">
        <v>591</v>
      </c>
      <c r="CR77" s="14">
        <v>543</v>
      </c>
      <c r="CS77" s="15">
        <v>1180</v>
      </c>
      <c r="CT77" s="14">
        <v>605</v>
      </c>
      <c r="CU77" s="15">
        <v>0</v>
      </c>
      <c r="CV77" s="14">
        <v>292</v>
      </c>
      <c r="CW77" s="15">
        <v>199</v>
      </c>
      <c r="CX77" s="14">
        <v>245</v>
      </c>
      <c r="CY77" s="15">
        <v>7915</v>
      </c>
      <c r="CZ77" s="14">
        <v>1638</v>
      </c>
      <c r="DA77" s="15">
        <v>284</v>
      </c>
      <c r="DB77" s="14">
        <v>220</v>
      </c>
      <c r="DC77" s="15">
        <v>860</v>
      </c>
      <c r="DD77" s="14">
        <v>754</v>
      </c>
      <c r="DE77" s="15">
        <v>391</v>
      </c>
      <c r="DF77" s="14">
        <v>325</v>
      </c>
      <c r="DG77" s="15">
        <v>0</v>
      </c>
      <c r="DH77" s="14">
        <v>292</v>
      </c>
      <c r="DI77" s="15">
        <v>0</v>
      </c>
      <c r="DJ77" s="14">
        <v>292</v>
      </c>
      <c r="DM77"/>
      <c r="DN77"/>
      <c r="DO77"/>
      <c r="DP77"/>
    </row>
    <row r="78" spans="9:120" x14ac:dyDescent="0.25">
      <c r="I78" s="16">
        <v>482889</v>
      </c>
      <c r="J78" s="17">
        <v>22701</v>
      </c>
      <c r="K78" s="15">
        <v>15830</v>
      </c>
      <c r="L78" s="14">
        <v>3829</v>
      </c>
      <c r="M78" s="13">
        <v>5887</v>
      </c>
      <c r="N78" s="14">
        <v>2502</v>
      </c>
      <c r="O78" s="15">
        <v>3907</v>
      </c>
      <c r="P78" s="14">
        <v>1463</v>
      </c>
      <c r="Q78" s="15">
        <v>3611</v>
      </c>
      <c r="R78" s="14">
        <v>1562</v>
      </c>
      <c r="S78" s="15">
        <v>22130</v>
      </c>
      <c r="T78" s="14">
        <v>3867</v>
      </c>
      <c r="U78" s="15">
        <v>6428</v>
      </c>
      <c r="V78" s="14">
        <v>1941</v>
      </c>
      <c r="W78" s="15">
        <v>11183</v>
      </c>
      <c r="X78" s="14">
        <v>2730</v>
      </c>
      <c r="Y78" s="15">
        <v>3099</v>
      </c>
      <c r="Z78" s="14">
        <v>1603</v>
      </c>
      <c r="AA78" s="15">
        <v>1110</v>
      </c>
      <c r="AB78" s="14">
        <v>564</v>
      </c>
      <c r="AC78" s="18" t="s">
        <v>60</v>
      </c>
      <c r="AD78" s="14" t="s">
        <v>60</v>
      </c>
      <c r="AE78" s="15">
        <v>35615</v>
      </c>
      <c r="AF78" s="14">
        <v>5500</v>
      </c>
      <c r="AG78" s="15">
        <v>2021</v>
      </c>
      <c r="AH78" s="14">
        <v>990</v>
      </c>
      <c r="AI78" s="15">
        <v>884</v>
      </c>
      <c r="AJ78" s="14">
        <v>747</v>
      </c>
      <c r="AK78" s="15">
        <v>17432</v>
      </c>
      <c r="AL78" s="14">
        <v>3007</v>
      </c>
      <c r="AM78" s="15">
        <v>9030</v>
      </c>
      <c r="AN78" s="14">
        <v>2849</v>
      </c>
      <c r="AO78" s="15">
        <v>2921</v>
      </c>
      <c r="AP78" s="14">
        <v>1091</v>
      </c>
      <c r="AQ78" s="15">
        <v>4136</v>
      </c>
      <c r="AR78" s="14">
        <v>2062</v>
      </c>
      <c r="AS78" s="15">
        <v>6321</v>
      </c>
      <c r="AT78" s="14">
        <v>1902</v>
      </c>
      <c r="AU78" s="15">
        <v>7232</v>
      </c>
      <c r="AV78" s="14">
        <v>2781</v>
      </c>
      <c r="AW78" s="15">
        <v>5497</v>
      </c>
      <c r="AX78" s="14">
        <v>1861</v>
      </c>
      <c r="AY78" s="15">
        <v>13241</v>
      </c>
      <c r="AZ78" s="14">
        <v>2929</v>
      </c>
      <c r="BA78" s="15">
        <v>13900</v>
      </c>
      <c r="BB78" s="14">
        <v>2269</v>
      </c>
      <c r="BC78" s="15">
        <v>21359</v>
      </c>
      <c r="BD78" s="14">
        <v>4622</v>
      </c>
      <c r="BE78" s="15">
        <v>5439</v>
      </c>
      <c r="BF78" s="14">
        <v>2349</v>
      </c>
      <c r="BG78" s="15">
        <v>7929</v>
      </c>
      <c r="BH78" s="14">
        <v>3596</v>
      </c>
      <c r="BI78" s="15">
        <v>7984</v>
      </c>
      <c r="BJ78" s="14">
        <v>2232</v>
      </c>
      <c r="BK78" s="15">
        <v>338</v>
      </c>
      <c r="BL78" s="14">
        <v>289</v>
      </c>
      <c r="BM78" s="15">
        <v>1544</v>
      </c>
      <c r="BN78" s="14">
        <v>1314</v>
      </c>
      <c r="BO78" s="15">
        <v>7050</v>
      </c>
      <c r="BP78" s="14">
        <v>3281</v>
      </c>
      <c r="BQ78" s="15">
        <v>3645</v>
      </c>
      <c r="BR78" s="14">
        <v>1193</v>
      </c>
      <c r="BS78" s="15">
        <v>22344</v>
      </c>
      <c r="BT78" s="14">
        <v>3256</v>
      </c>
      <c r="BU78" s="15">
        <v>900</v>
      </c>
      <c r="BV78" s="14">
        <v>872</v>
      </c>
      <c r="BW78" s="15">
        <v>55011</v>
      </c>
      <c r="BX78" s="14">
        <v>6848</v>
      </c>
      <c r="BY78" s="15">
        <v>19108</v>
      </c>
      <c r="BZ78" s="14">
        <v>3464</v>
      </c>
      <c r="CA78" s="15">
        <v>794</v>
      </c>
      <c r="CB78" s="14">
        <v>720</v>
      </c>
      <c r="CC78" s="15">
        <v>21047</v>
      </c>
      <c r="CD78" s="14">
        <v>3825</v>
      </c>
      <c r="CE78" s="15">
        <v>3466</v>
      </c>
      <c r="CF78" s="14">
        <v>1518</v>
      </c>
      <c r="CG78" s="15">
        <v>1655</v>
      </c>
      <c r="CH78" s="14">
        <v>1187</v>
      </c>
      <c r="CI78" s="15">
        <v>19935</v>
      </c>
      <c r="CJ78" s="14">
        <v>3976</v>
      </c>
      <c r="CK78" s="15">
        <v>1982</v>
      </c>
      <c r="CL78" s="14">
        <v>813</v>
      </c>
      <c r="CM78" s="15">
        <v>10759</v>
      </c>
      <c r="CN78" s="14">
        <v>2906</v>
      </c>
      <c r="CO78" s="15">
        <v>430</v>
      </c>
      <c r="CP78" s="14">
        <v>473</v>
      </c>
      <c r="CQ78" s="15">
        <v>12882</v>
      </c>
      <c r="CR78" s="14">
        <v>2482</v>
      </c>
      <c r="CS78" s="15">
        <v>24039</v>
      </c>
      <c r="CT78" s="14">
        <v>5038</v>
      </c>
      <c r="CU78" s="15">
        <v>2833</v>
      </c>
      <c r="CV78" s="14">
        <v>1249</v>
      </c>
      <c r="CW78" s="15">
        <v>1442</v>
      </c>
      <c r="CX78" s="14">
        <v>935</v>
      </c>
      <c r="CY78" s="15">
        <v>20080</v>
      </c>
      <c r="CZ78" s="14">
        <v>4137</v>
      </c>
      <c r="DA78" s="15">
        <v>3573</v>
      </c>
      <c r="DB78" s="14">
        <v>1239</v>
      </c>
      <c r="DC78" s="15">
        <v>5634</v>
      </c>
      <c r="DD78" s="14">
        <v>2872</v>
      </c>
      <c r="DE78" s="15">
        <v>8081</v>
      </c>
      <c r="DF78" s="14">
        <v>2929</v>
      </c>
      <c r="DG78" s="15">
        <v>191</v>
      </c>
      <c r="DH78" s="14">
        <v>258</v>
      </c>
      <c r="DI78" s="15">
        <v>12968</v>
      </c>
      <c r="DJ78" s="14">
        <v>4149</v>
      </c>
      <c r="DM78"/>
      <c r="DN78"/>
      <c r="DO78"/>
      <c r="DP78"/>
    </row>
    <row r="79" spans="9:120" x14ac:dyDescent="0.25">
      <c r="I79" s="16">
        <v>249459</v>
      </c>
      <c r="J79" s="17">
        <v>15858</v>
      </c>
      <c r="K79" s="15">
        <v>13840</v>
      </c>
      <c r="L79" s="14">
        <v>2473</v>
      </c>
      <c r="M79" s="13">
        <v>3645</v>
      </c>
      <c r="N79" s="14">
        <v>1932</v>
      </c>
      <c r="O79" s="15">
        <v>2554</v>
      </c>
      <c r="P79" s="14">
        <v>1303</v>
      </c>
      <c r="Q79" s="15">
        <v>599</v>
      </c>
      <c r="R79" s="14">
        <v>436</v>
      </c>
      <c r="S79" s="15">
        <v>8909</v>
      </c>
      <c r="T79" s="14">
        <v>2412</v>
      </c>
      <c r="U79" s="15">
        <v>3224</v>
      </c>
      <c r="V79" s="14">
        <v>2058</v>
      </c>
      <c r="W79" s="15">
        <v>2619</v>
      </c>
      <c r="X79" s="14">
        <v>1473</v>
      </c>
      <c r="Y79" s="15">
        <v>837</v>
      </c>
      <c r="Z79" s="14">
        <v>753</v>
      </c>
      <c r="AA79" s="15">
        <v>1708</v>
      </c>
      <c r="AB79" s="14">
        <v>1278</v>
      </c>
      <c r="AC79" s="15">
        <v>49901</v>
      </c>
      <c r="AD79" s="14">
        <v>5558</v>
      </c>
      <c r="AE79" s="18" t="s">
        <v>60</v>
      </c>
      <c r="AF79" s="14" t="s">
        <v>60</v>
      </c>
      <c r="AG79" s="15">
        <v>1040</v>
      </c>
      <c r="AH79" s="14">
        <v>658</v>
      </c>
      <c r="AI79" s="15">
        <v>414</v>
      </c>
      <c r="AJ79" s="14">
        <v>478</v>
      </c>
      <c r="AK79" s="15">
        <v>9736</v>
      </c>
      <c r="AL79" s="14">
        <v>3665</v>
      </c>
      <c r="AM79" s="15">
        <v>2649</v>
      </c>
      <c r="AN79" s="14">
        <v>1023</v>
      </c>
      <c r="AO79" s="15">
        <v>1096</v>
      </c>
      <c r="AP79" s="14">
        <v>821</v>
      </c>
      <c r="AQ79" s="15">
        <v>1355</v>
      </c>
      <c r="AR79" s="14">
        <v>1097</v>
      </c>
      <c r="AS79" s="15">
        <v>6525</v>
      </c>
      <c r="AT79" s="14">
        <v>2248</v>
      </c>
      <c r="AU79" s="15">
        <v>3645</v>
      </c>
      <c r="AV79" s="14">
        <v>1604</v>
      </c>
      <c r="AW79" s="15">
        <v>0</v>
      </c>
      <c r="AX79" s="14">
        <v>300</v>
      </c>
      <c r="AY79" s="15">
        <v>5382</v>
      </c>
      <c r="AZ79" s="14">
        <v>1767</v>
      </c>
      <c r="BA79" s="15">
        <v>3910</v>
      </c>
      <c r="BB79" s="14">
        <v>2127</v>
      </c>
      <c r="BC79" s="15">
        <v>6857</v>
      </c>
      <c r="BD79" s="14">
        <v>1831</v>
      </c>
      <c r="BE79" s="15">
        <v>1169</v>
      </c>
      <c r="BF79" s="14">
        <v>718</v>
      </c>
      <c r="BG79" s="15">
        <v>2380</v>
      </c>
      <c r="BH79" s="14">
        <v>959</v>
      </c>
      <c r="BI79" s="15">
        <v>3072</v>
      </c>
      <c r="BJ79" s="14">
        <v>1087</v>
      </c>
      <c r="BK79" s="15">
        <v>52</v>
      </c>
      <c r="BL79" s="14">
        <v>92</v>
      </c>
      <c r="BM79" s="15">
        <v>148</v>
      </c>
      <c r="BN79" s="14">
        <v>139</v>
      </c>
      <c r="BO79" s="15">
        <v>1155</v>
      </c>
      <c r="BP79" s="14">
        <v>684</v>
      </c>
      <c r="BQ79" s="15">
        <v>162</v>
      </c>
      <c r="BR79" s="14">
        <v>161</v>
      </c>
      <c r="BS79" s="15">
        <v>4151</v>
      </c>
      <c r="BT79" s="14">
        <v>1203</v>
      </c>
      <c r="BU79" s="15">
        <v>826</v>
      </c>
      <c r="BV79" s="14">
        <v>509</v>
      </c>
      <c r="BW79" s="15">
        <v>12472</v>
      </c>
      <c r="BX79" s="14">
        <v>2568</v>
      </c>
      <c r="BY79" s="15">
        <v>15361</v>
      </c>
      <c r="BZ79" s="14">
        <v>3426</v>
      </c>
      <c r="CA79" s="15">
        <v>0</v>
      </c>
      <c r="CB79" s="14">
        <v>300</v>
      </c>
      <c r="CC79" s="15">
        <v>9323</v>
      </c>
      <c r="CD79" s="14">
        <v>2446</v>
      </c>
      <c r="CE79" s="15">
        <v>2070</v>
      </c>
      <c r="CF79" s="14">
        <v>1458</v>
      </c>
      <c r="CG79" s="15">
        <v>843</v>
      </c>
      <c r="CH79" s="14">
        <v>626</v>
      </c>
      <c r="CI79" s="15">
        <v>6294</v>
      </c>
      <c r="CJ79" s="14">
        <v>1914</v>
      </c>
      <c r="CK79" s="15">
        <v>43</v>
      </c>
      <c r="CL79" s="14">
        <v>70</v>
      </c>
      <c r="CM79" s="15">
        <v>15562</v>
      </c>
      <c r="CN79" s="14">
        <v>3592</v>
      </c>
      <c r="CO79" s="15">
        <v>557</v>
      </c>
      <c r="CP79" s="14">
        <v>540</v>
      </c>
      <c r="CQ79" s="15">
        <v>14445</v>
      </c>
      <c r="CR79" s="14">
        <v>3273</v>
      </c>
      <c r="CS79" s="15">
        <v>11424</v>
      </c>
      <c r="CT79" s="14">
        <v>2574</v>
      </c>
      <c r="CU79" s="15">
        <v>380</v>
      </c>
      <c r="CV79" s="14">
        <v>291</v>
      </c>
      <c r="CW79" s="15">
        <v>361</v>
      </c>
      <c r="CX79" s="14">
        <v>458</v>
      </c>
      <c r="CY79" s="15">
        <v>8393</v>
      </c>
      <c r="CZ79" s="14">
        <v>2087</v>
      </c>
      <c r="DA79" s="15">
        <v>4495</v>
      </c>
      <c r="DB79" s="14">
        <v>2034</v>
      </c>
      <c r="DC79" s="15">
        <v>358</v>
      </c>
      <c r="DD79" s="14">
        <v>295</v>
      </c>
      <c r="DE79" s="15">
        <v>3416</v>
      </c>
      <c r="DF79" s="14">
        <v>2022</v>
      </c>
      <c r="DG79" s="15">
        <v>102</v>
      </c>
      <c r="DH79" s="14">
        <v>118</v>
      </c>
      <c r="DI79" s="15">
        <v>1010</v>
      </c>
      <c r="DJ79" s="14">
        <v>742</v>
      </c>
      <c r="DM79"/>
      <c r="DN79"/>
      <c r="DO79"/>
      <c r="DP79"/>
    </row>
    <row r="80" spans="9:120" x14ac:dyDescent="0.25">
      <c r="I80" s="16">
        <v>53581</v>
      </c>
      <c r="J80" s="17">
        <v>6065</v>
      </c>
      <c r="K80" s="15">
        <v>749</v>
      </c>
      <c r="L80" s="14">
        <v>542</v>
      </c>
      <c r="M80" s="13">
        <v>743</v>
      </c>
      <c r="N80" s="14">
        <v>609</v>
      </c>
      <c r="O80" s="15">
        <v>1398</v>
      </c>
      <c r="P80" s="14">
        <v>849</v>
      </c>
      <c r="Q80" s="15">
        <v>0</v>
      </c>
      <c r="R80" s="14">
        <v>275</v>
      </c>
      <c r="S80" s="15">
        <v>12677</v>
      </c>
      <c r="T80" s="14">
        <v>2325</v>
      </c>
      <c r="U80" s="15">
        <v>1073</v>
      </c>
      <c r="V80" s="14">
        <v>667</v>
      </c>
      <c r="W80" s="15">
        <v>307</v>
      </c>
      <c r="X80" s="14">
        <v>392</v>
      </c>
      <c r="Y80" s="15">
        <v>0</v>
      </c>
      <c r="Z80" s="14">
        <v>275</v>
      </c>
      <c r="AA80" s="15">
        <v>0</v>
      </c>
      <c r="AB80" s="14">
        <v>275</v>
      </c>
      <c r="AC80" s="15">
        <v>4599</v>
      </c>
      <c r="AD80" s="14">
        <v>2610</v>
      </c>
      <c r="AE80" s="15">
        <v>2013</v>
      </c>
      <c r="AF80" s="14">
        <v>1185</v>
      </c>
      <c r="AG80" s="18" t="s">
        <v>60</v>
      </c>
      <c r="AH80" s="14" t="s">
        <v>60</v>
      </c>
      <c r="AI80" s="15">
        <v>42</v>
      </c>
      <c r="AJ80" s="14">
        <v>70</v>
      </c>
      <c r="AK80" s="15">
        <v>715</v>
      </c>
      <c r="AL80" s="14">
        <v>412</v>
      </c>
      <c r="AM80" s="15">
        <v>192</v>
      </c>
      <c r="AN80" s="14">
        <v>209</v>
      </c>
      <c r="AO80" s="15">
        <v>68</v>
      </c>
      <c r="AP80" s="14">
        <v>118</v>
      </c>
      <c r="AQ80" s="15">
        <v>387</v>
      </c>
      <c r="AR80" s="14">
        <v>345</v>
      </c>
      <c r="AS80" s="15">
        <v>95</v>
      </c>
      <c r="AT80" s="14">
        <v>159</v>
      </c>
      <c r="AU80" s="15">
        <v>88</v>
      </c>
      <c r="AV80" s="14">
        <v>151</v>
      </c>
      <c r="AW80" s="15">
        <v>89</v>
      </c>
      <c r="AX80" s="14">
        <v>145</v>
      </c>
      <c r="AY80" s="15">
        <v>990</v>
      </c>
      <c r="AZ80" s="14">
        <v>737</v>
      </c>
      <c r="BA80" s="15">
        <v>1283</v>
      </c>
      <c r="BB80" s="14">
        <v>944</v>
      </c>
      <c r="BC80" s="15">
        <v>627</v>
      </c>
      <c r="BD80" s="14">
        <v>548</v>
      </c>
      <c r="BE80" s="15">
        <v>476</v>
      </c>
      <c r="BF80" s="14">
        <v>350</v>
      </c>
      <c r="BG80" s="15">
        <v>234</v>
      </c>
      <c r="BH80" s="14">
        <v>368</v>
      </c>
      <c r="BI80" s="15">
        <v>170</v>
      </c>
      <c r="BJ80" s="14">
        <v>171</v>
      </c>
      <c r="BK80" s="15">
        <v>150</v>
      </c>
      <c r="BL80" s="14">
        <v>261</v>
      </c>
      <c r="BM80" s="15">
        <v>0</v>
      </c>
      <c r="BN80" s="14">
        <v>275</v>
      </c>
      <c r="BO80" s="15">
        <v>1925</v>
      </c>
      <c r="BP80" s="14">
        <v>1184</v>
      </c>
      <c r="BQ80" s="15">
        <v>496</v>
      </c>
      <c r="BR80" s="14">
        <v>685</v>
      </c>
      <c r="BS80" s="15">
        <v>443</v>
      </c>
      <c r="BT80" s="14">
        <v>417</v>
      </c>
      <c r="BU80" s="15">
        <v>11</v>
      </c>
      <c r="BV80" s="14">
        <v>19</v>
      </c>
      <c r="BW80" s="15">
        <v>1339</v>
      </c>
      <c r="BX80" s="14">
        <v>794</v>
      </c>
      <c r="BY80" s="15">
        <v>1510</v>
      </c>
      <c r="BZ80" s="14">
        <v>994</v>
      </c>
      <c r="CA80" s="15">
        <v>69</v>
      </c>
      <c r="CB80" s="14">
        <v>116</v>
      </c>
      <c r="CC80" s="15">
        <v>625</v>
      </c>
      <c r="CD80" s="14">
        <v>515</v>
      </c>
      <c r="CE80" s="15">
        <v>57</v>
      </c>
      <c r="CF80" s="14">
        <v>94</v>
      </c>
      <c r="CG80" s="15">
        <v>1834</v>
      </c>
      <c r="CH80" s="14">
        <v>958</v>
      </c>
      <c r="CI80" s="15">
        <v>553</v>
      </c>
      <c r="CJ80" s="14">
        <v>478</v>
      </c>
      <c r="CK80" s="15">
        <v>644</v>
      </c>
      <c r="CL80" s="14">
        <v>829</v>
      </c>
      <c r="CM80" s="15">
        <v>322</v>
      </c>
      <c r="CN80" s="14">
        <v>378</v>
      </c>
      <c r="CO80" s="15">
        <v>267</v>
      </c>
      <c r="CP80" s="14">
        <v>380</v>
      </c>
      <c r="CQ80" s="15">
        <v>142</v>
      </c>
      <c r="CR80" s="14">
        <v>205</v>
      </c>
      <c r="CS80" s="15">
        <v>6694</v>
      </c>
      <c r="CT80" s="14">
        <v>2760</v>
      </c>
      <c r="CU80" s="15">
        <v>467</v>
      </c>
      <c r="CV80" s="14">
        <v>369</v>
      </c>
      <c r="CW80" s="15">
        <v>0</v>
      </c>
      <c r="CX80" s="14">
        <v>275</v>
      </c>
      <c r="CY80" s="15">
        <v>2644</v>
      </c>
      <c r="CZ80" s="14">
        <v>1136</v>
      </c>
      <c r="DA80" s="15">
        <v>2705</v>
      </c>
      <c r="DB80" s="14">
        <v>883</v>
      </c>
      <c r="DC80" s="15">
        <v>483</v>
      </c>
      <c r="DD80" s="14">
        <v>782</v>
      </c>
      <c r="DE80" s="15">
        <v>1168</v>
      </c>
      <c r="DF80" s="14">
        <v>1133</v>
      </c>
      <c r="DG80" s="15">
        <v>18</v>
      </c>
      <c r="DH80" s="14">
        <v>33</v>
      </c>
      <c r="DI80" s="15">
        <v>0</v>
      </c>
      <c r="DJ80" s="14">
        <v>275</v>
      </c>
      <c r="DM80"/>
      <c r="DN80"/>
      <c r="DO80"/>
      <c r="DP80"/>
    </row>
    <row r="81" spans="9:120" x14ac:dyDescent="0.25">
      <c r="I81" s="16">
        <v>55638</v>
      </c>
      <c r="J81" s="17">
        <v>6079</v>
      </c>
      <c r="K81" s="15">
        <v>376</v>
      </c>
      <c r="L81" s="14">
        <v>369</v>
      </c>
      <c r="M81" s="13">
        <v>3264</v>
      </c>
      <c r="N81" s="14">
        <v>1813</v>
      </c>
      <c r="O81" s="15">
        <v>3086</v>
      </c>
      <c r="P81" s="14">
        <v>2015</v>
      </c>
      <c r="Q81" s="15">
        <v>45</v>
      </c>
      <c r="R81" s="14">
        <v>73</v>
      </c>
      <c r="S81" s="15">
        <v>8932</v>
      </c>
      <c r="T81" s="14">
        <v>2415</v>
      </c>
      <c r="U81" s="15">
        <v>1372</v>
      </c>
      <c r="V81" s="14">
        <v>867</v>
      </c>
      <c r="W81" s="15">
        <v>0</v>
      </c>
      <c r="X81" s="14">
        <v>267</v>
      </c>
      <c r="Y81" s="15">
        <v>0</v>
      </c>
      <c r="Z81" s="14">
        <v>267</v>
      </c>
      <c r="AA81" s="15">
        <v>144</v>
      </c>
      <c r="AB81" s="14">
        <v>233</v>
      </c>
      <c r="AC81" s="15">
        <v>612</v>
      </c>
      <c r="AD81" s="14">
        <v>508</v>
      </c>
      <c r="AE81" s="15">
        <v>313</v>
      </c>
      <c r="AF81" s="14">
        <v>280</v>
      </c>
      <c r="AG81" s="15">
        <v>123</v>
      </c>
      <c r="AH81" s="14">
        <v>206</v>
      </c>
      <c r="AI81" s="18" t="s">
        <v>60</v>
      </c>
      <c r="AJ81" s="14" t="s">
        <v>60</v>
      </c>
      <c r="AK81" s="15">
        <v>169</v>
      </c>
      <c r="AL81" s="14">
        <v>236</v>
      </c>
      <c r="AM81" s="15">
        <v>132</v>
      </c>
      <c r="AN81" s="14">
        <v>133</v>
      </c>
      <c r="AO81" s="15">
        <v>773</v>
      </c>
      <c r="AP81" s="14">
        <v>470</v>
      </c>
      <c r="AQ81" s="15">
        <v>422</v>
      </c>
      <c r="AR81" s="14">
        <v>415</v>
      </c>
      <c r="AS81" s="15">
        <v>315</v>
      </c>
      <c r="AT81" s="14">
        <v>272</v>
      </c>
      <c r="AU81" s="15">
        <v>59</v>
      </c>
      <c r="AV81" s="14">
        <v>102</v>
      </c>
      <c r="AW81" s="15">
        <v>202</v>
      </c>
      <c r="AX81" s="14">
        <v>272</v>
      </c>
      <c r="AY81" s="15">
        <v>44</v>
      </c>
      <c r="AZ81" s="14">
        <v>73</v>
      </c>
      <c r="BA81" s="15">
        <v>115</v>
      </c>
      <c r="BB81" s="14">
        <v>135</v>
      </c>
      <c r="BC81" s="15">
        <v>427</v>
      </c>
      <c r="BD81" s="14">
        <v>363</v>
      </c>
      <c r="BE81" s="15">
        <v>465</v>
      </c>
      <c r="BF81" s="14">
        <v>613</v>
      </c>
      <c r="BG81" s="15">
        <v>37</v>
      </c>
      <c r="BH81" s="14">
        <v>61</v>
      </c>
      <c r="BI81" s="15">
        <v>425</v>
      </c>
      <c r="BJ81" s="14">
        <v>345</v>
      </c>
      <c r="BK81" s="15">
        <v>1509</v>
      </c>
      <c r="BL81" s="14">
        <v>584</v>
      </c>
      <c r="BM81" s="15">
        <v>0</v>
      </c>
      <c r="BN81" s="14">
        <v>267</v>
      </c>
      <c r="BO81" s="15">
        <v>2110</v>
      </c>
      <c r="BP81" s="14">
        <v>1061</v>
      </c>
      <c r="BQ81" s="15">
        <v>109</v>
      </c>
      <c r="BR81" s="14">
        <v>147</v>
      </c>
      <c r="BS81" s="15">
        <v>97</v>
      </c>
      <c r="BT81" s="14">
        <v>148</v>
      </c>
      <c r="BU81" s="15">
        <v>694</v>
      </c>
      <c r="BV81" s="14">
        <v>811</v>
      </c>
      <c r="BW81" s="15">
        <v>155</v>
      </c>
      <c r="BX81" s="14">
        <v>169</v>
      </c>
      <c r="BY81" s="15">
        <v>134</v>
      </c>
      <c r="BZ81" s="14">
        <v>164</v>
      </c>
      <c r="CA81" s="15">
        <v>96</v>
      </c>
      <c r="CB81" s="14">
        <v>112</v>
      </c>
      <c r="CC81" s="15">
        <v>325</v>
      </c>
      <c r="CD81" s="14">
        <v>261</v>
      </c>
      <c r="CE81" s="15">
        <v>711</v>
      </c>
      <c r="CF81" s="14">
        <v>702</v>
      </c>
      <c r="CG81" s="15">
        <v>3202</v>
      </c>
      <c r="CH81" s="14">
        <v>1259</v>
      </c>
      <c r="CI81" s="15">
        <v>172</v>
      </c>
      <c r="CJ81" s="14">
        <v>206</v>
      </c>
      <c r="CK81" s="15">
        <v>0</v>
      </c>
      <c r="CL81" s="14">
        <v>267</v>
      </c>
      <c r="CM81" s="15">
        <v>0</v>
      </c>
      <c r="CN81" s="14">
        <v>267</v>
      </c>
      <c r="CO81" s="15">
        <v>296</v>
      </c>
      <c r="CP81" s="14">
        <v>375</v>
      </c>
      <c r="CQ81" s="15">
        <v>1153</v>
      </c>
      <c r="CR81" s="14">
        <v>995</v>
      </c>
      <c r="CS81" s="15">
        <v>1746</v>
      </c>
      <c r="CT81" s="14">
        <v>951</v>
      </c>
      <c r="CU81" s="15">
        <v>8014</v>
      </c>
      <c r="CV81" s="14">
        <v>2403</v>
      </c>
      <c r="CW81" s="15">
        <v>0</v>
      </c>
      <c r="CX81" s="14">
        <v>267</v>
      </c>
      <c r="CY81" s="15">
        <v>611</v>
      </c>
      <c r="CZ81" s="14">
        <v>662</v>
      </c>
      <c r="DA81" s="15">
        <v>10876</v>
      </c>
      <c r="DB81" s="14">
        <v>2438</v>
      </c>
      <c r="DC81" s="15">
        <v>133</v>
      </c>
      <c r="DD81" s="14">
        <v>158</v>
      </c>
      <c r="DE81" s="15">
        <v>233</v>
      </c>
      <c r="DF81" s="14">
        <v>292</v>
      </c>
      <c r="DG81" s="15">
        <v>1410</v>
      </c>
      <c r="DH81" s="14">
        <v>723</v>
      </c>
      <c r="DI81" s="15">
        <v>233</v>
      </c>
      <c r="DJ81" s="14">
        <v>374</v>
      </c>
      <c r="DM81"/>
      <c r="DN81"/>
      <c r="DO81"/>
      <c r="DP81"/>
    </row>
    <row r="82" spans="9:120" x14ac:dyDescent="0.25">
      <c r="I82" s="16">
        <v>203959</v>
      </c>
      <c r="J82" s="17">
        <v>11573</v>
      </c>
      <c r="K82" s="15">
        <v>1397</v>
      </c>
      <c r="L82" s="14">
        <v>596</v>
      </c>
      <c r="M82" s="13">
        <v>1764</v>
      </c>
      <c r="N82" s="14">
        <v>1078</v>
      </c>
      <c r="O82" s="15">
        <v>5921</v>
      </c>
      <c r="P82" s="14">
        <v>1897</v>
      </c>
      <c r="Q82" s="15">
        <v>1194</v>
      </c>
      <c r="R82" s="14">
        <v>665</v>
      </c>
      <c r="S82" s="15">
        <v>16205</v>
      </c>
      <c r="T82" s="14">
        <v>3236</v>
      </c>
      <c r="U82" s="15">
        <v>3850</v>
      </c>
      <c r="V82" s="14">
        <v>1360</v>
      </c>
      <c r="W82" s="15">
        <v>2264</v>
      </c>
      <c r="X82" s="14">
        <v>1125</v>
      </c>
      <c r="Y82" s="15">
        <v>56</v>
      </c>
      <c r="Z82" s="14">
        <v>57</v>
      </c>
      <c r="AA82" s="15">
        <v>1047</v>
      </c>
      <c r="AB82" s="14">
        <v>581</v>
      </c>
      <c r="AC82" s="15">
        <v>8051</v>
      </c>
      <c r="AD82" s="14">
        <v>1715</v>
      </c>
      <c r="AE82" s="15">
        <v>6781</v>
      </c>
      <c r="AF82" s="14">
        <v>2524</v>
      </c>
      <c r="AG82" s="15">
        <v>1224</v>
      </c>
      <c r="AH82" s="14">
        <v>776</v>
      </c>
      <c r="AI82" s="15">
        <v>313</v>
      </c>
      <c r="AJ82" s="14">
        <v>258</v>
      </c>
      <c r="AK82" s="18" t="s">
        <v>60</v>
      </c>
      <c r="AL82" s="14" t="s">
        <v>60</v>
      </c>
      <c r="AM82" s="15">
        <v>21918</v>
      </c>
      <c r="AN82" s="14">
        <v>4147</v>
      </c>
      <c r="AO82" s="15">
        <v>9141</v>
      </c>
      <c r="AP82" s="14">
        <v>1866</v>
      </c>
      <c r="AQ82" s="15">
        <v>1970</v>
      </c>
      <c r="AR82" s="14">
        <v>991</v>
      </c>
      <c r="AS82" s="15">
        <v>2921</v>
      </c>
      <c r="AT82" s="14">
        <v>831</v>
      </c>
      <c r="AU82" s="15">
        <v>1419</v>
      </c>
      <c r="AV82" s="14">
        <v>687</v>
      </c>
      <c r="AW82" s="15">
        <v>55</v>
      </c>
      <c r="AX82" s="14">
        <v>93</v>
      </c>
      <c r="AY82" s="15">
        <v>1985</v>
      </c>
      <c r="AZ82" s="14">
        <v>1210</v>
      </c>
      <c r="BA82" s="15">
        <v>2811</v>
      </c>
      <c r="BB82" s="14">
        <v>1111</v>
      </c>
      <c r="BC82" s="15">
        <v>11865</v>
      </c>
      <c r="BD82" s="14">
        <v>2138</v>
      </c>
      <c r="BE82" s="15">
        <v>4300</v>
      </c>
      <c r="BF82" s="14">
        <v>1815</v>
      </c>
      <c r="BG82" s="15">
        <v>1093</v>
      </c>
      <c r="BH82" s="14">
        <v>861</v>
      </c>
      <c r="BI82" s="15">
        <v>16703</v>
      </c>
      <c r="BJ82" s="14">
        <v>3325</v>
      </c>
      <c r="BK82" s="15">
        <v>928</v>
      </c>
      <c r="BL82" s="14">
        <v>937</v>
      </c>
      <c r="BM82" s="15">
        <v>546</v>
      </c>
      <c r="BN82" s="14">
        <v>373</v>
      </c>
      <c r="BO82" s="15">
        <v>2541</v>
      </c>
      <c r="BP82" s="14">
        <v>1214</v>
      </c>
      <c r="BQ82" s="15">
        <v>206</v>
      </c>
      <c r="BR82" s="14">
        <v>202</v>
      </c>
      <c r="BS82" s="15">
        <v>2331</v>
      </c>
      <c r="BT82" s="14">
        <v>1262</v>
      </c>
      <c r="BU82" s="15">
        <v>996</v>
      </c>
      <c r="BV82" s="14">
        <v>709</v>
      </c>
      <c r="BW82" s="15">
        <v>8479</v>
      </c>
      <c r="BX82" s="14">
        <v>2555</v>
      </c>
      <c r="BY82" s="15">
        <v>5504</v>
      </c>
      <c r="BZ82" s="14">
        <v>2479</v>
      </c>
      <c r="CA82" s="15">
        <v>1112</v>
      </c>
      <c r="CB82" s="14">
        <v>788</v>
      </c>
      <c r="CC82" s="15">
        <v>5103</v>
      </c>
      <c r="CD82" s="14">
        <v>1201</v>
      </c>
      <c r="CE82" s="15">
        <v>1459</v>
      </c>
      <c r="CF82" s="14">
        <v>777</v>
      </c>
      <c r="CG82" s="15">
        <v>1224</v>
      </c>
      <c r="CH82" s="14">
        <v>789</v>
      </c>
      <c r="CI82" s="15">
        <v>5190</v>
      </c>
      <c r="CJ82" s="14">
        <v>1822</v>
      </c>
      <c r="CK82" s="15">
        <v>838</v>
      </c>
      <c r="CL82" s="14">
        <v>643</v>
      </c>
      <c r="CM82" s="15">
        <v>1565</v>
      </c>
      <c r="CN82" s="14">
        <v>787</v>
      </c>
      <c r="CO82" s="15">
        <v>292</v>
      </c>
      <c r="CP82" s="14">
        <v>264</v>
      </c>
      <c r="CQ82" s="15">
        <v>3999</v>
      </c>
      <c r="CR82" s="14">
        <v>1131</v>
      </c>
      <c r="CS82" s="15">
        <v>12245</v>
      </c>
      <c r="CT82" s="14">
        <v>3113</v>
      </c>
      <c r="CU82" s="15">
        <v>658</v>
      </c>
      <c r="CV82" s="14">
        <v>427</v>
      </c>
      <c r="CW82" s="15">
        <v>260</v>
      </c>
      <c r="CX82" s="14">
        <v>257</v>
      </c>
      <c r="CY82" s="15">
        <v>3831</v>
      </c>
      <c r="CZ82" s="14">
        <v>1241</v>
      </c>
      <c r="DA82" s="15">
        <v>1642</v>
      </c>
      <c r="DB82" s="14">
        <v>707</v>
      </c>
      <c r="DC82" s="15">
        <v>812</v>
      </c>
      <c r="DD82" s="14">
        <v>523</v>
      </c>
      <c r="DE82" s="15">
        <v>15364</v>
      </c>
      <c r="DF82" s="14">
        <v>2866</v>
      </c>
      <c r="DG82" s="15">
        <v>586</v>
      </c>
      <c r="DH82" s="14">
        <v>432</v>
      </c>
      <c r="DI82" s="15">
        <v>2055</v>
      </c>
      <c r="DJ82" s="14">
        <v>820</v>
      </c>
      <c r="DM82"/>
      <c r="DN82"/>
      <c r="DO82"/>
      <c r="DP82"/>
    </row>
    <row r="83" spans="9:120" x14ac:dyDescent="0.25">
      <c r="I83" s="16">
        <v>127353</v>
      </c>
      <c r="J83" s="17">
        <v>8463</v>
      </c>
      <c r="K83" s="15">
        <v>1502</v>
      </c>
      <c r="L83" s="14">
        <v>1110</v>
      </c>
      <c r="M83" s="13">
        <v>177</v>
      </c>
      <c r="N83" s="14">
        <v>143</v>
      </c>
      <c r="O83" s="15">
        <v>2210</v>
      </c>
      <c r="P83" s="14">
        <v>914</v>
      </c>
      <c r="Q83" s="15">
        <v>1548</v>
      </c>
      <c r="R83" s="14">
        <v>1104</v>
      </c>
      <c r="S83" s="15">
        <v>8959</v>
      </c>
      <c r="T83" s="14">
        <v>2863</v>
      </c>
      <c r="U83" s="15">
        <v>1362</v>
      </c>
      <c r="V83" s="14">
        <v>658</v>
      </c>
      <c r="W83" s="15">
        <v>544</v>
      </c>
      <c r="X83" s="14">
        <v>404</v>
      </c>
      <c r="Y83" s="15">
        <v>0</v>
      </c>
      <c r="Z83" s="14">
        <v>267</v>
      </c>
      <c r="AA83" s="15">
        <v>181</v>
      </c>
      <c r="AB83" s="14">
        <v>156</v>
      </c>
      <c r="AC83" s="15">
        <v>5496</v>
      </c>
      <c r="AD83" s="14">
        <v>1564</v>
      </c>
      <c r="AE83" s="15">
        <v>1623</v>
      </c>
      <c r="AF83" s="14">
        <v>913</v>
      </c>
      <c r="AG83" s="15">
        <v>267</v>
      </c>
      <c r="AH83" s="14">
        <v>316</v>
      </c>
      <c r="AI83" s="15">
        <v>772</v>
      </c>
      <c r="AJ83" s="14">
        <v>604</v>
      </c>
      <c r="AK83" s="15">
        <v>27950</v>
      </c>
      <c r="AL83" s="14">
        <v>4658</v>
      </c>
      <c r="AM83" s="18" t="s">
        <v>60</v>
      </c>
      <c r="AN83" s="14" t="s">
        <v>60</v>
      </c>
      <c r="AO83" s="15">
        <v>1885</v>
      </c>
      <c r="AP83" s="14">
        <v>1191</v>
      </c>
      <c r="AQ83" s="15">
        <v>1582</v>
      </c>
      <c r="AR83" s="14">
        <v>996</v>
      </c>
      <c r="AS83" s="15">
        <v>10643</v>
      </c>
      <c r="AT83" s="14">
        <v>2402</v>
      </c>
      <c r="AU83" s="15">
        <v>749</v>
      </c>
      <c r="AV83" s="14">
        <v>599</v>
      </c>
      <c r="AW83" s="15">
        <v>30</v>
      </c>
      <c r="AX83" s="14">
        <v>50</v>
      </c>
      <c r="AY83" s="15">
        <v>1641</v>
      </c>
      <c r="AZ83" s="14">
        <v>950</v>
      </c>
      <c r="BA83" s="15">
        <v>103</v>
      </c>
      <c r="BB83" s="14">
        <v>135</v>
      </c>
      <c r="BC83" s="15">
        <v>9361</v>
      </c>
      <c r="BD83" s="14">
        <v>1837</v>
      </c>
      <c r="BE83" s="15">
        <v>916</v>
      </c>
      <c r="BF83" s="14">
        <v>385</v>
      </c>
      <c r="BG83" s="15">
        <v>270</v>
      </c>
      <c r="BH83" s="14">
        <v>255</v>
      </c>
      <c r="BI83" s="15">
        <v>3893</v>
      </c>
      <c r="BJ83" s="14">
        <v>2531</v>
      </c>
      <c r="BK83" s="15">
        <v>164</v>
      </c>
      <c r="BL83" s="14">
        <v>201</v>
      </c>
      <c r="BM83" s="15">
        <v>705</v>
      </c>
      <c r="BN83" s="14">
        <v>654</v>
      </c>
      <c r="BO83" s="15">
        <v>227</v>
      </c>
      <c r="BP83" s="14">
        <v>239</v>
      </c>
      <c r="BQ83" s="15">
        <v>114</v>
      </c>
      <c r="BR83" s="14">
        <v>134</v>
      </c>
      <c r="BS83" s="15">
        <v>1876</v>
      </c>
      <c r="BT83" s="14">
        <v>1526</v>
      </c>
      <c r="BU83" s="15">
        <v>188</v>
      </c>
      <c r="BV83" s="14">
        <v>229</v>
      </c>
      <c r="BW83" s="15">
        <v>2564</v>
      </c>
      <c r="BX83" s="14">
        <v>952</v>
      </c>
      <c r="BY83" s="15">
        <v>2828</v>
      </c>
      <c r="BZ83" s="14">
        <v>1141</v>
      </c>
      <c r="CA83" s="15">
        <v>0</v>
      </c>
      <c r="CB83" s="14">
        <v>267</v>
      </c>
      <c r="CC83" s="15">
        <v>13272</v>
      </c>
      <c r="CD83" s="14">
        <v>2750</v>
      </c>
      <c r="CE83" s="15">
        <v>681</v>
      </c>
      <c r="CF83" s="14">
        <v>563</v>
      </c>
      <c r="CG83" s="15">
        <v>423</v>
      </c>
      <c r="CH83" s="14">
        <v>380</v>
      </c>
      <c r="CI83" s="15">
        <v>2668</v>
      </c>
      <c r="CJ83" s="14">
        <v>1128</v>
      </c>
      <c r="CK83" s="15">
        <v>174</v>
      </c>
      <c r="CL83" s="14">
        <v>284</v>
      </c>
      <c r="CM83" s="15">
        <v>584</v>
      </c>
      <c r="CN83" s="14">
        <v>405</v>
      </c>
      <c r="CO83" s="15">
        <v>216</v>
      </c>
      <c r="CP83" s="14">
        <v>258</v>
      </c>
      <c r="CQ83" s="15">
        <v>3093</v>
      </c>
      <c r="CR83" s="14">
        <v>1261</v>
      </c>
      <c r="CS83" s="15">
        <v>6335</v>
      </c>
      <c r="CT83" s="14">
        <v>1643</v>
      </c>
      <c r="CU83" s="15">
        <v>444</v>
      </c>
      <c r="CV83" s="14">
        <v>432</v>
      </c>
      <c r="CW83" s="15">
        <v>45</v>
      </c>
      <c r="CX83" s="14">
        <v>73</v>
      </c>
      <c r="CY83" s="15">
        <v>3673</v>
      </c>
      <c r="CZ83" s="14">
        <v>1633</v>
      </c>
      <c r="DA83" s="15">
        <v>571</v>
      </c>
      <c r="DB83" s="14">
        <v>340</v>
      </c>
      <c r="DC83" s="15">
        <v>669</v>
      </c>
      <c r="DD83" s="14">
        <v>562</v>
      </c>
      <c r="DE83" s="15">
        <v>1762</v>
      </c>
      <c r="DF83" s="14">
        <v>893</v>
      </c>
      <c r="DG83" s="15">
        <v>413</v>
      </c>
      <c r="DH83" s="14">
        <v>403</v>
      </c>
      <c r="DI83" s="15">
        <v>572</v>
      </c>
      <c r="DJ83" s="14">
        <v>457</v>
      </c>
      <c r="DM83"/>
      <c r="DN83"/>
      <c r="DO83"/>
      <c r="DP83"/>
    </row>
    <row r="84" spans="9:120" x14ac:dyDescent="0.25">
      <c r="I84" s="16">
        <v>72557</v>
      </c>
      <c r="J84" s="17">
        <v>5707</v>
      </c>
      <c r="K84" s="15">
        <v>330</v>
      </c>
      <c r="L84" s="14">
        <v>202</v>
      </c>
      <c r="M84" s="13">
        <v>519</v>
      </c>
      <c r="N84" s="14">
        <v>407</v>
      </c>
      <c r="O84" s="15">
        <v>1483</v>
      </c>
      <c r="P84" s="14">
        <v>623</v>
      </c>
      <c r="Q84" s="15">
        <v>247</v>
      </c>
      <c r="R84" s="14">
        <v>190</v>
      </c>
      <c r="S84" s="15">
        <v>2847</v>
      </c>
      <c r="T84" s="14">
        <v>1227</v>
      </c>
      <c r="U84" s="15">
        <v>2554</v>
      </c>
      <c r="V84" s="14">
        <v>865</v>
      </c>
      <c r="W84" s="15">
        <v>114</v>
      </c>
      <c r="X84" s="14">
        <v>155</v>
      </c>
      <c r="Y84" s="15">
        <v>0</v>
      </c>
      <c r="Z84" s="14">
        <v>228</v>
      </c>
      <c r="AA84" s="15">
        <v>53</v>
      </c>
      <c r="AB84" s="14">
        <v>85</v>
      </c>
      <c r="AC84" s="15">
        <v>1364</v>
      </c>
      <c r="AD84" s="14">
        <v>573</v>
      </c>
      <c r="AE84" s="15">
        <v>973</v>
      </c>
      <c r="AF84" s="14">
        <v>472</v>
      </c>
      <c r="AG84" s="15">
        <v>866</v>
      </c>
      <c r="AH84" s="14">
        <v>651</v>
      </c>
      <c r="AI84" s="15">
        <v>315</v>
      </c>
      <c r="AJ84" s="14">
        <v>415</v>
      </c>
      <c r="AK84" s="15">
        <v>17016</v>
      </c>
      <c r="AL84" s="14">
        <v>2840</v>
      </c>
      <c r="AM84" s="15">
        <v>1710</v>
      </c>
      <c r="AN84" s="14">
        <v>917</v>
      </c>
      <c r="AO84" s="18" t="s">
        <v>60</v>
      </c>
      <c r="AP84" s="14" t="s">
        <v>60</v>
      </c>
      <c r="AQ84" s="15">
        <v>1520</v>
      </c>
      <c r="AR84" s="14">
        <v>741</v>
      </c>
      <c r="AS84" s="15">
        <v>334</v>
      </c>
      <c r="AT84" s="14">
        <v>377</v>
      </c>
      <c r="AU84" s="15">
        <v>315</v>
      </c>
      <c r="AV84" s="14">
        <v>384</v>
      </c>
      <c r="AW84" s="15">
        <v>0</v>
      </c>
      <c r="AX84" s="14">
        <v>228</v>
      </c>
      <c r="AY84" s="15">
        <v>134</v>
      </c>
      <c r="AZ84" s="14">
        <v>156</v>
      </c>
      <c r="BA84" s="15">
        <v>189</v>
      </c>
      <c r="BB84" s="14">
        <v>175</v>
      </c>
      <c r="BC84" s="15">
        <v>1439</v>
      </c>
      <c r="BD84" s="14">
        <v>652</v>
      </c>
      <c r="BE84" s="15">
        <v>7564</v>
      </c>
      <c r="BF84" s="14">
        <v>1722</v>
      </c>
      <c r="BG84" s="15">
        <v>117</v>
      </c>
      <c r="BH84" s="14">
        <v>138</v>
      </c>
      <c r="BI84" s="15">
        <v>6031</v>
      </c>
      <c r="BJ84" s="14">
        <v>2253</v>
      </c>
      <c r="BK84" s="15">
        <v>836</v>
      </c>
      <c r="BL84" s="14">
        <v>743</v>
      </c>
      <c r="BM84" s="15">
        <v>4783</v>
      </c>
      <c r="BN84" s="14">
        <v>1799</v>
      </c>
      <c r="BO84" s="15">
        <v>623</v>
      </c>
      <c r="BP84" s="14">
        <v>371</v>
      </c>
      <c r="BQ84" s="15">
        <v>381</v>
      </c>
      <c r="BR84" s="14">
        <v>531</v>
      </c>
      <c r="BS84" s="15">
        <v>472</v>
      </c>
      <c r="BT84" s="14">
        <v>405</v>
      </c>
      <c r="BU84" s="15">
        <v>492</v>
      </c>
      <c r="BV84" s="14">
        <v>490</v>
      </c>
      <c r="BW84" s="15">
        <v>273</v>
      </c>
      <c r="BX84" s="14">
        <v>270</v>
      </c>
      <c r="BY84" s="15">
        <v>1123</v>
      </c>
      <c r="BZ84" s="14">
        <v>744</v>
      </c>
      <c r="CA84" s="15">
        <v>601</v>
      </c>
      <c r="CB84" s="14">
        <v>617</v>
      </c>
      <c r="CC84" s="15">
        <v>632</v>
      </c>
      <c r="CD84" s="14">
        <v>421</v>
      </c>
      <c r="CE84" s="15">
        <v>679</v>
      </c>
      <c r="CF84" s="14">
        <v>491</v>
      </c>
      <c r="CG84" s="15">
        <v>1071</v>
      </c>
      <c r="CH84" s="14">
        <v>568</v>
      </c>
      <c r="CI84" s="15">
        <v>378</v>
      </c>
      <c r="CJ84" s="14">
        <v>242</v>
      </c>
      <c r="CK84" s="15">
        <v>0</v>
      </c>
      <c r="CL84" s="14">
        <v>228</v>
      </c>
      <c r="CM84" s="15">
        <v>591</v>
      </c>
      <c r="CN84" s="14">
        <v>442</v>
      </c>
      <c r="CO84" s="15">
        <v>1992</v>
      </c>
      <c r="CP84" s="14">
        <v>980</v>
      </c>
      <c r="CQ84" s="15">
        <v>1617</v>
      </c>
      <c r="CR84" s="14">
        <v>1222</v>
      </c>
      <c r="CS84" s="15">
        <v>4131</v>
      </c>
      <c r="CT84" s="14">
        <v>1470</v>
      </c>
      <c r="CU84" s="15">
        <v>146</v>
      </c>
      <c r="CV84" s="14">
        <v>156</v>
      </c>
      <c r="CW84" s="15">
        <v>45</v>
      </c>
      <c r="CX84" s="14">
        <v>81</v>
      </c>
      <c r="CY84" s="15">
        <v>303</v>
      </c>
      <c r="CZ84" s="14">
        <v>329</v>
      </c>
      <c r="DA84" s="15">
        <v>538</v>
      </c>
      <c r="DB84" s="14">
        <v>365</v>
      </c>
      <c r="DC84" s="15">
        <v>0</v>
      </c>
      <c r="DD84" s="14">
        <v>228</v>
      </c>
      <c r="DE84" s="15">
        <v>2705</v>
      </c>
      <c r="DF84" s="14">
        <v>1206</v>
      </c>
      <c r="DG84" s="15">
        <v>111</v>
      </c>
      <c r="DH84" s="14">
        <v>119</v>
      </c>
      <c r="DI84" s="15">
        <v>149</v>
      </c>
      <c r="DJ84" s="14">
        <v>176</v>
      </c>
      <c r="DM84"/>
      <c r="DN84"/>
      <c r="DO84"/>
      <c r="DP84"/>
    </row>
    <row r="85" spans="9:120" x14ac:dyDescent="0.25">
      <c r="I85" s="16">
        <v>95059</v>
      </c>
      <c r="J85" s="17">
        <v>7804</v>
      </c>
      <c r="K85" s="15">
        <v>44</v>
      </c>
      <c r="L85" s="14">
        <v>75</v>
      </c>
      <c r="M85" s="13">
        <v>1050</v>
      </c>
      <c r="N85" s="14">
        <v>697</v>
      </c>
      <c r="O85" s="15">
        <v>2238</v>
      </c>
      <c r="P85" s="14">
        <v>878</v>
      </c>
      <c r="Q85" s="15">
        <v>1596</v>
      </c>
      <c r="R85" s="14">
        <v>1073</v>
      </c>
      <c r="S85" s="15">
        <v>6125</v>
      </c>
      <c r="T85" s="14">
        <v>1459</v>
      </c>
      <c r="U85" s="15">
        <v>6022</v>
      </c>
      <c r="V85" s="14">
        <v>2519</v>
      </c>
      <c r="W85" s="15">
        <v>85</v>
      </c>
      <c r="X85" s="14">
        <v>140</v>
      </c>
      <c r="Y85" s="15">
        <v>238</v>
      </c>
      <c r="Z85" s="14">
        <v>275</v>
      </c>
      <c r="AA85" s="15">
        <v>0</v>
      </c>
      <c r="AB85" s="14">
        <v>248</v>
      </c>
      <c r="AC85" s="15">
        <v>2863</v>
      </c>
      <c r="AD85" s="14">
        <v>1848</v>
      </c>
      <c r="AE85" s="15">
        <v>1916</v>
      </c>
      <c r="AF85" s="14">
        <v>1039</v>
      </c>
      <c r="AG85" s="15">
        <v>128</v>
      </c>
      <c r="AH85" s="14">
        <v>154</v>
      </c>
      <c r="AI85" s="15">
        <v>398</v>
      </c>
      <c r="AJ85" s="14">
        <v>407</v>
      </c>
      <c r="AK85" s="15">
        <v>2943</v>
      </c>
      <c r="AL85" s="14">
        <v>1096</v>
      </c>
      <c r="AM85" s="15">
        <v>1544</v>
      </c>
      <c r="AN85" s="14">
        <v>859</v>
      </c>
      <c r="AO85" s="15">
        <v>1875</v>
      </c>
      <c r="AP85" s="14">
        <v>1184</v>
      </c>
      <c r="AQ85" s="18" t="s">
        <v>60</v>
      </c>
      <c r="AR85" s="14" t="s">
        <v>60</v>
      </c>
      <c r="AS85" s="15">
        <v>1048</v>
      </c>
      <c r="AT85" s="14">
        <v>1402</v>
      </c>
      <c r="AU85" s="15">
        <v>890</v>
      </c>
      <c r="AV85" s="14">
        <v>580</v>
      </c>
      <c r="AW85" s="15">
        <v>0</v>
      </c>
      <c r="AX85" s="14">
        <v>248</v>
      </c>
      <c r="AY85" s="15">
        <v>1369</v>
      </c>
      <c r="AZ85" s="14">
        <v>1103</v>
      </c>
      <c r="BA85" s="15">
        <v>100</v>
      </c>
      <c r="BB85" s="14">
        <v>120</v>
      </c>
      <c r="BC85" s="15">
        <v>806</v>
      </c>
      <c r="BD85" s="14">
        <v>457</v>
      </c>
      <c r="BE85" s="15">
        <v>1562</v>
      </c>
      <c r="BF85" s="14">
        <v>1147</v>
      </c>
      <c r="BG85" s="15">
        <v>167</v>
      </c>
      <c r="BH85" s="14">
        <v>146</v>
      </c>
      <c r="BI85" s="15">
        <v>23384</v>
      </c>
      <c r="BJ85" s="14">
        <v>3524</v>
      </c>
      <c r="BK85" s="15">
        <v>289</v>
      </c>
      <c r="BL85" s="14">
        <v>318</v>
      </c>
      <c r="BM85" s="15">
        <v>2678</v>
      </c>
      <c r="BN85" s="14">
        <v>875</v>
      </c>
      <c r="BO85" s="15">
        <v>1318</v>
      </c>
      <c r="BP85" s="14">
        <v>1245</v>
      </c>
      <c r="BQ85" s="15">
        <v>76</v>
      </c>
      <c r="BR85" s="14">
        <v>130</v>
      </c>
      <c r="BS85" s="15">
        <v>1743</v>
      </c>
      <c r="BT85" s="14">
        <v>1236</v>
      </c>
      <c r="BU85" s="15">
        <v>873</v>
      </c>
      <c r="BV85" s="14">
        <v>580</v>
      </c>
      <c r="BW85" s="15">
        <v>2390</v>
      </c>
      <c r="BX85" s="14">
        <v>1235</v>
      </c>
      <c r="BY85" s="15">
        <v>1083</v>
      </c>
      <c r="BZ85" s="14">
        <v>649</v>
      </c>
      <c r="CA85" s="15">
        <v>225</v>
      </c>
      <c r="CB85" s="14">
        <v>373</v>
      </c>
      <c r="CC85" s="15">
        <v>1509</v>
      </c>
      <c r="CD85" s="14">
        <v>1127</v>
      </c>
      <c r="CE85" s="15">
        <v>7568</v>
      </c>
      <c r="CF85" s="14">
        <v>2302</v>
      </c>
      <c r="CG85" s="15">
        <v>514</v>
      </c>
      <c r="CH85" s="14">
        <v>610</v>
      </c>
      <c r="CI85" s="15">
        <v>563</v>
      </c>
      <c r="CJ85" s="14">
        <v>537</v>
      </c>
      <c r="CK85" s="15">
        <v>39</v>
      </c>
      <c r="CL85" s="14">
        <v>79</v>
      </c>
      <c r="CM85" s="15">
        <v>137</v>
      </c>
      <c r="CN85" s="14">
        <v>211</v>
      </c>
      <c r="CO85" s="15">
        <v>352</v>
      </c>
      <c r="CP85" s="14">
        <v>227</v>
      </c>
      <c r="CQ85" s="15">
        <v>1152</v>
      </c>
      <c r="CR85" s="14">
        <v>821</v>
      </c>
      <c r="CS85" s="15">
        <v>9217</v>
      </c>
      <c r="CT85" s="14">
        <v>2824</v>
      </c>
      <c r="CU85" s="15">
        <v>238</v>
      </c>
      <c r="CV85" s="14">
        <v>298</v>
      </c>
      <c r="CW85" s="15">
        <v>75</v>
      </c>
      <c r="CX85" s="14">
        <v>126</v>
      </c>
      <c r="CY85" s="15">
        <v>1648</v>
      </c>
      <c r="CZ85" s="14">
        <v>934</v>
      </c>
      <c r="DA85" s="15">
        <v>1175</v>
      </c>
      <c r="DB85" s="14">
        <v>792</v>
      </c>
      <c r="DC85" s="15">
        <v>0</v>
      </c>
      <c r="DD85" s="14">
        <v>248</v>
      </c>
      <c r="DE85" s="15">
        <v>1233</v>
      </c>
      <c r="DF85" s="14">
        <v>898</v>
      </c>
      <c r="DG85" s="15">
        <v>573</v>
      </c>
      <c r="DH85" s="14">
        <v>531</v>
      </c>
      <c r="DI85" s="15">
        <v>68</v>
      </c>
      <c r="DJ85" s="14">
        <v>88</v>
      </c>
      <c r="DM85"/>
      <c r="DN85"/>
      <c r="DO85"/>
      <c r="DP85"/>
    </row>
    <row r="86" spans="9:120" x14ac:dyDescent="0.25">
      <c r="I86" s="16">
        <v>118443</v>
      </c>
      <c r="J86" s="17">
        <v>8947</v>
      </c>
      <c r="K86" s="15">
        <v>2161</v>
      </c>
      <c r="L86" s="14">
        <v>871</v>
      </c>
      <c r="M86" s="13">
        <v>3017</v>
      </c>
      <c r="N86" s="14">
        <v>2024</v>
      </c>
      <c r="O86" s="15">
        <v>2598</v>
      </c>
      <c r="P86" s="14">
        <v>1483</v>
      </c>
      <c r="Q86" s="15">
        <v>558</v>
      </c>
      <c r="R86" s="14">
        <v>547</v>
      </c>
      <c r="S86" s="15">
        <v>3779</v>
      </c>
      <c r="T86" s="14">
        <v>1387</v>
      </c>
      <c r="U86" s="15">
        <v>329</v>
      </c>
      <c r="V86" s="14">
        <v>363</v>
      </c>
      <c r="W86" s="15">
        <v>698</v>
      </c>
      <c r="X86" s="14">
        <v>710</v>
      </c>
      <c r="Y86" s="15">
        <v>38</v>
      </c>
      <c r="Z86" s="14">
        <v>64</v>
      </c>
      <c r="AA86" s="15">
        <v>147</v>
      </c>
      <c r="AB86" s="14">
        <v>210</v>
      </c>
      <c r="AC86" s="15">
        <v>10119</v>
      </c>
      <c r="AD86" s="14">
        <v>2893</v>
      </c>
      <c r="AE86" s="15">
        <v>6397</v>
      </c>
      <c r="AF86" s="14">
        <v>2093</v>
      </c>
      <c r="AG86" s="15">
        <v>520</v>
      </c>
      <c r="AH86" s="14">
        <v>520</v>
      </c>
      <c r="AI86" s="15">
        <v>71</v>
      </c>
      <c r="AJ86" s="14">
        <v>119</v>
      </c>
      <c r="AK86" s="15">
        <v>4659</v>
      </c>
      <c r="AL86" s="14">
        <v>1887</v>
      </c>
      <c r="AM86" s="15">
        <v>11906</v>
      </c>
      <c r="AN86" s="14">
        <v>2334</v>
      </c>
      <c r="AO86" s="15">
        <v>656</v>
      </c>
      <c r="AP86" s="14">
        <v>788</v>
      </c>
      <c r="AQ86" s="15">
        <v>1109</v>
      </c>
      <c r="AR86" s="14">
        <v>1031</v>
      </c>
      <c r="AS86" s="18" t="s">
        <v>60</v>
      </c>
      <c r="AT86" s="14" t="s">
        <v>60</v>
      </c>
      <c r="AU86" s="15">
        <v>437</v>
      </c>
      <c r="AV86" s="14">
        <v>435</v>
      </c>
      <c r="AW86" s="15">
        <v>0</v>
      </c>
      <c r="AX86" s="14">
        <v>271</v>
      </c>
      <c r="AY86" s="15">
        <v>1395</v>
      </c>
      <c r="AZ86" s="14">
        <v>995</v>
      </c>
      <c r="BA86" s="15">
        <v>1036</v>
      </c>
      <c r="BB86" s="14">
        <v>738</v>
      </c>
      <c r="BC86" s="15">
        <v>4672</v>
      </c>
      <c r="BD86" s="14">
        <v>1897</v>
      </c>
      <c r="BE86" s="15">
        <v>930</v>
      </c>
      <c r="BF86" s="14">
        <v>781</v>
      </c>
      <c r="BG86" s="15">
        <v>1442</v>
      </c>
      <c r="BH86" s="14">
        <v>917</v>
      </c>
      <c r="BI86" s="15">
        <v>3153</v>
      </c>
      <c r="BJ86" s="14">
        <v>1147</v>
      </c>
      <c r="BK86" s="15">
        <v>0</v>
      </c>
      <c r="BL86" s="14">
        <v>271</v>
      </c>
      <c r="BM86" s="15">
        <v>858</v>
      </c>
      <c r="BN86" s="14">
        <v>809</v>
      </c>
      <c r="BO86" s="15">
        <v>76</v>
      </c>
      <c r="BP86" s="14">
        <v>129</v>
      </c>
      <c r="BQ86" s="15">
        <v>0</v>
      </c>
      <c r="BR86" s="14">
        <v>271</v>
      </c>
      <c r="BS86" s="15">
        <v>1147</v>
      </c>
      <c r="BT86" s="14">
        <v>807</v>
      </c>
      <c r="BU86" s="15">
        <v>122</v>
      </c>
      <c r="BV86" s="14">
        <v>189</v>
      </c>
      <c r="BW86" s="15">
        <v>2057</v>
      </c>
      <c r="BX86" s="14">
        <v>1057</v>
      </c>
      <c r="BY86" s="15">
        <v>3758</v>
      </c>
      <c r="BZ86" s="14">
        <v>1216</v>
      </c>
      <c r="CA86" s="15">
        <v>0</v>
      </c>
      <c r="CB86" s="14">
        <v>271</v>
      </c>
      <c r="CC86" s="15">
        <v>15598</v>
      </c>
      <c r="CD86" s="14">
        <v>2549</v>
      </c>
      <c r="CE86" s="15">
        <v>1153</v>
      </c>
      <c r="CF86" s="14">
        <v>900</v>
      </c>
      <c r="CG86" s="15">
        <v>181</v>
      </c>
      <c r="CH86" s="14">
        <v>220</v>
      </c>
      <c r="CI86" s="15">
        <v>2618</v>
      </c>
      <c r="CJ86" s="14">
        <v>1480</v>
      </c>
      <c r="CK86" s="15">
        <v>289</v>
      </c>
      <c r="CL86" s="14">
        <v>381</v>
      </c>
      <c r="CM86" s="15">
        <v>1286</v>
      </c>
      <c r="CN86" s="14">
        <v>741</v>
      </c>
      <c r="CO86" s="15">
        <v>163</v>
      </c>
      <c r="CP86" s="14">
        <v>262</v>
      </c>
      <c r="CQ86" s="15">
        <v>11153</v>
      </c>
      <c r="CR86" s="14">
        <v>3003</v>
      </c>
      <c r="CS86" s="15">
        <v>5758</v>
      </c>
      <c r="CT86" s="14">
        <v>1631</v>
      </c>
      <c r="CU86" s="15">
        <v>905</v>
      </c>
      <c r="CV86" s="14">
        <v>721</v>
      </c>
      <c r="CW86" s="15">
        <v>525</v>
      </c>
      <c r="CX86" s="14">
        <v>515</v>
      </c>
      <c r="CY86" s="15">
        <v>3671</v>
      </c>
      <c r="CZ86" s="14">
        <v>1981</v>
      </c>
      <c r="DA86" s="15">
        <v>716</v>
      </c>
      <c r="DB86" s="14">
        <v>599</v>
      </c>
      <c r="DC86" s="15">
        <v>2297</v>
      </c>
      <c r="DD86" s="14">
        <v>1276</v>
      </c>
      <c r="DE86" s="15">
        <v>1993</v>
      </c>
      <c r="DF86" s="14">
        <v>1413</v>
      </c>
      <c r="DG86" s="15">
        <v>292</v>
      </c>
      <c r="DH86" s="14">
        <v>462</v>
      </c>
      <c r="DI86" s="15">
        <v>179</v>
      </c>
      <c r="DJ86" s="14">
        <v>240</v>
      </c>
      <c r="DM86"/>
      <c r="DN86"/>
      <c r="DO86"/>
      <c r="DP86"/>
    </row>
    <row r="87" spans="9:120" x14ac:dyDescent="0.25">
      <c r="I87" s="16">
        <v>97889</v>
      </c>
      <c r="J87" s="17">
        <v>8319</v>
      </c>
      <c r="K87" s="15">
        <v>5740</v>
      </c>
      <c r="L87" s="14">
        <v>2537</v>
      </c>
      <c r="M87" s="13">
        <v>1504</v>
      </c>
      <c r="N87" s="14">
        <v>922</v>
      </c>
      <c r="O87" s="15">
        <v>1960</v>
      </c>
      <c r="P87" s="14">
        <v>1204</v>
      </c>
      <c r="Q87" s="15">
        <v>2382</v>
      </c>
      <c r="R87" s="14">
        <v>1114</v>
      </c>
      <c r="S87" s="15">
        <v>5751</v>
      </c>
      <c r="T87" s="14">
        <v>1933</v>
      </c>
      <c r="U87" s="15">
        <v>1215</v>
      </c>
      <c r="V87" s="14">
        <v>567</v>
      </c>
      <c r="W87" s="15">
        <v>89</v>
      </c>
      <c r="X87" s="14">
        <v>120</v>
      </c>
      <c r="Y87" s="15">
        <v>0</v>
      </c>
      <c r="Z87" s="14">
        <v>281</v>
      </c>
      <c r="AA87" s="15">
        <v>264</v>
      </c>
      <c r="AB87" s="14">
        <v>228</v>
      </c>
      <c r="AC87" s="15">
        <v>9394</v>
      </c>
      <c r="AD87" s="14">
        <v>2799</v>
      </c>
      <c r="AE87" s="15">
        <v>5766</v>
      </c>
      <c r="AF87" s="14">
        <v>1868</v>
      </c>
      <c r="AG87" s="15">
        <v>342</v>
      </c>
      <c r="AH87" s="14">
        <v>502</v>
      </c>
      <c r="AI87" s="15">
        <v>202</v>
      </c>
      <c r="AJ87" s="14">
        <v>205</v>
      </c>
      <c r="AK87" s="15">
        <v>2131</v>
      </c>
      <c r="AL87" s="14">
        <v>1394</v>
      </c>
      <c r="AM87" s="15">
        <v>948</v>
      </c>
      <c r="AN87" s="14">
        <v>651</v>
      </c>
      <c r="AO87" s="15">
        <v>625</v>
      </c>
      <c r="AP87" s="14">
        <v>656</v>
      </c>
      <c r="AQ87" s="15">
        <v>706</v>
      </c>
      <c r="AR87" s="14">
        <v>483</v>
      </c>
      <c r="AS87" s="15">
        <v>1656</v>
      </c>
      <c r="AT87" s="14">
        <v>1093</v>
      </c>
      <c r="AU87" s="18" t="s">
        <v>60</v>
      </c>
      <c r="AV87" s="14" t="s">
        <v>60</v>
      </c>
      <c r="AW87" s="15">
        <v>162</v>
      </c>
      <c r="AX87" s="14">
        <v>269</v>
      </c>
      <c r="AY87" s="15">
        <v>963</v>
      </c>
      <c r="AZ87" s="14">
        <v>699</v>
      </c>
      <c r="BA87" s="15">
        <v>995</v>
      </c>
      <c r="BB87" s="14">
        <v>702</v>
      </c>
      <c r="BC87" s="15">
        <v>1301</v>
      </c>
      <c r="BD87" s="14">
        <v>886</v>
      </c>
      <c r="BE87" s="15">
        <v>569</v>
      </c>
      <c r="BF87" s="14">
        <v>513</v>
      </c>
      <c r="BG87" s="15">
        <v>7032</v>
      </c>
      <c r="BH87" s="14">
        <v>2217</v>
      </c>
      <c r="BI87" s="15">
        <v>2852</v>
      </c>
      <c r="BJ87" s="14">
        <v>1534</v>
      </c>
      <c r="BK87" s="15">
        <v>40</v>
      </c>
      <c r="BL87" s="14">
        <v>72</v>
      </c>
      <c r="BM87" s="15">
        <v>119</v>
      </c>
      <c r="BN87" s="14">
        <v>193</v>
      </c>
      <c r="BO87" s="15">
        <v>1552</v>
      </c>
      <c r="BP87" s="14">
        <v>785</v>
      </c>
      <c r="BQ87" s="15">
        <v>462</v>
      </c>
      <c r="BR87" s="14">
        <v>427</v>
      </c>
      <c r="BS87" s="15">
        <v>171</v>
      </c>
      <c r="BT87" s="14">
        <v>249</v>
      </c>
      <c r="BU87" s="15">
        <v>294</v>
      </c>
      <c r="BV87" s="14">
        <v>256</v>
      </c>
      <c r="BW87" s="15">
        <v>2161</v>
      </c>
      <c r="BX87" s="14">
        <v>822</v>
      </c>
      <c r="BY87" s="15">
        <v>1443</v>
      </c>
      <c r="BZ87" s="14">
        <v>686</v>
      </c>
      <c r="CA87" s="15">
        <v>438</v>
      </c>
      <c r="CB87" s="14">
        <v>514</v>
      </c>
      <c r="CC87" s="15">
        <v>1100</v>
      </c>
      <c r="CD87" s="14">
        <v>774</v>
      </c>
      <c r="CE87" s="15">
        <v>1074</v>
      </c>
      <c r="CF87" s="14">
        <v>675</v>
      </c>
      <c r="CG87" s="15">
        <v>281</v>
      </c>
      <c r="CH87" s="14">
        <v>277</v>
      </c>
      <c r="CI87" s="15">
        <v>1350</v>
      </c>
      <c r="CJ87" s="14">
        <v>747</v>
      </c>
      <c r="CK87" s="15">
        <v>0</v>
      </c>
      <c r="CL87" s="14">
        <v>281</v>
      </c>
      <c r="CM87" s="15">
        <v>1130</v>
      </c>
      <c r="CN87" s="14">
        <v>706</v>
      </c>
      <c r="CO87" s="15">
        <v>0</v>
      </c>
      <c r="CP87" s="14">
        <v>281</v>
      </c>
      <c r="CQ87" s="15">
        <v>1853</v>
      </c>
      <c r="CR87" s="14">
        <v>621</v>
      </c>
      <c r="CS87" s="15">
        <v>26134</v>
      </c>
      <c r="CT87" s="14">
        <v>3903</v>
      </c>
      <c r="CU87" s="15">
        <v>473</v>
      </c>
      <c r="CV87" s="14">
        <v>380</v>
      </c>
      <c r="CW87" s="15">
        <v>0</v>
      </c>
      <c r="CX87" s="14">
        <v>281</v>
      </c>
      <c r="CY87" s="15">
        <v>1278</v>
      </c>
      <c r="CZ87" s="14">
        <v>733</v>
      </c>
      <c r="DA87" s="15">
        <v>1509</v>
      </c>
      <c r="DB87" s="14">
        <v>1126</v>
      </c>
      <c r="DC87" s="15">
        <v>210</v>
      </c>
      <c r="DD87" s="14">
        <v>254</v>
      </c>
      <c r="DE87" s="15">
        <v>237</v>
      </c>
      <c r="DF87" s="14">
        <v>229</v>
      </c>
      <c r="DG87" s="15">
        <v>31</v>
      </c>
      <c r="DH87" s="14">
        <v>67</v>
      </c>
      <c r="DI87" s="15">
        <v>402</v>
      </c>
      <c r="DJ87" s="14">
        <v>285</v>
      </c>
      <c r="DM87"/>
      <c r="DN87"/>
      <c r="DO87"/>
      <c r="DP87"/>
    </row>
    <row r="88" spans="9:120" x14ac:dyDescent="0.25">
      <c r="I88" s="16">
        <v>27758</v>
      </c>
      <c r="J88" s="17">
        <v>3059</v>
      </c>
      <c r="K88" s="15">
        <v>402</v>
      </c>
      <c r="L88" s="14">
        <v>311</v>
      </c>
      <c r="M88" s="13">
        <v>424</v>
      </c>
      <c r="N88" s="14">
        <v>439</v>
      </c>
      <c r="O88" s="15">
        <v>254</v>
      </c>
      <c r="P88" s="14">
        <v>290</v>
      </c>
      <c r="Q88" s="15">
        <v>67</v>
      </c>
      <c r="R88" s="14">
        <v>112</v>
      </c>
      <c r="S88" s="15">
        <v>1066</v>
      </c>
      <c r="T88" s="14">
        <v>740</v>
      </c>
      <c r="U88" s="15">
        <v>478</v>
      </c>
      <c r="V88" s="14">
        <v>377</v>
      </c>
      <c r="W88" s="15">
        <v>1361</v>
      </c>
      <c r="X88" s="14">
        <v>689</v>
      </c>
      <c r="Y88" s="15">
        <v>174</v>
      </c>
      <c r="Z88" s="14">
        <v>229</v>
      </c>
      <c r="AA88" s="15">
        <v>55</v>
      </c>
      <c r="AB88" s="14">
        <v>89</v>
      </c>
      <c r="AC88" s="15">
        <v>3025</v>
      </c>
      <c r="AD88" s="14">
        <v>924</v>
      </c>
      <c r="AE88" s="15">
        <v>844</v>
      </c>
      <c r="AF88" s="14">
        <v>817</v>
      </c>
      <c r="AG88" s="15">
        <v>62</v>
      </c>
      <c r="AH88" s="14">
        <v>102</v>
      </c>
      <c r="AI88" s="15">
        <v>0</v>
      </c>
      <c r="AJ88" s="14">
        <v>230</v>
      </c>
      <c r="AK88" s="15">
        <v>311</v>
      </c>
      <c r="AL88" s="14">
        <v>251</v>
      </c>
      <c r="AM88" s="15">
        <v>259</v>
      </c>
      <c r="AN88" s="14">
        <v>379</v>
      </c>
      <c r="AO88" s="15">
        <v>337</v>
      </c>
      <c r="AP88" s="14">
        <v>561</v>
      </c>
      <c r="AQ88" s="15">
        <v>56</v>
      </c>
      <c r="AR88" s="14">
        <v>92</v>
      </c>
      <c r="AS88" s="15">
        <v>484</v>
      </c>
      <c r="AT88" s="14">
        <v>643</v>
      </c>
      <c r="AU88" s="15">
        <v>115</v>
      </c>
      <c r="AV88" s="14">
        <v>211</v>
      </c>
      <c r="AW88" s="18" t="s">
        <v>60</v>
      </c>
      <c r="AX88" s="14" t="s">
        <v>60</v>
      </c>
      <c r="AY88" s="15">
        <v>243</v>
      </c>
      <c r="AZ88" s="14">
        <v>223</v>
      </c>
      <c r="BA88" s="15">
        <v>3521</v>
      </c>
      <c r="BB88" s="14">
        <v>958</v>
      </c>
      <c r="BC88" s="15">
        <v>122</v>
      </c>
      <c r="BD88" s="14">
        <v>133</v>
      </c>
      <c r="BE88" s="15">
        <v>91</v>
      </c>
      <c r="BF88" s="14">
        <v>109</v>
      </c>
      <c r="BG88" s="15">
        <v>0</v>
      </c>
      <c r="BH88" s="14">
        <v>230</v>
      </c>
      <c r="BI88" s="15">
        <v>201</v>
      </c>
      <c r="BJ88" s="14">
        <v>260</v>
      </c>
      <c r="BK88" s="15">
        <v>275</v>
      </c>
      <c r="BL88" s="14">
        <v>335</v>
      </c>
      <c r="BM88" s="15">
        <v>204</v>
      </c>
      <c r="BN88" s="14">
        <v>283</v>
      </c>
      <c r="BO88" s="15">
        <v>345</v>
      </c>
      <c r="BP88" s="14">
        <v>344</v>
      </c>
      <c r="BQ88" s="15">
        <v>4058</v>
      </c>
      <c r="BR88" s="14">
        <v>1966</v>
      </c>
      <c r="BS88" s="15">
        <v>902</v>
      </c>
      <c r="BT88" s="14">
        <v>508</v>
      </c>
      <c r="BU88" s="15">
        <v>234</v>
      </c>
      <c r="BV88" s="14">
        <v>298</v>
      </c>
      <c r="BW88" s="15">
        <v>2339</v>
      </c>
      <c r="BX88" s="14">
        <v>962</v>
      </c>
      <c r="BY88" s="15">
        <v>1001</v>
      </c>
      <c r="BZ88" s="14">
        <v>1161</v>
      </c>
      <c r="CA88" s="15">
        <v>55</v>
      </c>
      <c r="CB88" s="14">
        <v>89</v>
      </c>
      <c r="CC88" s="15">
        <v>315</v>
      </c>
      <c r="CD88" s="14">
        <v>362</v>
      </c>
      <c r="CE88" s="15">
        <v>124</v>
      </c>
      <c r="CF88" s="14">
        <v>215</v>
      </c>
      <c r="CG88" s="15">
        <v>0</v>
      </c>
      <c r="CH88" s="14">
        <v>230</v>
      </c>
      <c r="CI88" s="15">
        <v>375</v>
      </c>
      <c r="CJ88" s="14">
        <v>287</v>
      </c>
      <c r="CK88" s="15">
        <v>379</v>
      </c>
      <c r="CL88" s="14">
        <v>284</v>
      </c>
      <c r="CM88" s="15">
        <v>148</v>
      </c>
      <c r="CN88" s="14">
        <v>160</v>
      </c>
      <c r="CO88" s="15">
        <v>0</v>
      </c>
      <c r="CP88" s="14">
        <v>230</v>
      </c>
      <c r="CQ88" s="15">
        <v>249</v>
      </c>
      <c r="CR88" s="14">
        <v>231</v>
      </c>
      <c r="CS88" s="15">
        <v>458</v>
      </c>
      <c r="CT88" s="14">
        <v>327</v>
      </c>
      <c r="CU88" s="15">
        <v>390</v>
      </c>
      <c r="CV88" s="14">
        <v>427</v>
      </c>
      <c r="CW88" s="15">
        <v>420</v>
      </c>
      <c r="CX88" s="14">
        <v>368</v>
      </c>
      <c r="CY88" s="15">
        <v>654</v>
      </c>
      <c r="CZ88" s="14">
        <v>307</v>
      </c>
      <c r="DA88" s="15">
        <v>381</v>
      </c>
      <c r="DB88" s="14">
        <v>533</v>
      </c>
      <c r="DC88" s="15">
        <v>0</v>
      </c>
      <c r="DD88" s="14">
        <v>230</v>
      </c>
      <c r="DE88" s="15">
        <v>0</v>
      </c>
      <c r="DF88" s="14">
        <v>230</v>
      </c>
      <c r="DG88" s="15">
        <v>500</v>
      </c>
      <c r="DH88" s="14">
        <v>766</v>
      </c>
      <c r="DI88" s="15">
        <v>204</v>
      </c>
      <c r="DJ88" s="14">
        <v>355</v>
      </c>
      <c r="DM88"/>
      <c r="DN88"/>
      <c r="DO88"/>
      <c r="DP88"/>
    </row>
    <row r="89" spans="9:120" x14ac:dyDescent="0.25">
      <c r="I89" s="16">
        <v>164484</v>
      </c>
      <c r="J89" s="17">
        <v>9180</v>
      </c>
      <c r="K89" s="15">
        <v>1641</v>
      </c>
      <c r="L89" s="14">
        <v>1004</v>
      </c>
      <c r="M89" s="13">
        <v>2672</v>
      </c>
      <c r="N89" s="14">
        <v>1268</v>
      </c>
      <c r="O89" s="15">
        <v>1124</v>
      </c>
      <c r="P89" s="14">
        <v>770</v>
      </c>
      <c r="Q89" s="15">
        <v>273</v>
      </c>
      <c r="R89" s="14">
        <v>418</v>
      </c>
      <c r="S89" s="15">
        <v>8206</v>
      </c>
      <c r="T89" s="14">
        <v>2230</v>
      </c>
      <c r="U89" s="15">
        <v>2501</v>
      </c>
      <c r="V89" s="14">
        <v>1523</v>
      </c>
      <c r="W89" s="15">
        <v>1603</v>
      </c>
      <c r="X89" s="14">
        <v>798</v>
      </c>
      <c r="Y89" s="15">
        <v>8340</v>
      </c>
      <c r="Z89" s="14">
        <v>3099</v>
      </c>
      <c r="AA89" s="15">
        <v>23202</v>
      </c>
      <c r="AB89" s="14">
        <v>3764</v>
      </c>
      <c r="AC89" s="15">
        <v>6564</v>
      </c>
      <c r="AD89" s="14">
        <v>1906</v>
      </c>
      <c r="AE89" s="15">
        <v>3454</v>
      </c>
      <c r="AF89" s="14">
        <v>1271</v>
      </c>
      <c r="AG89" s="15">
        <v>422</v>
      </c>
      <c r="AH89" s="14">
        <v>439</v>
      </c>
      <c r="AI89" s="15">
        <v>357</v>
      </c>
      <c r="AJ89" s="14">
        <v>415</v>
      </c>
      <c r="AK89" s="15">
        <v>3300</v>
      </c>
      <c r="AL89" s="14">
        <v>1310</v>
      </c>
      <c r="AM89" s="15">
        <v>431</v>
      </c>
      <c r="AN89" s="14">
        <v>330</v>
      </c>
      <c r="AO89" s="15">
        <v>160</v>
      </c>
      <c r="AP89" s="14">
        <v>190</v>
      </c>
      <c r="AQ89" s="15">
        <v>781</v>
      </c>
      <c r="AR89" s="14">
        <v>822</v>
      </c>
      <c r="AS89" s="15">
        <v>396</v>
      </c>
      <c r="AT89" s="14">
        <v>362</v>
      </c>
      <c r="AU89" s="15">
        <v>1376</v>
      </c>
      <c r="AV89" s="14">
        <v>695</v>
      </c>
      <c r="AW89" s="15">
        <v>53</v>
      </c>
      <c r="AX89" s="14">
        <v>96</v>
      </c>
      <c r="AY89" s="18" t="s">
        <v>60</v>
      </c>
      <c r="AZ89" s="14" t="s">
        <v>60</v>
      </c>
      <c r="BA89" s="15">
        <v>1983</v>
      </c>
      <c r="BB89" s="14">
        <v>730</v>
      </c>
      <c r="BC89" s="15">
        <v>3572</v>
      </c>
      <c r="BD89" s="14">
        <v>1269</v>
      </c>
      <c r="BE89" s="15">
        <v>820</v>
      </c>
      <c r="BF89" s="14">
        <v>543</v>
      </c>
      <c r="BG89" s="15">
        <v>403</v>
      </c>
      <c r="BH89" s="14">
        <v>383</v>
      </c>
      <c r="BI89" s="15">
        <v>1147</v>
      </c>
      <c r="BJ89" s="14">
        <v>633</v>
      </c>
      <c r="BK89" s="15">
        <v>86</v>
      </c>
      <c r="BL89" s="14">
        <v>106</v>
      </c>
      <c r="BM89" s="15">
        <v>54</v>
      </c>
      <c r="BN89" s="14">
        <v>88</v>
      </c>
      <c r="BO89" s="15">
        <v>979</v>
      </c>
      <c r="BP89" s="14">
        <v>800</v>
      </c>
      <c r="BQ89" s="15">
        <v>1369</v>
      </c>
      <c r="BR89" s="14">
        <v>1276</v>
      </c>
      <c r="BS89" s="15">
        <v>9058</v>
      </c>
      <c r="BT89" s="14">
        <v>2330</v>
      </c>
      <c r="BU89" s="15">
        <v>238</v>
      </c>
      <c r="BV89" s="14">
        <v>287</v>
      </c>
      <c r="BW89" s="15">
        <v>10736</v>
      </c>
      <c r="BX89" s="14">
        <v>2103</v>
      </c>
      <c r="BY89" s="15">
        <v>5787</v>
      </c>
      <c r="BZ89" s="14">
        <v>2059</v>
      </c>
      <c r="CA89" s="15">
        <v>0</v>
      </c>
      <c r="CB89" s="14">
        <v>289</v>
      </c>
      <c r="CC89" s="15">
        <v>3277</v>
      </c>
      <c r="CD89" s="14">
        <v>1497</v>
      </c>
      <c r="CE89" s="15">
        <v>607</v>
      </c>
      <c r="CF89" s="14">
        <v>541</v>
      </c>
      <c r="CG89" s="15">
        <v>723</v>
      </c>
      <c r="CH89" s="14">
        <v>654</v>
      </c>
      <c r="CI89" s="15">
        <v>13467</v>
      </c>
      <c r="CJ89" s="14">
        <v>3147</v>
      </c>
      <c r="CK89" s="15">
        <v>782</v>
      </c>
      <c r="CL89" s="14">
        <v>626</v>
      </c>
      <c r="CM89" s="15">
        <v>1710</v>
      </c>
      <c r="CN89" s="14">
        <v>852</v>
      </c>
      <c r="CO89" s="15">
        <v>49</v>
      </c>
      <c r="CP89" s="14">
        <v>81</v>
      </c>
      <c r="CQ89" s="15">
        <v>2669</v>
      </c>
      <c r="CR89" s="14">
        <v>1332</v>
      </c>
      <c r="CS89" s="15">
        <v>5883</v>
      </c>
      <c r="CT89" s="14">
        <v>1511</v>
      </c>
      <c r="CU89" s="15">
        <v>655</v>
      </c>
      <c r="CV89" s="14">
        <v>451</v>
      </c>
      <c r="CW89" s="15">
        <v>350</v>
      </c>
      <c r="CX89" s="14">
        <v>328</v>
      </c>
      <c r="CY89" s="15">
        <v>24765</v>
      </c>
      <c r="CZ89" s="14">
        <v>4735</v>
      </c>
      <c r="DA89" s="15">
        <v>1542</v>
      </c>
      <c r="DB89" s="14">
        <v>1004</v>
      </c>
      <c r="DC89" s="15">
        <v>4363</v>
      </c>
      <c r="DD89" s="14">
        <v>1701</v>
      </c>
      <c r="DE89" s="15">
        <v>324</v>
      </c>
      <c r="DF89" s="14">
        <v>241</v>
      </c>
      <c r="DG89" s="15">
        <v>230</v>
      </c>
      <c r="DH89" s="14">
        <v>299</v>
      </c>
      <c r="DI89" s="15">
        <v>612</v>
      </c>
      <c r="DJ89" s="14">
        <v>678</v>
      </c>
      <c r="DM89"/>
      <c r="DN89"/>
      <c r="DO89"/>
      <c r="DP89"/>
    </row>
    <row r="90" spans="9:120" x14ac:dyDescent="0.25">
      <c r="I90" s="16">
        <v>140162</v>
      </c>
      <c r="J90" s="17">
        <v>8906</v>
      </c>
      <c r="K90" s="15">
        <v>583</v>
      </c>
      <c r="L90" s="14">
        <v>382</v>
      </c>
      <c r="M90" s="13">
        <v>1891</v>
      </c>
      <c r="N90" s="14">
        <v>1205</v>
      </c>
      <c r="O90" s="15">
        <v>1572</v>
      </c>
      <c r="P90" s="14">
        <v>1170</v>
      </c>
      <c r="Q90" s="15">
        <v>206</v>
      </c>
      <c r="R90" s="14">
        <v>343</v>
      </c>
      <c r="S90" s="15">
        <v>14971</v>
      </c>
      <c r="T90" s="14">
        <v>3388</v>
      </c>
      <c r="U90" s="15">
        <v>1051</v>
      </c>
      <c r="V90" s="14">
        <v>527</v>
      </c>
      <c r="W90" s="15">
        <v>13270</v>
      </c>
      <c r="X90" s="14">
        <v>2422</v>
      </c>
      <c r="Y90" s="15">
        <v>131</v>
      </c>
      <c r="Z90" s="14">
        <v>214</v>
      </c>
      <c r="AA90" s="15">
        <v>1539</v>
      </c>
      <c r="AB90" s="14">
        <v>649</v>
      </c>
      <c r="AC90" s="15">
        <v>11118</v>
      </c>
      <c r="AD90" s="14">
        <v>2520</v>
      </c>
      <c r="AE90" s="15">
        <v>1409</v>
      </c>
      <c r="AF90" s="14">
        <v>612</v>
      </c>
      <c r="AG90" s="15">
        <v>682</v>
      </c>
      <c r="AH90" s="14">
        <v>598</v>
      </c>
      <c r="AI90" s="15">
        <v>79</v>
      </c>
      <c r="AJ90" s="14">
        <v>128</v>
      </c>
      <c r="AK90" s="15">
        <v>2842</v>
      </c>
      <c r="AL90" s="14">
        <v>1071</v>
      </c>
      <c r="AM90" s="15">
        <v>1891</v>
      </c>
      <c r="AN90" s="14">
        <v>857</v>
      </c>
      <c r="AO90" s="15">
        <v>307</v>
      </c>
      <c r="AP90" s="14">
        <v>253</v>
      </c>
      <c r="AQ90" s="15">
        <v>0</v>
      </c>
      <c r="AR90" s="14">
        <v>285</v>
      </c>
      <c r="AS90" s="15">
        <v>340</v>
      </c>
      <c r="AT90" s="14">
        <v>397</v>
      </c>
      <c r="AU90" s="15">
        <v>0</v>
      </c>
      <c r="AV90" s="14">
        <v>285</v>
      </c>
      <c r="AW90" s="15">
        <v>4666</v>
      </c>
      <c r="AX90" s="14">
        <v>1266</v>
      </c>
      <c r="AY90" s="15">
        <v>3660</v>
      </c>
      <c r="AZ90" s="14">
        <v>1356</v>
      </c>
      <c r="BA90" s="18" t="s">
        <v>60</v>
      </c>
      <c r="BB90" s="14" t="s">
        <v>60</v>
      </c>
      <c r="BC90" s="15">
        <v>1624</v>
      </c>
      <c r="BD90" s="14">
        <v>931</v>
      </c>
      <c r="BE90" s="15">
        <v>2185</v>
      </c>
      <c r="BF90" s="14">
        <v>2035</v>
      </c>
      <c r="BG90" s="15">
        <v>453</v>
      </c>
      <c r="BH90" s="14">
        <v>534</v>
      </c>
      <c r="BI90" s="15">
        <v>1957</v>
      </c>
      <c r="BJ90" s="14">
        <v>1987</v>
      </c>
      <c r="BK90" s="15">
        <v>388</v>
      </c>
      <c r="BL90" s="14">
        <v>356</v>
      </c>
      <c r="BM90" s="15">
        <v>46</v>
      </c>
      <c r="BN90" s="14">
        <v>77</v>
      </c>
      <c r="BO90" s="15">
        <v>792</v>
      </c>
      <c r="BP90" s="14">
        <v>705</v>
      </c>
      <c r="BQ90" s="15">
        <v>9911</v>
      </c>
      <c r="BR90" s="14">
        <v>1876</v>
      </c>
      <c r="BS90" s="15">
        <v>4709</v>
      </c>
      <c r="BT90" s="14">
        <v>1295</v>
      </c>
      <c r="BU90" s="15">
        <v>161</v>
      </c>
      <c r="BV90" s="14">
        <v>271</v>
      </c>
      <c r="BW90" s="15">
        <v>20002</v>
      </c>
      <c r="BX90" s="14">
        <v>3186</v>
      </c>
      <c r="BY90" s="15">
        <v>2798</v>
      </c>
      <c r="BZ90" s="14">
        <v>1277</v>
      </c>
      <c r="CA90" s="15">
        <v>0</v>
      </c>
      <c r="CB90" s="14">
        <v>285</v>
      </c>
      <c r="CC90" s="15">
        <v>2163</v>
      </c>
      <c r="CD90" s="14">
        <v>975</v>
      </c>
      <c r="CE90" s="15">
        <v>158</v>
      </c>
      <c r="CF90" s="14">
        <v>204</v>
      </c>
      <c r="CG90" s="15">
        <v>228</v>
      </c>
      <c r="CH90" s="14">
        <v>217</v>
      </c>
      <c r="CI90" s="15">
        <v>5316</v>
      </c>
      <c r="CJ90" s="14">
        <v>1681</v>
      </c>
      <c r="CK90" s="15">
        <v>6965</v>
      </c>
      <c r="CL90" s="14">
        <v>1573</v>
      </c>
      <c r="CM90" s="15">
        <v>1659</v>
      </c>
      <c r="CN90" s="14">
        <v>1086</v>
      </c>
      <c r="CO90" s="15">
        <v>0</v>
      </c>
      <c r="CP90" s="14">
        <v>285</v>
      </c>
      <c r="CQ90" s="15">
        <v>918</v>
      </c>
      <c r="CR90" s="14">
        <v>591</v>
      </c>
      <c r="CS90" s="15">
        <v>7073</v>
      </c>
      <c r="CT90" s="14">
        <v>2465</v>
      </c>
      <c r="CU90" s="15">
        <v>207</v>
      </c>
      <c r="CV90" s="14">
        <v>159</v>
      </c>
      <c r="CW90" s="15">
        <v>1526</v>
      </c>
      <c r="CX90" s="14">
        <v>673</v>
      </c>
      <c r="CY90" s="15">
        <v>4542</v>
      </c>
      <c r="CZ90" s="14">
        <v>1704</v>
      </c>
      <c r="DA90" s="15">
        <v>1627</v>
      </c>
      <c r="DB90" s="14">
        <v>791</v>
      </c>
      <c r="DC90" s="15">
        <v>0</v>
      </c>
      <c r="DD90" s="14">
        <v>285</v>
      </c>
      <c r="DE90" s="15">
        <v>546</v>
      </c>
      <c r="DF90" s="14">
        <v>404</v>
      </c>
      <c r="DG90" s="15">
        <v>0</v>
      </c>
      <c r="DH90" s="14">
        <v>285</v>
      </c>
      <c r="DI90" s="15">
        <v>3085</v>
      </c>
      <c r="DJ90" s="14">
        <v>1219</v>
      </c>
      <c r="DM90"/>
      <c r="DN90"/>
      <c r="DO90"/>
      <c r="DP90"/>
    </row>
    <row r="91" spans="9:120" x14ac:dyDescent="0.25">
      <c r="I91" s="16">
        <v>116149</v>
      </c>
      <c r="J91" s="17">
        <v>8123</v>
      </c>
      <c r="K91" s="15">
        <v>2403</v>
      </c>
      <c r="L91" s="14">
        <v>1803</v>
      </c>
      <c r="M91" s="13">
        <v>1040</v>
      </c>
      <c r="N91" s="14">
        <v>758</v>
      </c>
      <c r="O91" s="15">
        <v>3197</v>
      </c>
      <c r="P91" s="14">
        <v>1076</v>
      </c>
      <c r="Q91" s="15">
        <v>636</v>
      </c>
      <c r="R91" s="14">
        <v>434</v>
      </c>
      <c r="S91" s="15">
        <v>6726</v>
      </c>
      <c r="T91" s="14">
        <v>2018</v>
      </c>
      <c r="U91" s="15">
        <v>2031</v>
      </c>
      <c r="V91" s="14">
        <v>695</v>
      </c>
      <c r="W91" s="15">
        <v>277</v>
      </c>
      <c r="X91" s="14">
        <v>303</v>
      </c>
      <c r="Y91" s="15">
        <v>167</v>
      </c>
      <c r="Z91" s="14">
        <v>160</v>
      </c>
      <c r="AA91" s="15">
        <v>471</v>
      </c>
      <c r="AB91" s="14">
        <v>272</v>
      </c>
      <c r="AC91" s="15">
        <v>11646</v>
      </c>
      <c r="AD91" s="14">
        <v>2178</v>
      </c>
      <c r="AE91" s="15">
        <v>3913</v>
      </c>
      <c r="AF91" s="14">
        <v>1925</v>
      </c>
      <c r="AG91" s="15">
        <v>313</v>
      </c>
      <c r="AH91" s="14">
        <v>337</v>
      </c>
      <c r="AI91" s="15">
        <v>66</v>
      </c>
      <c r="AJ91" s="14">
        <v>79</v>
      </c>
      <c r="AK91" s="15">
        <v>10651</v>
      </c>
      <c r="AL91" s="14">
        <v>1903</v>
      </c>
      <c r="AM91" s="15">
        <v>7816</v>
      </c>
      <c r="AN91" s="14">
        <v>2004</v>
      </c>
      <c r="AO91" s="15">
        <v>758</v>
      </c>
      <c r="AP91" s="14">
        <v>493</v>
      </c>
      <c r="AQ91" s="15">
        <v>640</v>
      </c>
      <c r="AR91" s="14">
        <v>469</v>
      </c>
      <c r="AS91" s="15">
        <v>2353</v>
      </c>
      <c r="AT91" s="14">
        <v>1473</v>
      </c>
      <c r="AU91" s="15">
        <v>1342</v>
      </c>
      <c r="AV91" s="14">
        <v>747</v>
      </c>
      <c r="AW91" s="15">
        <v>645</v>
      </c>
      <c r="AX91" s="14">
        <v>477</v>
      </c>
      <c r="AY91" s="15">
        <v>620</v>
      </c>
      <c r="AZ91" s="14">
        <v>428</v>
      </c>
      <c r="BA91" s="15">
        <v>1206</v>
      </c>
      <c r="BB91" s="14">
        <v>574</v>
      </c>
      <c r="BC91" s="18" t="s">
        <v>60</v>
      </c>
      <c r="BD91" s="14" t="s">
        <v>60</v>
      </c>
      <c r="BE91" s="15">
        <v>1275</v>
      </c>
      <c r="BF91" s="14">
        <v>646</v>
      </c>
      <c r="BG91" s="15">
        <v>656</v>
      </c>
      <c r="BH91" s="14">
        <v>474</v>
      </c>
      <c r="BI91" s="15">
        <v>2921</v>
      </c>
      <c r="BJ91" s="14">
        <v>1486</v>
      </c>
      <c r="BK91" s="15">
        <v>312</v>
      </c>
      <c r="BL91" s="14">
        <v>235</v>
      </c>
      <c r="BM91" s="15">
        <v>213</v>
      </c>
      <c r="BN91" s="14">
        <v>214</v>
      </c>
      <c r="BO91" s="15">
        <v>1874</v>
      </c>
      <c r="BP91" s="14">
        <v>1028</v>
      </c>
      <c r="BQ91" s="15">
        <v>437</v>
      </c>
      <c r="BR91" s="14">
        <v>357</v>
      </c>
      <c r="BS91" s="15">
        <v>1676</v>
      </c>
      <c r="BT91" s="14">
        <v>861</v>
      </c>
      <c r="BU91" s="15">
        <v>669</v>
      </c>
      <c r="BV91" s="14">
        <v>411</v>
      </c>
      <c r="BW91" s="15">
        <v>3135</v>
      </c>
      <c r="BX91" s="14">
        <v>871</v>
      </c>
      <c r="BY91" s="15">
        <v>2444</v>
      </c>
      <c r="BZ91" s="14">
        <v>903</v>
      </c>
      <c r="CA91" s="15">
        <v>53</v>
      </c>
      <c r="CB91" s="14">
        <v>71</v>
      </c>
      <c r="CC91" s="15">
        <v>9783</v>
      </c>
      <c r="CD91" s="14">
        <v>1851</v>
      </c>
      <c r="CE91" s="15">
        <v>2276</v>
      </c>
      <c r="CF91" s="14">
        <v>1296</v>
      </c>
      <c r="CG91" s="15">
        <v>537</v>
      </c>
      <c r="CH91" s="14">
        <v>341</v>
      </c>
      <c r="CI91" s="15">
        <v>3134</v>
      </c>
      <c r="CJ91" s="14">
        <v>1226</v>
      </c>
      <c r="CK91" s="15">
        <v>653</v>
      </c>
      <c r="CL91" s="14">
        <v>702</v>
      </c>
      <c r="CM91" s="15">
        <v>1446</v>
      </c>
      <c r="CN91" s="14">
        <v>869</v>
      </c>
      <c r="CO91" s="15">
        <v>706</v>
      </c>
      <c r="CP91" s="14">
        <v>521</v>
      </c>
      <c r="CQ91" s="15">
        <v>4453</v>
      </c>
      <c r="CR91" s="14">
        <v>1559</v>
      </c>
      <c r="CS91" s="15">
        <v>7184</v>
      </c>
      <c r="CT91" s="14">
        <v>2265</v>
      </c>
      <c r="CU91" s="15">
        <v>545</v>
      </c>
      <c r="CV91" s="14">
        <v>388</v>
      </c>
      <c r="CW91" s="15">
        <v>45</v>
      </c>
      <c r="CX91" s="14">
        <v>77</v>
      </c>
      <c r="CY91" s="15">
        <v>2073</v>
      </c>
      <c r="CZ91" s="14">
        <v>807</v>
      </c>
      <c r="DA91" s="15">
        <v>1427</v>
      </c>
      <c r="DB91" s="14">
        <v>666</v>
      </c>
      <c r="DC91" s="15">
        <v>446</v>
      </c>
      <c r="DD91" s="14">
        <v>319</v>
      </c>
      <c r="DE91" s="15">
        <v>6291</v>
      </c>
      <c r="DF91" s="14">
        <v>1731</v>
      </c>
      <c r="DG91" s="15">
        <v>568</v>
      </c>
      <c r="DH91" s="14">
        <v>429</v>
      </c>
      <c r="DI91" s="15">
        <v>1432</v>
      </c>
      <c r="DJ91" s="14">
        <v>1082</v>
      </c>
      <c r="DM91"/>
      <c r="DN91"/>
      <c r="DO91"/>
      <c r="DP91"/>
    </row>
    <row r="92" spans="9:120" x14ac:dyDescent="0.25">
      <c r="I92" s="16">
        <v>89872</v>
      </c>
      <c r="J92" s="17">
        <v>6022</v>
      </c>
      <c r="K92" s="15">
        <v>266</v>
      </c>
      <c r="L92" s="14">
        <v>342</v>
      </c>
      <c r="M92" s="13">
        <v>1169</v>
      </c>
      <c r="N92" s="14">
        <v>851</v>
      </c>
      <c r="O92" s="15">
        <v>4165</v>
      </c>
      <c r="P92" s="14">
        <v>1655</v>
      </c>
      <c r="Q92" s="15">
        <v>279</v>
      </c>
      <c r="R92" s="14">
        <v>321</v>
      </c>
      <c r="S92" s="15">
        <v>6233</v>
      </c>
      <c r="T92" s="14">
        <v>1680</v>
      </c>
      <c r="U92" s="15">
        <v>2521</v>
      </c>
      <c r="V92" s="14">
        <v>1122</v>
      </c>
      <c r="W92" s="15">
        <v>211</v>
      </c>
      <c r="X92" s="14">
        <v>259</v>
      </c>
      <c r="Y92" s="15">
        <v>176</v>
      </c>
      <c r="Z92" s="14">
        <v>171</v>
      </c>
      <c r="AA92" s="15">
        <v>306</v>
      </c>
      <c r="AB92" s="14">
        <v>353</v>
      </c>
      <c r="AC92" s="15">
        <v>2575</v>
      </c>
      <c r="AD92" s="14">
        <v>951</v>
      </c>
      <c r="AE92" s="15">
        <v>1776</v>
      </c>
      <c r="AF92" s="14">
        <v>1237</v>
      </c>
      <c r="AG92" s="15">
        <v>227</v>
      </c>
      <c r="AH92" s="14">
        <v>253</v>
      </c>
      <c r="AI92" s="15">
        <v>231</v>
      </c>
      <c r="AJ92" s="14">
        <v>314</v>
      </c>
      <c r="AK92" s="15">
        <v>6641</v>
      </c>
      <c r="AL92" s="14">
        <v>2137</v>
      </c>
      <c r="AM92" s="15">
        <v>1120</v>
      </c>
      <c r="AN92" s="14">
        <v>433</v>
      </c>
      <c r="AO92" s="15">
        <v>4948</v>
      </c>
      <c r="AP92" s="14">
        <v>2094</v>
      </c>
      <c r="AQ92" s="15">
        <v>1067</v>
      </c>
      <c r="AR92" s="14">
        <v>576</v>
      </c>
      <c r="AS92" s="15">
        <v>402</v>
      </c>
      <c r="AT92" s="14">
        <v>273</v>
      </c>
      <c r="AU92" s="15">
        <v>519</v>
      </c>
      <c r="AV92" s="14">
        <v>402</v>
      </c>
      <c r="AW92" s="15">
        <v>172</v>
      </c>
      <c r="AX92" s="14">
        <v>199</v>
      </c>
      <c r="AY92" s="15">
        <v>1259</v>
      </c>
      <c r="AZ92" s="14">
        <v>797</v>
      </c>
      <c r="BA92" s="15">
        <v>1092</v>
      </c>
      <c r="BB92" s="14">
        <v>531</v>
      </c>
      <c r="BC92" s="15">
        <v>2631</v>
      </c>
      <c r="BD92" s="14">
        <v>1867</v>
      </c>
      <c r="BE92" s="18" t="s">
        <v>60</v>
      </c>
      <c r="BF92" s="14" t="s">
        <v>60</v>
      </c>
      <c r="BG92" s="15">
        <v>196</v>
      </c>
      <c r="BH92" s="14">
        <v>169</v>
      </c>
      <c r="BI92" s="15">
        <v>1549</v>
      </c>
      <c r="BJ92" s="14">
        <v>898</v>
      </c>
      <c r="BK92" s="15">
        <v>1020</v>
      </c>
      <c r="BL92" s="14">
        <v>547</v>
      </c>
      <c r="BM92" s="15">
        <v>734</v>
      </c>
      <c r="BN92" s="14">
        <v>415</v>
      </c>
      <c r="BO92" s="15">
        <v>540</v>
      </c>
      <c r="BP92" s="14">
        <v>364</v>
      </c>
      <c r="BQ92" s="15">
        <v>183</v>
      </c>
      <c r="BR92" s="14">
        <v>142</v>
      </c>
      <c r="BS92" s="15">
        <v>513</v>
      </c>
      <c r="BT92" s="14">
        <v>416</v>
      </c>
      <c r="BU92" s="15">
        <v>151</v>
      </c>
      <c r="BV92" s="14">
        <v>137</v>
      </c>
      <c r="BW92" s="15">
        <v>1309</v>
      </c>
      <c r="BX92" s="14">
        <v>650</v>
      </c>
      <c r="BY92" s="15">
        <v>1673</v>
      </c>
      <c r="BZ92" s="14">
        <v>808</v>
      </c>
      <c r="CA92" s="15">
        <v>7316</v>
      </c>
      <c r="CB92" s="14">
        <v>1621</v>
      </c>
      <c r="CC92" s="15">
        <v>1035</v>
      </c>
      <c r="CD92" s="14">
        <v>669</v>
      </c>
      <c r="CE92" s="15">
        <v>284</v>
      </c>
      <c r="CF92" s="14">
        <v>299</v>
      </c>
      <c r="CG92" s="15">
        <v>738</v>
      </c>
      <c r="CH92" s="14">
        <v>390</v>
      </c>
      <c r="CI92" s="15">
        <v>730</v>
      </c>
      <c r="CJ92" s="14">
        <v>459</v>
      </c>
      <c r="CK92" s="15">
        <v>123</v>
      </c>
      <c r="CL92" s="14">
        <v>148</v>
      </c>
      <c r="CM92" s="15">
        <v>1597</v>
      </c>
      <c r="CN92" s="14">
        <v>1554</v>
      </c>
      <c r="CO92" s="15">
        <v>3237</v>
      </c>
      <c r="CP92" s="14">
        <v>922</v>
      </c>
      <c r="CQ92" s="15">
        <v>1155</v>
      </c>
      <c r="CR92" s="14">
        <v>1037</v>
      </c>
      <c r="CS92" s="15">
        <v>2619</v>
      </c>
      <c r="CT92" s="14">
        <v>1241</v>
      </c>
      <c r="CU92" s="15">
        <v>1013</v>
      </c>
      <c r="CV92" s="14">
        <v>792</v>
      </c>
      <c r="CW92" s="15">
        <v>0</v>
      </c>
      <c r="CX92" s="14">
        <v>211</v>
      </c>
      <c r="CY92" s="15">
        <v>2371</v>
      </c>
      <c r="CZ92" s="14">
        <v>1485</v>
      </c>
      <c r="DA92" s="15">
        <v>1328</v>
      </c>
      <c r="DB92" s="14">
        <v>604</v>
      </c>
      <c r="DC92" s="15">
        <v>200</v>
      </c>
      <c r="DD92" s="14">
        <v>211</v>
      </c>
      <c r="DE92" s="15">
        <v>17929</v>
      </c>
      <c r="DF92" s="14">
        <v>2252</v>
      </c>
      <c r="DG92" s="15">
        <v>343</v>
      </c>
      <c r="DH92" s="14">
        <v>280</v>
      </c>
      <c r="DI92" s="15">
        <v>39</v>
      </c>
      <c r="DJ92" s="14">
        <v>62</v>
      </c>
      <c r="DM92"/>
      <c r="DN92"/>
      <c r="DO92"/>
      <c r="DP92"/>
    </row>
    <row r="93" spans="9:120" x14ac:dyDescent="0.25">
      <c r="I93" s="16">
        <v>72321</v>
      </c>
      <c r="J93" s="17">
        <v>5412</v>
      </c>
      <c r="K93" s="15">
        <v>8306</v>
      </c>
      <c r="L93" s="14">
        <v>2433</v>
      </c>
      <c r="M93" s="13">
        <v>1192</v>
      </c>
      <c r="N93" s="14">
        <v>1055</v>
      </c>
      <c r="O93" s="15">
        <v>187</v>
      </c>
      <c r="P93" s="14">
        <v>188</v>
      </c>
      <c r="Q93" s="15">
        <v>4941</v>
      </c>
      <c r="R93" s="14">
        <v>2495</v>
      </c>
      <c r="S93" s="15">
        <v>3000</v>
      </c>
      <c r="T93" s="14">
        <v>1221</v>
      </c>
      <c r="U93" s="15">
        <v>1167</v>
      </c>
      <c r="V93" s="14">
        <v>854</v>
      </c>
      <c r="W93" s="15">
        <v>71</v>
      </c>
      <c r="X93" s="14">
        <v>140</v>
      </c>
      <c r="Y93" s="15">
        <v>0</v>
      </c>
      <c r="Z93" s="14">
        <v>287</v>
      </c>
      <c r="AA93" s="15">
        <v>0</v>
      </c>
      <c r="AB93" s="14">
        <v>287</v>
      </c>
      <c r="AC93" s="15">
        <v>4814</v>
      </c>
      <c r="AD93" s="14">
        <v>1372</v>
      </c>
      <c r="AE93" s="15">
        <v>4014</v>
      </c>
      <c r="AF93" s="14">
        <v>1632</v>
      </c>
      <c r="AG93" s="15">
        <v>276</v>
      </c>
      <c r="AH93" s="14">
        <v>383</v>
      </c>
      <c r="AI93" s="15">
        <v>121</v>
      </c>
      <c r="AJ93" s="14">
        <v>172</v>
      </c>
      <c r="AK93" s="15">
        <v>3030</v>
      </c>
      <c r="AL93" s="14">
        <v>1391</v>
      </c>
      <c r="AM93" s="15">
        <v>1403</v>
      </c>
      <c r="AN93" s="14">
        <v>1445</v>
      </c>
      <c r="AO93" s="15">
        <v>114</v>
      </c>
      <c r="AP93" s="14">
        <v>136</v>
      </c>
      <c r="AQ93" s="15">
        <v>330</v>
      </c>
      <c r="AR93" s="14">
        <v>360</v>
      </c>
      <c r="AS93" s="15">
        <v>407</v>
      </c>
      <c r="AT93" s="14">
        <v>350</v>
      </c>
      <c r="AU93" s="15">
        <v>7390</v>
      </c>
      <c r="AV93" s="14">
        <v>1780</v>
      </c>
      <c r="AW93" s="15">
        <v>0</v>
      </c>
      <c r="AX93" s="14">
        <v>287</v>
      </c>
      <c r="AY93" s="15">
        <v>649</v>
      </c>
      <c r="AZ93" s="14">
        <v>529</v>
      </c>
      <c r="BA93" s="15">
        <v>107</v>
      </c>
      <c r="BB93" s="14">
        <v>154</v>
      </c>
      <c r="BC93" s="15">
        <v>2495</v>
      </c>
      <c r="BD93" s="14">
        <v>1469</v>
      </c>
      <c r="BE93" s="15">
        <v>863</v>
      </c>
      <c r="BF93" s="14">
        <v>996</v>
      </c>
      <c r="BG93" s="18" t="s">
        <v>60</v>
      </c>
      <c r="BH93" s="14" t="s">
        <v>60</v>
      </c>
      <c r="BI93" s="15">
        <v>959</v>
      </c>
      <c r="BJ93" s="14">
        <v>544</v>
      </c>
      <c r="BK93" s="15">
        <v>314</v>
      </c>
      <c r="BL93" s="14">
        <v>278</v>
      </c>
      <c r="BM93" s="15">
        <v>0</v>
      </c>
      <c r="BN93" s="14">
        <v>287</v>
      </c>
      <c r="BO93" s="15">
        <v>408</v>
      </c>
      <c r="BP93" s="14">
        <v>323</v>
      </c>
      <c r="BQ93" s="15">
        <v>0</v>
      </c>
      <c r="BR93" s="14">
        <v>287</v>
      </c>
      <c r="BS93" s="15">
        <v>403</v>
      </c>
      <c r="BT93" s="14">
        <v>398</v>
      </c>
      <c r="BU93" s="15">
        <v>633</v>
      </c>
      <c r="BV93" s="14">
        <v>669</v>
      </c>
      <c r="BW93" s="15">
        <v>1026</v>
      </c>
      <c r="BX93" s="14">
        <v>524</v>
      </c>
      <c r="BY93" s="15">
        <v>2227</v>
      </c>
      <c r="BZ93" s="14">
        <v>1080</v>
      </c>
      <c r="CA93" s="15">
        <v>0</v>
      </c>
      <c r="CB93" s="14">
        <v>287</v>
      </c>
      <c r="CC93" s="15">
        <v>1312</v>
      </c>
      <c r="CD93" s="14">
        <v>783</v>
      </c>
      <c r="CE93" s="15">
        <v>663</v>
      </c>
      <c r="CF93" s="14">
        <v>520</v>
      </c>
      <c r="CG93" s="15">
        <v>0</v>
      </c>
      <c r="CH93" s="14">
        <v>287</v>
      </c>
      <c r="CI93" s="15">
        <v>750</v>
      </c>
      <c r="CJ93" s="14">
        <v>499</v>
      </c>
      <c r="CK93" s="15">
        <v>145</v>
      </c>
      <c r="CL93" s="14">
        <v>241</v>
      </c>
      <c r="CM93" s="15">
        <v>1860</v>
      </c>
      <c r="CN93" s="14">
        <v>982</v>
      </c>
      <c r="CO93" s="15">
        <v>56</v>
      </c>
      <c r="CP93" s="14">
        <v>99</v>
      </c>
      <c r="CQ93" s="15">
        <v>8158</v>
      </c>
      <c r="CR93" s="14">
        <v>2173</v>
      </c>
      <c r="CS93" s="15">
        <v>5755</v>
      </c>
      <c r="CT93" s="14">
        <v>1663</v>
      </c>
      <c r="CU93" s="15">
        <v>232</v>
      </c>
      <c r="CV93" s="14">
        <v>229</v>
      </c>
      <c r="CW93" s="15">
        <v>0</v>
      </c>
      <c r="CX93" s="14">
        <v>287</v>
      </c>
      <c r="CY93" s="15">
        <v>572</v>
      </c>
      <c r="CZ93" s="14">
        <v>350</v>
      </c>
      <c r="DA93" s="15">
        <v>508</v>
      </c>
      <c r="DB93" s="14">
        <v>492</v>
      </c>
      <c r="DC93" s="15">
        <v>94</v>
      </c>
      <c r="DD93" s="14">
        <v>177</v>
      </c>
      <c r="DE93" s="15">
        <v>879</v>
      </c>
      <c r="DF93" s="14">
        <v>630</v>
      </c>
      <c r="DG93" s="15">
        <v>490</v>
      </c>
      <c r="DH93" s="14">
        <v>422</v>
      </c>
      <c r="DI93" s="15">
        <v>814</v>
      </c>
      <c r="DJ93" s="14">
        <v>728</v>
      </c>
      <c r="DM93"/>
      <c r="DN93"/>
      <c r="DO93"/>
      <c r="DP93"/>
    </row>
    <row r="94" spans="9:120" x14ac:dyDescent="0.25">
      <c r="I94" s="16">
        <v>145226</v>
      </c>
      <c r="J94" s="17">
        <v>7633</v>
      </c>
      <c r="K94" s="15">
        <v>819</v>
      </c>
      <c r="L94" s="14">
        <v>561</v>
      </c>
      <c r="M94" s="13">
        <v>1051</v>
      </c>
      <c r="N94" s="14">
        <v>822</v>
      </c>
      <c r="O94" s="15">
        <v>2988</v>
      </c>
      <c r="P94" s="14">
        <v>1145</v>
      </c>
      <c r="Q94" s="15">
        <v>4381</v>
      </c>
      <c r="R94" s="14">
        <v>1133</v>
      </c>
      <c r="S94" s="15">
        <v>9840</v>
      </c>
      <c r="T94" s="14">
        <v>2218</v>
      </c>
      <c r="U94" s="15">
        <v>1903</v>
      </c>
      <c r="V94" s="14">
        <v>781</v>
      </c>
      <c r="W94" s="15">
        <v>243</v>
      </c>
      <c r="X94" s="14">
        <v>282</v>
      </c>
      <c r="Y94" s="15">
        <v>314</v>
      </c>
      <c r="Z94" s="14">
        <v>322</v>
      </c>
      <c r="AA94" s="15">
        <v>478</v>
      </c>
      <c r="AB94" s="14">
        <v>322</v>
      </c>
      <c r="AC94" s="15">
        <v>8317</v>
      </c>
      <c r="AD94" s="14">
        <v>2320</v>
      </c>
      <c r="AE94" s="15">
        <v>2492</v>
      </c>
      <c r="AF94" s="14">
        <v>1119</v>
      </c>
      <c r="AG94" s="15">
        <v>380</v>
      </c>
      <c r="AH94" s="14">
        <v>294</v>
      </c>
      <c r="AI94" s="15">
        <v>830</v>
      </c>
      <c r="AJ94" s="14">
        <v>909</v>
      </c>
      <c r="AK94" s="15">
        <v>21277</v>
      </c>
      <c r="AL94" s="14">
        <v>3689</v>
      </c>
      <c r="AM94" s="15">
        <v>3351</v>
      </c>
      <c r="AN94" s="14">
        <v>1123</v>
      </c>
      <c r="AO94" s="15">
        <v>4708</v>
      </c>
      <c r="AP94" s="14">
        <v>1328</v>
      </c>
      <c r="AQ94" s="15">
        <v>23427</v>
      </c>
      <c r="AR94" s="14">
        <v>3689</v>
      </c>
      <c r="AS94" s="15">
        <v>2552</v>
      </c>
      <c r="AT94" s="14">
        <v>1075</v>
      </c>
      <c r="AU94" s="15">
        <v>2238</v>
      </c>
      <c r="AV94" s="14">
        <v>2007</v>
      </c>
      <c r="AW94" s="15">
        <v>171</v>
      </c>
      <c r="AX94" s="14">
        <v>179</v>
      </c>
      <c r="AY94" s="15">
        <v>1359</v>
      </c>
      <c r="AZ94" s="14">
        <v>812</v>
      </c>
      <c r="BA94" s="15">
        <v>1395</v>
      </c>
      <c r="BB94" s="14">
        <v>931</v>
      </c>
      <c r="BC94" s="15">
        <v>2610</v>
      </c>
      <c r="BD94" s="14">
        <v>954</v>
      </c>
      <c r="BE94" s="15">
        <v>1701</v>
      </c>
      <c r="BF94" s="14">
        <v>810</v>
      </c>
      <c r="BG94" s="15">
        <v>1183</v>
      </c>
      <c r="BH94" s="14">
        <v>510</v>
      </c>
      <c r="BI94" s="18" t="s">
        <v>60</v>
      </c>
      <c r="BJ94" s="14" t="s">
        <v>60</v>
      </c>
      <c r="BK94" s="15">
        <v>220</v>
      </c>
      <c r="BL94" s="14">
        <v>192</v>
      </c>
      <c r="BM94" s="15">
        <v>2636</v>
      </c>
      <c r="BN94" s="14">
        <v>1240</v>
      </c>
      <c r="BO94" s="15">
        <v>1060</v>
      </c>
      <c r="BP94" s="14">
        <v>648</v>
      </c>
      <c r="BQ94" s="15">
        <v>108</v>
      </c>
      <c r="BR94" s="14">
        <v>180</v>
      </c>
      <c r="BS94" s="15">
        <v>1320</v>
      </c>
      <c r="BT94" s="14">
        <v>804</v>
      </c>
      <c r="BU94" s="15">
        <v>150</v>
      </c>
      <c r="BV94" s="14">
        <v>147</v>
      </c>
      <c r="BW94" s="15">
        <v>2630</v>
      </c>
      <c r="BX94" s="14">
        <v>1474</v>
      </c>
      <c r="BY94" s="15">
        <v>1825</v>
      </c>
      <c r="BZ94" s="14">
        <v>760</v>
      </c>
      <c r="CA94" s="15">
        <v>848</v>
      </c>
      <c r="CB94" s="14">
        <v>1186</v>
      </c>
      <c r="CC94" s="15">
        <v>2163</v>
      </c>
      <c r="CD94" s="14">
        <v>847</v>
      </c>
      <c r="CE94" s="15">
        <v>4647</v>
      </c>
      <c r="CF94" s="14">
        <v>1478</v>
      </c>
      <c r="CG94" s="15">
        <v>314</v>
      </c>
      <c r="CH94" s="14">
        <v>204</v>
      </c>
      <c r="CI94" s="15">
        <v>1639</v>
      </c>
      <c r="CJ94" s="14">
        <v>755</v>
      </c>
      <c r="CK94" s="15">
        <v>0</v>
      </c>
      <c r="CL94" s="14">
        <v>259</v>
      </c>
      <c r="CM94" s="15">
        <v>954</v>
      </c>
      <c r="CN94" s="14">
        <v>578</v>
      </c>
      <c r="CO94" s="15">
        <v>512</v>
      </c>
      <c r="CP94" s="14">
        <v>445</v>
      </c>
      <c r="CQ94" s="15">
        <v>3311</v>
      </c>
      <c r="CR94" s="14">
        <v>1272</v>
      </c>
      <c r="CS94" s="15">
        <v>12884</v>
      </c>
      <c r="CT94" s="14">
        <v>3043</v>
      </c>
      <c r="CU94" s="15">
        <v>1319</v>
      </c>
      <c r="CV94" s="14">
        <v>664</v>
      </c>
      <c r="CW94" s="15">
        <v>498</v>
      </c>
      <c r="CX94" s="14">
        <v>524</v>
      </c>
      <c r="CY94" s="15">
        <v>3206</v>
      </c>
      <c r="CZ94" s="14">
        <v>1413</v>
      </c>
      <c r="DA94" s="15">
        <v>1107</v>
      </c>
      <c r="DB94" s="14">
        <v>748</v>
      </c>
      <c r="DC94" s="15">
        <v>177</v>
      </c>
      <c r="DD94" s="14">
        <v>231</v>
      </c>
      <c r="DE94" s="15">
        <v>1331</v>
      </c>
      <c r="DF94" s="14">
        <v>693</v>
      </c>
      <c r="DG94" s="15">
        <v>359</v>
      </c>
      <c r="DH94" s="14">
        <v>496</v>
      </c>
      <c r="DI94" s="15">
        <v>867</v>
      </c>
      <c r="DJ94" s="14">
        <v>658</v>
      </c>
      <c r="DM94"/>
      <c r="DN94"/>
      <c r="DO94"/>
      <c r="DP94"/>
    </row>
    <row r="95" spans="9:120" x14ac:dyDescent="0.25">
      <c r="I95" s="16">
        <v>35630</v>
      </c>
      <c r="J95" s="17">
        <v>3807</v>
      </c>
      <c r="K95" s="15">
        <v>212</v>
      </c>
      <c r="L95" s="14">
        <v>332</v>
      </c>
      <c r="M95" s="13">
        <v>650</v>
      </c>
      <c r="N95" s="14">
        <v>561</v>
      </c>
      <c r="O95" s="15">
        <v>1909</v>
      </c>
      <c r="P95" s="14">
        <v>1125</v>
      </c>
      <c r="Q95" s="15">
        <v>672</v>
      </c>
      <c r="R95" s="14">
        <v>487</v>
      </c>
      <c r="S95" s="15">
        <v>5756</v>
      </c>
      <c r="T95" s="14">
        <v>1903</v>
      </c>
      <c r="U95" s="15">
        <v>2185</v>
      </c>
      <c r="V95" s="14">
        <v>870</v>
      </c>
      <c r="W95" s="15">
        <v>128</v>
      </c>
      <c r="X95" s="14">
        <v>148</v>
      </c>
      <c r="Y95" s="15">
        <v>71</v>
      </c>
      <c r="Z95" s="14">
        <v>120</v>
      </c>
      <c r="AA95" s="15">
        <v>0</v>
      </c>
      <c r="AB95" s="14">
        <v>237</v>
      </c>
      <c r="AC95" s="15">
        <v>1373</v>
      </c>
      <c r="AD95" s="14">
        <v>1173</v>
      </c>
      <c r="AE95" s="15">
        <v>46</v>
      </c>
      <c r="AF95" s="14">
        <v>87</v>
      </c>
      <c r="AG95" s="15">
        <v>0</v>
      </c>
      <c r="AH95" s="14">
        <v>237</v>
      </c>
      <c r="AI95" s="15">
        <v>1458</v>
      </c>
      <c r="AJ95" s="14">
        <v>859</v>
      </c>
      <c r="AK95" s="15">
        <v>1094</v>
      </c>
      <c r="AL95" s="14">
        <v>789</v>
      </c>
      <c r="AM95" s="15">
        <v>251</v>
      </c>
      <c r="AN95" s="14">
        <v>233</v>
      </c>
      <c r="AO95" s="15">
        <v>169</v>
      </c>
      <c r="AP95" s="14">
        <v>198</v>
      </c>
      <c r="AQ95" s="15">
        <v>60</v>
      </c>
      <c r="AR95" s="14">
        <v>93</v>
      </c>
      <c r="AS95" s="15">
        <v>321</v>
      </c>
      <c r="AT95" s="14">
        <v>490</v>
      </c>
      <c r="AU95" s="15">
        <v>85</v>
      </c>
      <c r="AV95" s="14">
        <v>118</v>
      </c>
      <c r="AW95" s="15">
        <v>76</v>
      </c>
      <c r="AX95" s="14">
        <v>102</v>
      </c>
      <c r="AY95" s="15">
        <v>51</v>
      </c>
      <c r="AZ95" s="14">
        <v>86</v>
      </c>
      <c r="BA95" s="15">
        <v>59</v>
      </c>
      <c r="BB95" s="14">
        <v>97</v>
      </c>
      <c r="BC95" s="15">
        <v>648</v>
      </c>
      <c r="BD95" s="14">
        <v>534</v>
      </c>
      <c r="BE95" s="15">
        <v>1323</v>
      </c>
      <c r="BF95" s="14">
        <v>603</v>
      </c>
      <c r="BG95" s="15">
        <v>242</v>
      </c>
      <c r="BH95" s="14">
        <v>356</v>
      </c>
      <c r="BI95" s="15">
        <v>564</v>
      </c>
      <c r="BJ95" s="14">
        <v>481</v>
      </c>
      <c r="BK95" s="18" t="s">
        <v>60</v>
      </c>
      <c r="BL95" s="14" t="s">
        <v>60</v>
      </c>
      <c r="BM95" s="15">
        <v>340</v>
      </c>
      <c r="BN95" s="14">
        <v>424</v>
      </c>
      <c r="BO95" s="15">
        <v>548</v>
      </c>
      <c r="BP95" s="14">
        <v>386</v>
      </c>
      <c r="BQ95" s="15">
        <v>0</v>
      </c>
      <c r="BR95" s="14">
        <v>237</v>
      </c>
      <c r="BS95" s="15">
        <v>0</v>
      </c>
      <c r="BT95" s="14">
        <v>237</v>
      </c>
      <c r="BU95" s="15">
        <v>660</v>
      </c>
      <c r="BV95" s="14">
        <v>688</v>
      </c>
      <c r="BW95" s="15">
        <v>246</v>
      </c>
      <c r="BX95" s="14">
        <v>282</v>
      </c>
      <c r="BY95" s="15">
        <v>1072</v>
      </c>
      <c r="BZ95" s="14">
        <v>1127</v>
      </c>
      <c r="CA95" s="15">
        <v>1677</v>
      </c>
      <c r="CB95" s="14">
        <v>1012</v>
      </c>
      <c r="CC95" s="15">
        <v>89</v>
      </c>
      <c r="CD95" s="14">
        <v>118</v>
      </c>
      <c r="CE95" s="15">
        <v>182</v>
      </c>
      <c r="CF95" s="14">
        <v>174</v>
      </c>
      <c r="CG95" s="15">
        <v>1620</v>
      </c>
      <c r="CH95" s="14">
        <v>861</v>
      </c>
      <c r="CI95" s="15">
        <v>419</v>
      </c>
      <c r="CJ95" s="14">
        <v>319</v>
      </c>
      <c r="CK95" s="15">
        <v>0</v>
      </c>
      <c r="CL95" s="14">
        <v>237</v>
      </c>
      <c r="CM95" s="15">
        <v>110</v>
      </c>
      <c r="CN95" s="14">
        <v>150</v>
      </c>
      <c r="CO95" s="15">
        <v>295</v>
      </c>
      <c r="CP95" s="14">
        <v>258</v>
      </c>
      <c r="CQ95" s="15">
        <v>111</v>
      </c>
      <c r="CR95" s="14">
        <v>193</v>
      </c>
      <c r="CS95" s="15">
        <v>2101</v>
      </c>
      <c r="CT95" s="14">
        <v>1013</v>
      </c>
      <c r="CU95" s="15">
        <v>964</v>
      </c>
      <c r="CV95" s="14">
        <v>618</v>
      </c>
      <c r="CW95" s="15">
        <v>0</v>
      </c>
      <c r="CX95" s="14">
        <v>237</v>
      </c>
      <c r="CY95" s="15">
        <v>497</v>
      </c>
      <c r="CZ95" s="14">
        <v>401</v>
      </c>
      <c r="DA95" s="15">
        <v>3250</v>
      </c>
      <c r="DB95" s="14">
        <v>1281</v>
      </c>
      <c r="DC95" s="15">
        <v>0</v>
      </c>
      <c r="DD95" s="14">
        <v>237</v>
      </c>
      <c r="DE95" s="15">
        <v>357</v>
      </c>
      <c r="DF95" s="14">
        <v>267</v>
      </c>
      <c r="DG95" s="15">
        <v>1689</v>
      </c>
      <c r="DH95" s="14">
        <v>672</v>
      </c>
      <c r="DI95" s="15">
        <v>11</v>
      </c>
      <c r="DJ95" s="14">
        <v>19</v>
      </c>
      <c r="DM95"/>
      <c r="DN95"/>
      <c r="DO95"/>
      <c r="DP95"/>
    </row>
    <row r="96" spans="9:120" x14ac:dyDescent="0.25">
      <c r="I96" s="16">
        <v>51290</v>
      </c>
      <c r="J96" s="17">
        <v>4521</v>
      </c>
      <c r="K96" s="15">
        <v>232</v>
      </c>
      <c r="L96" s="14">
        <v>262</v>
      </c>
      <c r="M96" s="15">
        <v>35</v>
      </c>
      <c r="N96" s="14">
        <v>46</v>
      </c>
      <c r="O96" s="15">
        <v>2322</v>
      </c>
      <c r="P96" s="14">
        <v>1501</v>
      </c>
      <c r="Q96" s="15">
        <v>674</v>
      </c>
      <c r="R96" s="14">
        <v>587</v>
      </c>
      <c r="S96" s="15">
        <v>4430</v>
      </c>
      <c r="T96" s="14">
        <v>1419</v>
      </c>
      <c r="U96" s="15">
        <v>4182</v>
      </c>
      <c r="V96" s="14">
        <v>1393</v>
      </c>
      <c r="W96" s="15">
        <v>361</v>
      </c>
      <c r="X96" s="14">
        <v>562</v>
      </c>
      <c r="Y96" s="15">
        <v>177</v>
      </c>
      <c r="Z96" s="14">
        <v>235</v>
      </c>
      <c r="AA96" s="15">
        <v>0</v>
      </c>
      <c r="AB96" s="14">
        <v>228</v>
      </c>
      <c r="AC96" s="15">
        <v>1775</v>
      </c>
      <c r="AD96" s="14">
        <v>992</v>
      </c>
      <c r="AE96" s="15">
        <v>1202</v>
      </c>
      <c r="AF96" s="14">
        <v>870</v>
      </c>
      <c r="AG96" s="15">
        <v>257</v>
      </c>
      <c r="AH96" s="14">
        <v>213</v>
      </c>
      <c r="AI96" s="15">
        <v>127</v>
      </c>
      <c r="AJ96" s="14">
        <v>135</v>
      </c>
      <c r="AK96" s="15">
        <v>1820</v>
      </c>
      <c r="AL96" s="14">
        <v>1218</v>
      </c>
      <c r="AM96" s="15">
        <v>639</v>
      </c>
      <c r="AN96" s="14">
        <v>453</v>
      </c>
      <c r="AO96" s="15">
        <v>5536</v>
      </c>
      <c r="AP96" s="14">
        <v>1473</v>
      </c>
      <c r="AQ96" s="15">
        <v>2484</v>
      </c>
      <c r="AR96" s="14">
        <v>869</v>
      </c>
      <c r="AS96" s="15">
        <v>153</v>
      </c>
      <c r="AT96" s="14">
        <v>166</v>
      </c>
      <c r="AU96" s="15">
        <v>89</v>
      </c>
      <c r="AV96" s="14">
        <v>166</v>
      </c>
      <c r="AW96" s="15">
        <v>0</v>
      </c>
      <c r="AX96" s="14">
        <v>228</v>
      </c>
      <c r="AY96" s="15">
        <v>77</v>
      </c>
      <c r="AZ96" s="14">
        <v>100</v>
      </c>
      <c r="BA96" s="15">
        <v>100</v>
      </c>
      <c r="BB96" s="14">
        <v>167</v>
      </c>
      <c r="BC96" s="15">
        <v>726</v>
      </c>
      <c r="BD96" s="14">
        <v>440</v>
      </c>
      <c r="BE96" s="15">
        <v>2254</v>
      </c>
      <c r="BF96" s="14">
        <v>1114</v>
      </c>
      <c r="BG96" s="15">
        <v>823</v>
      </c>
      <c r="BH96" s="14">
        <v>865</v>
      </c>
      <c r="BI96" s="15">
        <v>2723</v>
      </c>
      <c r="BJ96" s="14">
        <v>1319</v>
      </c>
      <c r="BK96" s="15">
        <v>112</v>
      </c>
      <c r="BL96" s="14">
        <v>160</v>
      </c>
      <c r="BM96" s="18" t="s">
        <v>60</v>
      </c>
      <c r="BN96" s="14" t="s">
        <v>60</v>
      </c>
      <c r="BO96" s="15">
        <v>232</v>
      </c>
      <c r="BP96" s="14">
        <v>180</v>
      </c>
      <c r="BQ96" s="15">
        <v>0</v>
      </c>
      <c r="BR96" s="14">
        <v>228</v>
      </c>
      <c r="BS96" s="15">
        <v>143</v>
      </c>
      <c r="BT96" s="14">
        <v>171</v>
      </c>
      <c r="BU96" s="15">
        <v>831</v>
      </c>
      <c r="BV96" s="14">
        <v>805</v>
      </c>
      <c r="BW96" s="15">
        <v>111</v>
      </c>
      <c r="BX96" s="14">
        <v>115</v>
      </c>
      <c r="BY96" s="15">
        <v>442</v>
      </c>
      <c r="BZ96" s="14">
        <v>284</v>
      </c>
      <c r="CA96" s="15">
        <v>777</v>
      </c>
      <c r="CB96" s="14">
        <v>978</v>
      </c>
      <c r="CC96" s="15">
        <v>1232</v>
      </c>
      <c r="CD96" s="14">
        <v>966</v>
      </c>
      <c r="CE96" s="15">
        <v>702</v>
      </c>
      <c r="CF96" s="14">
        <v>393</v>
      </c>
      <c r="CG96" s="15">
        <v>506</v>
      </c>
      <c r="CH96" s="14">
        <v>385</v>
      </c>
      <c r="CI96" s="15">
        <v>345</v>
      </c>
      <c r="CJ96" s="14">
        <v>347</v>
      </c>
      <c r="CK96" s="15">
        <v>0</v>
      </c>
      <c r="CL96" s="14">
        <v>228</v>
      </c>
      <c r="CM96" s="15">
        <v>65</v>
      </c>
      <c r="CN96" s="14">
        <v>105</v>
      </c>
      <c r="CO96" s="15">
        <v>2936</v>
      </c>
      <c r="CP96" s="14">
        <v>1369</v>
      </c>
      <c r="CQ96" s="15">
        <v>77</v>
      </c>
      <c r="CR96" s="14">
        <v>129</v>
      </c>
      <c r="CS96" s="15">
        <v>4445</v>
      </c>
      <c r="CT96" s="14">
        <v>1562</v>
      </c>
      <c r="CU96" s="15">
        <v>537</v>
      </c>
      <c r="CV96" s="14">
        <v>495</v>
      </c>
      <c r="CW96" s="15">
        <v>0</v>
      </c>
      <c r="CX96" s="14">
        <v>228</v>
      </c>
      <c r="CY96" s="15">
        <v>772</v>
      </c>
      <c r="CZ96" s="14">
        <v>604</v>
      </c>
      <c r="DA96" s="15">
        <v>1230</v>
      </c>
      <c r="DB96" s="14">
        <v>793</v>
      </c>
      <c r="DC96" s="15">
        <v>73</v>
      </c>
      <c r="DD96" s="14">
        <v>89</v>
      </c>
      <c r="DE96" s="15">
        <v>1046</v>
      </c>
      <c r="DF96" s="14">
        <v>585</v>
      </c>
      <c r="DG96" s="15">
        <v>1478</v>
      </c>
      <c r="DH96" s="14">
        <v>545</v>
      </c>
      <c r="DI96" s="15">
        <v>0</v>
      </c>
      <c r="DJ96" s="14">
        <v>228</v>
      </c>
      <c r="DM96"/>
      <c r="DN96"/>
      <c r="DO96"/>
      <c r="DP96"/>
    </row>
    <row r="97" spans="9:120" x14ac:dyDescent="0.25">
      <c r="I97" s="16">
        <v>102677</v>
      </c>
      <c r="J97" s="17">
        <v>8786</v>
      </c>
      <c r="K97" s="15">
        <v>150</v>
      </c>
      <c r="L97" s="14">
        <v>246</v>
      </c>
      <c r="M97" s="15">
        <v>511</v>
      </c>
      <c r="N97" s="14">
        <v>659</v>
      </c>
      <c r="O97" s="15">
        <v>7818</v>
      </c>
      <c r="P97" s="14">
        <v>2342</v>
      </c>
      <c r="Q97" s="15">
        <v>530</v>
      </c>
      <c r="R97" s="14">
        <v>421</v>
      </c>
      <c r="S97" s="15">
        <v>35472</v>
      </c>
      <c r="T97" s="14">
        <v>5381</v>
      </c>
      <c r="U97" s="15">
        <v>2935</v>
      </c>
      <c r="V97" s="14">
        <v>1969</v>
      </c>
      <c r="W97" s="15">
        <v>648</v>
      </c>
      <c r="X97" s="14">
        <v>868</v>
      </c>
      <c r="Y97" s="15">
        <v>0</v>
      </c>
      <c r="Z97" s="14">
        <v>309</v>
      </c>
      <c r="AA97" s="15">
        <v>0</v>
      </c>
      <c r="AB97" s="14">
        <v>309</v>
      </c>
      <c r="AC97" s="15">
        <v>3579</v>
      </c>
      <c r="AD97" s="14">
        <v>2182</v>
      </c>
      <c r="AE97" s="15">
        <v>1187</v>
      </c>
      <c r="AF97" s="14">
        <v>1333</v>
      </c>
      <c r="AG97" s="15">
        <v>4363</v>
      </c>
      <c r="AH97" s="14">
        <v>2688</v>
      </c>
      <c r="AI97" s="15">
        <v>1686</v>
      </c>
      <c r="AJ97" s="14">
        <v>984</v>
      </c>
      <c r="AK97" s="15">
        <v>1711</v>
      </c>
      <c r="AL97" s="14">
        <v>927</v>
      </c>
      <c r="AM97" s="15">
        <v>739</v>
      </c>
      <c r="AN97" s="14">
        <v>545</v>
      </c>
      <c r="AO97" s="15">
        <v>543</v>
      </c>
      <c r="AP97" s="14">
        <v>371</v>
      </c>
      <c r="AQ97" s="15">
        <v>453</v>
      </c>
      <c r="AR97" s="14">
        <v>654</v>
      </c>
      <c r="AS97" s="15">
        <v>569</v>
      </c>
      <c r="AT97" s="14">
        <v>668</v>
      </c>
      <c r="AU97" s="15">
        <v>733</v>
      </c>
      <c r="AV97" s="14">
        <v>757</v>
      </c>
      <c r="AW97" s="15">
        <v>0</v>
      </c>
      <c r="AX97" s="14">
        <v>309</v>
      </c>
      <c r="AY97" s="15">
        <v>485</v>
      </c>
      <c r="AZ97" s="14">
        <v>402</v>
      </c>
      <c r="BA97" s="15">
        <v>1275</v>
      </c>
      <c r="BB97" s="14">
        <v>752</v>
      </c>
      <c r="BC97" s="15">
        <v>2202</v>
      </c>
      <c r="BD97" s="14">
        <v>861</v>
      </c>
      <c r="BE97" s="15">
        <v>805</v>
      </c>
      <c r="BF97" s="14">
        <v>528</v>
      </c>
      <c r="BG97" s="15">
        <v>946</v>
      </c>
      <c r="BH97" s="14">
        <v>748</v>
      </c>
      <c r="BI97" s="15">
        <v>1747</v>
      </c>
      <c r="BJ97" s="14">
        <v>1218</v>
      </c>
      <c r="BK97" s="15">
        <v>770</v>
      </c>
      <c r="BL97" s="14">
        <v>742</v>
      </c>
      <c r="BM97" s="15">
        <v>1129</v>
      </c>
      <c r="BN97" s="14">
        <v>951</v>
      </c>
      <c r="BO97" s="18" t="s">
        <v>60</v>
      </c>
      <c r="BP97" s="14" t="s">
        <v>60</v>
      </c>
      <c r="BQ97" s="15">
        <v>59</v>
      </c>
      <c r="BR97" s="14">
        <v>97</v>
      </c>
      <c r="BS97" s="15">
        <v>1528</v>
      </c>
      <c r="BT97" s="14">
        <v>1205</v>
      </c>
      <c r="BU97" s="15">
        <v>1220</v>
      </c>
      <c r="BV97" s="14">
        <v>715</v>
      </c>
      <c r="BW97" s="15">
        <v>1204</v>
      </c>
      <c r="BX97" s="14">
        <v>753</v>
      </c>
      <c r="BY97" s="15">
        <v>957</v>
      </c>
      <c r="BZ97" s="14">
        <v>531</v>
      </c>
      <c r="CA97" s="15">
        <v>37</v>
      </c>
      <c r="CB97" s="14">
        <v>64</v>
      </c>
      <c r="CC97" s="15">
        <v>1554</v>
      </c>
      <c r="CD97" s="14">
        <v>852</v>
      </c>
      <c r="CE97" s="15">
        <v>886</v>
      </c>
      <c r="CF97" s="14">
        <v>600</v>
      </c>
      <c r="CG97" s="15">
        <v>2629</v>
      </c>
      <c r="CH97" s="14">
        <v>1056</v>
      </c>
      <c r="CI97" s="15">
        <v>1567</v>
      </c>
      <c r="CJ97" s="14">
        <v>752</v>
      </c>
      <c r="CK97" s="15">
        <v>167</v>
      </c>
      <c r="CL97" s="14">
        <v>223</v>
      </c>
      <c r="CM97" s="15">
        <v>312</v>
      </c>
      <c r="CN97" s="14">
        <v>291</v>
      </c>
      <c r="CO97" s="15">
        <v>1203</v>
      </c>
      <c r="CP97" s="14">
        <v>803</v>
      </c>
      <c r="CQ97" s="15">
        <v>706</v>
      </c>
      <c r="CR97" s="14">
        <v>681</v>
      </c>
      <c r="CS97" s="15">
        <v>5224</v>
      </c>
      <c r="CT97" s="14">
        <v>2241</v>
      </c>
      <c r="CU97" s="15">
        <v>4500</v>
      </c>
      <c r="CV97" s="14">
        <v>2410</v>
      </c>
      <c r="CW97" s="15">
        <v>197</v>
      </c>
      <c r="CX97" s="14">
        <v>328</v>
      </c>
      <c r="CY97" s="15">
        <v>1832</v>
      </c>
      <c r="CZ97" s="14">
        <v>1429</v>
      </c>
      <c r="DA97" s="15">
        <v>3290</v>
      </c>
      <c r="DB97" s="14">
        <v>1219</v>
      </c>
      <c r="DC97" s="15">
        <v>56</v>
      </c>
      <c r="DD97" s="14">
        <v>101</v>
      </c>
      <c r="DE97" s="15">
        <v>419</v>
      </c>
      <c r="DF97" s="14">
        <v>244</v>
      </c>
      <c r="DG97" s="15">
        <v>144</v>
      </c>
      <c r="DH97" s="14">
        <v>144</v>
      </c>
      <c r="DI97" s="15">
        <v>502</v>
      </c>
      <c r="DJ97" s="14">
        <v>618</v>
      </c>
      <c r="DM97"/>
      <c r="DN97"/>
      <c r="DO97"/>
      <c r="DP97"/>
    </row>
    <row r="98" spans="9:120" x14ac:dyDescent="0.25">
      <c r="I98" s="16">
        <v>39367</v>
      </c>
      <c r="J98" s="17">
        <v>4220</v>
      </c>
      <c r="K98" s="15">
        <v>152</v>
      </c>
      <c r="L98" s="14">
        <v>235</v>
      </c>
      <c r="M98" s="15">
        <v>0</v>
      </c>
      <c r="N98" s="14">
        <v>257</v>
      </c>
      <c r="O98" s="15">
        <v>544</v>
      </c>
      <c r="P98" s="14">
        <v>383</v>
      </c>
      <c r="Q98" s="15">
        <v>0</v>
      </c>
      <c r="R98" s="14">
        <v>257</v>
      </c>
      <c r="S98" s="15">
        <v>1692</v>
      </c>
      <c r="T98" s="14">
        <v>969</v>
      </c>
      <c r="U98" s="15">
        <v>240</v>
      </c>
      <c r="V98" s="14">
        <v>250</v>
      </c>
      <c r="W98" s="15">
        <v>3134</v>
      </c>
      <c r="X98" s="14">
        <v>1187</v>
      </c>
      <c r="Y98" s="15">
        <v>0</v>
      </c>
      <c r="Z98" s="14">
        <v>257</v>
      </c>
      <c r="AA98" s="15">
        <v>298</v>
      </c>
      <c r="AB98" s="14">
        <v>389</v>
      </c>
      <c r="AC98" s="15">
        <v>1659</v>
      </c>
      <c r="AD98" s="14">
        <v>699</v>
      </c>
      <c r="AE98" s="15">
        <v>0</v>
      </c>
      <c r="AF98" s="14">
        <v>257</v>
      </c>
      <c r="AG98" s="15">
        <v>51</v>
      </c>
      <c r="AH98" s="14">
        <v>83</v>
      </c>
      <c r="AI98" s="15">
        <v>66</v>
      </c>
      <c r="AJ98" s="14">
        <v>113</v>
      </c>
      <c r="AK98" s="15">
        <v>850</v>
      </c>
      <c r="AL98" s="14">
        <v>741</v>
      </c>
      <c r="AM98" s="15">
        <v>23</v>
      </c>
      <c r="AN98" s="14">
        <v>37</v>
      </c>
      <c r="AO98" s="15">
        <v>109</v>
      </c>
      <c r="AP98" s="14">
        <v>124</v>
      </c>
      <c r="AQ98" s="15">
        <v>57</v>
      </c>
      <c r="AR98" s="14">
        <v>100</v>
      </c>
      <c r="AS98" s="15">
        <v>0</v>
      </c>
      <c r="AT98" s="14">
        <v>257</v>
      </c>
      <c r="AU98" s="15">
        <v>19</v>
      </c>
      <c r="AV98" s="14">
        <v>33</v>
      </c>
      <c r="AW98" s="15">
        <v>3242</v>
      </c>
      <c r="AX98" s="14">
        <v>983</v>
      </c>
      <c r="AY98" s="15">
        <v>49</v>
      </c>
      <c r="AZ98" s="14">
        <v>81</v>
      </c>
      <c r="BA98" s="15">
        <v>13752</v>
      </c>
      <c r="BB98" s="14">
        <v>2615</v>
      </c>
      <c r="BC98" s="15">
        <v>230</v>
      </c>
      <c r="BD98" s="14">
        <v>222</v>
      </c>
      <c r="BE98" s="15">
        <v>240</v>
      </c>
      <c r="BF98" s="14">
        <v>270</v>
      </c>
      <c r="BG98" s="15">
        <v>25</v>
      </c>
      <c r="BH98" s="14">
        <v>41</v>
      </c>
      <c r="BI98" s="15">
        <v>295</v>
      </c>
      <c r="BJ98" s="14">
        <v>387</v>
      </c>
      <c r="BK98" s="15">
        <v>486</v>
      </c>
      <c r="BL98" s="14">
        <v>638</v>
      </c>
      <c r="BM98" s="15">
        <v>0</v>
      </c>
      <c r="BN98" s="14">
        <v>257</v>
      </c>
      <c r="BO98" s="15">
        <v>95</v>
      </c>
      <c r="BP98" s="14">
        <v>123</v>
      </c>
      <c r="BQ98" s="18" t="s">
        <v>60</v>
      </c>
      <c r="BR98" s="14" t="s">
        <v>60</v>
      </c>
      <c r="BS98" s="15">
        <v>540</v>
      </c>
      <c r="BT98" s="14">
        <v>365</v>
      </c>
      <c r="BU98" s="15">
        <v>276</v>
      </c>
      <c r="BV98" s="14">
        <v>394</v>
      </c>
      <c r="BW98" s="15">
        <v>2462</v>
      </c>
      <c r="BX98" s="14">
        <v>997</v>
      </c>
      <c r="BY98" s="15">
        <v>471</v>
      </c>
      <c r="BZ98" s="14">
        <v>439</v>
      </c>
      <c r="CA98" s="15">
        <v>0</v>
      </c>
      <c r="CB98" s="14">
        <v>257</v>
      </c>
      <c r="CC98" s="15">
        <v>28</v>
      </c>
      <c r="CD98" s="14">
        <v>35</v>
      </c>
      <c r="CE98" s="15">
        <v>0</v>
      </c>
      <c r="CF98" s="14">
        <v>257</v>
      </c>
      <c r="CG98" s="15">
        <v>508</v>
      </c>
      <c r="CH98" s="14">
        <v>544</v>
      </c>
      <c r="CI98" s="15">
        <v>674</v>
      </c>
      <c r="CJ98" s="14">
        <v>406</v>
      </c>
      <c r="CK98" s="15">
        <v>988</v>
      </c>
      <c r="CL98" s="14">
        <v>677</v>
      </c>
      <c r="CM98" s="15">
        <v>51</v>
      </c>
      <c r="CN98" s="14">
        <v>85</v>
      </c>
      <c r="CO98" s="15">
        <v>0</v>
      </c>
      <c r="CP98" s="14">
        <v>257</v>
      </c>
      <c r="CQ98" s="15">
        <v>372</v>
      </c>
      <c r="CR98" s="14">
        <v>387</v>
      </c>
      <c r="CS98" s="15">
        <v>1570</v>
      </c>
      <c r="CT98" s="14">
        <v>1644</v>
      </c>
      <c r="CU98" s="15">
        <v>279</v>
      </c>
      <c r="CV98" s="14">
        <v>223</v>
      </c>
      <c r="CW98" s="15">
        <v>2566</v>
      </c>
      <c r="CX98" s="14">
        <v>1011</v>
      </c>
      <c r="CY98" s="15">
        <v>745</v>
      </c>
      <c r="CZ98" s="14">
        <v>807</v>
      </c>
      <c r="DA98" s="15">
        <v>261</v>
      </c>
      <c r="DB98" s="14">
        <v>434</v>
      </c>
      <c r="DC98" s="15">
        <v>0</v>
      </c>
      <c r="DD98" s="14">
        <v>257</v>
      </c>
      <c r="DE98" s="15">
        <v>268</v>
      </c>
      <c r="DF98" s="14">
        <v>418</v>
      </c>
      <c r="DG98" s="15">
        <v>0</v>
      </c>
      <c r="DH98" s="14">
        <v>257</v>
      </c>
      <c r="DI98" s="15">
        <v>56</v>
      </c>
      <c r="DJ98" s="14">
        <v>93</v>
      </c>
      <c r="DM98"/>
      <c r="DN98"/>
      <c r="DO98"/>
      <c r="DP98"/>
    </row>
    <row r="99" spans="9:120" x14ac:dyDescent="0.25">
      <c r="I99" s="15">
        <v>127369</v>
      </c>
      <c r="J99" s="14">
        <v>8536</v>
      </c>
      <c r="K99" s="15">
        <v>616</v>
      </c>
      <c r="L99" s="14">
        <v>406</v>
      </c>
      <c r="M99" s="15">
        <v>383</v>
      </c>
      <c r="N99" s="14">
        <v>407</v>
      </c>
      <c r="O99" s="15">
        <v>1625</v>
      </c>
      <c r="P99" s="14">
        <v>847</v>
      </c>
      <c r="Q99" s="15">
        <v>258</v>
      </c>
      <c r="R99" s="14">
        <v>346</v>
      </c>
      <c r="S99" s="15">
        <v>8777</v>
      </c>
      <c r="T99" s="14">
        <v>2628</v>
      </c>
      <c r="U99" s="15">
        <v>807</v>
      </c>
      <c r="V99" s="14">
        <v>590</v>
      </c>
      <c r="W99" s="15">
        <v>2503</v>
      </c>
      <c r="X99" s="14">
        <v>1323</v>
      </c>
      <c r="Y99" s="15">
        <v>1543</v>
      </c>
      <c r="Z99" s="14">
        <v>702</v>
      </c>
      <c r="AA99" s="15">
        <v>431</v>
      </c>
      <c r="AB99" s="14">
        <v>335</v>
      </c>
      <c r="AC99" s="15">
        <v>9841</v>
      </c>
      <c r="AD99" s="14">
        <v>2289</v>
      </c>
      <c r="AE99" s="15">
        <v>4588</v>
      </c>
      <c r="AF99" s="14">
        <v>2901</v>
      </c>
      <c r="AG99" s="15">
        <v>385</v>
      </c>
      <c r="AH99" s="14">
        <v>422</v>
      </c>
      <c r="AI99" s="15">
        <v>91</v>
      </c>
      <c r="AJ99" s="14">
        <v>148</v>
      </c>
      <c r="AK99" s="15">
        <v>2656</v>
      </c>
      <c r="AL99" s="14">
        <v>995</v>
      </c>
      <c r="AM99" s="15">
        <v>402</v>
      </c>
      <c r="AN99" s="14">
        <v>471</v>
      </c>
      <c r="AO99" s="15">
        <v>332</v>
      </c>
      <c r="AP99" s="14">
        <v>331</v>
      </c>
      <c r="AQ99" s="15">
        <v>442</v>
      </c>
      <c r="AR99" s="14">
        <v>403</v>
      </c>
      <c r="AS99" s="15">
        <v>91</v>
      </c>
      <c r="AT99" s="14">
        <v>147</v>
      </c>
      <c r="AU99" s="15">
        <v>249</v>
      </c>
      <c r="AV99" s="14">
        <v>264</v>
      </c>
      <c r="AW99" s="15">
        <v>95</v>
      </c>
      <c r="AX99" s="14">
        <v>112</v>
      </c>
      <c r="AY99" s="15">
        <v>4231</v>
      </c>
      <c r="AZ99" s="14">
        <v>2100</v>
      </c>
      <c r="BA99" s="15">
        <v>2626</v>
      </c>
      <c r="BB99" s="14">
        <v>973</v>
      </c>
      <c r="BC99" s="15">
        <v>1070</v>
      </c>
      <c r="BD99" s="14">
        <v>578</v>
      </c>
      <c r="BE99" s="15">
        <v>322</v>
      </c>
      <c r="BF99" s="14">
        <v>274</v>
      </c>
      <c r="BG99" s="15">
        <v>450</v>
      </c>
      <c r="BH99" s="14">
        <v>478</v>
      </c>
      <c r="BI99" s="15">
        <v>727</v>
      </c>
      <c r="BJ99" s="14">
        <v>417</v>
      </c>
      <c r="BK99" s="15">
        <v>122</v>
      </c>
      <c r="BL99" s="14">
        <v>206</v>
      </c>
      <c r="BM99" s="15">
        <v>261</v>
      </c>
      <c r="BN99" s="14">
        <v>361</v>
      </c>
      <c r="BO99" s="15">
        <v>874</v>
      </c>
      <c r="BP99" s="14">
        <v>616</v>
      </c>
      <c r="BQ99" s="15">
        <v>705</v>
      </c>
      <c r="BR99" s="14">
        <v>380</v>
      </c>
      <c r="BS99" s="18" t="s">
        <v>60</v>
      </c>
      <c r="BT99" s="14" t="s">
        <v>60</v>
      </c>
      <c r="BU99" s="15">
        <v>421</v>
      </c>
      <c r="BV99" s="14">
        <v>281</v>
      </c>
      <c r="BW99" s="15">
        <v>41374</v>
      </c>
      <c r="BX99" s="14">
        <v>5068</v>
      </c>
      <c r="BY99" s="15">
        <v>3052</v>
      </c>
      <c r="BZ99" s="14">
        <v>1042</v>
      </c>
      <c r="CA99" s="15">
        <v>0</v>
      </c>
      <c r="CB99" s="14">
        <v>281</v>
      </c>
      <c r="CC99" s="15">
        <v>1584</v>
      </c>
      <c r="CD99" s="14">
        <v>1069</v>
      </c>
      <c r="CE99" s="15">
        <v>32</v>
      </c>
      <c r="CF99" s="14">
        <v>51</v>
      </c>
      <c r="CG99" s="15">
        <v>613</v>
      </c>
      <c r="CH99" s="14">
        <v>578</v>
      </c>
      <c r="CI99" s="15">
        <v>22225</v>
      </c>
      <c r="CJ99" s="14">
        <v>3517</v>
      </c>
      <c r="CK99" s="15">
        <v>332</v>
      </c>
      <c r="CL99" s="14">
        <v>376</v>
      </c>
      <c r="CM99" s="15">
        <v>1134</v>
      </c>
      <c r="CN99" s="14">
        <v>598</v>
      </c>
      <c r="CO99" s="15">
        <v>0</v>
      </c>
      <c r="CP99" s="14">
        <v>281</v>
      </c>
      <c r="CQ99" s="15">
        <v>852</v>
      </c>
      <c r="CR99" s="14">
        <v>631</v>
      </c>
      <c r="CS99" s="15">
        <v>3434</v>
      </c>
      <c r="CT99" s="14">
        <v>1520</v>
      </c>
      <c r="CU99" s="15">
        <v>178</v>
      </c>
      <c r="CV99" s="14">
        <v>205</v>
      </c>
      <c r="CW99" s="15">
        <v>57</v>
      </c>
      <c r="CX99" s="14">
        <v>98</v>
      </c>
      <c r="CY99" s="15">
        <v>2670</v>
      </c>
      <c r="CZ99" s="14">
        <v>1099</v>
      </c>
      <c r="DA99" s="15">
        <v>964</v>
      </c>
      <c r="DB99" s="14">
        <v>617</v>
      </c>
      <c r="DC99" s="15">
        <v>358</v>
      </c>
      <c r="DD99" s="14">
        <v>353</v>
      </c>
      <c r="DE99" s="15">
        <v>586</v>
      </c>
      <c r="DF99" s="14">
        <v>571</v>
      </c>
      <c r="DG99" s="15">
        <v>0</v>
      </c>
      <c r="DH99" s="14">
        <v>281</v>
      </c>
      <c r="DI99" s="15">
        <v>2732</v>
      </c>
      <c r="DJ99" s="14">
        <v>1263</v>
      </c>
      <c r="DM99"/>
      <c r="DN99"/>
      <c r="DO99"/>
      <c r="DP99"/>
    </row>
    <row r="100" spans="9:120" x14ac:dyDescent="0.25">
      <c r="I100" s="15">
        <v>73605</v>
      </c>
      <c r="J100" s="14">
        <v>7703</v>
      </c>
      <c r="K100" s="15">
        <v>751</v>
      </c>
      <c r="L100" s="14">
        <v>550</v>
      </c>
      <c r="M100" s="15">
        <v>969</v>
      </c>
      <c r="N100" s="14">
        <v>801</v>
      </c>
      <c r="O100" s="15">
        <v>6117</v>
      </c>
      <c r="P100" s="14">
        <v>2902</v>
      </c>
      <c r="Q100" s="15">
        <v>77</v>
      </c>
      <c r="R100" s="14">
        <v>109</v>
      </c>
      <c r="S100" s="15">
        <v>6547</v>
      </c>
      <c r="T100" s="14">
        <v>2252</v>
      </c>
      <c r="U100" s="15">
        <v>2852</v>
      </c>
      <c r="V100" s="14">
        <v>1095</v>
      </c>
      <c r="W100" s="15">
        <v>25</v>
      </c>
      <c r="X100" s="14">
        <v>41</v>
      </c>
      <c r="Y100" s="15">
        <v>391</v>
      </c>
      <c r="Z100" s="14">
        <v>444</v>
      </c>
      <c r="AA100" s="15">
        <v>56</v>
      </c>
      <c r="AB100" s="14">
        <v>95</v>
      </c>
      <c r="AC100" s="15">
        <v>3259</v>
      </c>
      <c r="AD100" s="14">
        <v>1428</v>
      </c>
      <c r="AE100" s="15">
        <v>1977</v>
      </c>
      <c r="AF100" s="14">
        <v>1097</v>
      </c>
      <c r="AG100" s="15">
        <v>122</v>
      </c>
      <c r="AH100" s="14">
        <v>185</v>
      </c>
      <c r="AI100" s="15">
        <v>755</v>
      </c>
      <c r="AJ100" s="14">
        <v>565</v>
      </c>
      <c r="AK100" s="15">
        <v>526</v>
      </c>
      <c r="AL100" s="14">
        <v>362</v>
      </c>
      <c r="AM100" s="15">
        <v>465</v>
      </c>
      <c r="AN100" s="14">
        <v>458</v>
      </c>
      <c r="AO100" s="15">
        <v>0</v>
      </c>
      <c r="AP100" s="14">
        <v>285</v>
      </c>
      <c r="AQ100" s="15">
        <v>751</v>
      </c>
      <c r="AR100" s="14">
        <v>581</v>
      </c>
      <c r="AS100" s="15">
        <v>739</v>
      </c>
      <c r="AT100" s="14">
        <v>1131</v>
      </c>
      <c r="AU100" s="15">
        <v>65</v>
      </c>
      <c r="AV100" s="14">
        <v>87</v>
      </c>
      <c r="AW100" s="15">
        <v>94</v>
      </c>
      <c r="AX100" s="14">
        <v>155</v>
      </c>
      <c r="AY100" s="15">
        <v>1968</v>
      </c>
      <c r="AZ100" s="14">
        <v>1112</v>
      </c>
      <c r="BA100" s="15">
        <v>2076</v>
      </c>
      <c r="BB100" s="14">
        <v>1567</v>
      </c>
      <c r="BC100" s="15">
        <v>1460</v>
      </c>
      <c r="BD100" s="14">
        <v>843</v>
      </c>
      <c r="BE100" s="15">
        <v>179</v>
      </c>
      <c r="BF100" s="14">
        <v>231</v>
      </c>
      <c r="BG100" s="15">
        <v>719</v>
      </c>
      <c r="BH100" s="14">
        <v>630</v>
      </c>
      <c r="BI100" s="15">
        <v>138</v>
      </c>
      <c r="BJ100" s="14">
        <v>211</v>
      </c>
      <c r="BK100" s="15">
        <v>1003</v>
      </c>
      <c r="BL100" s="14">
        <v>1419</v>
      </c>
      <c r="BM100" s="15">
        <v>530</v>
      </c>
      <c r="BN100" s="14">
        <v>726</v>
      </c>
      <c r="BO100" s="15">
        <v>4192</v>
      </c>
      <c r="BP100" s="14">
        <v>2452</v>
      </c>
      <c r="BQ100" s="15">
        <v>79</v>
      </c>
      <c r="BR100" s="14">
        <v>130</v>
      </c>
      <c r="BS100" s="15">
        <v>160</v>
      </c>
      <c r="BT100" s="14">
        <v>200</v>
      </c>
      <c r="BU100" s="18" t="s">
        <v>60</v>
      </c>
      <c r="BV100" s="14" t="s">
        <v>60</v>
      </c>
      <c r="BW100" s="15">
        <v>784</v>
      </c>
      <c r="BX100" s="14">
        <v>581</v>
      </c>
      <c r="BY100" s="15">
        <v>1793</v>
      </c>
      <c r="BZ100" s="14">
        <v>844</v>
      </c>
      <c r="CA100" s="15">
        <v>79</v>
      </c>
      <c r="CB100" s="14">
        <v>150</v>
      </c>
      <c r="CC100" s="15">
        <v>1712</v>
      </c>
      <c r="CD100" s="14">
        <v>883</v>
      </c>
      <c r="CE100" s="15">
        <v>1182</v>
      </c>
      <c r="CF100" s="14">
        <v>854</v>
      </c>
      <c r="CG100" s="15">
        <v>1659</v>
      </c>
      <c r="CH100" s="14">
        <v>1403</v>
      </c>
      <c r="CI100" s="15">
        <v>809</v>
      </c>
      <c r="CJ100" s="14">
        <v>526</v>
      </c>
      <c r="CK100" s="15">
        <v>46</v>
      </c>
      <c r="CL100" s="14">
        <v>81</v>
      </c>
      <c r="CM100" s="15">
        <v>152</v>
      </c>
      <c r="CN100" s="14">
        <v>182</v>
      </c>
      <c r="CO100" s="15">
        <v>204</v>
      </c>
      <c r="CP100" s="14">
        <v>322</v>
      </c>
      <c r="CQ100" s="15">
        <v>1269</v>
      </c>
      <c r="CR100" s="14">
        <v>801</v>
      </c>
      <c r="CS100" s="15">
        <v>18511</v>
      </c>
      <c r="CT100" s="14">
        <v>3785</v>
      </c>
      <c r="CU100" s="15">
        <v>1601</v>
      </c>
      <c r="CV100" s="14">
        <v>1033</v>
      </c>
      <c r="CW100" s="15">
        <v>309</v>
      </c>
      <c r="CX100" s="14">
        <v>435</v>
      </c>
      <c r="CY100" s="15">
        <v>290</v>
      </c>
      <c r="CZ100" s="14">
        <v>249</v>
      </c>
      <c r="DA100" s="15">
        <v>3004</v>
      </c>
      <c r="DB100" s="14">
        <v>1315</v>
      </c>
      <c r="DC100" s="15">
        <v>0</v>
      </c>
      <c r="DD100" s="14">
        <v>285</v>
      </c>
      <c r="DE100" s="15">
        <v>407</v>
      </c>
      <c r="DF100" s="14">
        <v>339</v>
      </c>
      <c r="DG100" s="15">
        <v>752</v>
      </c>
      <c r="DH100" s="14">
        <v>727</v>
      </c>
      <c r="DI100" s="15">
        <v>632</v>
      </c>
      <c r="DJ100" s="14">
        <v>678</v>
      </c>
      <c r="DM100"/>
      <c r="DN100"/>
      <c r="DO100"/>
      <c r="DP100"/>
    </row>
    <row r="101" spans="9:120" x14ac:dyDescent="0.25">
      <c r="I101" s="15">
        <v>269427</v>
      </c>
      <c r="J101" s="14">
        <v>14924</v>
      </c>
      <c r="K101" s="15">
        <v>1310</v>
      </c>
      <c r="L101" s="14">
        <v>924</v>
      </c>
      <c r="M101" s="15">
        <v>5070</v>
      </c>
      <c r="N101" s="14">
        <v>2375</v>
      </c>
      <c r="O101" s="15">
        <v>2649</v>
      </c>
      <c r="P101" s="14">
        <v>799</v>
      </c>
      <c r="Q101" s="15">
        <v>362</v>
      </c>
      <c r="R101" s="14">
        <v>249</v>
      </c>
      <c r="S101" s="15">
        <v>25177</v>
      </c>
      <c r="T101" s="14">
        <v>4560</v>
      </c>
      <c r="U101" s="15">
        <v>3135</v>
      </c>
      <c r="V101" s="14">
        <v>1173</v>
      </c>
      <c r="W101" s="15">
        <v>15338</v>
      </c>
      <c r="X101" s="14">
        <v>2651</v>
      </c>
      <c r="Y101" s="15">
        <v>2603</v>
      </c>
      <c r="Z101" s="14">
        <v>1828</v>
      </c>
      <c r="AA101" s="15">
        <v>1983</v>
      </c>
      <c r="AB101" s="14">
        <v>820</v>
      </c>
      <c r="AC101" s="15">
        <v>30553</v>
      </c>
      <c r="AD101" s="14">
        <v>4156</v>
      </c>
      <c r="AE101" s="15">
        <v>7676</v>
      </c>
      <c r="AF101" s="14">
        <v>1970</v>
      </c>
      <c r="AG101" s="15">
        <v>259</v>
      </c>
      <c r="AH101" s="14">
        <v>195</v>
      </c>
      <c r="AI101" s="15">
        <v>198</v>
      </c>
      <c r="AJ101" s="14">
        <v>198</v>
      </c>
      <c r="AK101" s="15">
        <v>6533</v>
      </c>
      <c r="AL101" s="14">
        <v>2144</v>
      </c>
      <c r="AM101" s="15">
        <v>2497</v>
      </c>
      <c r="AN101" s="14">
        <v>1311</v>
      </c>
      <c r="AO101" s="15">
        <v>477</v>
      </c>
      <c r="AP101" s="14">
        <v>319</v>
      </c>
      <c r="AQ101" s="15">
        <v>1189</v>
      </c>
      <c r="AR101" s="14">
        <v>712</v>
      </c>
      <c r="AS101" s="15">
        <v>804</v>
      </c>
      <c r="AT101" s="14">
        <v>500</v>
      </c>
      <c r="AU101" s="15">
        <v>1321</v>
      </c>
      <c r="AV101" s="14">
        <v>847</v>
      </c>
      <c r="AW101" s="15">
        <v>2270</v>
      </c>
      <c r="AX101" s="14">
        <v>1705</v>
      </c>
      <c r="AY101" s="15">
        <v>5912</v>
      </c>
      <c r="AZ101" s="14">
        <v>1583</v>
      </c>
      <c r="BA101" s="15">
        <v>16855</v>
      </c>
      <c r="BB101" s="14">
        <v>3094</v>
      </c>
      <c r="BC101" s="15">
        <v>4779</v>
      </c>
      <c r="BD101" s="14">
        <v>1496</v>
      </c>
      <c r="BE101" s="15">
        <v>1649</v>
      </c>
      <c r="BF101" s="14">
        <v>1086</v>
      </c>
      <c r="BG101" s="15">
        <v>872</v>
      </c>
      <c r="BH101" s="14">
        <v>381</v>
      </c>
      <c r="BI101" s="15">
        <v>1870</v>
      </c>
      <c r="BJ101" s="14">
        <v>961</v>
      </c>
      <c r="BK101" s="15">
        <v>237</v>
      </c>
      <c r="BL101" s="14">
        <v>210</v>
      </c>
      <c r="BM101" s="15">
        <v>886</v>
      </c>
      <c r="BN101" s="14">
        <v>564</v>
      </c>
      <c r="BO101" s="15">
        <v>2077</v>
      </c>
      <c r="BP101" s="14">
        <v>810</v>
      </c>
      <c r="BQ101" s="15">
        <v>2636</v>
      </c>
      <c r="BR101" s="14">
        <v>1065</v>
      </c>
      <c r="BS101" s="15">
        <v>35333</v>
      </c>
      <c r="BT101" s="14">
        <v>4610</v>
      </c>
      <c r="BU101" s="15">
        <v>829</v>
      </c>
      <c r="BV101" s="14">
        <v>596</v>
      </c>
      <c r="BW101" s="18" t="s">
        <v>60</v>
      </c>
      <c r="BX101" s="14" t="s">
        <v>60</v>
      </c>
      <c r="BY101" s="15">
        <v>13322</v>
      </c>
      <c r="BZ101" s="14">
        <v>3003</v>
      </c>
      <c r="CA101" s="15">
        <v>0</v>
      </c>
      <c r="CB101" s="14">
        <v>275</v>
      </c>
      <c r="CC101" s="15">
        <v>6510</v>
      </c>
      <c r="CD101" s="14">
        <v>1610</v>
      </c>
      <c r="CE101" s="15">
        <v>2298</v>
      </c>
      <c r="CF101" s="14">
        <v>1033</v>
      </c>
      <c r="CG101" s="15">
        <v>2284</v>
      </c>
      <c r="CH101" s="14">
        <v>1098</v>
      </c>
      <c r="CI101" s="15">
        <v>20514</v>
      </c>
      <c r="CJ101" s="14">
        <v>3022</v>
      </c>
      <c r="CK101" s="15">
        <v>1913</v>
      </c>
      <c r="CL101" s="14">
        <v>1041</v>
      </c>
      <c r="CM101" s="15">
        <v>7161</v>
      </c>
      <c r="CN101" s="14">
        <v>2607</v>
      </c>
      <c r="CO101" s="15">
        <v>521</v>
      </c>
      <c r="CP101" s="14">
        <v>509</v>
      </c>
      <c r="CQ101" s="15">
        <v>1730</v>
      </c>
      <c r="CR101" s="14">
        <v>835</v>
      </c>
      <c r="CS101" s="15">
        <v>9692</v>
      </c>
      <c r="CT101" s="14">
        <v>2018</v>
      </c>
      <c r="CU101" s="15">
        <v>910</v>
      </c>
      <c r="CV101" s="14">
        <v>988</v>
      </c>
      <c r="CW101" s="15">
        <v>2900</v>
      </c>
      <c r="CX101" s="14">
        <v>908</v>
      </c>
      <c r="CY101" s="15">
        <v>8881</v>
      </c>
      <c r="CZ101" s="14">
        <v>1939</v>
      </c>
      <c r="DA101" s="15">
        <v>2503</v>
      </c>
      <c r="DB101" s="14">
        <v>976</v>
      </c>
      <c r="DC101" s="15">
        <v>444</v>
      </c>
      <c r="DD101" s="14">
        <v>285</v>
      </c>
      <c r="DE101" s="15">
        <v>2354</v>
      </c>
      <c r="DF101" s="14">
        <v>1588</v>
      </c>
      <c r="DG101" s="15">
        <v>151</v>
      </c>
      <c r="DH101" s="14">
        <v>148</v>
      </c>
      <c r="DI101" s="15">
        <v>6740</v>
      </c>
      <c r="DJ101" s="14">
        <v>2049</v>
      </c>
      <c r="DM101"/>
      <c r="DN101"/>
      <c r="DO101"/>
      <c r="DP101"/>
    </row>
    <row r="102" spans="9:120" x14ac:dyDescent="0.25">
      <c r="I102" s="15">
        <v>263256</v>
      </c>
      <c r="J102" s="14">
        <v>13976</v>
      </c>
      <c r="K102" s="15">
        <v>3044</v>
      </c>
      <c r="L102" s="14">
        <v>1381</v>
      </c>
      <c r="M102" s="15">
        <v>1618</v>
      </c>
      <c r="N102" s="14">
        <v>1103</v>
      </c>
      <c r="O102" s="15">
        <v>2847</v>
      </c>
      <c r="P102" s="14">
        <v>1062</v>
      </c>
      <c r="Q102" s="15">
        <v>550</v>
      </c>
      <c r="R102" s="14">
        <v>306</v>
      </c>
      <c r="S102" s="15">
        <v>16699</v>
      </c>
      <c r="T102" s="14">
        <v>3085</v>
      </c>
      <c r="U102" s="15">
        <v>1842</v>
      </c>
      <c r="V102" s="14">
        <v>1052</v>
      </c>
      <c r="W102" s="15">
        <v>3752</v>
      </c>
      <c r="X102" s="14">
        <v>1748</v>
      </c>
      <c r="Y102" s="15">
        <v>479</v>
      </c>
      <c r="Z102" s="14">
        <v>354</v>
      </c>
      <c r="AA102" s="15">
        <v>1691</v>
      </c>
      <c r="AB102" s="14">
        <v>548</v>
      </c>
      <c r="AC102" s="15">
        <v>28983</v>
      </c>
      <c r="AD102" s="14">
        <v>4184</v>
      </c>
      <c r="AE102" s="15">
        <v>15943</v>
      </c>
      <c r="AF102" s="14">
        <v>3370</v>
      </c>
      <c r="AG102" s="15">
        <v>1567</v>
      </c>
      <c r="AH102" s="14">
        <v>871</v>
      </c>
      <c r="AI102" s="15">
        <v>724</v>
      </c>
      <c r="AJ102" s="14">
        <v>564</v>
      </c>
      <c r="AK102" s="15">
        <v>5657</v>
      </c>
      <c r="AL102" s="14">
        <v>1875</v>
      </c>
      <c r="AM102" s="15">
        <v>4132</v>
      </c>
      <c r="AN102" s="14">
        <v>1280</v>
      </c>
      <c r="AO102" s="15">
        <v>1077</v>
      </c>
      <c r="AP102" s="14">
        <v>806</v>
      </c>
      <c r="AQ102" s="15">
        <v>2192</v>
      </c>
      <c r="AR102" s="14">
        <v>1266</v>
      </c>
      <c r="AS102" s="15">
        <v>4419</v>
      </c>
      <c r="AT102" s="14">
        <v>1984</v>
      </c>
      <c r="AU102" s="15">
        <v>2180</v>
      </c>
      <c r="AV102" s="14">
        <v>1222</v>
      </c>
      <c r="AW102" s="15">
        <v>2259</v>
      </c>
      <c r="AX102" s="14">
        <v>990</v>
      </c>
      <c r="AY102" s="15">
        <v>9881</v>
      </c>
      <c r="AZ102" s="14">
        <v>2730</v>
      </c>
      <c r="BA102" s="15">
        <v>4052</v>
      </c>
      <c r="BB102" s="14">
        <v>1420</v>
      </c>
      <c r="BC102" s="15">
        <v>5789</v>
      </c>
      <c r="BD102" s="14">
        <v>2071</v>
      </c>
      <c r="BE102" s="15">
        <v>1839</v>
      </c>
      <c r="BF102" s="14">
        <v>844</v>
      </c>
      <c r="BG102" s="15">
        <v>1187</v>
      </c>
      <c r="BH102" s="14">
        <v>818</v>
      </c>
      <c r="BI102" s="15">
        <v>1932</v>
      </c>
      <c r="BJ102" s="14">
        <v>965</v>
      </c>
      <c r="BK102" s="15">
        <v>230</v>
      </c>
      <c r="BL102" s="14">
        <v>274</v>
      </c>
      <c r="BM102" s="15">
        <v>516</v>
      </c>
      <c r="BN102" s="14">
        <v>357</v>
      </c>
      <c r="BO102" s="15">
        <v>698</v>
      </c>
      <c r="BP102" s="14">
        <v>639</v>
      </c>
      <c r="BQ102" s="15">
        <v>2130</v>
      </c>
      <c r="BR102" s="14">
        <v>1440</v>
      </c>
      <c r="BS102" s="15">
        <v>7195</v>
      </c>
      <c r="BT102" s="14">
        <v>1847</v>
      </c>
      <c r="BU102" s="15">
        <v>1186</v>
      </c>
      <c r="BV102" s="14">
        <v>1065</v>
      </c>
      <c r="BW102" s="15">
        <v>19406</v>
      </c>
      <c r="BX102" s="14">
        <v>3099</v>
      </c>
      <c r="BY102" s="18" t="s">
        <v>60</v>
      </c>
      <c r="BZ102" s="14" t="s">
        <v>60</v>
      </c>
      <c r="CA102" s="15">
        <v>243</v>
      </c>
      <c r="CB102" s="14">
        <v>402</v>
      </c>
      <c r="CC102" s="15">
        <v>8661</v>
      </c>
      <c r="CD102" s="14">
        <v>2362</v>
      </c>
      <c r="CE102" s="15">
        <v>1453</v>
      </c>
      <c r="CF102" s="14">
        <v>717</v>
      </c>
      <c r="CG102" s="15">
        <v>1796</v>
      </c>
      <c r="CH102" s="14">
        <v>1013</v>
      </c>
      <c r="CI102" s="15">
        <v>11155</v>
      </c>
      <c r="CJ102" s="14">
        <v>2465</v>
      </c>
      <c r="CK102" s="15">
        <v>97</v>
      </c>
      <c r="CL102" s="14">
        <v>161</v>
      </c>
      <c r="CM102" s="15">
        <v>23196</v>
      </c>
      <c r="CN102" s="14">
        <v>4788</v>
      </c>
      <c r="CO102" s="15">
        <v>362</v>
      </c>
      <c r="CP102" s="14">
        <v>304</v>
      </c>
      <c r="CQ102" s="15">
        <v>8685</v>
      </c>
      <c r="CR102" s="14">
        <v>2249</v>
      </c>
      <c r="CS102" s="15">
        <v>14329</v>
      </c>
      <c r="CT102" s="14">
        <v>3409</v>
      </c>
      <c r="CU102" s="15">
        <v>790</v>
      </c>
      <c r="CV102" s="14">
        <v>551</v>
      </c>
      <c r="CW102" s="15">
        <v>350</v>
      </c>
      <c r="CX102" s="14">
        <v>244</v>
      </c>
      <c r="CY102" s="15">
        <v>25662</v>
      </c>
      <c r="CZ102" s="14">
        <v>3825</v>
      </c>
      <c r="DA102" s="15">
        <v>2874</v>
      </c>
      <c r="DB102" s="14">
        <v>1166</v>
      </c>
      <c r="DC102" s="15">
        <v>3025</v>
      </c>
      <c r="DD102" s="14">
        <v>1129</v>
      </c>
      <c r="DE102" s="15">
        <v>2012</v>
      </c>
      <c r="DF102" s="14">
        <v>910</v>
      </c>
      <c r="DG102" s="15">
        <v>870</v>
      </c>
      <c r="DH102" s="14">
        <v>819</v>
      </c>
      <c r="DI102" s="15">
        <v>1950</v>
      </c>
      <c r="DJ102" s="14">
        <v>1463</v>
      </c>
      <c r="DM102"/>
      <c r="DN102"/>
      <c r="DO102"/>
      <c r="DP102"/>
    </row>
    <row r="103" spans="9:120" x14ac:dyDescent="0.25">
      <c r="I103" s="15">
        <v>30100</v>
      </c>
      <c r="J103" s="14">
        <v>3890</v>
      </c>
      <c r="K103" s="15">
        <v>109</v>
      </c>
      <c r="L103" s="14">
        <v>108</v>
      </c>
      <c r="M103" s="15">
        <v>1066</v>
      </c>
      <c r="N103" s="14">
        <v>823</v>
      </c>
      <c r="O103" s="15">
        <v>662</v>
      </c>
      <c r="P103" s="14">
        <v>481</v>
      </c>
      <c r="Q103" s="15">
        <v>168</v>
      </c>
      <c r="R103" s="14">
        <v>206</v>
      </c>
      <c r="S103" s="15">
        <v>1411</v>
      </c>
      <c r="T103" s="14">
        <v>873</v>
      </c>
      <c r="U103" s="15">
        <v>873</v>
      </c>
      <c r="V103" s="14">
        <v>614</v>
      </c>
      <c r="W103" s="15">
        <v>30</v>
      </c>
      <c r="X103" s="14">
        <v>47</v>
      </c>
      <c r="Y103" s="15">
        <v>0</v>
      </c>
      <c r="Z103" s="14">
        <v>211</v>
      </c>
      <c r="AA103" s="15">
        <v>175</v>
      </c>
      <c r="AB103" s="14">
        <v>275</v>
      </c>
      <c r="AC103" s="15">
        <v>492</v>
      </c>
      <c r="AD103" s="14">
        <v>376</v>
      </c>
      <c r="AE103" s="15">
        <v>799</v>
      </c>
      <c r="AF103" s="14">
        <v>837</v>
      </c>
      <c r="AG103" s="15">
        <v>53</v>
      </c>
      <c r="AH103" s="14">
        <v>84</v>
      </c>
      <c r="AI103" s="15">
        <v>69</v>
      </c>
      <c r="AJ103" s="14">
        <v>82</v>
      </c>
      <c r="AK103" s="15">
        <v>39</v>
      </c>
      <c r="AL103" s="14">
        <v>54</v>
      </c>
      <c r="AM103" s="15">
        <v>45</v>
      </c>
      <c r="AN103" s="14">
        <v>77</v>
      </c>
      <c r="AO103" s="15">
        <v>289</v>
      </c>
      <c r="AP103" s="14">
        <v>376</v>
      </c>
      <c r="AQ103" s="15">
        <v>114</v>
      </c>
      <c r="AR103" s="14">
        <v>154</v>
      </c>
      <c r="AS103" s="15">
        <v>97</v>
      </c>
      <c r="AT103" s="14">
        <v>85</v>
      </c>
      <c r="AU103" s="15">
        <v>374</v>
      </c>
      <c r="AV103" s="14">
        <v>422</v>
      </c>
      <c r="AW103" s="15">
        <v>0</v>
      </c>
      <c r="AX103" s="14">
        <v>211</v>
      </c>
      <c r="AY103" s="15">
        <v>121</v>
      </c>
      <c r="AZ103" s="14">
        <v>94</v>
      </c>
      <c r="BA103" s="15">
        <v>52</v>
      </c>
      <c r="BB103" s="14">
        <v>84</v>
      </c>
      <c r="BC103" s="15">
        <v>298</v>
      </c>
      <c r="BD103" s="14">
        <v>250</v>
      </c>
      <c r="BE103" s="15">
        <v>12350</v>
      </c>
      <c r="BF103" s="14">
        <v>2469</v>
      </c>
      <c r="BG103" s="15">
        <v>0</v>
      </c>
      <c r="BH103" s="14">
        <v>211</v>
      </c>
      <c r="BI103" s="15">
        <v>197</v>
      </c>
      <c r="BJ103" s="14">
        <v>208</v>
      </c>
      <c r="BK103" s="15">
        <v>1236</v>
      </c>
      <c r="BL103" s="14">
        <v>733</v>
      </c>
      <c r="BM103" s="15">
        <v>328</v>
      </c>
      <c r="BN103" s="14">
        <v>316</v>
      </c>
      <c r="BO103" s="15">
        <v>382</v>
      </c>
      <c r="BP103" s="14">
        <v>357</v>
      </c>
      <c r="BQ103" s="15">
        <v>0</v>
      </c>
      <c r="BR103" s="14">
        <v>211</v>
      </c>
      <c r="BS103" s="15">
        <v>144</v>
      </c>
      <c r="BT103" s="14">
        <v>183</v>
      </c>
      <c r="BU103" s="15">
        <v>380</v>
      </c>
      <c r="BV103" s="14">
        <v>517</v>
      </c>
      <c r="BW103" s="15">
        <v>188</v>
      </c>
      <c r="BX103" s="14">
        <v>224</v>
      </c>
      <c r="BY103" s="15">
        <v>637</v>
      </c>
      <c r="BZ103" s="14">
        <v>680</v>
      </c>
      <c r="CA103" s="18" t="s">
        <v>60</v>
      </c>
      <c r="CB103" s="14" t="s">
        <v>60</v>
      </c>
      <c r="CC103" s="15">
        <v>134</v>
      </c>
      <c r="CD103" s="14">
        <v>167</v>
      </c>
      <c r="CE103" s="15">
        <v>108</v>
      </c>
      <c r="CF103" s="14">
        <v>120</v>
      </c>
      <c r="CG103" s="15">
        <v>313</v>
      </c>
      <c r="CH103" s="14">
        <v>439</v>
      </c>
      <c r="CI103" s="15">
        <v>392</v>
      </c>
      <c r="CJ103" s="14">
        <v>377</v>
      </c>
      <c r="CK103" s="15">
        <v>0</v>
      </c>
      <c r="CL103" s="14">
        <v>211</v>
      </c>
      <c r="CM103" s="15">
        <v>0</v>
      </c>
      <c r="CN103" s="14">
        <v>211</v>
      </c>
      <c r="CO103" s="15">
        <v>1038</v>
      </c>
      <c r="CP103" s="14">
        <v>510</v>
      </c>
      <c r="CQ103" s="15">
        <v>273</v>
      </c>
      <c r="CR103" s="14">
        <v>270</v>
      </c>
      <c r="CS103" s="15">
        <v>2513</v>
      </c>
      <c r="CT103" s="14">
        <v>1293</v>
      </c>
      <c r="CU103" s="15">
        <v>462</v>
      </c>
      <c r="CV103" s="14">
        <v>431</v>
      </c>
      <c r="CW103" s="15">
        <v>0</v>
      </c>
      <c r="CX103" s="14">
        <v>211</v>
      </c>
      <c r="CY103" s="15">
        <v>25</v>
      </c>
      <c r="CZ103" s="14">
        <v>39</v>
      </c>
      <c r="DA103" s="15">
        <v>696</v>
      </c>
      <c r="DB103" s="14">
        <v>344</v>
      </c>
      <c r="DC103" s="15">
        <v>0</v>
      </c>
      <c r="DD103" s="14">
        <v>211</v>
      </c>
      <c r="DE103" s="15">
        <v>749</v>
      </c>
      <c r="DF103" s="14">
        <v>480</v>
      </c>
      <c r="DG103" s="15">
        <v>219</v>
      </c>
      <c r="DH103" s="14">
        <v>206</v>
      </c>
      <c r="DI103" s="15">
        <v>0</v>
      </c>
      <c r="DJ103" s="14">
        <v>211</v>
      </c>
      <c r="DM103"/>
      <c r="DN103"/>
      <c r="DO103"/>
      <c r="DP103"/>
    </row>
    <row r="104" spans="9:120" x14ac:dyDescent="0.25">
      <c r="I104" s="15">
        <v>172633</v>
      </c>
      <c r="J104" s="14">
        <v>10673</v>
      </c>
      <c r="K104" s="15">
        <v>1289</v>
      </c>
      <c r="L104" s="14">
        <v>751</v>
      </c>
      <c r="M104" s="15">
        <v>1556</v>
      </c>
      <c r="N104" s="14">
        <v>1531</v>
      </c>
      <c r="O104" s="15">
        <v>4715</v>
      </c>
      <c r="P104" s="14">
        <v>2132</v>
      </c>
      <c r="Q104" s="15">
        <v>434</v>
      </c>
      <c r="R104" s="14">
        <v>504</v>
      </c>
      <c r="S104" s="15">
        <v>8997</v>
      </c>
      <c r="T104" s="14">
        <v>1767</v>
      </c>
      <c r="U104" s="15">
        <v>2859</v>
      </c>
      <c r="V104" s="14">
        <v>1134</v>
      </c>
      <c r="W104" s="15">
        <v>1307</v>
      </c>
      <c r="X104" s="14">
        <v>819</v>
      </c>
      <c r="Y104" s="15">
        <v>15</v>
      </c>
      <c r="Z104" s="14">
        <v>25</v>
      </c>
      <c r="AA104" s="15">
        <v>972</v>
      </c>
      <c r="AB104" s="14">
        <v>768</v>
      </c>
      <c r="AC104" s="15">
        <v>16495</v>
      </c>
      <c r="AD104" s="14">
        <v>2765</v>
      </c>
      <c r="AE104" s="15">
        <v>9502</v>
      </c>
      <c r="AF104" s="14">
        <v>2685</v>
      </c>
      <c r="AG104" s="15">
        <v>436</v>
      </c>
      <c r="AH104" s="14">
        <v>331</v>
      </c>
      <c r="AI104" s="15">
        <v>564</v>
      </c>
      <c r="AJ104" s="14">
        <v>694</v>
      </c>
      <c r="AK104" s="15">
        <v>7092</v>
      </c>
      <c r="AL104" s="14">
        <v>1635</v>
      </c>
      <c r="AM104" s="15">
        <v>9438</v>
      </c>
      <c r="AN104" s="14">
        <v>2077</v>
      </c>
      <c r="AO104" s="15">
        <v>1270</v>
      </c>
      <c r="AP104" s="14">
        <v>757</v>
      </c>
      <c r="AQ104" s="15">
        <v>1016</v>
      </c>
      <c r="AR104" s="14">
        <v>494</v>
      </c>
      <c r="AS104" s="15">
        <v>9159</v>
      </c>
      <c r="AT104" s="14">
        <v>1874</v>
      </c>
      <c r="AU104" s="15">
        <v>743</v>
      </c>
      <c r="AV104" s="14">
        <v>511</v>
      </c>
      <c r="AW104" s="15">
        <v>291</v>
      </c>
      <c r="AX104" s="14">
        <v>238</v>
      </c>
      <c r="AY104" s="15">
        <v>3828</v>
      </c>
      <c r="AZ104" s="14">
        <v>1666</v>
      </c>
      <c r="BA104" s="15">
        <v>3686</v>
      </c>
      <c r="BB104" s="14">
        <v>1712</v>
      </c>
      <c r="BC104" s="15">
        <v>15130</v>
      </c>
      <c r="BD104" s="14">
        <v>3104</v>
      </c>
      <c r="BE104" s="15">
        <v>2298</v>
      </c>
      <c r="BF104" s="14">
        <v>1327</v>
      </c>
      <c r="BG104" s="15">
        <v>89</v>
      </c>
      <c r="BH104" s="14">
        <v>105</v>
      </c>
      <c r="BI104" s="15">
        <v>1171</v>
      </c>
      <c r="BJ104" s="14">
        <v>569</v>
      </c>
      <c r="BK104" s="15">
        <v>460</v>
      </c>
      <c r="BL104" s="14">
        <v>450</v>
      </c>
      <c r="BM104" s="15">
        <v>1531</v>
      </c>
      <c r="BN104" s="14">
        <v>983</v>
      </c>
      <c r="BO104" s="15">
        <v>2240</v>
      </c>
      <c r="BP104" s="14">
        <v>1351</v>
      </c>
      <c r="BQ104" s="15">
        <v>175</v>
      </c>
      <c r="BR104" s="14">
        <v>205</v>
      </c>
      <c r="BS104" s="15">
        <v>2465</v>
      </c>
      <c r="BT104" s="14">
        <v>1028</v>
      </c>
      <c r="BU104" s="15">
        <v>515</v>
      </c>
      <c r="BV104" s="14">
        <v>380</v>
      </c>
      <c r="BW104" s="15">
        <v>5988</v>
      </c>
      <c r="BX104" s="14">
        <v>1895</v>
      </c>
      <c r="BY104" s="15">
        <v>5985</v>
      </c>
      <c r="BZ104" s="14">
        <v>1492</v>
      </c>
      <c r="CA104" s="15">
        <v>26</v>
      </c>
      <c r="CB104" s="14">
        <v>53</v>
      </c>
      <c r="CC104" s="18" t="s">
        <v>60</v>
      </c>
      <c r="CD104" s="14" t="s">
        <v>60</v>
      </c>
      <c r="CE104" s="15">
        <v>1228</v>
      </c>
      <c r="CF104" s="14">
        <v>1044</v>
      </c>
      <c r="CG104" s="15">
        <v>342</v>
      </c>
      <c r="CH104" s="14">
        <v>306</v>
      </c>
      <c r="CI104" s="15">
        <v>12012</v>
      </c>
      <c r="CJ104" s="14">
        <v>2269</v>
      </c>
      <c r="CK104" s="15">
        <v>444</v>
      </c>
      <c r="CL104" s="14">
        <v>314</v>
      </c>
      <c r="CM104" s="15">
        <v>2479</v>
      </c>
      <c r="CN104" s="14">
        <v>1021</v>
      </c>
      <c r="CO104" s="15">
        <v>207</v>
      </c>
      <c r="CP104" s="14">
        <v>215</v>
      </c>
      <c r="CQ104" s="15">
        <v>4987</v>
      </c>
      <c r="CR104" s="14">
        <v>2031</v>
      </c>
      <c r="CS104" s="15">
        <v>7465</v>
      </c>
      <c r="CT104" s="14">
        <v>2241</v>
      </c>
      <c r="CU104" s="15">
        <v>485</v>
      </c>
      <c r="CV104" s="14">
        <v>318</v>
      </c>
      <c r="CW104" s="15">
        <v>182</v>
      </c>
      <c r="CX104" s="14">
        <v>173</v>
      </c>
      <c r="CY104" s="15">
        <v>6769</v>
      </c>
      <c r="CZ104" s="14">
        <v>1705</v>
      </c>
      <c r="DA104" s="15">
        <v>2567</v>
      </c>
      <c r="DB104" s="14">
        <v>905</v>
      </c>
      <c r="DC104" s="15">
        <v>7814</v>
      </c>
      <c r="DD104" s="14">
        <v>2197</v>
      </c>
      <c r="DE104" s="15">
        <v>1771</v>
      </c>
      <c r="DF104" s="14">
        <v>934</v>
      </c>
      <c r="DG104" s="15">
        <v>144</v>
      </c>
      <c r="DH104" s="14">
        <v>187</v>
      </c>
      <c r="DI104" s="15">
        <v>2140</v>
      </c>
      <c r="DJ104" s="14">
        <v>1360</v>
      </c>
      <c r="DM104"/>
      <c r="DN104"/>
      <c r="DO104"/>
      <c r="DP104"/>
    </row>
    <row r="105" spans="9:120" x14ac:dyDescent="0.25">
      <c r="I105" s="15">
        <v>106511</v>
      </c>
      <c r="J105" s="14">
        <v>8108</v>
      </c>
      <c r="K105" s="15">
        <v>1612</v>
      </c>
      <c r="L105" s="14">
        <v>1283</v>
      </c>
      <c r="M105" s="15">
        <v>1397</v>
      </c>
      <c r="N105" s="14">
        <v>1554</v>
      </c>
      <c r="O105" s="15">
        <v>2759</v>
      </c>
      <c r="P105" s="14">
        <v>1013</v>
      </c>
      <c r="Q105" s="15">
        <v>5873</v>
      </c>
      <c r="R105" s="14">
        <v>1827</v>
      </c>
      <c r="S105" s="15">
        <v>9429</v>
      </c>
      <c r="T105" s="14">
        <v>2426</v>
      </c>
      <c r="U105" s="15">
        <v>3184</v>
      </c>
      <c r="V105" s="14">
        <v>1286</v>
      </c>
      <c r="W105" s="15">
        <v>68</v>
      </c>
      <c r="X105" s="14">
        <v>129</v>
      </c>
      <c r="Y105" s="15">
        <v>109</v>
      </c>
      <c r="Z105" s="14">
        <v>164</v>
      </c>
      <c r="AA105" s="15">
        <v>0</v>
      </c>
      <c r="AB105" s="14">
        <v>253</v>
      </c>
      <c r="AC105" s="15">
        <v>5438</v>
      </c>
      <c r="AD105" s="14">
        <v>1371</v>
      </c>
      <c r="AE105" s="15">
        <v>3159</v>
      </c>
      <c r="AF105" s="14">
        <v>1688</v>
      </c>
      <c r="AG105" s="15">
        <v>773</v>
      </c>
      <c r="AH105" s="14">
        <v>864</v>
      </c>
      <c r="AI105" s="15">
        <v>611</v>
      </c>
      <c r="AJ105" s="14">
        <v>668</v>
      </c>
      <c r="AK105" s="15">
        <v>2679</v>
      </c>
      <c r="AL105" s="14">
        <v>1529</v>
      </c>
      <c r="AM105" s="15">
        <v>957</v>
      </c>
      <c r="AN105" s="14">
        <v>550</v>
      </c>
      <c r="AO105" s="15">
        <v>1108</v>
      </c>
      <c r="AP105" s="14">
        <v>660</v>
      </c>
      <c r="AQ105" s="15">
        <v>5024</v>
      </c>
      <c r="AR105" s="14">
        <v>2088</v>
      </c>
      <c r="AS105" s="15">
        <v>877</v>
      </c>
      <c r="AT105" s="14">
        <v>607</v>
      </c>
      <c r="AU105" s="15">
        <v>2208</v>
      </c>
      <c r="AV105" s="14">
        <v>808</v>
      </c>
      <c r="AW105" s="15">
        <v>298</v>
      </c>
      <c r="AX105" s="14">
        <v>278</v>
      </c>
      <c r="AY105" s="15">
        <v>382</v>
      </c>
      <c r="AZ105" s="14">
        <v>407</v>
      </c>
      <c r="BA105" s="15">
        <v>465</v>
      </c>
      <c r="BB105" s="14">
        <v>481</v>
      </c>
      <c r="BC105" s="15">
        <v>1047</v>
      </c>
      <c r="BD105" s="14">
        <v>478</v>
      </c>
      <c r="BE105" s="15">
        <v>599</v>
      </c>
      <c r="BF105" s="14">
        <v>369</v>
      </c>
      <c r="BG105" s="15">
        <v>1733</v>
      </c>
      <c r="BH105" s="14">
        <v>789</v>
      </c>
      <c r="BI105" s="15">
        <v>4102</v>
      </c>
      <c r="BJ105" s="14">
        <v>1427</v>
      </c>
      <c r="BK105" s="15">
        <v>448</v>
      </c>
      <c r="BL105" s="14">
        <v>342</v>
      </c>
      <c r="BM105" s="15">
        <v>829</v>
      </c>
      <c r="BN105" s="14">
        <v>530</v>
      </c>
      <c r="BO105" s="15">
        <v>1079</v>
      </c>
      <c r="BP105" s="14">
        <v>598</v>
      </c>
      <c r="BQ105" s="15">
        <v>69</v>
      </c>
      <c r="BR105" s="14">
        <v>131</v>
      </c>
      <c r="BS105" s="15">
        <v>890</v>
      </c>
      <c r="BT105" s="14">
        <v>890</v>
      </c>
      <c r="BU105" s="15">
        <v>2723</v>
      </c>
      <c r="BV105" s="14">
        <v>1280</v>
      </c>
      <c r="BW105" s="15">
        <v>1118</v>
      </c>
      <c r="BX105" s="14">
        <v>743</v>
      </c>
      <c r="BY105" s="15">
        <v>1991</v>
      </c>
      <c r="BZ105" s="14">
        <v>1219</v>
      </c>
      <c r="CA105" s="15">
        <v>139</v>
      </c>
      <c r="CB105" s="14">
        <v>136</v>
      </c>
      <c r="CC105" s="15">
        <v>1385</v>
      </c>
      <c r="CD105" s="14">
        <v>681</v>
      </c>
      <c r="CE105" s="18" t="s">
        <v>60</v>
      </c>
      <c r="CF105" s="14" t="s">
        <v>60</v>
      </c>
      <c r="CG105" s="15">
        <v>398</v>
      </c>
      <c r="CH105" s="14">
        <v>300</v>
      </c>
      <c r="CI105" s="15">
        <v>1316</v>
      </c>
      <c r="CJ105" s="14">
        <v>1283</v>
      </c>
      <c r="CK105" s="15">
        <v>119</v>
      </c>
      <c r="CL105" s="14">
        <v>137</v>
      </c>
      <c r="CM105" s="15">
        <v>596</v>
      </c>
      <c r="CN105" s="14">
        <v>377</v>
      </c>
      <c r="CO105" s="15">
        <v>83</v>
      </c>
      <c r="CP105" s="14">
        <v>135</v>
      </c>
      <c r="CQ105" s="15">
        <v>1872</v>
      </c>
      <c r="CR105" s="14">
        <v>895</v>
      </c>
      <c r="CS105" s="15">
        <v>28238</v>
      </c>
      <c r="CT105" s="14">
        <v>4132</v>
      </c>
      <c r="CU105" s="15">
        <v>428</v>
      </c>
      <c r="CV105" s="14">
        <v>454</v>
      </c>
      <c r="CW105" s="15">
        <v>93</v>
      </c>
      <c r="CX105" s="14">
        <v>109</v>
      </c>
      <c r="CY105" s="15">
        <v>2286</v>
      </c>
      <c r="CZ105" s="14">
        <v>1049</v>
      </c>
      <c r="DA105" s="15">
        <v>2035</v>
      </c>
      <c r="DB105" s="14">
        <v>1130</v>
      </c>
      <c r="DC105" s="15">
        <v>221</v>
      </c>
      <c r="DD105" s="14">
        <v>270</v>
      </c>
      <c r="DE105" s="15">
        <v>551</v>
      </c>
      <c r="DF105" s="14">
        <v>396</v>
      </c>
      <c r="DG105" s="15">
        <v>1713</v>
      </c>
      <c r="DH105" s="14">
        <v>1012</v>
      </c>
      <c r="DI105" s="15">
        <v>209</v>
      </c>
      <c r="DJ105" s="14">
        <v>222</v>
      </c>
      <c r="DM105"/>
      <c r="DN105"/>
      <c r="DO105"/>
      <c r="DP105"/>
    </row>
    <row r="106" spans="9:120" x14ac:dyDescent="0.25">
      <c r="I106" s="15">
        <v>116700</v>
      </c>
      <c r="J106" s="14">
        <v>7898</v>
      </c>
      <c r="K106" s="15">
        <v>400</v>
      </c>
      <c r="L106" s="14">
        <v>290</v>
      </c>
      <c r="M106" s="15">
        <v>2027</v>
      </c>
      <c r="N106" s="14">
        <v>910</v>
      </c>
      <c r="O106" s="15">
        <v>5264</v>
      </c>
      <c r="P106" s="14">
        <v>1539</v>
      </c>
      <c r="Q106" s="15">
        <v>246</v>
      </c>
      <c r="R106" s="14">
        <v>217</v>
      </c>
      <c r="S106" s="15">
        <v>34190</v>
      </c>
      <c r="T106" s="14">
        <v>4899</v>
      </c>
      <c r="U106" s="15">
        <v>2050</v>
      </c>
      <c r="V106" s="14">
        <v>924</v>
      </c>
      <c r="W106" s="15">
        <v>270</v>
      </c>
      <c r="X106" s="14">
        <v>273</v>
      </c>
      <c r="Y106" s="15">
        <v>0</v>
      </c>
      <c r="Z106" s="14">
        <v>277</v>
      </c>
      <c r="AA106" s="15">
        <v>217</v>
      </c>
      <c r="AB106" s="14">
        <v>239</v>
      </c>
      <c r="AC106" s="15">
        <v>2273</v>
      </c>
      <c r="AD106" s="14">
        <v>1051</v>
      </c>
      <c r="AE106" s="15">
        <v>688</v>
      </c>
      <c r="AF106" s="14">
        <v>572</v>
      </c>
      <c r="AG106" s="15">
        <v>2323</v>
      </c>
      <c r="AH106" s="14">
        <v>1117</v>
      </c>
      <c r="AI106" s="15">
        <v>4129</v>
      </c>
      <c r="AJ106" s="14">
        <v>1397</v>
      </c>
      <c r="AK106" s="15">
        <v>1565</v>
      </c>
      <c r="AL106" s="14">
        <v>862</v>
      </c>
      <c r="AM106" s="15">
        <v>317</v>
      </c>
      <c r="AN106" s="14">
        <v>319</v>
      </c>
      <c r="AO106" s="15">
        <v>161</v>
      </c>
      <c r="AP106" s="14">
        <v>176</v>
      </c>
      <c r="AQ106" s="15">
        <v>678</v>
      </c>
      <c r="AR106" s="14">
        <v>685</v>
      </c>
      <c r="AS106" s="15">
        <v>0</v>
      </c>
      <c r="AT106" s="14">
        <v>277</v>
      </c>
      <c r="AU106" s="15">
        <v>0</v>
      </c>
      <c r="AV106" s="14">
        <v>277</v>
      </c>
      <c r="AW106" s="15">
        <v>0</v>
      </c>
      <c r="AX106" s="14">
        <v>277</v>
      </c>
      <c r="AY106" s="15">
        <v>595</v>
      </c>
      <c r="AZ106" s="14">
        <v>405</v>
      </c>
      <c r="BA106" s="15">
        <v>1471</v>
      </c>
      <c r="BB106" s="14">
        <v>1154</v>
      </c>
      <c r="BC106" s="15">
        <v>1159</v>
      </c>
      <c r="BD106" s="14">
        <v>783</v>
      </c>
      <c r="BE106" s="15">
        <v>668</v>
      </c>
      <c r="BF106" s="14">
        <v>442</v>
      </c>
      <c r="BG106" s="15">
        <v>735</v>
      </c>
      <c r="BH106" s="14">
        <v>770</v>
      </c>
      <c r="BI106" s="15">
        <v>1786</v>
      </c>
      <c r="BJ106" s="14">
        <v>992</v>
      </c>
      <c r="BK106" s="15">
        <v>3386</v>
      </c>
      <c r="BL106" s="14">
        <v>1956</v>
      </c>
      <c r="BM106" s="15">
        <v>777</v>
      </c>
      <c r="BN106" s="14">
        <v>574</v>
      </c>
      <c r="BO106" s="15">
        <v>2805</v>
      </c>
      <c r="BP106" s="14">
        <v>1436</v>
      </c>
      <c r="BQ106" s="15">
        <v>317</v>
      </c>
      <c r="BR106" s="14">
        <v>280</v>
      </c>
      <c r="BS106" s="15">
        <v>544</v>
      </c>
      <c r="BT106" s="14">
        <v>582</v>
      </c>
      <c r="BU106" s="15">
        <v>981</v>
      </c>
      <c r="BV106" s="14">
        <v>679</v>
      </c>
      <c r="BW106" s="15">
        <v>2538</v>
      </c>
      <c r="BX106" s="14">
        <v>1146</v>
      </c>
      <c r="BY106" s="15">
        <v>1040</v>
      </c>
      <c r="BZ106" s="14">
        <v>758</v>
      </c>
      <c r="CA106" s="15">
        <v>592</v>
      </c>
      <c r="CB106" s="14">
        <v>521</v>
      </c>
      <c r="CC106" s="15">
        <v>1541</v>
      </c>
      <c r="CD106" s="14">
        <v>902</v>
      </c>
      <c r="CE106" s="15">
        <v>821</v>
      </c>
      <c r="CF106" s="14">
        <v>683</v>
      </c>
      <c r="CG106" s="18" t="s">
        <v>60</v>
      </c>
      <c r="CH106" s="14" t="s">
        <v>60</v>
      </c>
      <c r="CI106" s="15">
        <v>1689</v>
      </c>
      <c r="CJ106" s="14">
        <v>1185</v>
      </c>
      <c r="CK106" s="15">
        <v>0</v>
      </c>
      <c r="CL106" s="14">
        <v>277</v>
      </c>
      <c r="CM106" s="15">
        <v>989</v>
      </c>
      <c r="CN106" s="14">
        <v>1271</v>
      </c>
      <c r="CO106" s="15">
        <v>741</v>
      </c>
      <c r="CP106" s="14">
        <v>581</v>
      </c>
      <c r="CQ106" s="15">
        <v>787</v>
      </c>
      <c r="CR106" s="14">
        <v>455</v>
      </c>
      <c r="CS106" s="15">
        <v>3826</v>
      </c>
      <c r="CT106" s="14">
        <v>1484</v>
      </c>
      <c r="CU106" s="15">
        <v>2879</v>
      </c>
      <c r="CV106" s="14">
        <v>1047</v>
      </c>
      <c r="CW106" s="15">
        <v>456</v>
      </c>
      <c r="CX106" s="14">
        <v>405</v>
      </c>
      <c r="CY106" s="15">
        <v>1124</v>
      </c>
      <c r="CZ106" s="14">
        <v>593</v>
      </c>
      <c r="DA106" s="15">
        <v>22793</v>
      </c>
      <c r="DB106" s="14">
        <v>3575</v>
      </c>
      <c r="DC106" s="15">
        <v>358</v>
      </c>
      <c r="DD106" s="14">
        <v>308</v>
      </c>
      <c r="DE106" s="15">
        <v>1981</v>
      </c>
      <c r="DF106" s="14">
        <v>1181</v>
      </c>
      <c r="DG106" s="15">
        <v>523</v>
      </c>
      <c r="DH106" s="14">
        <v>336</v>
      </c>
      <c r="DI106" s="15">
        <v>821</v>
      </c>
      <c r="DJ106" s="14">
        <v>847</v>
      </c>
      <c r="DM106"/>
      <c r="DN106"/>
      <c r="DO106"/>
      <c r="DP106"/>
    </row>
    <row r="107" spans="9:120" x14ac:dyDescent="0.25">
      <c r="I107" s="15">
        <v>235580</v>
      </c>
      <c r="J107" s="14">
        <v>12249</v>
      </c>
      <c r="K107" s="15">
        <v>369</v>
      </c>
      <c r="L107" s="14">
        <v>368</v>
      </c>
      <c r="M107" s="15">
        <v>2185</v>
      </c>
      <c r="N107" s="14">
        <v>1301</v>
      </c>
      <c r="O107" s="15">
        <v>3668</v>
      </c>
      <c r="P107" s="14">
        <v>1451</v>
      </c>
      <c r="Q107" s="15">
        <v>807</v>
      </c>
      <c r="R107" s="14">
        <v>601</v>
      </c>
      <c r="S107" s="15">
        <v>12077</v>
      </c>
      <c r="T107" s="14">
        <v>2875</v>
      </c>
      <c r="U107" s="15">
        <v>3657</v>
      </c>
      <c r="V107" s="14">
        <v>1375</v>
      </c>
      <c r="W107" s="15">
        <v>4007</v>
      </c>
      <c r="X107" s="14">
        <v>1559</v>
      </c>
      <c r="Y107" s="15">
        <v>4608</v>
      </c>
      <c r="Z107" s="14">
        <v>1169</v>
      </c>
      <c r="AA107" s="15">
        <v>1621</v>
      </c>
      <c r="AB107" s="14">
        <v>866</v>
      </c>
      <c r="AC107" s="15">
        <v>18212</v>
      </c>
      <c r="AD107" s="14">
        <v>3129</v>
      </c>
      <c r="AE107" s="15">
        <v>4644</v>
      </c>
      <c r="AF107" s="14">
        <v>1340</v>
      </c>
      <c r="AG107" s="15">
        <v>332</v>
      </c>
      <c r="AH107" s="14">
        <v>292</v>
      </c>
      <c r="AI107" s="15">
        <v>380</v>
      </c>
      <c r="AJ107" s="14">
        <v>408</v>
      </c>
      <c r="AK107" s="15">
        <v>4490</v>
      </c>
      <c r="AL107" s="14">
        <v>1429</v>
      </c>
      <c r="AM107" s="15">
        <v>2018</v>
      </c>
      <c r="AN107" s="14">
        <v>739</v>
      </c>
      <c r="AO107" s="15">
        <v>227</v>
      </c>
      <c r="AP107" s="14">
        <v>319</v>
      </c>
      <c r="AQ107" s="15">
        <v>1426</v>
      </c>
      <c r="AR107" s="14">
        <v>1201</v>
      </c>
      <c r="AS107" s="15">
        <v>1675</v>
      </c>
      <c r="AT107" s="14">
        <v>766</v>
      </c>
      <c r="AU107" s="15">
        <v>625</v>
      </c>
      <c r="AV107" s="14">
        <v>382</v>
      </c>
      <c r="AW107" s="15">
        <v>1621</v>
      </c>
      <c r="AX107" s="14">
        <v>895</v>
      </c>
      <c r="AY107" s="15">
        <v>18281</v>
      </c>
      <c r="AZ107" s="14">
        <v>2839</v>
      </c>
      <c r="BA107" s="15">
        <v>4455</v>
      </c>
      <c r="BB107" s="14">
        <v>1178</v>
      </c>
      <c r="BC107" s="15">
        <v>4961</v>
      </c>
      <c r="BD107" s="14">
        <v>2285</v>
      </c>
      <c r="BE107" s="15">
        <v>1491</v>
      </c>
      <c r="BF107" s="14">
        <v>873</v>
      </c>
      <c r="BG107" s="15">
        <v>563</v>
      </c>
      <c r="BH107" s="14">
        <v>498</v>
      </c>
      <c r="BI107" s="15">
        <v>1725</v>
      </c>
      <c r="BJ107" s="14">
        <v>788</v>
      </c>
      <c r="BK107" s="15">
        <v>339</v>
      </c>
      <c r="BL107" s="14">
        <v>290</v>
      </c>
      <c r="BM107" s="15">
        <v>551</v>
      </c>
      <c r="BN107" s="14">
        <v>410</v>
      </c>
      <c r="BO107" s="15">
        <v>1810</v>
      </c>
      <c r="BP107" s="14">
        <v>1177</v>
      </c>
      <c r="BQ107" s="15">
        <v>729</v>
      </c>
      <c r="BR107" s="14">
        <v>531</v>
      </c>
      <c r="BS107" s="15">
        <v>42456</v>
      </c>
      <c r="BT107" s="14">
        <v>5218</v>
      </c>
      <c r="BU107" s="15">
        <v>1250</v>
      </c>
      <c r="BV107" s="14">
        <v>883</v>
      </c>
      <c r="BW107" s="15">
        <v>30481</v>
      </c>
      <c r="BX107" s="14">
        <v>3719</v>
      </c>
      <c r="BY107" s="15">
        <v>7611</v>
      </c>
      <c r="BZ107" s="14">
        <v>2053</v>
      </c>
      <c r="CA107" s="15">
        <v>521</v>
      </c>
      <c r="CB107" s="14">
        <v>517</v>
      </c>
      <c r="CC107" s="15">
        <v>14545</v>
      </c>
      <c r="CD107" s="14">
        <v>3377</v>
      </c>
      <c r="CE107" s="15">
        <v>1254</v>
      </c>
      <c r="CF107" s="14">
        <v>749</v>
      </c>
      <c r="CG107" s="15">
        <v>918</v>
      </c>
      <c r="CH107" s="14">
        <v>545</v>
      </c>
      <c r="CI107" s="18" t="s">
        <v>60</v>
      </c>
      <c r="CJ107" s="14" t="s">
        <v>60</v>
      </c>
      <c r="CK107" s="15">
        <v>377</v>
      </c>
      <c r="CL107" s="14">
        <v>327</v>
      </c>
      <c r="CM107" s="15">
        <v>1315</v>
      </c>
      <c r="CN107" s="14">
        <v>651</v>
      </c>
      <c r="CO107" s="15">
        <v>966</v>
      </c>
      <c r="CP107" s="14">
        <v>927</v>
      </c>
      <c r="CQ107" s="15">
        <v>1611</v>
      </c>
      <c r="CR107" s="14">
        <v>626</v>
      </c>
      <c r="CS107" s="15">
        <v>7778</v>
      </c>
      <c r="CT107" s="14">
        <v>2650</v>
      </c>
      <c r="CU107" s="15">
        <v>1048</v>
      </c>
      <c r="CV107" s="14">
        <v>684</v>
      </c>
      <c r="CW107" s="15">
        <v>215</v>
      </c>
      <c r="CX107" s="14">
        <v>214</v>
      </c>
      <c r="CY107" s="15">
        <v>10558</v>
      </c>
      <c r="CZ107" s="14">
        <v>2596</v>
      </c>
      <c r="DA107" s="15">
        <v>2495</v>
      </c>
      <c r="DB107" s="14">
        <v>1141</v>
      </c>
      <c r="DC107" s="15">
        <v>4258</v>
      </c>
      <c r="DD107" s="14">
        <v>1674</v>
      </c>
      <c r="DE107" s="15">
        <v>1300</v>
      </c>
      <c r="DF107" s="14">
        <v>1081</v>
      </c>
      <c r="DG107" s="15">
        <v>1069</v>
      </c>
      <c r="DH107" s="14">
        <v>936</v>
      </c>
      <c r="DI107" s="15">
        <v>6275</v>
      </c>
      <c r="DJ107" s="14">
        <v>2169</v>
      </c>
      <c r="DM107"/>
      <c r="DN107"/>
      <c r="DO107"/>
      <c r="DP107"/>
    </row>
    <row r="108" spans="9:120" x14ac:dyDescent="0.25">
      <c r="I108" s="15">
        <v>32059</v>
      </c>
      <c r="J108" s="14">
        <v>4070</v>
      </c>
      <c r="K108" s="15">
        <v>136</v>
      </c>
      <c r="L108" s="14">
        <v>214</v>
      </c>
      <c r="M108" s="15">
        <v>0</v>
      </c>
      <c r="N108" s="14">
        <v>291</v>
      </c>
      <c r="O108" s="15">
        <v>324</v>
      </c>
      <c r="P108" s="14">
        <v>286</v>
      </c>
      <c r="Q108" s="15">
        <v>0</v>
      </c>
      <c r="R108" s="14">
        <v>291</v>
      </c>
      <c r="S108" s="15">
        <v>1697</v>
      </c>
      <c r="T108" s="14">
        <v>791</v>
      </c>
      <c r="U108" s="15">
        <v>59</v>
      </c>
      <c r="V108" s="14">
        <v>98</v>
      </c>
      <c r="W108" s="15">
        <v>4090</v>
      </c>
      <c r="X108" s="14">
        <v>1497</v>
      </c>
      <c r="Y108" s="15">
        <v>0</v>
      </c>
      <c r="Z108" s="14">
        <v>291</v>
      </c>
      <c r="AA108" s="15">
        <v>146</v>
      </c>
      <c r="AB108" s="14">
        <v>240</v>
      </c>
      <c r="AC108" s="15">
        <v>1336</v>
      </c>
      <c r="AD108" s="14">
        <v>778</v>
      </c>
      <c r="AE108" s="15">
        <v>382</v>
      </c>
      <c r="AF108" s="14">
        <v>377</v>
      </c>
      <c r="AG108" s="15">
        <v>274</v>
      </c>
      <c r="AH108" s="14">
        <v>546</v>
      </c>
      <c r="AI108" s="15">
        <v>0</v>
      </c>
      <c r="AJ108" s="14">
        <v>291</v>
      </c>
      <c r="AK108" s="15">
        <v>1210</v>
      </c>
      <c r="AL108" s="14">
        <v>768</v>
      </c>
      <c r="AM108" s="15">
        <v>206</v>
      </c>
      <c r="AN108" s="14">
        <v>334</v>
      </c>
      <c r="AO108" s="15">
        <v>48</v>
      </c>
      <c r="AP108" s="14">
        <v>79</v>
      </c>
      <c r="AQ108" s="15">
        <v>0</v>
      </c>
      <c r="AR108" s="14">
        <v>291</v>
      </c>
      <c r="AS108" s="15">
        <v>0</v>
      </c>
      <c r="AT108" s="14">
        <v>291</v>
      </c>
      <c r="AU108" s="15">
        <v>0</v>
      </c>
      <c r="AV108" s="14">
        <v>291</v>
      </c>
      <c r="AW108" s="15">
        <v>447</v>
      </c>
      <c r="AX108" s="14">
        <v>350</v>
      </c>
      <c r="AY108" s="15">
        <v>977</v>
      </c>
      <c r="AZ108" s="14">
        <v>676</v>
      </c>
      <c r="BA108" s="15">
        <v>8639</v>
      </c>
      <c r="BB108" s="14">
        <v>1836</v>
      </c>
      <c r="BC108" s="15">
        <v>77</v>
      </c>
      <c r="BD108" s="14">
        <v>125</v>
      </c>
      <c r="BE108" s="15">
        <v>47</v>
      </c>
      <c r="BF108" s="14">
        <v>78</v>
      </c>
      <c r="BG108" s="15">
        <v>0</v>
      </c>
      <c r="BH108" s="14">
        <v>291</v>
      </c>
      <c r="BI108" s="15">
        <v>47</v>
      </c>
      <c r="BJ108" s="14">
        <v>78</v>
      </c>
      <c r="BK108" s="15">
        <v>0</v>
      </c>
      <c r="BL108" s="14">
        <v>291</v>
      </c>
      <c r="BM108" s="15">
        <v>0</v>
      </c>
      <c r="BN108" s="14">
        <v>291</v>
      </c>
      <c r="BO108" s="15">
        <v>297</v>
      </c>
      <c r="BP108" s="14">
        <v>259</v>
      </c>
      <c r="BQ108" s="15">
        <v>333</v>
      </c>
      <c r="BR108" s="14">
        <v>322</v>
      </c>
      <c r="BS108" s="15">
        <v>1868</v>
      </c>
      <c r="BT108" s="14">
        <v>649</v>
      </c>
      <c r="BU108" s="15">
        <v>0</v>
      </c>
      <c r="BV108" s="14">
        <v>291</v>
      </c>
      <c r="BW108" s="15">
        <v>4583</v>
      </c>
      <c r="BX108" s="14">
        <v>1398</v>
      </c>
      <c r="BY108" s="15">
        <v>1376</v>
      </c>
      <c r="BZ108" s="14">
        <v>1080</v>
      </c>
      <c r="CA108" s="15">
        <v>62</v>
      </c>
      <c r="CB108" s="14">
        <v>103</v>
      </c>
      <c r="CC108" s="15">
        <v>0</v>
      </c>
      <c r="CD108" s="14">
        <v>291</v>
      </c>
      <c r="CE108" s="15">
        <v>199</v>
      </c>
      <c r="CF108" s="14">
        <v>331</v>
      </c>
      <c r="CG108" s="15">
        <v>0</v>
      </c>
      <c r="CH108" s="14">
        <v>291</v>
      </c>
      <c r="CI108" s="15">
        <v>560</v>
      </c>
      <c r="CJ108" s="14">
        <v>461</v>
      </c>
      <c r="CK108" s="18" t="s">
        <v>60</v>
      </c>
      <c r="CL108" s="14" t="s">
        <v>60</v>
      </c>
      <c r="CM108" s="15">
        <v>61</v>
      </c>
      <c r="CN108" s="14">
        <v>105</v>
      </c>
      <c r="CO108" s="15">
        <v>48</v>
      </c>
      <c r="CP108" s="14">
        <v>78</v>
      </c>
      <c r="CQ108" s="15">
        <v>71</v>
      </c>
      <c r="CR108" s="14">
        <v>118</v>
      </c>
      <c r="CS108" s="15">
        <v>678</v>
      </c>
      <c r="CT108" s="14">
        <v>500</v>
      </c>
      <c r="CU108" s="15">
        <v>0</v>
      </c>
      <c r="CV108" s="14">
        <v>291</v>
      </c>
      <c r="CW108" s="15">
        <v>72</v>
      </c>
      <c r="CX108" s="14">
        <v>122</v>
      </c>
      <c r="CY108" s="15">
        <v>1399</v>
      </c>
      <c r="CZ108" s="14">
        <v>908</v>
      </c>
      <c r="DA108" s="15">
        <v>160</v>
      </c>
      <c r="DB108" s="14">
        <v>206</v>
      </c>
      <c r="DC108" s="15">
        <v>150</v>
      </c>
      <c r="DD108" s="14">
        <v>233</v>
      </c>
      <c r="DE108" s="15">
        <v>0</v>
      </c>
      <c r="DF108" s="14">
        <v>291</v>
      </c>
      <c r="DG108" s="15">
        <v>0</v>
      </c>
      <c r="DH108" s="14">
        <v>291</v>
      </c>
      <c r="DI108" s="15">
        <v>276</v>
      </c>
      <c r="DJ108" s="14">
        <v>353</v>
      </c>
      <c r="DM108"/>
      <c r="DN108"/>
      <c r="DO108"/>
      <c r="DP108"/>
    </row>
    <row r="109" spans="9:120" x14ac:dyDescent="0.25">
      <c r="I109" s="15">
        <v>152441</v>
      </c>
      <c r="J109" s="14">
        <v>10548</v>
      </c>
      <c r="K109" s="15">
        <v>1741</v>
      </c>
      <c r="L109" s="14">
        <v>721</v>
      </c>
      <c r="M109" s="15">
        <v>1670</v>
      </c>
      <c r="N109" s="14">
        <v>1199</v>
      </c>
      <c r="O109" s="15">
        <v>1457</v>
      </c>
      <c r="P109" s="14">
        <v>870</v>
      </c>
      <c r="Q109" s="15">
        <v>365</v>
      </c>
      <c r="R109" s="14">
        <v>280</v>
      </c>
      <c r="S109" s="15">
        <v>4691</v>
      </c>
      <c r="T109" s="14">
        <v>1983</v>
      </c>
      <c r="U109" s="15">
        <v>1867</v>
      </c>
      <c r="V109" s="14">
        <v>1378</v>
      </c>
      <c r="W109" s="15">
        <v>3998</v>
      </c>
      <c r="X109" s="14">
        <v>2132</v>
      </c>
      <c r="Y109" s="15">
        <v>249</v>
      </c>
      <c r="Z109" s="14">
        <v>274</v>
      </c>
      <c r="AA109" s="15">
        <v>38</v>
      </c>
      <c r="AB109" s="14">
        <v>63</v>
      </c>
      <c r="AC109" s="15">
        <v>16060</v>
      </c>
      <c r="AD109" s="14">
        <v>3907</v>
      </c>
      <c r="AE109" s="15">
        <v>17486</v>
      </c>
      <c r="AF109" s="14">
        <v>3100</v>
      </c>
      <c r="AG109" s="15">
        <v>813</v>
      </c>
      <c r="AH109" s="14">
        <v>521</v>
      </c>
      <c r="AI109" s="15">
        <v>233</v>
      </c>
      <c r="AJ109" s="14">
        <v>207</v>
      </c>
      <c r="AK109" s="15">
        <v>4253</v>
      </c>
      <c r="AL109" s="14">
        <v>1651</v>
      </c>
      <c r="AM109" s="15">
        <v>2174</v>
      </c>
      <c r="AN109" s="14">
        <v>884</v>
      </c>
      <c r="AO109" s="15">
        <v>703</v>
      </c>
      <c r="AP109" s="14">
        <v>870</v>
      </c>
      <c r="AQ109" s="15">
        <v>514</v>
      </c>
      <c r="AR109" s="14">
        <v>612</v>
      </c>
      <c r="AS109" s="15">
        <v>2211</v>
      </c>
      <c r="AT109" s="14">
        <v>1215</v>
      </c>
      <c r="AU109" s="15">
        <v>2059</v>
      </c>
      <c r="AV109" s="14">
        <v>986</v>
      </c>
      <c r="AW109" s="15">
        <v>603</v>
      </c>
      <c r="AX109" s="14">
        <v>448</v>
      </c>
      <c r="AY109" s="15">
        <v>5184</v>
      </c>
      <c r="AZ109" s="14">
        <v>2183</v>
      </c>
      <c r="BA109" s="15">
        <v>3765</v>
      </c>
      <c r="BB109" s="14">
        <v>1826</v>
      </c>
      <c r="BC109" s="15">
        <v>3709</v>
      </c>
      <c r="BD109" s="14">
        <v>1403</v>
      </c>
      <c r="BE109" s="15">
        <v>818</v>
      </c>
      <c r="BF109" s="14">
        <v>463</v>
      </c>
      <c r="BG109" s="15">
        <v>1175</v>
      </c>
      <c r="BH109" s="14">
        <v>681</v>
      </c>
      <c r="BI109" s="15">
        <v>1371</v>
      </c>
      <c r="BJ109" s="14">
        <v>797</v>
      </c>
      <c r="BK109" s="15">
        <v>0</v>
      </c>
      <c r="BL109" s="14">
        <v>296</v>
      </c>
      <c r="BM109" s="15">
        <v>0</v>
      </c>
      <c r="BN109" s="14">
        <v>296</v>
      </c>
      <c r="BO109" s="15">
        <v>1173</v>
      </c>
      <c r="BP109" s="14">
        <v>793</v>
      </c>
      <c r="BQ109" s="15">
        <v>486</v>
      </c>
      <c r="BR109" s="14">
        <v>296</v>
      </c>
      <c r="BS109" s="15">
        <v>4908</v>
      </c>
      <c r="BT109" s="14">
        <v>1660</v>
      </c>
      <c r="BU109" s="15">
        <v>1390</v>
      </c>
      <c r="BV109" s="14">
        <v>1444</v>
      </c>
      <c r="BW109" s="15">
        <v>7912</v>
      </c>
      <c r="BX109" s="14">
        <v>2045</v>
      </c>
      <c r="BY109" s="15">
        <v>20749</v>
      </c>
      <c r="BZ109" s="14">
        <v>3397</v>
      </c>
      <c r="CA109" s="15">
        <v>118</v>
      </c>
      <c r="CB109" s="14">
        <v>196</v>
      </c>
      <c r="CC109" s="15">
        <v>3883</v>
      </c>
      <c r="CD109" s="14">
        <v>1190</v>
      </c>
      <c r="CE109" s="15">
        <v>1458</v>
      </c>
      <c r="CF109" s="14">
        <v>1353</v>
      </c>
      <c r="CG109" s="15">
        <v>1020</v>
      </c>
      <c r="CH109" s="14">
        <v>951</v>
      </c>
      <c r="CI109" s="15">
        <v>4689</v>
      </c>
      <c r="CJ109" s="14">
        <v>1531</v>
      </c>
      <c r="CK109" s="15">
        <v>154</v>
      </c>
      <c r="CL109" s="14">
        <v>179</v>
      </c>
      <c r="CM109" s="18" t="s">
        <v>60</v>
      </c>
      <c r="CN109" s="14" t="s">
        <v>60</v>
      </c>
      <c r="CO109" s="15">
        <v>95</v>
      </c>
      <c r="CP109" s="14">
        <v>109</v>
      </c>
      <c r="CQ109" s="15">
        <v>3816</v>
      </c>
      <c r="CR109" s="14">
        <v>1732</v>
      </c>
      <c r="CS109" s="15">
        <v>4965</v>
      </c>
      <c r="CT109" s="14">
        <v>1539</v>
      </c>
      <c r="CU109" s="15">
        <v>455</v>
      </c>
      <c r="CV109" s="14">
        <v>437</v>
      </c>
      <c r="CW109" s="15">
        <v>478</v>
      </c>
      <c r="CX109" s="14">
        <v>500</v>
      </c>
      <c r="CY109" s="15">
        <v>9786</v>
      </c>
      <c r="CZ109" s="14">
        <v>2245</v>
      </c>
      <c r="DA109" s="15">
        <v>3070</v>
      </c>
      <c r="DB109" s="14">
        <v>1589</v>
      </c>
      <c r="DC109" s="15">
        <v>1190</v>
      </c>
      <c r="DD109" s="14">
        <v>536</v>
      </c>
      <c r="DE109" s="15">
        <v>1057</v>
      </c>
      <c r="DF109" s="14">
        <v>639</v>
      </c>
      <c r="DG109" s="15">
        <v>382</v>
      </c>
      <c r="DH109" s="14">
        <v>524</v>
      </c>
      <c r="DI109" s="15">
        <v>269</v>
      </c>
      <c r="DJ109" s="14">
        <v>229</v>
      </c>
      <c r="DM109"/>
      <c r="DN109"/>
      <c r="DO109"/>
      <c r="DP109"/>
    </row>
    <row r="110" spans="9:120" x14ac:dyDescent="0.25">
      <c r="I110" s="15">
        <v>25777</v>
      </c>
      <c r="J110" s="14">
        <v>3187</v>
      </c>
      <c r="K110" s="15">
        <v>325</v>
      </c>
      <c r="L110" s="14">
        <v>333</v>
      </c>
      <c r="M110" s="15">
        <v>25</v>
      </c>
      <c r="N110" s="14">
        <v>44</v>
      </c>
      <c r="O110" s="15">
        <v>745</v>
      </c>
      <c r="P110" s="14">
        <v>533</v>
      </c>
      <c r="Q110" s="15">
        <v>61</v>
      </c>
      <c r="R110" s="14">
        <v>120</v>
      </c>
      <c r="S110" s="15">
        <v>1338</v>
      </c>
      <c r="T110" s="14">
        <v>703</v>
      </c>
      <c r="U110" s="15">
        <v>807</v>
      </c>
      <c r="V110" s="14">
        <v>447</v>
      </c>
      <c r="W110" s="15">
        <v>0</v>
      </c>
      <c r="X110" s="14">
        <v>223</v>
      </c>
      <c r="Y110" s="15">
        <v>0</v>
      </c>
      <c r="Z110" s="14">
        <v>223</v>
      </c>
      <c r="AA110" s="15">
        <v>0</v>
      </c>
      <c r="AB110" s="14">
        <v>223</v>
      </c>
      <c r="AC110" s="15">
        <v>251</v>
      </c>
      <c r="AD110" s="14">
        <v>242</v>
      </c>
      <c r="AE110" s="15">
        <v>24</v>
      </c>
      <c r="AF110" s="14">
        <v>44</v>
      </c>
      <c r="AG110" s="15">
        <v>75</v>
      </c>
      <c r="AH110" s="14">
        <v>123</v>
      </c>
      <c r="AI110" s="15">
        <v>457</v>
      </c>
      <c r="AJ110" s="14">
        <v>289</v>
      </c>
      <c r="AK110" s="15">
        <v>80</v>
      </c>
      <c r="AL110" s="14">
        <v>134</v>
      </c>
      <c r="AM110" s="15">
        <v>439</v>
      </c>
      <c r="AN110" s="14">
        <v>381</v>
      </c>
      <c r="AO110" s="15">
        <v>3520</v>
      </c>
      <c r="AP110" s="14">
        <v>1429</v>
      </c>
      <c r="AQ110" s="15">
        <v>571</v>
      </c>
      <c r="AR110" s="14">
        <v>471</v>
      </c>
      <c r="AS110" s="15">
        <v>82</v>
      </c>
      <c r="AT110" s="14">
        <v>103</v>
      </c>
      <c r="AU110" s="15">
        <v>129</v>
      </c>
      <c r="AV110" s="14">
        <v>196</v>
      </c>
      <c r="AW110" s="15">
        <v>0</v>
      </c>
      <c r="AX110" s="14">
        <v>223</v>
      </c>
      <c r="AY110" s="15">
        <v>0</v>
      </c>
      <c r="AZ110" s="14">
        <v>223</v>
      </c>
      <c r="BA110" s="15">
        <v>407</v>
      </c>
      <c r="BB110" s="14">
        <v>471</v>
      </c>
      <c r="BC110" s="15">
        <v>144</v>
      </c>
      <c r="BD110" s="14">
        <v>127</v>
      </c>
      <c r="BE110" s="15">
        <v>4615</v>
      </c>
      <c r="BF110" s="14">
        <v>1629</v>
      </c>
      <c r="BG110" s="15">
        <v>201</v>
      </c>
      <c r="BH110" s="14">
        <v>213</v>
      </c>
      <c r="BI110" s="15">
        <v>252</v>
      </c>
      <c r="BJ110" s="14">
        <v>210</v>
      </c>
      <c r="BK110" s="15">
        <v>560</v>
      </c>
      <c r="BL110" s="14">
        <v>364</v>
      </c>
      <c r="BM110" s="15">
        <v>2260</v>
      </c>
      <c r="BN110" s="14">
        <v>1028</v>
      </c>
      <c r="BO110" s="15">
        <v>38</v>
      </c>
      <c r="BP110" s="14">
        <v>63</v>
      </c>
      <c r="BQ110" s="15">
        <v>0</v>
      </c>
      <c r="BR110" s="14">
        <v>223</v>
      </c>
      <c r="BS110" s="15">
        <v>0</v>
      </c>
      <c r="BT110" s="14">
        <v>223</v>
      </c>
      <c r="BU110" s="15">
        <v>38</v>
      </c>
      <c r="BV110" s="14">
        <v>67</v>
      </c>
      <c r="BW110" s="15">
        <v>758</v>
      </c>
      <c r="BX110" s="14">
        <v>469</v>
      </c>
      <c r="BY110" s="15">
        <v>262</v>
      </c>
      <c r="BZ110" s="14">
        <v>231</v>
      </c>
      <c r="CA110" s="15">
        <v>2020</v>
      </c>
      <c r="CB110" s="14">
        <v>1029</v>
      </c>
      <c r="CC110" s="15">
        <v>160</v>
      </c>
      <c r="CD110" s="14">
        <v>174</v>
      </c>
      <c r="CE110" s="15">
        <v>296</v>
      </c>
      <c r="CF110" s="14">
        <v>289</v>
      </c>
      <c r="CG110" s="15">
        <v>122</v>
      </c>
      <c r="CH110" s="14">
        <v>136</v>
      </c>
      <c r="CI110" s="15">
        <v>209</v>
      </c>
      <c r="CJ110" s="14">
        <v>268</v>
      </c>
      <c r="CK110" s="15">
        <v>0</v>
      </c>
      <c r="CL110" s="14">
        <v>223</v>
      </c>
      <c r="CM110" s="15">
        <v>0</v>
      </c>
      <c r="CN110" s="14">
        <v>223</v>
      </c>
      <c r="CO110" s="18" t="s">
        <v>60</v>
      </c>
      <c r="CP110" s="14" t="s">
        <v>60</v>
      </c>
      <c r="CQ110" s="15">
        <v>0</v>
      </c>
      <c r="CR110" s="14">
        <v>223</v>
      </c>
      <c r="CS110" s="15">
        <v>1334</v>
      </c>
      <c r="CT110" s="14">
        <v>812</v>
      </c>
      <c r="CU110" s="15">
        <v>0</v>
      </c>
      <c r="CV110" s="14">
        <v>223</v>
      </c>
      <c r="CW110" s="15">
        <v>0</v>
      </c>
      <c r="CX110" s="14">
        <v>223</v>
      </c>
      <c r="CY110" s="15">
        <v>224</v>
      </c>
      <c r="CZ110" s="14">
        <v>217</v>
      </c>
      <c r="DA110" s="15">
        <v>1564</v>
      </c>
      <c r="DB110" s="14">
        <v>973</v>
      </c>
      <c r="DC110" s="15">
        <v>0</v>
      </c>
      <c r="DD110" s="14">
        <v>223</v>
      </c>
      <c r="DE110" s="15">
        <v>736</v>
      </c>
      <c r="DF110" s="14">
        <v>533</v>
      </c>
      <c r="DG110" s="15">
        <v>648</v>
      </c>
      <c r="DH110" s="14">
        <v>549</v>
      </c>
      <c r="DI110" s="15">
        <v>0</v>
      </c>
      <c r="DJ110" s="14">
        <v>223</v>
      </c>
      <c r="DM110"/>
      <c r="DN110"/>
      <c r="DO110"/>
      <c r="DP110"/>
    </row>
    <row r="111" spans="9:120" x14ac:dyDescent="0.25">
      <c r="I111" s="15">
        <v>159778</v>
      </c>
      <c r="J111" s="14">
        <v>11597</v>
      </c>
      <c r="K111" s="15">
        <v>8897</v>
      </c>
      <c r="L111" s="14">
        <v>2131</v>
      </c>
      <c r="M111" s="15">
        <v>343</v>
      </c>
      <c r="N111" s="14">
        <v>300</v>
      </c>
      <c r="O111" s="15">
        <v>2291</v>
      </c>
      <c r="P111" s="14">
        <v>1160</v>
      </c>
      <c r="Q111" s="15">
        <v>4736</v>
      </c>
      <c r="R111" s="14">
        <v>1836</v>
      </c>
      <c r="S111" s="15">
        <v>8019</v>
      </c>
      <c r="T111" s="14">
        <v>2431</v>
      </c>
      <c r="U111" s="15">
        <v>1858</v>
      </c>
      <c r="V111" s="14">
        <v>1182</v>
      </c>
      <c r="W111" s="15">
        <v>765</v>
      </c>
      <c r="X111" s="14">
        <v>713</v>
      </c>
      <c r="Y111" s="15">
        <v>248</v>
      </c>
      <c r="Z111" s="14">
        <v>254</v>
      </c>
      <c r="AA111" s="15">
        <v>394</v>
      </c>
      <c r="AB111" s="14">
        <v>484</v>
      </c>
      <c r="AC111" s="15">
        <v>14168</v>
      </c>
      <c r="AD111" s="14">
        <v>3004</v>
      </c>
      <c r="AE111" s="15">
        <v>11065</v>
      </c>
      <c r="AF111" s="14">
        <v>2592</v>
      </c>
      <c r="AG111" s="15">
        <v>243</v>
      </c>
      <c r="AH111" s="14">
        <v>402</v>
      </c>
      <c r="AI111" s="15">
        <v>333</v>
      </c>
      <c r="AJ111" s="14">
        <v>374</v>
      </c>
      <c r="AK111" s="15">
        <v>3162</v>
      </c>
      <c r="AL111" s="14">
        <v>1151</v>
      </c>
      <c r="AM111" s="15">
        <v>4764</v>
      </c>
      <c r="AN111" s="14">
        <v>1593</v>
      </c>
      <c r="AO111" s="15">
        <v>1052</v>
      </c>
      <c r="AP111" s="14">
        <v>864</v>
      </c>
      <c r="AQ111" s="15">
        <v>2506</v>
      </c>
      <c r="AR111" s="14">
        <v>2041</v>
      </c>
      <c r="AS111" s="15">
        <v>11188</v>
      </c>
      <c r="AT111" s="14">
        <v>3378</v>
      </c>
      <c r="AU111" s="15">
        <v>2602</v>
      </c>
      <c r="AV111" s="14">
        <v>1490</v>
      </c>
      <c r="AW111" s="15">
        <v>84</v>
      </c>
      <c r="AX111" s="14">
        <v>138</v>
      </c>
      <c r="AY111" s="15">
        <v>1450</v>
      </c>
      <c r="AZ111" s="14">
        <v>701</v>
      </c>
      <c r="BA111" s="15">
        <v>1733</v>
      </c>
      <c r="BB111" s="14">
        <v>904</v>
      </c>
      <c r="BC111" s="15">
        <v>5529</v>
      </c>
      <c r="BD111" s="14">
        <v>1806</v>
      </c>
      <c r="BE111" s="15">
        <v>1504</v>
      </c>
      <c r="BF111" s="14">
        <v>1160</v>
      </c>
      <c r="BG111" s="15">
        <v>9029</v>
      </c>
      <c r="BH111" s="14">
        <v>2461</v>
      </c>
      <c r="BI111" s="15">
        <v>4342</v>
      </c>
      <c r="BJ111" s="14">
        <v>1588</v>
      </c>
      <c r="BK111" s="15">
        <v>290</v>
      </c>
      <c r="BL111" s="14">
        <v>243</v>
      </c>
      <c r="BM111" s="15">
        <v>187</v>
      </c>
      <c r="BN111" s="14">
        <v>177</v>
      </c>
      <c r="BO111" s="15">
        <v>2433</v>
      </c>
      <c r="BP111" s="14">
        <v>1517</v>
      </c>
      <c r="BQ111" s="15">
        <v>197</v>
      </c>
      <c r="BR111" s="14">
        <v>238</v>
      </c>
      <c r="BS111" s="15">
        <v>2230</v>
      </c>
      <c r="BT111" s="14">
        <v>1219</v>
      </c>
      <c r="BU111" s="15">
        <v>621</v>
      </c>
      <c r="BV111" s="14">
        <v>543</v>
      </c>
      <c r="BW111" s="15">
        <v>4800</v>
      </c>
      <c r="BX111" s="14">
        <v>1691</v>
      </c>
      <c r="BY111" s="15">
        <v>7102</v>
      </c>
      <c r="BZ111" s="14">
        <v>1676</v>
      </c>
      <c r="CA111" s="15">
        <v>0</v>
      </c>
      <c r="CB111" s="14">
        <v>287</v>
      </c>
      <c r="CC111" s="15">
        <v>4462</v>
      </c>
      <c r="CD111" s="14">
        <v>2091</v>
      </c>
      <c r="CE111" s="15">
        <v>669</v>
      </c>
      <c r="CF111" s="14">
        <v>482</v>
      </c>
      <c r="CG111" s="15">
        <v>430</v>
      </c>
      <c r="CH111" s="14">
        <v>497</v>
      </c>
      <c r="CI111" s="15">
        <v>2562</v>
      </c>
      <c r="CJ111" s="14">
        <v>1256</v>
      </c>
      <c r="CK111" s="15">
        <v>805</v>
      </c>
      <c r="CL111" s="14">
        <v>913</v>
      </c>
      <c r="CM111" s="15">
        <v>4765</v>
      </c>
      <c r="CN111" s="14">
        <v>2102</v>
      </c>
      <c r="CO111" s="15">
        <v>63</v>
      </c>
      <c r="CP111" s="14">
        <v>112</v>
      </c>
      <c r="CQ111" s="18" t="s">
        <v>60</v>
      </c>
      <c r="CR111" s="14" t="s">
        <v>60</v>
      </c>
      <c r="CS111" s="15">
        <v>8701</v>
      </c>
      <c r="CT111" s="14">
        <v>2089</v>
      </c>
      <c r="CU111" s="15">
        <v>2062</v>
      </c>
      <c r="CV111" s="14">
        <v>1241</v>
      </c>
      <c r="CW111" s="15">
        <v>0</v>
      </c>
      <c r="CX111" s="14">
        <v>287</v>
      </c>
      <c r="CY111" s="15">
        <v>8650</v>
      </c>
      <c r="CZ111" s="14">
        <v>2526</v>
      </c>
      <c r="DA111" s="15">
        <v>1412</v>
      </c>
      <c r="DB111" s="14">
        <v>911</v>
      </c>
      <c r="DC111" s="15">
        <v>2201</v>
      </c>
      <c r="DD111" s="14">
        <v>1455</v>
      </c>
      <c r="DE111" s="15">
        <v>2831</v>
      </c>
      <c r="DF111" s="14">
        <v>1402</v>
      </c>
      <c r="DG111" s="15">
        <v>0</v>
      </c>
      <c r="DH111" s="14">
        <v>287</v>
      </c>
      <c r="DI111" s="15">
        <v>0</v>
      </c>
      <c r="DJ111" s="14">
        <v>287</v>
      </c>
      <c r="DM111"/>
      <c r="DN111"/>
      <c r="DO111"/>
      <c r="DP111"/>
    </row>
    <row r="112" spans="9:120" x14ac:dyDescent="0.25">
      <c r="I112" s="15">
        <v>486558</v>
      </c>
      <c r="J112" s="14">
        <v>20955</v>
      </c>
      <c r="K112" s="15">
        <v>8636</v>
      </c>
      <c r="L112" s="14">
        <v>2633</v>
      </c>
      <c r="M112" s="15">
        <v>11613</v>
      </c>
      <c r="N112" s="14">
        <v>3256</v>
      </c>
      <c r="O112" s="15">
        <v>16521</v>
      </c>
      <c r="P112" s="14">
        <v>3719</v>
      </c>
      <c r="Q112" s="15">
        <v>15251</v>
      </c>
      <c r="R112" s="14">
        <v>3182</v>
      </c>
      <c r="S112" s="15">
        <v>68959</v>
      </c>
      <c r="T112" s="14">
        <v>7058</v>
      </c>
      <c r="U112" s="15">
        <v>16361</v>
      </c>
      <c r="V112" s="14">
        <v>3311</v>
      </c>
      <c r="W112" s="15">
        <v>924</v>
      </c>
      <c r="X112" s="14">
        <v>551</v>
      </c>
      <c r="Y112" s="15">
        <v>704</v>
      </c>
      <c r="Z112" s="14">
        <v>533</v>
      </c>
      <c r="AA112" s="15">
        <v>460</v>
      </c>
      <c r="AB112" s="14">
        <v>400</v>
      </c>
      <c r="AC112" s="15">
        <v>26668</v>
      </c>
      <c r="AD112" s="14">
        <v>4238</v>
      </c>
      <c r="AE112" s="15">
        <v>16671</v>
      </c>
      <c r="AF112" s="14">
        <v>3792</v>
      </c>
      <c r="AG112" s="15">
        <v>3718</v>
      </c>
      <c r="AH112" s="14">
        <v>1263</v>
      </c>
      <c r="AI112" s="15">
        <v>2033</v>
      </c>
      <c r="AJ112" s="14">
        <v>1171</v>
      </c>
      <c r="AK112" s="15">
        <v>20169</v>
      </c>
      <c r="AL112" s="14">
        <v>3942</v>
      </c>
      <c r="AM112" s="15">
        <v>6985</v>
      </c>
      <c r="AN112" s="14">
        <v>2350</v>
      </c>
      <c r="AO112" s="15">
        <v>3946</v>
      </c>
      <c r="AP112" s="14">
        <v>1452</v>
      </c>
      <c r="AQ112" s="15">
        <v>11598</v>
      </c>
      <c r="AR112" s="14">
        <v>2743</v>
      </c>
      <c r="AS112" s="15">
        <v>5153</v>
      </c>
      <c r="AT112" s="14">
        <v>1839</v>
      </c>
      <c r="AU112" s="15">
        <v>31149</v>
      </c>
      <c r="AV112" s="14">
        <v>5628</v>
      </c>
      <c r="AW112" s="15">
        <v>1318</v>
      </c>
      <c r="AX112" s="14">
        <v>889</v>
      </c>
      <c r="AY112" s="15">
        <v>4724</v>
      </c>
      <c r="AZ112" s="14">
        <v>1564</v>
      </c>
      <c r="BA112" s="15">
        <v>7139</v>
      </c>
      <c r="BB112" s="14">
        <v>2275</v>
      </c>
      <c r="BC112" s="15">
        <v>13775</v>
      </c>
      <c r="BD112" s="14">
        <v>3091</v>
      </c>
      <c r="BE112" s="15">
        <v>6088</v>
      </c>
      <c r="BF112" s="14">
        <v>2182</v>
      </c>
      <c r="BG112" s="15">
        <v>7773</v>
      </c>
      <c r="BH112" s="14">
        <v>2477</v>
      </c>
      <c r="BI112" s="15">
        <v>12061</v>
      </c>
      <c r="BJ112" s="14">
        <v>2517</v>
      </c>
      <c r="BK112" s="15">
        <v>1027</v>
      </c>
      <c r="BL112" s="14">
        <v>614</v>
      </c>
      <c r="BM112" s="15">
        <v>4893</v>
      </c>
      <c r="BN112" s="14">
        <v>2391</v>
      </c>
      <c r="BO112" s="15">
        <v>8324</v>
      </c>
      <c r="BP112" s="14">
        <v>2790</v>
      </c>
      <c r="BQ112" s="15">
        <v>1067</v>
      </c>
      <c r="BR112" s="14">
        <v>637</v>
      </c>
      <c r="BS112" s="15">
        <v>7058</v>
      </c>
      <c r="BT112" s="14">
        <v>2884</v>
      </c>
      <c r="BU112" s="15">
        <v>11752</v>
      </c>
      <c r="BV112" s="14">
        <v>2780</v>
      </c>
      <c r="BW112" s="15">
        <v>16624</v>
      </c>
      <c r="BX112" s="14">
        <v>4092</v>
      </c>
      <c r="BY112" s="15">
        <v>12183</v>
      </c>
      <c r="BZ112" s="14">
        <v>3708</v>
      </c>
      <c r="CA112" s="15">
        <v>2452</v>
      </c>
      <c r="CB112" s="14">
        <v>1624</v>
      </c>
      <c r="CC112" s="15">
        <v>8317</v>
      </c>
      <c r="CD112" s="14">
        <v>1971</v>
      </c>
      <c r="CE112" s="15">
        <v>22969</v>
      </c>
      <c r="CF112" s="14">
        <v>4302</v>
      </c>
      <c r="CG112" s="15">
        <v>4373</v>
      </c>
      <c r="CH112" s="14">
        <v>1618</v>
      </c>
      <c r="CI112" s="15">
        <v>7161</v>
      </c>
      <c r="CJ112" s="14">
        <v>2092</v>
      </c>
      <c r="CK112" s="15">
        <v>975</v>
      </c>
      <c r="CL112" s="14">
        <v>613</v>
      </c>
      <c r="CM112" s="15">
        <v>5249</v>
      </c>
      <c r="CN112" s="14">
        <v>1965</v>
      </c>
      <c r="CO112" s="15">
        <v>1936</v>
      </c>
      <c r="CP112" s="14">
        <v>836</v>
      </c>
      <c r="CQ112" s="15">
        <v>13044</v>
      </c>
      <c r="CR112" s="14">
        <v>3538</v>
      </c>
      <c r="CS112" s="18" t="s">
        <v>60</v>
      </c>
      <c r="CT112" s="14" t="s">
        <v>60</v>
      </c>
      <c r="CU112" s="15">
        <v>4123</v>
      </c>
      <c r="CV112" s="14">
        <v>1574</v>
      </c>
      <c r="CW112" s="15">
        <v>52</v>
      </c>
      <c r="CX112" s="14">
        <v>88</v>
      </c>
      <c r="CY112" s="15">
        <v>13713</v>
      </c>
      <c r="CZ112" s="14">
        <v>2694</v>
      </c>
      <c r="DA112" s="15">
        <v>8847</v>
      </c>
      <c r="DB112" s="14">
        <v>2397</v>
      </c>
      <c r="DC112" s="15">
        <v>2221</v>
      </c>
      <c r="DD112" s="14">
        <v>1231</v>
      </c>
      <c r="DE112" s="15">
        <v>5927</v>
      </c>
      <c r="DF112" s="14">
        <v>1723</v>
      </c>
      <c r="DG112" s="15">
        <v>1874</v>
      </c>
      <c r="DH112" s="14">
        <v>1022</v>
      </c>
      <c r="DI112" s="15">
        <v>4180</v>
      </c>
      <c r="DJ112" s="14">
        <v>2074</v>
      </c>
      <c r="DM112"/>
      <c r="DN112"/>
      <c r="DO112"/>
      <c r="DP112"/>
    </row>
    <row r="113" spans="9:120" x14ac:dyDescent="0.25">
      <c r="I113" s="15">
        <v>77780</v>
      </c>
      <c r="J113" s="14">
        <v>6769</v>
      </c>
      <c r="K113" s="15">
        <v>93</v>
      </c>
      <c r="L113" s="14">
        <v>114</v>
      </c>
      <c r="M113" s="15">
        <v>1798</v>
      </c>
      <c r="N113" s="14">
        <v>1320</v>
      </c>
      <c r="O113" s="15">
        <v>8147</v>
      </c>
      <c r="P113" s="14">
        <v>2522</v>
      </c>
      <c r="Q113" s="15">
        <v>316</v>
      </c>
      <c r="R113" s="14">
        <v>262</v>
      </c>
      <c r="S113" s="15">
        <v>12187</v>
      </c>
      <c r="T113" s="14">
        <v>2104</v>
      </c>
      <c r="U113" s="15">
        <v>3987</v>
      </c>
      <c r="V113" s="14">
        <v>1226</v>
      </c>
      <c r="W113" s="15">
        <v>119</v>
      </c>
      <c r="X113" s="14">
        <v>148</v>
      </c>
      <c r="Y113" s="15">
        <v>0</v>
      </c>
      <c r="Z113" s="14">
        <v>267</v>
      </c>
      <c r="AA113" s="15">
        <v>138</v>
      </c>
      <c r="AB113" s="14">
        <v>168</v>
      </c>
      <c r="AC113" s="15">
        <v>2097</v>
      </c>
      <c r="AD113" s="14">
        <v>1007</v>
      </c>
      <c r="AE113" s="15">
        <v>966</v>
      </c>
      <c r="AF113" s="14">
        <v>644</v>
      </c>
      <c r="AG113" s="15">
        <v>932</v>
      </c>
      <c r="AH113" s="14">
        <v>930</v>
      </c>
      <c r="AI113" s="15">
        <v>7692</v>
      </c>
      <c r="AJ113" s="14">
        <v>2177</v>
      </c>
      <c r="AK113" s="15">
        <v>1831</v>
      </c>
      <c r="AL113" s="14">
        <v>767</v>
      </c>
      <c r="AM113" s="15">
        <v>517</v>
      </c>
      <c r="AN113" s="14">
        <v>475</v>
      </c>
      <c r="AO113" s="15">
        <v>483</v>
      </c>
      <c r="AP113" s="14">
        <v>348</v>
      </c>
      <c r="AQ113" s="15">
        <v>299</v>
      </c>
      <c r="AR113" s="14">
        <v>340</v>
      </c>
      <c r="AS113" s="15">
        <v>235</v>
      </c>
      <c r="AT113" s="14">
        <v>266</v>
      </c>
      <c r="AU113" s="15">
        <v>46</v>
      </c>
      <c r="AV113" s="14">
        <v>98</v>
      </c>
      <c r="AW113" s="15">
        <v>148</v>
      </c>
      <c r="AX113" s="14">
        <v>237</v>
      </c>
      <c r="AY113" s="15">
        <v>426</v>
      </c>
      <c r="AZ113" s="14">
        <v>302</v>
      </c>
      <c r="BA113" s="15">
        <v>246</v>
      </c>
      <c r="BB113" s="14">
        <v>253</v>
      </c>
      <c r="BC113" s="15">
        <v>261</v>
      </c>
      <c r="BD113" s="14">
        <v>243</v>
      </c>
      <c r="BE113" s="15">
        <v>914</v>
      </c>
      <c r="BF113" s="14">
        <v>545</v>
      </c>
      <c r="BG113" s="15">
        <v>127</v>
      </c>
      <c r="BH113" s="14">
        <v>134</v>
      </c>
      <c r="BI113" s="15">
        <v>1255</v>
      </c>
      <c r="BJ113" s="14">
        <v>929</v>
      </c>
      <c r="BK113" s="15">
        <v>1929</v>
      </c>
      <c r="BL113" s="14">
        <v>1099</v>
      </c>
      <c r="BM113" s="15">
        <v>118</v>
      </c>
      <c r="BN113" s="14">
        <v>121</v>
      </c>
      <c r="BO113" s="15">
        <v>4549</v>
      </c>
      <c r="BP113" s="14">
        <v>1568</v>
      </c>
      <c r="BQ113" s="15">
        <v>0</v>
      </c>
      <c r="BR113" s="14">
        <v>267</v>
      </c>
      <c r="BS113" s="15">
        <v>247</v>
      </c>
      <c r="BT113" s="14">
        <v>240</v>
      </c>
      <c r="BU113" s="15">
        <v>518</v>
      </c>
      <c r="BV113" s="14">
        <v>480</v>
      </c>
      <c r="BW113" s="15">
        <v>1462</v>
      </c>
      <c r="BX113" s="14">
        <v>752</v>
      </c>
      <c r="BY113" s="15">
        <v>1167</v>
      </c>
      <c r="BZ113" s="14">
        <v>840</v>
      </c>
      <c r="CA113" s="15">
        <v>0</v>
      </c>
      <c r="CB113" s="14">
        <v>267</v>
      </c>
      <c r="CC113" s="15">
        <v>1527</v>
      </c>
      <c r="CD113" s="14">
        <v>1163</v>
      </c>
      <c r="CE113" s="15">
        <v>886</v>
      </c>
      <c r="CF113" s="14">
        <v>947</v>
      </c>
      <c r="CG113" s="15">
        <v>2525</v>
      </c>
      <c r="CH113" s="14">
        <v>1094</v>
      </c>
      <c r="CI113" s="15">
        <v>557</v>
      </c>
      <c r="CJ113" s="14">
        <v>347</v>
      </c>
      <c r="CK113" s="15">
        <v>0</v>
      </c>
      <c r="CL113" s="14">
        <v>267</v>
      </c>
      <c r="CM113" s="15">
        <v>838</v>
      </c>
      <c r="CN113" s="14">
        <v>716</v>
      </c>
      <c r="CO113" s="15">
        <v>875</v>
      </c>
      <c r="CP113" s="14">
        <v>1215</v>
      </c>
      <c r="CQ113" s="15">
        <v>459</v>
      </c>
      <c r="CR113" s="14">
        <v>385</v>
      </c>
      <c r="CS113" s="15">
        <v>5305</v>
      </c>
      <c r="CT113" s="14">
        <v>1508</v>
      </c>
      <c r="CU113" s="18" t="s">
        <v>60</v>
      </c>
      <c r="CV113" s="14" t="s">
        <v>60</v>
      </c>
      <c r="CW113" s="15">
        <v>297</v>
      </c>
      <c r="CX113" s="14">
        <v>494</v>
      </c>
      <c r="CY113" s="15">
        <v>3005</v>
      </c>
      <c r="CZ113" s="14">
        <v>2000</v>
      </c>
      <c r="DA113" s="15">
        <v>3792</v>
      </c>
      <c r="DB113" s="14">
        <v>1538</v>
      </c>
      <c r="DC113" s="15">
        <v>0</v>
      </c>
      <c r="DD113" s="14">
        <v>267</v>
      </c>
      <c r="DE113" s="15">
        <v>338</v>
      </c>
      <c r="DF113" s="14">
        <v>323</v>
      </c>
      <c r="DG113" s="15">
        <v>2126</v>
      </c>
      <c r="DH113" s="14">
        <v>1168</v>
      </c>
      <c r="DI113" s="15">
        <v>383</v>
      </c>
      <c r="DJ113" s="14">
        <v>446</v>
      </c>
      <c r="DM113"/>
      <c r="DN113"/>
      <c r="DO113"/>
      <c r="DP113"/>
    </row>
    <row r="114" spans="9:120" x14ac:dyDescent="0.25">
      <c r="I114" s="15">
        <v>22529</v>
      </c>
      <c r="J114" s="14">
        <v>2945</v>
      </c>
      <c r="K114" s="15">
        <v>0</v>
      </c>
      <c r="L114" s="14">
        <v>211</v>
      </c>
      <c r="M114" s="15">
        <v>184</v>
      </c>
      <c r="N114" s="14">
        <v>181</v>
      </c>
      <c r="O114" s="15">
        <v>65</v>
      </c>
      <c r="P114" s="14">
        <v>76</v>
      </c>
      <c r="Q114" s="15">
        <v>0</v>
      </c>
      <c r="R114" s="14">
        <v>211</v>
      </c>
      <c r="S114" s="15">
        <v>1001</v>
      </c>
      <c r="T114" s="14">
        <v>506</v>
      </c>
      <c r="U114" s="15">
        <v>326</v>
      </c>
      <c r="V114" s="14">
        <v>238</v>
      </c>
      <c r="W114" s="15">
        <v>1287</v>
      </c>
      <c r="X114" s="14">
        <v>585</v>
      </c>
      <c r="Y114" s="15">
        <v>87</v>
      </c>
      <c r="Z114" s="14">
        <v>111</v>
      </c>
      <c r="AA114" s="15">
        <v>9</v>
      </c>
      <c r="AB114" s="14">
        <v>15</v>
      </c>
      <c r="AC114" s="15">
        <v>2063</v>
      </c>
      <c r="AD114" s="14">
        <v>1237</v>
      </c>
      <c r="AE114" s="15">
        <v>496</v>
      </c>
      <c r="AF114" s="14">
        <v>395</v>
      </c>
      <c r="AG114" s="15">
        <v>49</v>
      </c>
      <c r="AH114" s="14">
        <v>71</v>
      </c>
      <c r="AI114" s="15">
        <v>0</v>
      </c>
      <c r="AJ114" s="14">
        <v>211</v>
      </c>
      <c r="AK114" s="15">
        <v>370</v>
      </c>
      <c r="AL114" s="14">
        <v>415</v>
      </c>
      <c r="AM114" s="15">
        <v>0</v>
      </c>
      <c r="AN114" s="14">
        <v>211</v>
      </c>
      <c r="AO114" s="15">
        <v>91</v>
      </c>
      <c r="AP114" s="14">
        <v>93</v>
      </c>
      <c r="AQ114" s="15">
        <v>0</v>
      </c>
      <c r="AR114" s="14">
        <v>211</v>
      </c>
      <c r="AS114" s="15">
        <v>176</v>
      </c>
      <c r="AT114" s="14">
        <v>146</v>
      </c>
      <c r="AU114" s="15">
        <v>0</v>
      </c>
      <c r="AV114" s="14">
        <v>211</v>
      </c>
      <c r="AW114" s="15">
        <v>824</v>
      </c>
      <c r="AX114" s="14">
        <v>365</v>
      </c>
      <c r="AY114" s="15">
        <v>300</v>
      </c>
      <c r="AZ114" s="14">
        <v>294</v>
      </c>
      <c r="BA114" s="15">
        <v>3599</v>
      </c>
      <c r="BB114" s="14">
        <v>1075</v>
      </c>
      <c r="BC114" s="15">
        <v>201</v>
      </c>
      <c r="BD114" s="14">
        <v>209</v>
      </c>
      <c r="BE114" s="15">
        <v>85</v>
      </c>
      <c r="BF114" s="14">
        <v>116</v>
      </c>
      <c r="BG114" s="15">
        <v>0</v>
      </c>
      <c r="BH114" s="14">
        <v>211</v>
      </c>
      <c r="BI114" s="15">
        <v>51</v>
      </c>
      <c r="BJ114" s="14">
        <v>86</v>
      </c>
      <c r="BK114" s="15">
        <v>236</v>
      </c>
      <c r="BL114" s="14">
        <v>207</v>
      </c>
      <c r="BM114" s="15">
        <v>0</v>
      </c>
      <c r="BN114" s="14">
        <v>211</v>
      </c>
      <c r="BO114" s="15">
        <v>58</v>
      </c>
      <c r="BP114" s="14">
        <v>75</v>
      </c>
      <c r="BQ114" s="15">
        <v>2760</v>
      </c>
      <c r="BR114" s="14">
        <v>827</v>
      </c>
      <c r="BS114" s="15">
        <v>751</v>
      </c>
      <c r="BT114" s="14">
        <v>390</v>
      </c>
      <c r="BU114" s="15">
        <v>0</v>
      </c>
      <c r="BV114" s="14">
        <v>211</v>
      </c>
      <c r="BW114" s="15">
        <v>4056</v>
      </c>
      <c r="BX114" s="14">
        <v>1050</v>
      </c>
      <c r="BY114" s="15">
        <v>539</v>
      </c>
      <c r="BZ114" s="14">
        <v>455</v>
      </c>
      <c r="CA114" s="15">
        <v>30</v>
      </c>
      <c r="CB114" s="14">
        <v>50</v>
      </c>
      <c r="CC114" s="15">
        <v>50</v>
      </c>
      <c r="CD114" s="14">
        <v>65</v>
      </c>
      <c r="CE114" s="15">
        <v>0</v>
      </c>
      <c r="CF114" s="14">
        <v>211</v>
      </c>
      <c r="CG114" s="15">
        <v>100</v>
      </c>
      <c r="CH114" s="14">
        <v>122</v>
      </c>
      <c r="CI114" s="15">
        <v>524</v>
      </c>
      <c r="CJ114" s="14">
        <v>339</v>
      </c>
      <c r="CK114" s="15">
        <v>227</v>
      </c>
      <c r="CL114" s="14">
        <v>154</v>
      </c>
      <c r="CM114" s="15">
        <v>134</v>
      </c>
      <c r="CN114" s="14">
        <v>157</v>
      </c>
      <c r="CO114" s="15">
        <v>153</v>
      </c>
      <c r="CP114" s="14">
        <v>214</v>
      </c>
      <c r="CQ114" s="15">
        <v>125</v>
      </c>
      <c r="CR114" s="14">
        <v>104</v>
      </c>
      <c r="CS114" s="15">
        <v>565</v>
      </c>
      <c r="CT114" s="14">
        <v>449</v>
      </c>
      <c r="CU114" s="15">
        <v>0</v>
      </c>
      <c r="CV114" s="14">
        <v>211</v>
      </c>
      <c r="CW114" s="18" t="s">
        <v>60</v>
      </c>
      <c r="CX114" s="14" t="s">
        <v>60</v>
      </c>
      <c r="CY114" s="15">
        <v>400</v>
      </c>
      <c r="CZ114" s="14">
        <v>361</v>
      </c>
      <c r="DA114" s="15">
        <v>128</v>
      </c>
      <c r="DB114" s="14">
        <v>115</v>
      </c>
      <c r="DC114" s="15">
        <v>0</v>
      </c>
      <c r="DD114" s="14">
        <v>211</v>
      </c>
      <c r="DE114" s="15">
        <v>377</v>
      </c>
      <c r="DF114" s="14">
        <v>488</v>
      </c>
      <c r="DG114" s="15">
        <v>52</v>
      </c>
      <c r="DH114" s="14">
        <v>86</v>
      </c>
      <c r="DI114" s="15">
        <v>0</v>
      </c>
      <c r="DJ114" s="14">
        <v>211</v>
      </c>
      <c r="DM114"/>
      <c r="DN114"/>
      <c r="DO114"/>
      <c r="DP114"/>
    </row>
    <row r="115" spans="9:120" x14ac:dyDescent="0.25">
      <c r="I115" s="15">
        <v>259507</v>
      </c>
      <c r="J115" s="14">
        <v>12319</v>
      </c>
      <c r="K115" s="15">
        <v>2671</v>
      </c>
      <c r="L115" s="14">
        <v>1201</v>
      </c>
      <c r="M115" s="15">
        <v>3296</v>
      </c>
      <c r="N115" s="14">
        <v>1952</v>
      </c>
      <c r="O115" s="15">
        <v>3807</v>
      </c>
      <c r="P115" s="14">
        <v>1454</v>
      </c>
      <c r="Q115" s="15">
        <v>1233</v>
      </c>
      <c r="R115" s="14">
        <v>1034</v>
      </c>
      <c r="S115" s="15">
        <v>17088</v>
      </c>
      <c r="T115" s="14">
        <v>3674</v>
      </c>
      <c r="U115" s="15">
        <v>3229</v>
      </c>
      <c r="V115" s="14">
        <v>1571</v>
      </c>
      <c r="W115" s="15">
        <v>2468</v>
      </c>
      <c r="X115" s="14">
        <v>921</v>
      </c>
      <c r="Y115" s="15">
        <v>1265</v>
      </c>
      <c r="Z115" s="14">
        <v>828</v>
      </c>
      <c r="AA115" s="15">
        <v>10593</v>
      </c>
      <c r="AB115" s="14">
        <v>2299</v>
      </c>
      <c r="AC115" s="15">
        <v>18165</v>
      </c>
      <c r="AD115" s="14">
        <v>3554</v>
      </c>
      <c r="AE115" s="15">
        <v>11927</v>
      </c>
      <c r="AF115" s="14">
        <v>3210</v>
      </c>
      <c r="AG115" s="15">
        <v>2347</v>
      </c>
      <c r="AH115" s="14">
        <v>1394</v>
      </c>
      <c r="AI115" s="15">
        <v>1159</v>
      </c>
      <c r="AJ115" s="14">
        <v>787</v>
      </c>
      <c r="AK115" s="15">
        <v>7576</v>
      </c>
      <c r="AL115" s="14">
        <v>2202</v>
      </c>
      <c r="AM115" s="15">
        <v>2892</v>
      </c>
      <c r="AN115" s="14">
        <v>1856</v>
      </c>
      <c r="AO115" s="15">
        <v>1135</v>
      </c>
      <c r="AP115" s="14">
        <v>758</v>
      </c>
      <c r="AQ115" s="15">
        <v>2103</v>
      </c>
      <c r="AR115" s="14">
        <v>1418</v>
      </c>
      <c r="AS115" s="15">
        <v>2051</v>
      </c>
      <c r="AT115" s="14">
        <v>1056</v>
      </c>
      <c r="AU115" s="15">
        <v>2148</v>
      </c>
      <c r="AV115" s="14">
        <v>926</v>
      </c>
      <c r="AW115" s="15">
        <v>1494</v>
      </c>
      <c r="AX115" s="14">
        <v>932</v>
      </c>
      <c r="AY115" s="15">
        <v>24822</v>
      </c>
      <c r="AZ115" s="14">
        <v>4371</v>
      </c>
      <c r="BA115" s="15">
        <v>4104</v>
      </c>
      <c r="BB115" s="14">
        <v>1347</v>
      </c>
      <c r="BC115" s="15">
        <v>5733</v>
      </c>
      <c r="BD115" s="14">
        <v>2245</v>
      </c>
      <c r="BE115" s="15">
        <v>462</v>
      </c>
      <c r="BF115" s="14">
        <v>292</v>
      </c>
      <c r="BG115" s="15">
        <v>1858</v>
      </c>
      <c r="BH115" s="14">
        <v>1007</v>
      </c>
      <c r="BI115" s="15">
        <v>4262</v>
      </c>
      <c r="BJ115" s="14">
        <v>2141</v>
      </c>
      <c r="BK115" s="15">
        <v>866</v>
      </c>
      <c r="BL115" s="14">
        <v>1090</v>
      </c>
      <c r="BM115" s="15">
        <v>523</v>
      </c>
      <c r="BN115" s="14">
        <v>475</v>
      </c>
      <c r="BO115" s="15">
        <v>748</v>
      </c>
      <c r="BP115" s="14">
        <v>469</v>
      </c>
      <c r="BQ115" s="15">
        <v>372</v>
      </c>
      <c r="BR115" s="14">
        <v>515</v>
      </c>
      <c r="BS115" s="15">
        <v>6825</v>
      </c>
      <c r="BT115" s="14">
        <v>1687</v>
      </c>
      <c r="BU115" s="15">
        <v>1098</v>
      </c>
      <c r="BV115" s="14">
        <v>735</v>
      </c>
      <c r="BW115" s="15">
        <v>17525</v>
      </c>
      <c r="BX115" s="14">
        <v>3087</v>
      </c>
      <c r="BY115" s="15">
        <v>23829</v>
      </c>
      <c r="BZ115" s="14">
        <v>4041</v>
      </c>
      <c r="CA115" s="15">
        <v>201</v>
      </c>
      <c r="CB115" s="14">
        <v>325</v>
      </c>
      <c r="CC115" s="15">
        <v>7708</v>
      </c>
      <c r="CD115" s="14">
        <v>2181</v>
      </c>
      <c r="CE115" s="15">
        <v>781</v>
      </c>
      <c r="CF115" s="14">
        <v>611</v>
      </c>
      <c r="CG115" s="15">
        <v>2137</v>
      </c>
      <c r="CH115" s="14">
        <v>2081</v>
      </c>
      <c r="CI115" s="15">
        <v>11796</v>
      </c>
      <c r="CJ115" s="14">
        <v>2546</v>
      </c>
      <c r="CK115" s="15">
        <v>1543</v>
      </c>
      <c r="CL115" s="14">
        <v>1150</v>
      </c>
      <c r="CM115" s="15">
        <v>8339</v>
      </c>
      <c r="CN115" s="14">
        <v>2247</v>
      </c>
      <c r="CO115" s="15">
        <v>98</v>
      </c>
      <c r="CP115" s="14">
        <v>179</v>
      </c>
      <c r="CQ115" s="15">
        <v>5842</v>
      </c>
      <c r="CR115" s="14">
        <v>1776</v>
      </c>
      <c r="CS115" s="15">
        <v>12938</v>
      </c>
      <c r="CT115" s="14">
        <v>3212</v>
      </c>
      <c r="CU115" s="15">
        <v>1551</v>
      </c>
      <c r="CV115" s="14">
        <v>822</v>
      </c>
      <c r="CW115" s="15">
        <v>676</v>
      </c>
      <c r="CX115" s="14">
        <v>599</v>
      </c>
      <c r="CY115" s="18" t="s">
        <v>60</v>
      </c>
      <c r="CZ115" s="14" t="s">
        <v>60</v>
      </c>
      <c r="DA115" s="15">
        <v>4373</v>
      </c>
      <c r="DB115" s="14">
        <v>1700</v>
      </c>
      <c r="DC115" s="15">
        <v>6779</v>
      </c>
      <c r="DD115" s="14">
        <v>2481</v>
      </c>
      <c r="DE115" s="15">
        <v>2648</v>
      </c>
      <c r="DF115" s="14">
        <v>1525</v>
      </c>
      <c r="DG115" s="15">
        <v>423</v>
      </c>
      <c r="DH115" s="14">
        <v>429</v>
      </c>
      <c r="DI115" s="15">
        <v>1306</v>
      </c>
      <c r="DJ115" s="14">
        <v>872</v>
      </c>
      <c r="DM115"/>
      <c r="DN115"/>
      <c r="DO115"/>
      <c r="DP115"/>
    </row>
    <row r="116" spans="9:120" x14ac:dyDescent="0.25">
      <c r="I116" s="15">
        <v>191784</v>
      </c>
      <c r="J116" s="14">
        <v>12094</v>
      </c>
      <c r="K116" s="15">
        <v>1322</v>
      </c>
      <c r="L116" s="14">
        <v>1150</v>
      </c>
      <c r="M116" s="15">
        <v>5644</v>
      </c>
      <c r="N116" s="14">
        <v>2055</v>
      </c>
      <c r="O116" s="15">
        <v>5971</v>
      </c>
      <c r="P116" s="14">
        <v>2284</v>
      </c>
      <c r="Q116" s="15">
        <v>658</v>
      </c>
      <c r="R116" s="14">
        <v>531</v>
      </c>
      <c r="S116" s="15">
        <v>39468</v>
      </c>
      <c r="T116" s="14">
        <v>5451</v>
      </c>
      <c r="U116" s="15">
        <v>4883</v>
      </c>
      <c r="V116" s="14">
        <v>1316</v>
      </c>
      <c r="W116" s="15">
        <v>642</v>
      </c>
      <c r="X116" s="14">
        <v>450</v>
      </c>
      <c r="Y116" s="15">
        <v>202</v>
      </c>
      <c r="Z116" s="14">
        <v>198</v>
      </c>
      <c r="AA116" s="15">
        <v>243</v>
      </c>
      <c r="AB116" s="14">
        <v>260</v>
      </c>
      <c r="AC116" s="15">
        <v>5378</v>
      </c>
      <c r="AD116" s="14">
        <v>1314</v>
      </c>
      <c r="AE116" s="15">
        <v>3107</v>
      </c>
      <c r="AF116" s="14">
        <v>1650</v>
      </c>
      <c r="AG116" s="15">
        <v>4246</v>
      </c>
      <c r="AH116" s="14">
        <v>1482</v>
      </c>
      <c r="AI116" s="15">
        <v>12661</v>
      </c>
      <c r="AJ116" s="14">
        <v>3237</v>
      </c>
      <c r="AK116" s="15">
        <v>3931</v>
      </c>
      <c r="AL116" s="14">
        <v>1438</v>
      </c>
      <c r="AM116" s="15">
        <v>1912</v>
      </c>
      <c r="AN116" s="14">
        <v>1321</v>
      </c>
      <c r="AO116" s="15">
        <v>1685</v>
      </c>
      <c r="AP116" s="14">
        <v>993</v>
      </c>
      <c r="AQ116" s="15">
        <v>1694</v>
      </c>
      <c r="AR116" s="14">
        <v>1174</v>
      </c>
      <c r="AS116" s="15">
        <v>886</v>
      </c>
      <c r="AT116" s="14">
        <v>626</v>
      </c>
      <c r="AU116" s="15">
        <v>1011</v>
      </c>
      <c r="AV116" s="14">
        <v>588</v>
      </c>
      <c r="AW116" s="15">
        <v>717</v>
      </c>
      <c r="AX116" s="14">
        <v>653</v>
      </c>
      <c r="AY116" s="15">
        <v>629</v>
      </c>
      <c r="AZ116" s="14">
        <v>445</v>
      </c>
      <c r="BA116" s="15">
        <v>1448</v>
      </c>
      <c r="BB116" s="14">
        <v>796</v>
      </c>
      <c r="BC116" s="15">
        <v>2871</v>
      </c>
      <c r="BD116" s="14">
        <v>1443</v>
      </c>
      <c r="BE116" s="15">
        <v>1323</v>
      </c>
      <c r="BF116" s="14">
        <v>656</v>
      </c>
      <c r="BG116" s="15">
        <v>737</v>
      </c>
      <c r="BH116" s="14">
        <v>784</v>
      </c>
      <c r="BI116" s="15">
        <v>3727</v>
      </c>
      <c r="BJ116" s="14">
        <v>2288</v>
      </c>
      <c r="BK116" s="15">
        <v>5094</v>
      </c>
      <c r="BL116" s="14">
        <v>1449</v>
      </c>
      <c r="BM116" s="15">
        <v>323</v>
      </c>
      <c r="BN116" s="14">
        <v>245</v>
      </c>
      <c r="BO116" s="15">
        <v>5310</v>
      </c>
      <c r="BP116" s="14">
        <v>1954</v>
      </c>
      <c r="BQ116" s="15">
        <v>282</v>
      </c>
      <c r="BR116" s="14">
        <v>305</v>
      </c>
      <c r="BS116" s="15">
        <v>721</v>
      </c>
      <c r="BT116" s="14">
        <v>604</v>
      </c>
      <c r="BU116" s="15">
        <v>1012</v>
      </c>
      <c r="BV116" s="14">
        <v>599</v>
      </c>
      <c r="BW116" s="15">
        <v>4140</v>
      </c>
      <c r="BX116" s="14">
        <v>1494</v>
      </c>
      <c r="BY116" s="15">
        <v>2143</v>
      </c>
      <c r="BZ116" s="14">
        <v>1189</v>
      </c>
      <c r="CA116" s="15">
        <v>515</v>
      </c>
      <c r="CB116" s="14">
        <v>426</v>
      </c>
      <c r="CC116" s="15">
        <v>2727</v>
      </c>
      <c r="CD116" s="14">
        <v>1146</v>
      </c>
      <c r="CE116" s="15">
        <v>1986</v>
      </c>
      <c r="CF116" s="14">
        <v>1131</v>
      </c>
      <c r="CG116" s="15">
        <v>26235</v>
      </c>
      <c r="CH116" s="14">
        <v>4414</v>
      </c>
      <c r="CI116" s="15">
        <v>2893</v>
      </c>
      <c r="CJ116" s="14">
        <v>1410</v>
      </c>
      <c r="CK116" s="15">
        <v>220</v>
      </c>
      <c r="CL116" s="14">
        <v>197</v>
      </c>
      <c r="CM116" s="15">
        <v>3047</v>
      </c>
      <c r="CN116" s="14">
        <v>1800</v>
      </c>
      <c r="CO116" s="15">
        <v>866</v>
      </c>
      <c r="CP116" s="14">
        <v>729</v>
      </c>
      <c r="CQ116" s="15">
        <v>789</v>
      </c>
      <c r="CR116" s="14">
        <v>511</v>
      </c>
      <c r="CS116" s="15">
        <v>11338</v>
      </c>
      <c r="CT116" s="14">
        <v>3003</v>
      </c>
      <c r="CU116" s="15">
        <v>4020</v>
      </c>
      <c r="CV116" s="14">
        <v>1681</v>
      </c>
      <c r="CW116" s="15">
        <v>981</v>
      </c>
      <c r="CX116" s="14">
        <v>803</v>
      </c>
      <c r="CY116" s="15">
        <v>7266</v>
      </c>
      <c r="CZ116" s="14">
        <v>2764</v>
      </c>
      <c r="DA116" s="18" t="s">
        <v>60</v>
      </c>
      <c r="DB116" s="14" t="s">
        <v>60</v>
      </c>
      <c r="DC116" s="15">
        <v>62</v>
      </c>
      <c r="DD116" s="14">
        <v>107</v>
      </c>
      <c r="DE116" s="15">
        <v>2180</v>
      </c>
      <c r="DF116" s="14">
        <v>1074</v>
      </c>
      <c r="DG116" s="15">
        <v>638</v>
      </c>
      <c r="DH116" s="14">
        <v>524</v>
      </c>
      <c r="DI116" s="15">
        <v>0</v>
      </c>
      <c r="DJ116" s="14">
        <v>277</v>
      </c>
      <c r="DM116"/>
      <c r="DN116"/>
      <c r="DO116"/>
      <c r="DP116"/>
    </row>
    <row r="117" spans="9:120" x14ac:dyDescent="0.25">
      <c r="I117" s="15">
        <v>39609</v>
      </c>
      <c r="J117" s="14">
        <v>4590</v>
      </c>
      <c r="K117" s="15">
        <v>41</v>
      </c>
      <c r="L117" s="14">
        <v>69</v>
      </c>
      <c r="M117" s="15">
        <v>1326</v>
      </c>
      <c r="N117" s="14">
        <v>1210</v>
      </c>
      <c r="O117" s="15">
        <v>0</v>
      </c>
      <c r="P117" s="14">
        <v>269</v>
      </c>
      <c r="Q117" s="15">
        <v>0</v>
      </c>
      <c r="R117" s="14">
        <v>269</v>
      </c>
      <c r="S117" s="15">
        <v>760</v>
      </c>
      <c r="T117" s="14">
        <v>511</v>
      </c>
      <c r="U117" s="15">
        <v>608</v>
      </c>
      <c r="V117" s="14">
        <v>553</v>
      </c>
      <c r="W117" s="15">
        <v>84</v>
      </c>
      <c r="X117" s="14">
        <v>148</v>
      </c>
      <c r="Y117" s="15">
        <v>556</v>
      </c>
      <c r="Z117" s="14">
        <v>506</v>
      </c>
      <c r="AA117" s="15">
        <v>480</v>
      </c>
      <c r="AB117" s="14">
        <v>466</v>
      </c>
      <c r="AC117" s="15">
        <v>1842</v>
      </c>
      <c r="AD117" s="14">
        <v>825</v>
      </c>
      <c r="AE117" s="15">
        <v>485</v>
      </c>
      <c r="AF117" s="14">
        <v>354</v>
      </c>
      <c r="AG117" s="15">
        <v>0</v>
      </c>
      <c r="AH117" s="14">
        <v>269</v>
      </c>
      <c r="AI117" s="15">
        <v>88</v>
      </c>
      <c r="AJ117" s="14">
        <v>158</v>
      </c>
      <c r="AK117" s="15">
        <v>356</v>
      </c>
      <c r="AL117" s="14">
        <v>338</v>
      </c>
      <c r="AM117" s="15">
        <v>366</v>
      </c>
      <c r="AN117" s="14">
        <v>311</v>
      </c>
      <c r="AO117" s="15">
        <v>0</v>
      </c>
      <c r="AP117" s="14">
        <v>269</v>
      </c>
      <c r="AQ117" s="15">
        <v>161</v>
      </c>
      <c r="AR117" s="14">
        <v>198</v>
      </c>
      <c r="AS117" s="15">
        <v>851</v>
      </c>
      <c r="AT117" s="14">
        <v>732</v>
      </c>
      <c r="AU117" s="15">
        <v>60</v>
      </c>
      <c r="AV117" s="14">
        <v>117</v>
      </c>
      <c r="AW117" s="15">
        <v>0</v>
      </c>
      <c r="AX117" s="14">
        <v>269</v>
      </c>
      <c r="AY117" s="15">
        <v>4249</v>
      </c>
      <c r="AZ117" s="14">
        <v>1182</v>
      </c>
      <c r="BA117" s="15">
        <v>191</v>
      </c>
      <c r="BB117" s="14">
        <v>169</v>
      </c>
      <c r="BC117" s="15">
        <v>657</v>
      </c>
      <c r="BD117" s="14">
        <v>379</v>
      </c>
      <c r="BE117" s="15">
        <v>0</v>
      </c>
      <c r="BF117" s="14">
        <v>269</v>
      </c>
      <c r="BG117" s="15">
        <v>44</v>
      </c>
      <c r="BH117" s="14">
        <v>75</v>
      </c>
      <c r="BI117" s="15">
        <v>160</v>
      </c>
      <c r="BJ117" s="14">
        <v>190</v>
      </c>
      <c r="BK117" s="15">
        <v>39</v>
      </c>
      <c r="BL117" s="14">
        <v>62</v>
      </c>
      <c r="BM117" s="15">
        <v>0</v>
      </c>
      <c r="BN117" s="14">
        <v>269</v>
      </c>
      <c r="BO117" s="15">
        <v>25</v>
      </c>
      <c r="BP117" s="14">
        <v>42</v>
      </c>
      <c r="BQ117" s="15">
        <v>107</v>
      </c>
      <c r="BR117" s="14">
        <v>185</v>
      </c>
      <c r="BS117" s="15">
        <v>906</v>
      </c>
      <c r="BT117" s="14">
        <v>537</v>
      </c>
      <c r="BU117" s="15">
        <v>0</v>
      </c>
      <c r="BV117" s="14">
        <v>269</v>
      </c>
      <c r="BW117" s="15">
        <v>611</v>
      </c>
      <c r="BX117" s="14">
        <v>416</v>
      </c>
      <c r="BY117" s="15">
        <v>2552</v>
      </c>
      <c r="BZ117" s="14">
        <v>985</v>
      </c>
      <c r="CA117" s="15">
        <v>268</v>
      </c>
      <c r="CB117" s="14">
        <v>399</v>
      </c>
      <c r="CC117" s="15">
        <v>7925</v>
      </c>
      <c r="CD117" s="14">
        <v>2201</v>
      </c>
      <c r="CE117" s="15">
        <v>229</v>
      </c>
      <c r="CF117" s="14">
        <v>363</v>
      </c>
      <c r="CG117" s="15">
        <v>0</v>
      </c>
      <c r="CH117" s="14">
        <v>269</v>
      </c>
      <c r="CI117" s="15">
        <v>4908</v>
      </c>
      <c r="CJ117" s="14">
        <v>1396</v>
      </c>
      <c r="CK117" s="15">
        <v>238</v>
      </c>
      <c r="CL117" s="14">
        <v>292</v>
      </c>
      <c r="CM117" s="15">
        <v>647</v>
      </c>
      <c r="CN117" s="14">
        <v>493</v>
      </c>
      <c r="CO117" s="15">
        <v>0</v>
      </c>
      <c r="CP117" s="14">
        <v>269</v>
      </c>
      <c r="CQ117" s="15">
        <v>1160</v>
      </c>
      <c r="CR117" s="14">
        <v>833</v>
      </c>
      <c r="CS117" s="15">
        <v>968</v>
      </c>
      <c r="CT117" s="14">
        <v>650</v>
      </c>
      <c r="CU117" s="15">
        <v>112</v>
      </c>
      <c r="CV117" s="14">
        <v>144</v>
      </c>
      <c r="CW117" s="15">
        <v>208</v>
      </c>
      <c r="CX117" s="14">
        <v>205</v>
      </c>
      <c r="CY117" s="15">
        <v>4999</v>
      </c>
      <c r="CZ117" s="14">
        <v>1573</v>
      </c>
      <c r="DA117" s="15">
        <v>192</v>
      </c>
      <c r="DB117" s="14">
        <v>199</v>
      </c>
      <c r="DC117" s="18" t="s">
        <v>60</v>
      </c>
      <c r="DD117" s="14" t="s">
        <v>60</v>
      </c>
      <c r="DE117" s="15">
        <v>150</v>
      </c>
      <c r="DF117" s="14">
        <v>188</v>
      </c>
      <c r="DG117" s="15">
        <v>0</v>
      </c>
      <c r="DH117" s="14">
        <v>269</v>
      </c>
      <c r="DI117" s="15">
        <v>182</v>
      </c>
      <c r="DJ117" s="14">
        <v>232</v>
      </c>
      <c r="DM117"/>
      <c r="DN117"/>
      <c r="DO117"/>
      <c r="DP117"/>
    </row>
    <row r="118" spans="9:120" x14ac:dyDescent="0.25">
      <c r="I118" s="15">
        <v>93065</v>
      </c>
      <c r="J118" s="14">
        <v>6949</v>
      </c>
      <c r="K118" s="15">
        <v>552</v>
      </c>
      <c r="L118" s="14">
        <v>523</v>
      </c>
      <c r="M118" s="15">
        <v>798</v>
      </c>
      <c r="N118" s="14">
        <v>549</v>
      </c>
      <c r="O118" s="15">
        <v>1854</v>
      </c>
      <c r="P118" s="14">
        <v>674</v>
      </c>
      <c r="Q118" s="15">
        <v>518</v>
      </c>
      <c r="R118" s="14">
        <v>299</v>
      </c>
      <c r="S118" s="15">
        <v>4506</v>
      </c>
      <c r="T118" s="14">
        <v>1080</v>
      </c>
      <c r="U118" s="15">
        <v>1890</v>
      </c>
      <c r="V118" s="14">
        <v>806</v>
      </c>
      <c r="W118" s="15">
        <v>359</v>
      </c>
      <c r="X118" s="14">
        <v>356</v>
      </c>
      <c r="Y118" s="15">
        <v>351</v>
      </c>
      <c r="Z118" s="14">
        <v>522</v>
      </c>
      <c r="AA118" s="15">
        <v>98</v>
      </c>
      <c r="AB118" s="14">
        <v>118</v>
      </c>
      <c r="AC118" s="15">
        <v>4492</v>
      </c>
      <c r="AD118" s="14">
        <v>1416</v>
      </c>
      <c r="AE118" s="15">
        <v>1656</v>
      </c>
      <c r="AF118" s="14">
        <v>684</v>
      </c>
      <c r="AG118" s="15">
        <v>550</v>
      </c>
      <c r="AH118" s="14">
        <v>532</v>
      </c>
      <c r="AI118" s="15">
        <v>902</v>
      </c>
      <c r="AJ118" s="14">
        <v>771</v>
      </c>
      <c r="AK118" s="15">
        <v>20299</v>
      </c>
      <c r="AL118" s="14">
        <v>3115</v>
      </c>
      <c r="AM118" s="15">
        <v>2563</v>
      </c>
      <c r="AN118" s="14">
        <v>921</v>
      </c>
      <c r="AO118" s="15">
        <v>2300</v>
      </c>
      <c r="AP118" s="14">
        <v>936</v>
      </c>
      <c r="AQ118" s="15">
        <v>752</v>
      </c>
      <c r="AR118" s="14">
        <v>696</v>
      </c>
      <c r="AS118" s="15">
        <v>287</v>
      </c>
      <c r="AT118" s="14">
        <v>215</v>
      </c>
      <c r="AU118" s="15">
        <v>331</v>
      </c>
      <c r="AV118" s="14">
        <v>302</v>
      </c>
      <c r="AW118" s="15">
        <v>448</v>
      </c>
      <c r="AX118" s="14">
        <v>427</v>
      </c>
      <c r="AY118" s="15">
        <v>1088</v>
      </c>
      <c r="AZ118" s="14">
        <v>700</v>
      </c>
      <c r="BA118" s="15">
        <v>992</v>
      </c>
      <c r="BB118" s="14">
        <v>1121</v>
      </c>
      <c r="BC118" s="15">
        <v>6317</v>
      </c>
      <c r="BD118" s="14">
        <v>1567</v>
      </c>
      <c r="BE118" s="15">
        <v>16741</v>
      </c>
      <c r="BF118" s="14">
        <v>2575</v>
      </c>
      <c r="BG118" s="15">
        <v>810</v>
      </c>
      <c r="BH118" s="14">
        <v>987</v>
      </c>
      <c r="BI118" s="15">
        <v>1716</v>
      </c>
      <c r="BJ118" s="14">
        <v>890</v>
      </c>
      <c r="BK118" s="15">
        <v>154</v>
      </c>
      <c r="BL118" s="14">
        <v>164</v>
      </c>
      <c r="BM118" s="15">
        <v>853</v>
      </c>
      <c r="BN118" s="14">
        <v>685</v>
      </c>
      <c r="BO118" s="15">
        <v>1049</v>
      </c>
      <c r="BP118" s="14">
        <v>897</v>
      </c>
      <c r="BQ118" s="15">
        <v>69</v>
      </c>
      <c r="BR118" s="14">
        <v>116</v>
      </c>
      <c r="BS118" s="15">
        <v>632</v>
      </c>
      <c r="BT118" s="14">
        <v>422</v>
      </c>
      <c r="BU118" s="15">
        <v>123</v>
      </c>
      <c r="BV118" s="14">
        <v>115</v>
      </c>
      <c r="BW118" s="15">
        <v>1291</v>
      </c>
      <c r="BX118" s="14">
        <v>512</v>
      </c>
      <c r="BY118" s="15">
        <v>1817</v>
      </c>
      <c r="BZ118" s="14">
        <v>1007</v>
      </c>
      <c r="CA118" s="15">
        <v>497</v>
      </c>
      <c r="CB118" s="14">
        <v>373</v>
      </c>
      <c r="CC118" s="15">
        <v>1674</v>
      </c>
      <c r="CD118" s="14">
        <v>1063</v>
      </c>
      <c r="CE118" s="15">
        <v>89</v>
      </c>
      <c r="CF118" s="14">
        <v>137</v>
      </c>
      <c r="CG118" s="15">
        <v>1444</v>
      </c>
      <c r="CH118" s="14">
        <v>768</v>
      </c>
      <c r="CI118" s="15">
        <v>2211</v>
      </c>
      <c r="CJ118" s="14">
        <v>1428</v>
      </c>
      <c r="CK118" s="15">
        <v>0</v>
      </c>
      <c r="CL118" s="14">
        <v>218</v>
      </c>
      <c r="CM118" s="15">
        <v>1142</v>
      </c>
      <c r="CN118" s="14">
        <v>626</v>
      </c>
      <c r="CO118" s="15">
        <v>235</v>
      </c>
      <c r="CP118" s="14">
        <v>159</v>
      </c>
      <c r="CQ118" s="15">
        <v>856</v>
      </c>
      <c r="CR118" s="14">
        <v>469</v>
      </c>
      <c r="CS118" s="15">
        <v>3039</v>
      </c>
      <c r="CT118" s="14">
        <v>983</v>
      </c>
      <c r="CU118" s="15">
        <v>476</v>
      </c>
      <c r="CV118" s="14">
        <v>398</v>
      </c>
      <c r="CW118" s="15">
        <v>75</v>
      </c>
      <c r="CX118" s="14">
        <v>123</v>
      </c>
      <c r="CY118" s="15">
        <v>771</v>
      </c>
      <c r="CZ118" s="14">
        <v>543</v>
      </c>
      <c r="DA118" s="15">
        <v>1013</v>
      </c>
      <c r="DB118" s="14">
        <v>634</v>
      </c>
      <c r="DC118" s="15">
        <v>256</v>
      </c>
      <c r="DD118" s="14">
        <v>229</v>
      </c>
      <c r="DE118" s="18" t="s">
        <v>60</v>
      </c>
      <c r="DF118" s="14" t="s">
        <v>60</v>
      </c>
      <c r="DG118" s="15">
        <v>129</v>
      </c>
      <c r="DH118" s="14">
        <v>104</v>
      </c>
      <c r="DI118" s="15">
        <v>521</v>
      </c>
      <c r="DJ118" s="14">
        <v>478</v>
      </c>
      <c r="DM118"/>
      <c r="DN118"/>
      <c r="DO118"/>
      <c r="DP118"/>
    </row>
    <row r="119" spans="9:120" x14ac:dyDescent="0.25">
      <c r="I119" s="15">
        <v>28046</v>
      </c>
      <c r="J119" s="14">
        <v>4226</v>
      </c>
      <c r="K119" s="15">
        <v>172</v>
      </c>
      <c r="L119" s="14">
        <v>257</v>
      </c>
      <c r="M119" s="15">
        <v>0</v>
      </c>
      <c r="N119" s="14">
        <v>269</v>
      </c>
      <c r="O119" s="15">
        <v>1511</v>
      </c>
      <c r="P119" s="14">
        <v>915</v>
      </c>
      <c r="Q119" s="15">
        <v>0</v>
      </c>
      <c r="R119" s="14">
        <v>269</v>
      </c>
      <c r="S119" s="15">
        <v>2784</v>
      </c>
      <c r="T119" s="14">
        <v>1647</v>
      </c>
      <c r="U119" s="15">
        <v>4390</v>
      </c>
      <c r="V119" s="14">
        <v>1357</v>
      </c>
      <c r="W119" s="15">
        <v>0</v>
      </c>
      <c r="X119" s="14">
        <v>269</v>
      </c>
      <c r="Y119" s="15">
        <v>0</v>
      </c>
      <c r="Z119" s="14">
        <v>269</v>
      </c>
      <c r="AA119" s="15">
        <v>0</v>
      </c>
      <c r="AB119" s="14">
        <v>269</v>
      </c>
      <c r="AC119" s="15">
        <v>396</v>
      </c>
      <c r="AD119" s="14">
        <v>347</v>
      </c>
      <c r="AE119" s="15">
        <v>745</v>
      </c>
      <c r="AF119" s="14">
        <v>553</v>
      </c>
      <c r="AG119" s="15">
        <v>25</v>
      </c>
      <c r="AH119" s="14">
        <v>41</v>
      </c>
      <c r="AI119" s="15">
        <v>942</v>
      </c>
      <c r="AJ119" s="14">
        <v>849</v>
      </c>
      <c r="AK119" s="15">
        <v>415</v>
      </c>
      <c r="AL119" s="14">
        <v>444</v>
      </c>
      <c r="AM119" s="15">
        <v>132</v>
      </c>
      <c r="AN119" s="14">
        <v>217</v>
      </c>
      <c r="AO119" s="15">
        <v>462</v>
      </c>
      <c r="AP119" s="14">
        <v>641</v>
      </c>
      <c r="AQ119" s="15">
        <v>532</v>
      </c>
      <c r="AR119" s="14">
        <v>514</v>
      </c>
      <c r="AS119" s="15">
        <v>519</v>
      </c>
      <c r="AT119" s="14">
        <v>743</v>
      </c>
      <c r="AU119" s="15">
        <v>107</v>
      </c>
      <c r="AV119" s="14">
        <v>144</v>
      </c>
      <c r="AW119" s="15">
        <v>0</v>
      </c>
      <c r="AX119" s="14">
        <v>269</v>
      </c>
      <c r="AY119" s="15">
        <v>51</v>
      </c>
      <c r="AZ119" s="14">
        <v>92</v>
      </c>
      <c r="BA119" s="15">
        <v>252</v>
      </c>
      <c r="BB119" s="14">
        <v>470</v>
      </c>
      <c r="BC119" s="15">
        <v>570</v>
      </c>
      <c r="BD119" s="14">
        <v>597</v>
      </c>
      <c r="BE119" s="15">
        <v>218</v>
      </c>
      <c r="BF119" s="14">
        <v>277</v>
      </c>
      <c r="BG119" s="15">
        <v>0</v>
      </c>
      <c r="BH119" s="14">
        <v>269</v>
      </c>
      <c r="BI119" s="15">
        <v>421</v>
      </c>
      <c r="BJ119" s="14">
        <v>418</v>
      </c>
      <c r="BK119" s="15">
        <v>2528</v>
      </c>
      <c r="BL119" s="14">
        <v>1395</v>
      </c>
      <c r="BM119" s="15">
        <v>1711</v>
      </c>
      <c r="BN119" s="14">
        <v>1394</v>
      </c>
      <c r="BO119" s="15">
        <v>416</v>
      </c>
      <c r="BP119" s="14">
        <v>383</v>
      </c>
      <c r="BQ119" s="15">
        <v>0</v>
      </c>
      <c r="BR119" s="14">
        <v>269</v>
      </c>
      <c r="BS119" s="15">
        <v>0</v>
      </c>
      <c r="BT119" s="14">
        <v>269</v>
      </c>
      <c r="BU119" s="15">
        <v>707</v>
      </c>
      <c r="BV119" s="14">
        <v>527</v>
      </c>
      <c r="BW119" s="15">
        <v>146</v>
      </c>
      <c r="BX119" s="14">
        <v>144</v>
      </c>
      <c r="BY119" s="15">
        <v>34</v>
      </c>
      <c r="BZ119" s="14">
        <v>84</v>
      </c>
      <c r="CA119" s="15">
        <v>233</v>
      </c>
      <c r="CB119" s="14">
        <v>228</v>
      </c>
      <c r="CC119" s="15">
        <v>56</v>
      </c>
      <c r="CD119" s="14">
        <v>90</v>
      </c>
      <c r="CE119" s="15">
        <v>62</v>
      </c>
      <c r="CF119" s="14">
        <v>79</v>
      </c>
      <c r="CG119" s="15">
        <v>14</v>
      </c>
      <c r="CH119" s="14">
        <v>25</v>
      </c>
      <c r="CI119" s="15">
        <v>95</v>
      </c>
      <c r="CJ119" s="14">
        <v>118</v>
      </c>
      <c r="CK119" s="15">
        <v>0</v>
      </c>
      <c r="CL119" s="14">
        <v>269</v>
      </c>
      <c r="CM119" s="15">
        <v>220</v>
      </c>
      <c r="CN119" s="14">
        <v>235</v>
      </c>
      <c r="CO119" s="15">
        <v>258</v>
      </c>
      <c r="CP119" s="14">
        <v>183</v>
      </c>
      <c r="CQ119" s="15">
        <v>495</v>
      </c>
      <c r="CR119" s="14">
        <v>638</v>
      </c>
      <c r="CS119" s="15">
        <v>1990</v>
      </c>
      <c r="CT119" s="14">
        <v>1143</v>
      </c>
      <c r="CU119" s="15">
        <v>3226</v>
      </c>
      <c r="CV119" s="14">
        <v>1437</v>
      </c>
      <c r="CW119" s="15">
        <v>75</v>
      </c>
      <c r="CX119" s="14">
        <v>137</v>
      </c>
      <c r="CY119" s="15">
        <v>580</v>
      </c>
      <c r="CZ119" s="14">
        <v>459</v>
      </c>
      <c r="DA119" s="15">
        <v>556</v>
      </c>
      <c r="DB119" s="14">
        <v>469</v>
      </c>
      <c r="DC119" s="15">
        <v>0</v>
      </c>
      <c r="DD119" s="14">
        <v>269</v>
      </c>
      <c r="DE119" s="15">
        <v>0</v>
      </c>
      <c r="DF119" s="14">
        <v>269</v>
      </c>
      <c r="DG119" s="18" t="s">
        <v>60</v>
      </c>
      <c r="DH119" s="14" t="s">
        <v>60</v>
      </c>
      <c r="DI119" s="15">
        <v>0</v>
      </c>
      <c r="DJ119" s="14">
        <v>269</v>
      </c>
      <c r="DM119"/>
      <c r="DN119"/>
      <c r="DO119"/>
      <c r="DP119"/>
    </row>
    <row r="120" spans="9:120" x14ac:dyDescent="0.25">
      <c r="I120" s="15">
        <v>31732</v>
      </c>
      <c r="J120" s="14">
        <v>4381</v>
      </c>
      <c r="K120" s="15">
        <v>629</v>
      </c>
      <c r="L120" s="14">
        <v>711</v>
      </c>
      <c r="M120" s="15">
        <v>156</v>
      </c>
      <c r="N120" s="14">
        <v>259</v>
      </c>
      <c r="O120" s="15">
        <v>288</v>
      </c>
      <c r="P120" s="14">
        <v>356</v>
      </c>
      <c r="Q120" s="15">
        <v>0</v>
      </c>
      <c r="R120" s="14">
        <v>285</v>
      </c>
      <c r="S120" s="15">
        <v>1177</v>
      </c>
      <c r="T120" s="14">
        <v>949</v>
      </c>
      <c r="U120" s="15">
        <v>388</v>
      </c>
      <c r="V120" s="14">
        <v>492</v>
      </c>
      <c r="W120" s="15">
        <v>899</v>
      </c>
      <c r="X120" s="14">
        <v>653</v>
      </c>
      <c r="Y120" s="15">
        <v>0</v>
      </c>
      <c r="Z120" s="14">
        <v>285</v>
      </c>
      <c r="AA120" s="15">
        <v>0</v>
      </c>
      <c r="AB120" s="14">
        <v>285</v>
      </c>
      <c r="AC120" s="15">
        <v>11262</v>
      </c>
      <c r="AD120" s="14">
        <v>2512</v>
      </c>
      <c r="AE120" s="15">
        <v>207</v>
      </c>
      <c r="AF120" s="14">
        <v>334</v>
      </c>
      <c r="AG120" s="15">
        <v>0</v>
      </c>
      <c r="AH120" s="14">
        <v>285</v>
      </c>
      <c r="AI120" s="15">
        <v>0</v>
      </c>
      <c r="AJ120" s="14">
        <v>285</v>
      </c>
      <c r="AK120" s="15">
        <v>1642</v>
      </c>
      <c r="AL120" s="14">
        <v>1175</v>
      </c>
      <c r="AM120" s="15">
        <v>109</v>
      </c>
      <c r="AN120" s="14">
        <v>173</v>
      </c>
      <c r="AO120" s="15">
        <v>0</v>
      </c>
      <c r="AP120" s="14">
        <v>285</v>
      </c>
      <c r="AQ120" s="15">
        <v>112</v>
      </c>
      <c r="AR120" s="14">
        <v>184</v>
      </c>
      <c r="AS120" s="15">
        <v>254</v>
      </c>
      <c r="AT120" s="14">
        <v>211</v>
      </c>
      <c r="AU120" s="15">
        <v>109</v>
      </c>
      <c r="AV120" s="14">
        <v>130</v>
      </c>
      <c r="AW120" s="15">
        <v>0</v>
      </c>
      <c r="AX120" s="14">
        <v>285</v>
      </c>
      <c r="AY120" s="15">
        <v>59</v>
      </c>
      <c r="AZ120" s="14">
        <v>106</v>
      </c>
      <c r="BA120" s="15">
        <v>2004</v>
      </c>
      <c r="BB120" s="14">
        <v>960</v>
      </c>
      <c r="BC120" s="15">
        <v>89</v>
      </c>
      <c r="BD120" s="14">
        <v>149</v>
      </c>
      <c r="BE120" s="15">
        <v>50</v>
      </c>
      <c r="BF120" s="14">
        <v>83</v>
      </c>
      <c r="BG120" s="15">
        <v>170</v>
      </c>
      <c r="BH120" s="14">
        <v>198</v>
      </c>
      <c r="BI120" s="15">
        <v>221</v>
      </c>
      <c r="BJ120" s="14">
        <v>258</v>
      </c>
      <c r="BK120" s="15">
        <v>0</v>
      </c>
      <c r="BL120" s="14">
        <v>285</v>
      </c>
      <c r="BM120" s="15">
        <v>0</v>
      </c>
      <c r="BN120" s="14">
        <v>285</v>
      </c>
      <c r="BO120" s="15">
        <v>0</v>
      </c>
      <c r="BP120" s="14">
        <v>285</v>
      </c>
      <c r="BQ120" s="15">
        <v>0</v>
      </c>
      <c r="BR120" s="14">
        <v>285</v>
      </c>
      <c r="BS120" s="15">
        <v>1244</v>
      </c>
      <c r="BT120" s="14">
        <v>830</v>
      </c>
      <c r="BU120" s="15">
        <v>364</v>
      </c>
      <c r="BV120" s="14">
        <v>603</v>
      </c>
      <c r="BW120" s="15">
        <v>4768</v>
      </c>
      <c r="BX120" s="14">
        <v>1546</v>
      </c>
      <c r="BY120" s="15">
        <v>146</v>
      </c>
      <c r="BZ120" s="14">
        <v>240</v>
      </c>
      <c r="CA120" s="15">
        <v>0</v>
      </c>
      <c r="CB120" s="14">
        <v>285</v>
      </c>
      <c r="CC120" s="15">
        <v>69</v>
      </c>
      <c r="CD120" s="14">
        <v>127</v>
      </c>
      <c r="CE120" s="15">
        <v>0</v>
      </c>
      <c r="CF120" s="14">
        <v>285</v>
      </c>
      <c r="CG120" s="15">
        <v>0</v>
      </c>
      <c r="CH120" s="14">
        <v>285</v>
      </c>
      <c r="CI120" s="15">
        <v>1516</v>
      </c>
      <c r="CJ120" s="14">
        <v>772</v>
      </c>
      <c r="CK120" s="15">
        <v>684</v>
      </c>
      <c r="CL120" s="14">
        <v>829</v>
      </c>
      <c r="CM120" s="15">
        <v>109</v>
      </c>
      <c r="CN120" s="14">
        <v>173</v>
      </c>
      <c r="CO120" s="15">
        <v>0</v>
      </c>
      <c r="CP120" s="14">
        <v>285</v>
      </c>
      <c r="CQ120" s="15">
        <v>30</v>
      </c>
      <c r="CR120" s="14">
        <v>56</v>
      </c>
      <c r="CS120" s="15">
        <v>977</v>
      </c>
      <c r="CT120" s="14">
        <v>742</v>
      </c>
      <c r="CU120" s="15">
        <v>882</v>
      </c>
      <c r="CV120" s="14">
        <v>1289</v>
      </c>
      <c r="CW120" s="15">
        <v>0</v>
      </c>
      <c r="CX120" s="14">
        <v>285</v>
      </c>
      <c r="CY120" s="15">
        <v>392</v>
      </c>
      <c r="CZ120" s="14">
        <v>320</v>
      </c>
      <c r="DA120" s="15">
        <v>0</v>
      </c>
      <c r="DB120" s="14">
        <v>285</v>
      </c>
      <c r="DC120" s="15">
        <v>141</v>
      </c>
      <c r="DD120" s="14">
        <v>135</v>
      </c>
      <c r="DE120" s="15">
        <v>585</v>
      </c>
      <c r="DF120" s="14">
        <v>815</v>
      </c>
      <c r="DG120" s="15">
        <v>0</v>
      </c>
      <c r="DH120" s="14">
        <v>285</v>
      </c>
      <c r="DI120" s="18" t="s">
        <v>60</v>
      </c>
      <c r="DJ120" s="14" t="s">
        <v>60</v>
      </c>
      <c r="DM120"/>
      <c r="DN120"/>
      <c r="DO120"/>
      <c r="DP120"/>
    </row>
  </sheetData>
  <mergeCells count="4">
    <mergeCell ref="C7:D8"/>
    <mergeCell ref="E7:F8"/>
    <mergeCell ref="G7:H8"/>
    <mergeCell ref="B7:B8"/>
  </mergeCells>
  <printOptions horizontalCentered="1"/>
  <pageMargins left="0.2" right="0.2" top="0.75" bottom="0.75" header="0.3" footer="0.3"/>
  <pageSetup paperSize="8" scale="1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1:AC68"/>
  <sheetViews>
    <sheetView showGridLines="0" topLeftCell="L1" workbookViewId="0">
      <selection activeCell="Z14" sqref="Z14"/>
    </sheetView>
  </sheetViews>
  <sheetFormatPr defaultRowHeight="15" x14ac:dyDescent="0.25"/>
  <cols>
    <col min="1" max="1" width="1.7109375" style="50" customWidth="1"/>
    <col min="2" max="2" width="6.42578125" style="50" bestFit="1" customWidth="1"/>
    <col min="3" max="3" width="3" style="50" bestFit="1" customWidth="1"/>
    <col min="4" max="5" width="19.140625" style="50" bestFit="1" customWidth="1"/>
    <col min="6" max="6" width="13.7109375" style="50" customWidth="1"/>
    <col min="7" max="7" width="20.28515625" style="50" bestFit="1" customWidth="1"/>
    <col min="8" max="9" width="11.7109375" style="50" customWidth="1"/>
    <col min="10" max="10" width="20.28515625" style="50" bestFit="1" customWidth="1"/>
    <col min="11" max="11" width="16" style="50" customWidth="1"/>
    <col min="12" max="12" width="1.7109375" style="50" customWidth="1"/>
    <col min="13" max="13" width="3.7109375" style="50" customWidth="1"/>
    <col min="14" max="14" width="17.7109375" style="50" customWidth="1"/>
    <col min="15" max="15" width="10.5703125" style="50" bestFit="1" customWidth="1"/>
    <col min="16" max="16" width="9.140625" style="50"/>
    <col min="17" max="17" width="9.5703125" style="50" customWidth="1"/>
    <col min="18" max="18" width="12.28515625" style="50" customWidth="1"/>
    <col min="19" max="19" width="14.28515625" style="50" customWidth="1"/>
    <col min="20" max="20" width="13.28515625" style="50" customWidth="1"/>
    <col min="21" max="21" width="1.7109375" style="50" customWidth="1"/>
    <col min="22" max="22" width="9.140625" style="50"/>
    <col min="23" max="23" width="10.85546875" style="50" customWidth="1"/>
    <col min="24" max="24" width="13.28515625" style="50" customWidth="1"/>
    <col min="25" max="25" width="4.7109375" style="50" customWidth="1"/>
    <col min="26" max="26" width="19.140625" style="50" bestFit="1" customWidth="1"/>
    <col min="27" max="28" width="13.28515625" style="50" bestFit="1" customWidth="1"/>
    <col min="29" max="29" width="12.85546875" style="50" customWidth="1"/>
    <col min="30" max="16384" width="9.140625" style="50"/>
  </cols>
  <sheetData>
    <row r="1" spans="2:29" x14ac:dyDescent="0.25">
      <c r="D1" s="55" t="s">
        <v>75</v>
      </c>
      <c r="E1" s="142">
        <v>6</v>
      </c>
      <c r="G1" s="55" t="s">
        <v>158</v>
      </c>
    </row>
    <row r="2" spans="2:29" x14ac:dyDescent="0.25">
      <c r="D2" s="55" t="s">
        <v>78</v>
      </c>
      <c r="E2" s="58" t="str">
        <f>VLOOKUP(E1,$C$13:$D$65,2,0)</f>
        <v>Colorado</v>
      </c>
      <c r="G2" s="58" t="str">
        <f>VLOOKUP(state,$D$13:$J$65,7,0)</f>
        <v>Colorado</v>
      </c>
    </row>
    <row r="4" spans="2:29" ht="60" x14ac:dyDescent="0.25">
      <c r="D4" s="52" t="s">
        <v>76</v>
      </c>
      <c r="E4" s="52" t="s">
        <v>4</v>
      </c>
      <c r="F4" s="52" t="s">
        <v>5</v>
      </c>
      <c r="G4" s="52" t="s">
        <v>6</v>
      </c>
      <c r="H4" s="52" t="s">
        <v>63</v>
      </c>
      <c r="I4" s="144" t="s">
        <v>5</v>
      </c>
      <c r="J4" s="144" t="s">
        <v>6</v>
      </c>
      <c r="K4" s="144" t="s">
        <v>80</v>
      </c>
      <c r="O4" s="131" t="s">
        <v>77</v>
      </c>
      <c r="P4" s="131" t="s">
        <v>76</v>
      </c>
      <c r="Z4" s="52" t="s">
        <v>76</v>
      </c>
      <c r="AA4" s="52" t="s">
        <v>4</v>
      </c>
      <c r="AB4" s="52" t="s">
        <v>5</v>
      </c>
      <c r="AC4" s="52" t="s">
        <v>6</v>
      </c>
    </row>
    <row r="5" spans="2:29" x14ac:dyDescent="0.25">
      <c r="D5" s="57">
        <v>2012</v>
      </c>
      <c r="E5" s="59">
        <f>VLOOKUP(state,'2012'!$B$10:$G$62,2,0)</f>
        <v>5123944</v>
      </c>
      <c r="F5" s="59">
        <f>VLOOKUP(state,'2012'!$B$10:$G$62,4,0)</f>
        <v>4131357</v>
      </c>
      <c r="G5" s="59">
        <f>VLOOKUP(state,'2012'!$B$10:$G$62,6,0)</f>
        <v>751921</v>
      </c>
      <c r="H5" s="59">
        <f>VLOOKUP(state,'2012'!$B$10:$I$62,8,0)</f>
        <v>205060</v>
      </c>
      <c r="I5" s="143">
        <f>F5/SUM($F5:$H5)</f>
        <v>0.81192660550458717</v>
      </c>
      <c r="J5" s="143">
        <f t="shared" ref="J5:J7" si="0">G5/SUM($F5:$H5)</f>
        <v>0.14777339870110831</v>
      </c>
      <c r="K5" s="143">
        <f t="shared" ref="K5:K7" si="1">H5/SUM($F5:$H5)</f>
        <v>4.0299995794304544E-2</v>
      </c>
      <c r="N5" s="132"/>
      <c r="O5" s="131">
        <v>1</v>
      </c>
      <c r="P5" s="131">
        <v>2012</v>
      </c>
      <c r="R5" s="55" t="s">
        <v>162</v>
      </c>
      <c r="S5" s="146">
        <f>IF(Ranksel="All",AVERAGE($E$5:$E$7),VLOOKUP(Ranksel,$D$5:$E$7,2,0))</f>
        <v>5053525.666666667</v>
      </c>
      <c r="X5" s="142">
        <v>6</v>
      </c>
      <c r="Z5" s="149">
        <v>2012</v>
      </c>
      <c r="AA5" s="146">
        <f>VLOOKUP("United States",'2012'!$B$10:$G$62,2,0)</f>
        <v>310212755</v>
      </c>
      <c r="AB5" s="146">
        <f>VLOOKUP("United States",'2012'!$B$10:$G$62,4,0)</f>
        <v>263612596</v>
      </c>
      <c r="AC5" s="146">
        <f>VLOOKUP("United States",'2012'!$B$10:$G$62,6,0)</f>
        <v>37696597</v>
      </c>
    </row>
    <row r="6" spans="2:29" x14ac:dyDescent="0.25">
      <c r="D6" s="57">
        <v>2011</v>
      </c>
      <c r="E6" s="59">
        <f>VLOOKUP(state,'2011'!$B$10:$G$62,2,0)</f>
        <v>5048443</v>
      </c>
      <c r="F6" s="59">
        <f>VLOOKUP(state,'2011'!$B$10:$G$62,4,0)</f>
        <v>4048042</v>
      </c>
      <c r="G6" s="59">
        <f>VLOOKUP(state,'2011'!$B$10:$G$62,6,0)</f>
        <v>763233</v>
      </c>
      <c r="H6" s="59">
        <f>VLOOKUP(state,'2011'!$B$10:$I$62,8,0)</f>
        <v>202124</v>
      </c>
      <c r="I6" s="143">
        <f t="shared" ref="I6:I7" si="2">F6/SUM($F6:$H6)</f>
        <v>0.80744460993429812</v>
      </c>
      <c r="J6" s="143">
        <f t="shared" si="0"/>
        <v>0.15223863091686898</v>
      </c>
      <c r="K6" s="143">
        <f t="shared" si="1"/>
        <v>4.031675914883296E-2</v>
      </c>
      <c r="N6" s="132"/>
      <c r="O6" s="131">
        <v>2</v>
      </c>
      <c r="P6" s="131">
        <v>2011</v>
      </c>
      <c r="R6" s="55" t="s">
        <v>163</v>
      </c>
      <c r="S6" s="148" t="str">
        <f>INDEX($D$14:$D$65,MATCH(1,$I$14:$I$65,0),1)</f>
        <v>California</v>
      </c>
      <c r="T6" s="148">
        <f>IF(Ranksel=2012,(VLOOKUP(S6,$D$13:$H$65,2,0)),IF(Ranksel=2011,(VLOOKUP(S6,$D$13:$H$65,3,0)),IF(Ranksel=2010,(VLOOKUP(S6,$D$13:$H$65,4,0)),IF(Ranksel="All",(VLOOKUP(S6,$D$13:$H$65,5,0))))))</f>
        <v>23825</v>
      </c>
      <c r="V6" s="93" t="s">
        <v>167</v>
      </c>
      <c r="X6" s="134" t="str">
        <f>VLOOKUP(X5,$Y$14:$Z$64,2,0)</f>
        <v>Connecticut</v>
      </c>
      <c r="Z6" s="149">
        <v>2011</v>
      </c>
      <c r="AA6" s="146">
        <f>VLOOKUP("United States",'2011'!$B$10:$G$62,2,0)</f>
        <v>307900319</v>
      </c>
      <c r="AB6" s="146">
        <f>VLOOKUP("United States",'2011'!$B$10:$G$62,4,0)</f>
        <v>261087925</v>
      </c>
      <c r="AC6" s="146">
        <f>VLOOKUP("United States",'2011'!$B$10:$G$62,6,0)</f>
        <v>37998701</v>
      </c>
    </row>
    <row r="7" spans="2:29" x14ac:dyDescent="0.25">
      <c r="D7" s="57">
        <v>2010</v>
      </c>
      <c r="E7" s="59">
        <f>VLOOKUP(state,'2010'!$B$10:$G$62,2,0)</f>
        <v>4988190</v>
      </c>
      <c r="F7" s="59">
        <f>VLOOKUP(state,'2010'!$B$10:$G$62,4,0)</f>
        <v>4042039</v>
      </c>
      <c r="G7" s="59">
        <f>VLOOKUP(state,'2010'!$B$10:$G$62,6,0)</f>
        <v>725413</v>
      </c>
      <c r="H7" s="59">
        <f>VLOOKUP(state,'2010'!$B$10:$I$62,8,0)</f>
        <v>186366</v>
      </c>
      <c r="I7" s="143">
        <f t="shared" si="2"/>
        <v>0.81594418688777015</v>
      </c>
      <c r="J7" s="143">
        <f t="shared" si="0"/>
        <v>0.1464351334667523</v>
      </c>
      <c r="K7" s="143">
        <f t="shared" si="1"/>
        <v>3.7620679645477488E-2</v>
      </c>
      <c r="N7" s="132"/>
      <c r="O7" s="131">
        <v>3</v>
      </c>
      <c r="P7" s="131">
        <v>2010</v>
      </c>
      <c r="R7" s="55" t="s">
        <v>164</v>
      </c>
      <c r="S7" s="148" t="str">
        <f>INDEX($N$13:$N$64,MATCH(MAX($Q$13:$Q$64),$Q$13:$Q$64,0),1)</f>
        <v>Rhode Island</v>
      </c>
      <c r="T7" s="148">
        <f>IF(Ranksel=2012,(VLOOKUP(S7,$D$13:$H$65,2,0)),IF(Ranksel=2011,(VLOOKUP(S7,$D$13:$H$65,3,0)),IF(Ranksel=2010,(VLOOKUP(S7,$D$13:$H$65,4,0)),IF(Ranksel="All",(VLOOKUP(S7,$D$13:$H$65,5,0))))))</f>
        <v>254.66666666666666</v>
      </c>
      <c r="Z7" s="149">
        <v>2010</v>
      </c>
      <c r="AA7" s="146">
        <f>VLOOKUP("United States",'2010'!$B$10:$G$62,2,0)</f>
        <v>305628607</v>
      </c>
      <c r="AB7" s="146">
        <f>VLOOKUP("United States",'2010'!$B$10:$G$62,4,0)</f>
        <v>258552348</v>
      </c>
      <c r="AC7" s="146">
        <f>VLOOKUP("United States",'2010'!$B$10:$G$62,6,0)</f>
        <v>38582885</v>
      </c>
    </row>
    <row r="8" spans="2:29" x14ac:dyDescent="0.25">
      <c r="N8" s="132"/>
      <c r="O8" s="131">
        <v>4</v>
      </c>
      <c r="P8" s="131" t="s">
        <v>81</v>
      </c>
      <c r="V8" s="52" t="s">
        <v>76</v>
      </c>
      <c r="W8" s="52" t="s">
        <v>169</v>
      </c>
      <c r="X8" s="52" t="s">
        <v>168</v>
      </c>
      <c r="Z8" s="57" t="s">
        <v>165</v>
      </c>
      <c r="AA8" s="59">
        <f>AVERAGE(AA5:AA7)</f>
        <v>307913893.66666669</v>
      </c>
      <c r="AB8" s="59">
        <f t="shared" ref="AB8:AC8" si="3">AVERAGE(AB5:AB7)</f>
        <v>261084289.66666666</v>
      </c>
      <c r="AC8" s="59">
        <f t="shared" si="3"/>
        <v>38092727.666666664</v>
      </c>
    </row>
    <row r="9" spans="2:29" x14ac:dyDescent="0.25">
      <c r="D9" s="55" t="s">
        <v>82</v>
      </c>
      <c r="E9" s="130" t="str">
        <f>IF(F9=4,"All",VLOOKUP(F9,$O$5:$P$7,2,0))</f>
        <v>All</v>
      </c>
      <c r="F9" s="142">
        <v>4</v>
      </c>
      <c r="H9" s="142">
        <v>1</v>
      </c>
      <c r="J9" s="151" t="s">
        <v>169</v>
      </c>
      <c r="V9" s="149">
        <v>2012</v>
      </c>
      <c r="W9" s="147">
        <f>IF((VLOOKUP(state,'2012'!$B$9:$BI$62,MATCH($X6,'2012'!$B$9:$BI$9,0),0))="N/a",0,(VLOOKUP(state,'2012'!$B$9:$BI$62,MATCH($X6,'2012'!$B$9:$BI$9,0),0)))</f>
        <v>1317</v>
      </c>
      <c r="X9" s="146">
        <f>IF((VLOOKUP(state2,'2012'!$B$9:$BI$62,MATCH(state,'2012'!$B$9:$BI$9,0),0))="N/a",0,(VLOOKUP(state2,'2012'!$B$9:$BI$62,MATCH(state,'2012'!$B$9:$BI$9,0),0)))</f>
        <v>367</v>
      </c>
    </row>
    <row r="10" spans="2:29" x14ac:dyDescent="0.25">
      <c r="D10" s="55" t="s">
        <v>78</v>
      </c>
      <c r="E10" s="130" t="str">
        <f>IF(state="United States","Total",state)</f>
        <v>Colorado</v>
      </c>
      <c r="F10" s="150" t="str">
        <f>VLOOKUP(F9,$O$5:$P$8,2,0)</f>
        <v>Average</v>
      </c>
      <c r="H10" s="135" t="str">
        <f>IF(H9=1,"Arrival","Departure")</f>
        <v>Arrival</v>
      </c>
      <c r="J10" s="151" t="s">
        <v>168</v>
      </c>
      <c r="N10" s="142">
        <v>1</v>
      </c>
      <c r="O10" s="93" t="s">
        <v>88</v>
      </c>
      <c r="S10" s="57" t="s">
        <v>76</v>
      </c>
      <c r="T10" s="57" t="s">
        <v>83</v>
      </c>
      <c r="V10" s="149">
        <v>2011</v>
      </c>
      <c r="W10" s="147">
        <f>IF((VLOOKUP(state,'2011'!$B$9:$BI$62,MATCH($X6,'2011'!$B$9:$BI$9,0),0))="N/a",0,(VLOOKUP(state,'2011'!$B$9:$BI$62,MATCH($X6,'2011'!$B$9:$BI$9,0),0)))</f>
        <v>1567</v>
      </c>
      <c r="X10" s="146">
        <f>IF((VLOOKUP(state2,'2011'!$B$9:$BI$62,MATCH(state,'2011'!$B$9:$BI$9,0),0))="N/a",0,(VLOOKUP(state2,'2011'!$B$9:$BI$62,MATCH(state,'2011'!$B$9:$BI$9,0),0)))</f>
        <v>1502</v>
      </c>
    </row>
    <row r="11" spans="2:29" x14ac:dyDescent="0.25">
      <c r="O11" s="79"/>
      <c r="S11" s="57">
        <v>2010</v>
      </c>
      <c r="T11" s="57">
        <v>2010</v>
      </c>
      <c r="V11" s="149">
        <v>2010</v>
      </c>
      <c r="W11" s="147">
        <f>IF((VLOOKUP(state,'2010'!$B$9:$BI$62,MATCH($X6,'2010'!$B$9:$BI$9,0),0))="N/a",0,(VLOOKUP(state,'2010'!$B$9:$BI$62,MATCH($X6,'2010'!$B$9:$BI$9,0),0)))</f>
        <v>459</v>
      </c>
      <c r="X11" s="146">
        <f>IF((VLOOKUP(state2,'2010'!$B$9:$BI$62,MATCH(state,'2010'!$B$9:$BI$9,0),0))="N/a",0,(VLOOKUP(state2,'2010'!$B$9:$BI$62,MATCH(state,'2010'!$B$9:$BI$9,0),0)))</f>
        <v>547</v>
      </c>
    </row>
    <row r="12" spans="2:29" x14ac:dyDescent="0.25">
      <c r="B12" s="54" t="s">
        <v>172</v>
      </c>
      <c r="C12" s="54" t="s">
        <v>77</v>
      </c>
      <c r="D12" s="54" t="s">
        <v>74</v>
      </c>
      <c r="E12" s="55">
        <v>2012</v>
      </c>
      <c r="F12" s="55">
        <v>2011</v>
      </c>
      <c r="G12" s="55">
        <v>2010</v>
      </c>
      <c r="H12" s="55" t="s">
        <v>81</v>
      </c>
      <c r="I12" s="55" t="s">
        <v>83</v>
      </c>
      <c r="J12" s="54" t="s">
        <v>144</v>
      </c>
      <c r="M12" s="54" t="s">
        <v>77</v>
      </c>
      <c r="N12" s="54" t="s">
        <v>74</v>
      </c>
      <c r="O12" s="54" t="s">
        <v>84</v>
      </c>
      <c r="P12" s="54" t="s">
        <v>85</v>
      </c>
      <c r="Q12" s="55" t="s">
        <v>83</v>
      </c>
      <c r="S12" s="57">
        <v>2011</v>
      </c>
      <c r="T12" s="57">
        <v>2011</v>
      </c>
    </row>
    <row r="13" spans="2:29" x14ac:dyDescent="0.25">
      <c r="B13" s="60" t="str">
        <f t="shared" ref="B13:B44" si="4">IF(state=D13,"Y","N")</f>
        <v>N</v>
      </c>
      <c r="C13" s="60" t="s">
        <v>171</v>
      </c>
      <c r="D13" s="51" t="s">
        <v>62</v>
      </c>
      <c r="E13" s="59">
        <f>SUM(E14:E65)-E53</f>
        <v>205060</v>
      </c>
      <c r="F13" s="59">
        <f t="shared" ref="F13:G13" si="5">SUM(F14:F65)-F53</f>
        <v>202124</v>
      </c>
      <c r="G13" s="59">
        <f t="shared" si="5"/>
        <v>186366</v>
      </c>
      <c r="H13" s="59">
        <f>AVERAGE(E13:G13)</f>
        <v>197850</v>
      </c>
      <c r="I13" s="59"/>
      <c r="J13" s="51" t="s">
        <v>157</v>
      </c>
      <c r="M13" s="57">
        <v>1</v>
      </c>
      <c r="N13" s="145" t="str">
        <f t="shared" ref="N13:N44" si="6">IF(Order=2,INDEX($D$14:$D$65,MATCH(M13,$I$14:$I$65,0),1),D14)</f>
        <v>Alabama</v>
      </c>
      <c r="O13" s="146">
        <f t="shared" ref="O13:O64" si="7">IF(Ranksel=2012,(VLOOKUP(N13,$D$13:$H$65,2,0)),IF(Ranksel=2011,(VLOOKUP(N13,$D$13:$H$65,3,0)),IF(Ranksel=2010,(VLOOKUP(N13,$D$13:$H$65,4,0)),IF(Ranksel="All",(VLOOKUP(N13,$D$13:$H$65,5,0))))))</f>
        <v>2134</v>
      </c>
      <c r="P13" s="74">
        <f>O13/SUM($O$13:$O$64)</f>
        <v>1.0740817791975089E-2</v>
      </c>
      <c r="Q13" s="106">
        <f>IF(O13=0,0,(RANK(O13,$O$13:$O$64,0)+COUNTIF($O$13:O13,O13)-1))</f>
        <v>35</v>
      </c>
      <c r="S13" s="57">
        <v>2012</v>
      </c>
      <c r="T13" s="57">
        <v>2012</v>
      </c>
      <c r="Y13" s="54" t="s">
        <v>77</v>
      </c>
      <c r="Z13" s="54" t="s">
        <v>74</v>
      </c>
    </row>
    <row r="14" spans="2:29" x14ac:dyDescent="0.25">
      <c r="B14" s="60" t="str">
        <f t="shared" si="4"/>
        <v>N</v>
      </c>
      <c r="C14" s="60">
        <v>1</v>
      </c>
      <c r="D14" s="53" t="s">
        <v>7</v>
      </c>
      <c r="E14" s="59">
        <f>IF(Arr_Dep="Arrival",IF((VLOOKUP(state,'2012'!$B$9:$BI$62,MATCH($D14,'2012'!$B$9:$BI$9,0),0))="N/a",0,(VLOOKUP(state,'2012'!$B$9:$BI$62,MATCH($D14,'2012'!$B$9:$BI$9,0),0))),IF((VLOOKUP($D14,'2012'!$B$9:$BI$62,MATCH(state,'2012'!$B$9:$BI$9,0),0))="N/a",0,(VLOOKUP($D14,'2012'!$B$9:$BI$62,MATCH(state,'2012'!$B$9:$BI$9,0),0))))</f>
        <v>3108</v>
      </c>
      <c r="F14" s="59">
        <f>IF(Arr_Dep="Arrival",IF((VLOOKUP(state,'2011'!$B$9:$BI$62,MATCH($D14,'2011'!$B$9:$BI$9,0),0))="N/a",0,(VLOOKUP(state,'2011'!$B$9:$BI$62,MATCH($D14,'2011'!$B$9:$BI$9,0),0))),IF((VLOOKUP($D14,'2011'!$B$9:$BI$62,MATCH(state,'2011'!$B$9:$BI$9,0),0))="N/a",0,(VLOOKUP($D14,'2011'!$B$9:$BI$62,MATCH(state,'2011'!$B$9:$BI$9,0),0))))</f>
        <v>2340</v>
      </c>
      <c r="G14" s="59">
        <f>IF(Arr_Dep="Arrival",IF((VLOOKUP(state,'2010'!$B$9:$BI$62,MATCH($D14,'2010'!$B$9:$BI$9,0),0))="N/a",0,(VLOOKUP(state,'2010'!$B$9:$BI$62,MATCH($D14,'2010'!$B$9:$BI$9,0),0))),IF((VLOOKUP($D14,'2010'!$B$9:$BI$62,MATCH(state,'2010'!$B$9:$BI$9,0),0))="N/a",0,(VLOOKUP($D14,'2010'!$B$9:$BI$62,MATCH(state,'2010'!$B$9:$BI$9,0),0))))</f>
        <v>954</v>
      </c>
      <c r="H14" s="59">
        <f t="shared" ref="H14:H65" si="8">AVERAGE(E14:G14)</f>
        <v>2134</v>
      </c>
      <c r="I14" s="59">
        <f>IF(Ranksel=2012,(RANK(E14,$E$14:$E$65,0)+COUNTIF($E$14:E14,E14)-1),IF(Ranksel=2011,(RANK(F14,$F$14:$F$65,0)+COUNTIF($F$14:F14,F14)-1),IF(Ranksel=2010,(RANK(G14,$G$14:$G$65,0)+COUNTIF($G$14:G14,G14)-1),IF(Ranksel="All",(RANK(H14,$H$14:$H$65,0)+COUNTIF($H$14:H14,H14)-1),0))))</f>
        <v>35</v>
      </c>
      <c r="J14" s="51" t="s">
        <v>7</v>
      </c>
      <c r="L14" s="79"/>
      <c r="M14" s="57">
        <v>2</v>
      </c>
      <c r="N14" s="145" t="str">
        <f t="shared" si="6"/>
        <v>Alaska</v>
      </c>
      <c r="O14" s="146">
        <f t="shared" si="7"/>
        <v>2957.6666666666665</v>
      </c>
      <c r="P14" s="74">
        <f t="shared" ref="P14:P64" si="9">O14/SUM($O$13:$O$64)</f>
        <v>1.4886484890377218E-2</v>
      </c>
      <c r="Q14" s="106">
        <f>IF(O14=0,0,(RANK(O14,$O$13:$O$64,0)+COUNTIF($O$13:O14,O14)-1))</f>
        <v>27</v>
      </c>
      <c r="S14" s="57" t="s">
        <v>165</v>
      </c>
      <c r="T14" s="57">
        <v>2012</v>
      </c>
      <c r="Y14" s="60">
        <v>1</v>
      </c>
      <c r="Z14" s="152" t="str">
        <f t="array" ref="Z14">IF(ROWS($Z$14:Z14)&lt;=52,INDEX(List,SMALL(IF($B$14:$B$65="N",ROW($B$14:$B$65)-ROW($B$14)+1),ROWS($Z$14:Z14))),"")</f>
        <v>Alabama</v>
      </c>
    </row>
    <row r="15" spans="2:29" x14ac:dyDescent="0.25">
      <c r="B15" s="60" t="str">
        <f t="shared" si="4"/>
        <v>N</v>
      </c>
      <c r="C15" s="60">
        <v>2</v>
      </c>
      <c r="D15" s="53" t="s">
        <v>8</v>
      </c>
      <c r="E15" s="59">
        <f>IF(Arr_Dep="Arrival",IF((VLOOKUP(state,'2012'!$B$9:$BI$62,MATCH($D15,'2012'!$B$9:$BI$9,0),0))="N/a",0,(VLOOKUP(state,'2012'!$B$9:$BI$62,MATCH($D15,'2012'!$B$9:$BI$9,0),0))),IF((VLOOKUP($D15,'2012'!$B$9:$BI$62,MATCH(state,'2012'!$B$9:$BI$9,0),0))="N/a",0,(VLOOKUP($D15,'2012'!$B$9:$BI$62,MATCH(state,'2012'!$B$9:$BI$9,0),0))))</f>
        <v>3457</v>
      </c>
      <c r="F15" s="59">
        <f>IF(Arr_Dep="Arrival",IF((VLOOKUP(state,'2011'!$B$9:$BI$62,MATCH($D15,'2011'!$B$9:$BI$9,0),0))="N/a",0,(VLOOKUP(state,'2011'!$B$9:$BI$62,MATCH($D15,'2011'!$B$9:$BI$9,0),0))),IF((VLOOKUP($D15,'2011'!$B$9:$BI$62,MATCH(state,'2011'!$B$9:$BI$9,0),0))="N/a",0,(VLOOKUP($D15,'2011'!$B$9:$BI$62,MATCH(state,'2011'!$B$9:$BI$9,0),0))))</f>
        <v>3191</v>
      </c>
      <c r="G15" s="59">
        <f>IF(Arr_Dep="Arrival",IF((VLOOKUP(state,'2010'!$B$9:$BI$62,MATCH($D15,'2010'!$B$9:$BI$9,0),0))="N/a",0,(VLOOKUP(state,'2010'!$B$9:$BI$62,MATCH($D15,'2010'!$B$9:$BI$9,0),0))),IF((VLOOKUP($D15,'2010'!$B$9:$BI$62,MATCH(state,'2010'!$B$9:$BI$9,0),0))="N/a",0,(VLOOKUP($D15,'2010'!$B$9:$BI$62,MATCH(state,'2010'!$B$9:$BI$9,0),0))))</f>
        <v>2225</v>
      </c>
      <c r="H15" s="59">
        <f t="shared" si="8"/>
        <v>2957.6666666666665</v>
      </c>
      <c r="I15" s="59">
        <f>IF(Ranksel=2012,(RANK(E15,$E$14:$E$65,0)+COUNTIF($E$14:E15,E15)-1),IF(Ranksel=2011,(RANK(F15,$F$14:$F$65,0)+COUNTIF($F$14:F15,F15)-1),IF(Ranksel=2010,(RANK(G15,$G$14:$G$65,0)+COUNTIF($G$14:G15,G15)-1),IF(Ranksel="All",(RANK(H15,$H$14:$H$65,0)+COUNTIF($H$14:H15,H15)-1),0))))</f>
        <v>27</v>
      </c>
      <c r="J15" s="51" t="s">
        <v>8</v>
      </c>
      <c r="L15" s="79"/>
      <c r="M15" s="57">
        <v>3</v>
      </c>
      <c r="N15" s="145" t="str">
        <f t="shared" si="6"/>
        <v>Arizona</v>
      </c>
      <c r="O15" s="146">
        <f t="shared" si="7"/>
        <v>11738</v>
      </c>
      <c r="P15" s="74">
        <f t="shared" si="9"/>
        <v>5.9079531041332518E-2</v>
      </c>
      <c r="Q15" s="106">
        <f>IF(O15=0,0,(RANK(O15,$O$13:$O$64,0)+COUNTIF($O$13:O15,O15)-1))</f>
        <v>3</v>
      </c>
      <c r="Y15" s="60">
        <v>2</v>
      </c>
      <c r="Z15" s="152" t="str">
        <f t="array" ref="Z15">IF(ROWS($Z$14:Z15)&lt;=52,INDEX(List,SMALL(IF($B$14:$B$65="N",ROW($B$14:$B$65)-ROW($B$14)+1),ROWS($Z$14:Z15))),"")</f>
        <v>Alaska</v>
      </c>
    </row>
    <row r="16" spans="2:29" x14ac:dyDescent="0.25">
      <c r="B16" s="60" t="str">
        <f t="shared" si="4"/>
        <v>N</v>
      </c>
      <c r="C16" s="60">
        <v>3</v>
      </c>
      <c r="D16" s="53" t="s">
        <v>9</v>
      </c>
      <c r="E16" s="59">
        <f>IF(Arr_Dep="Arrival",IF((VLOOKUP(state,'2012'!$B$9:$BI$62,MATCH($D16,'2012'!$B$9:$BI$9,0),0))="N/a",0,(VLOOKUP(state,'2012'!$B$9:$BI$62,MATCH($D16,'2012'!$B$9:$BI$9,0),0))),IF((VLOOKUP($D16,'2012'!$B$9:$BI$62,MATCH(state,'2012'!$B$9:$BI$9,0),0))="N/a",0,(VLOOKUP($D16,'2012'!$B$9:$BI$62,MATCH(state,'2012'!$B$9:$BI$9,0),0))))</f>
        <v>10589</v>
      </c>
      <c r="F16" s="59">
        <f>IF(Arr_Dep="Arrival",IF((VLOOKUP(state,'2011'!$B$9:$BI$62,MATCH($D16,'2011'!$B$9:$BI$9,0),0))="N/a",0,(VLOOKUP(state,'2011'!$B$9:$BI$62,MATCH($D16,'2011'!$B$9:$BI$9,0),0))),IF((VLOOKUP($D16,'2011'!$B$9:$BI$62,MATCH(state,'2011'!$B$9:$BI$9,0),0))="N/a",0,(VLOOKUP($D16,'2011'!$B$9:$BI$62,MATCH(state,'2011'!$B$9:$BI$9,0),0))))</f>
        <v>12338</v>
      </c>
      <c r="G16" s="59">
        <f>IF(Arr_Dep="Arrival",IF((VLOOKUP(state,'2010'!$B$9:$BI$62,MATCH($D16,'2010'!$B$9:$BI$9,0),0))="N/a",0,(VLOOKUP(state,'2010'!$B$9:$BI$62,MATCH($D16,'2010'!$B$9:$BI$9,0),0))),IF((VLOOKUP($D16,'2010'!$B$9:$BI$62,MATCH(state,'2010'!$B$9:$BI$9,0),0))="N/a",0,(VLOOKUP($D16,'2010'!$B$9:$BI$62,MATCH(state,'2010'!$B$9:$BI$9,0),0))))</f>
        <v>12287</v>
      </c>
      <c r="H16" s="59">
        <f t="shared" si="8"/>
        <v>11738</v>
      </c>
      <c r="I16" s="59">
        <f>IF(Ranksel=2012,(RANK(E16,$E$14:$E$65,0)+COUNTIF($E$14:E16,E16)-1),IF(Ranksel=2011,(RANK(F16,$F$14:$F$65,0)+COUNTIF($F$14:F16,F16)-1),IF(Ranksel=2010,(RANK(G16,$G$14:$G$65,0)+COUNTIF($G$14:G16,G16)-1),IF(Ranksel="All",(RANK(H16,$H$14:$H$65,0)+COUNTIF($H$14:H16,H16)-1),0))))</f>
        <v>3</v>
      </c>
      <c r="J16" s="51" t="s">
        <v>9</v>
      </c>
      <c r="L16" s="79"/>
      <c r="M16" s="57">
        <v>4</v>
      </c>
      <c r="N16" s="145" t="str">
        <f t="shared" si="6"/>
        <v>Arkansas</v>
      </c>
      <c r="O16" s="146">
        <f t="shared" si="7"/>
        <v>1230.6666666666667</v>
      </c>
      <c r="P16" s="74">
        <f t="shared" si="9"/>
        <v>6.1941735845004731E-3</v>
      </c>
      <c r="Q16" s="106">
        <f>IF(O16=0,0,(RANK(O16,$O$13:$O$64,0)+COUNTIF($O$13:O16,O16)-1))</f>
        <v>41</v>
      </c>
      <c r="S16" s="78"/>
      <c r="Y16" s="60">
        <v>3</v>
      </c>
      <c r="Z16" s="152" t="str">
        <f t="array" ref="Z16">IF(ROWS($Z$14:Z16)&lt;=52,INDEX(List,SMALL(IF($B$14:$B$65="N",ROW($B$14:$B$65)-ROW($B$14)+1),ROWS($Z$14:Z16))),"")</f>
        <v>Arizona</v>
      </c>
    </row>
    <row r="17" spans="2:26" x14ac:dyDescent="0.25">
      <c r="B17" s="60" t="str">
        <f t="shared" si="4"/>
        <v>N</v>
      </c>
      <c r="C17" s="60">
        <v>4</v>
      </c>
      <c r="D17" s="53" t="s">
        <v>10</v>
      </c>
      <c r="E17" s="59">
        <f>IF(Arr_Dep="Arrival",IF((VLOOKUP(state,'2012'!$B$9:$BI$62,MATCH($D17,'2012'!$B$9:$BI$9,0),0))="N/a",0,(VLOOKUP(state,'2012'!$B$9:$BI$62,MATCH($D17,'2012'!$B$9:$BI$9,0),0))),IF((VLOOKUP($D17,'2012'!$B$9:$BI$62,MATCH(state,'2012'!$B$9:$BI$9,0),0))="N/a",0,(VLOOKUP($D17,'2012'!$B$9:$BI$62,MATCH(state,'2012'!$B$9:$BI$9,0),0))))</f>
        <v>1043</v>
      </c>
      <c r="F17" s="59">
        <f>IF(Arr_Dep="Arrival",IF((VLOOKUP(state,'2011'!$B$9:$BI$62,MATCH($D17,'2011'!$B$9:$BI$9,0),0))="N/a",0,(VLOOKUP(state,'2011'!$B$9:$BI$62,MATCH($D17,'2011'!$B$9:$BI$9,0),0))),IF((VLOOKUP($D17,'2011'!$B$9:$BI$62,MATCH(state,'2011'!$B$9:$BI$9,0),0))="N/a",0,(VLOOKUP($D17,'2011'!$B$9:$BI$62,MATCH(state,'2011'!$B$9:$BI$9,0),0))))</f>
        <v>1615</v>
      </c>
      <c r="G17" s="59">
        <f>IF(Arr_Dep="Arrival",IF((VLOOKUP(state,'2010'!$B$9:$BI$62,MATCH($D17,'2010'!$B$9:$BI$9,0),0))="N/a",0,(VLOOKUP(state,'2010'!$B$9:$BI$62,MATCH($D17,'2010'!$B$9:$BI$9,0),0))),IF((VLOOKUP($D17,'2010'!$B$9:$BI$62,MATCH(state,'2010'!$B$9:$BI$9,0),0))="N/a",0,(VLOOKUP($D17,'2010'!$B$9:$BI$62,MATCH(state,'2010'!$B$9:$BI$9,0),0))))</f>
        <v>1034</v>
      </c>
      <c r="H17" s="59">
        <f t="shared" si="8"/>
        <v>1230.6666666666667</v>
      </c>
      <c r="I17" s="59">
        <f>IF(Ranksel=2012,(RANK(E17,$E$14:$E$65,0)+COUNTIF($E$14:E17,E17)-1),IF(Ranksel=2011,(RANK(F17,$F$14:$F$65,0)+COUNTIF($F$14:F17,F17)-1),IF(Ranksel=2010,(RANK(G17,$G$14:$G$65,0)+COUNTIF($G$14:G17,G17)-1),IF(Ranksel="All",(RANK(H17,$H$14:$H$65,0)+COUNTIF($H$14:H17,H17)-1),0))))</f>
        <v>41</v>
      </c>
      <c r="J17" s="51" t="s">
        <v>10</v>
      </c>
      <c r="L17" s="79"/>
      <c r="M17" s="57">
        <v>5</v>
      </c>
      <c r="N17" s="145" t="str">
        <f t="shared" si="6"/>
        <v>California</v>
      </c>
      <c r="O17" s="146">
        <f t="shared" si="7"/>
        <v>23825</v>
      </c>
      <c r="P17" s="74">
        <f t="shared" si="9"/>
        <v>0.11991564381153069</v>
      </c>
      <c r="Q17" s="106">
        <f>IF(O17=0,0,(RANK(O17,$O$13:$O$64,0)+COUNTIF($O$13:O17,O17)-1))</f>
        <v>1</v>
      </c>
      <c r="Y17" s="60">
        <v>4</v>
      </c>
      <c r="Z17" s="152" t="str">
        <f t="array" ref="Z17">IF(ROWS($Z$14:Z17)&lt;=52,INDEX(List,SMALL(IF($B$14:$B$65="N",ROW($B$14:$B$65)-ROW($B$14)+1),ROWS($Z$14:Z17))),"")</f>
        <v>Arkansas</v>
      </c>
    </row>
    <row r="18" spans="2:26" x14ac:dyDescent="0.25">
      <c r="B18" s="60" t="str">
        <f t="shared" si="4"/>
        <v>N</v>
      </c>
      <c r="C18" s="60">
        <v>5</v>
      </c>
      <c r="D18" s="53" t="s">
        <v>11</v>
      </c>
      <c r="E18" s="59">
        <f>IF(Arr_Dep="Arrival",IF((VLOOKUP(state,'2012'!$B$9:$BI$62,MATCH($D18,'2012'!$B$9:$BI$9,0),0))="N/a",0,(VLOOKUP(state,'2012'!$B$9:$BI$62,MATCH($D18,'2012'!$B$9:$BI$9,0),0))),IF((VLOOKUP($D18,'2012'!$B$9:$BI$62,MATCH(state,'2012'!$B$9:$BI$9,0),0))="N/a",0,(VLOOKUP($D18,'2012'!$B$9:$BI$62,MATCH(state,'2012'!$B$9:$BI$9,0),0))))</f>
        <v>22152</v>
      </c>
      <c r="F18" s="59">
        <f>IF(Arr_Dep="Arrival",IF((VLOOKUP(state,'2011'!$B$9:$BI$62,MATCH($D18,'2011'!$B$9:$BI$9,0),0))="N/a",0,(VLOOKUP(state,'2011'!$B$9:$BI$62,MATCH($D18,'2011'!$B$9:$BI$9,0),0))),IF((VLOOKUP($D18,'2011'!$B$9:$BI$62,MATCH(state,'2011'!$B$9:$BI$9,0),0))="N/a",0,(VLOOKUP($D18,'2011'!$B$9:$BI$62,MATCH(state,'2011'!$B$9:$BI$9,0),0))))</f>
        <v>23234</v>
      </c>
      <c r="G18" s="59">
        <f>IF(Arr_Dep="Arrival",IF((VLOOKUP(state,'2010'!$B$9:$BI$62,MATCH($D18,'2010'!$B$9:$BI$9,0),0))="N/a",0,(VLOOKUP(state,'2010'!$B$9:$BI$62,MATCH($D18,'2010'!$B$9:$BI$9,0),0))),IF((VLOOKUP($D18,'2010'!$B$9:$BI$62,MATCH(state,'2010'!$B$9:$BI$9,0),0))="N/a",0,(VLOOKUP($D18,'2010'!$B$9:$BI$62,MATCH(state,'2010'!$B$9:$BI$9,0),0))))</f>
        <v>26089</v>
      </c>
      <c r="H18" s="59">
        <f t="shared" si="8"/>
        <v>23825</v>
      </c>
      <c r="I18" s="59">
        <f>IF(Ranksel=2012,(RANK(E18,$E$14:$E$65,0)+COUNTIF($E$14:E18,E18)-1),IF(Ranksel=2011,(RANK(F18,$F$14:$F$65,0)+COUNTIF($F$14:F18,F18)-1),IF(Ranksel=2010,(RANK(G18,$G$14:$G$65,0)+COUNTIF($G$14:G18,G18)-1),IF(Ranksel="All",(RANK(H18,$H$14:$H$65,0)+COUNTIF($H$14:H18,H18)-1),0))))</f>
        <v>1</v>
      </c>
      <c r="J18" s="51" t="s">
        <v>11</v>
      </c>
      <c r="L18" s="79"/>
      <c r="M18" s="57">
        <v>6</v>
      </c>
      <c r="N18" s="145" t="str">
        <f t="shared" si="6"/>
        <v>Colorado</v>
      </c>
      <c r="O18" s="146">
        <f t="shared" si="7"/>
        <v>0</v>
      </c>
      <c r="P18" s="74">
        <f t="shared" si="9"/>
        <v>0</v>
      </c>
      <c r="Q18" s="106">
        <f>IF(O18=0,0,(RANK(O18,$O$13:$O$64,0)+COUNTIF($O$13:O18,O18)-1))</f>
        <v>0</v>
      </c>
      <c r="Y18" s="60">
        <v>5</v>
      </c>
      <c r="Z18" s="152" t="str">
        <f t="array" ref="Z18">IF(ROWS($Z$14:Z18)&lt;=52,INDEX(List,SMALL(IF($B$14:$B$65="N",ROW($B$14:$B$65)-ROW($B$14)+1),ROWS($Z$14:Z18))),"")</f>
        <v>California</v>
      </c>
    </row>
    <row r="19" spans="2:26" x14ac:dyDescent="0.25">
      <c r="B19" s="60" t="str">
        <f t="shared" si="4"/>
        <v>Y</v>
      </c>
      <c r="C19" s="60">
        <v>6</v>
      </c>
      <c r="D19" s="53" t="s">
        <v>12</v>
      </c>
      <c r="E19" s="59">
        <f>IF(Arr_Dep="Arrival",IF((VLOOKUP(state,'2012'!$B$9:$BI$62,MATCH($D19,'2012'!$B$9:$BI$9,0),0))="N/a",0,(VLOOKUP(state,'2012'!$B$9:$BI$62,MATCH($D19,'2012'!$B$9:$BI$9,0),0))),IF((VLOOKUP($D19,'2012'!$B$9:$BI$62,MATCH(state,'2012'!$B$9:$BI$9,0),0))="N/a",0,(VLOOKUP($D19,'2012'!$B$9:$BI$62,MATCH(state,'2012'!$B$9:$BI$9,0),0))))</f>
        <v>0</v>
      </c>
      <c r="F19" s="59">
        <f>IF(Arr_Dep="Arrival",IF((VLOOKUP(state,'2011'!$B$9:$BI$62,MATCH($D19,'2011'!$B$9:$BI$9,0),0))="N/a",0,(VLOOKUP(state,'2011'!$B$9:$BI$62,MATCH($D19,'2011'!$B$9:$BI$9,0),0))),IF((VLOOKUP($D19,'2011'!$B$9:$BI$62,MATCH(state,'2011'!$B$9:$BI$9,0),0))="N/a",0,(VLOOKUP($D19,'2011'!$B$9:$BI$62,MATCH(state,'2011'!$B$9:$BI$9,0),0))))</f>
        <v>0</v>
      </c>
      <c r="G19" s="59">
        <f>IF(Arr_Dep="Arrival",IF((VLOOKUP(state,'2010'!$B$9:$BI$62,MATCH($D19,'2010'!$B$9:$BI$9,0),0))="N/a",0,(VLOOKUP(state,'2010'!$B$9:$BI$62,MATCH($D19,'2010'!$B$9:$BI$9,0),0))),IF((VLOOKUP($D19,'2010'!$B$9:$BI$62,MATCH(state,'2010'!$B$9:$BI$9,0),0))="N/a",0,(VLOOKUP($D19,'2010'!$B$9:$BI$62,MATCH(state,'2010'!$B$9:$BI$9,0),0))))</f>
        <v>0</v>
      </c>
      <c r="H19" s="59">
        <f t="shared" si="8"/>
        <v>0</v>
      </c>
      <c r="I19" s="59">
        <f>IF(Ranksel=2012,(RANK(E19,$E$14:$E$65,0)+COUNTIF($E$14:E19,E19)-1),IF(Ranksel=2011,(RANK(F19,$F$14:$F$65,0)+COUNTIF($F$14:F19,F19)-1),IF(Ranksel=2010,(RANK(G19,$G$14:$G$65,0)+COUNTIF($G$14:G19,G19)-1),IF(Ranksel="All",(RANK(H19,$H$14:$H$65,0)+COUNTIF($H$14:H19,H19)-1),0))))</f>
        <v>52</v>
      </c>
      <c r="J19" s="51" t="s">
        <v>12</v>
      </c>
      <c r="L19" s="79"/>
      <c r="M19" s="57">
        <v>7</v>
      </c>
      <c r="N19" s="145" t="str">
        <f t="shared" si="6"/>
        <v>Connecticut</v>
      </c>
      <c r="O19" s="146">
        <f t="shared" si="7"/>
        <v>1114.3333333333333</v>
      </c>
      <c r="P19" s="74">
        <f t="shared" si="9"/>
        <v>5.608646341545254E-3</v>
      </c>
      <c r="Q19" s="106">
        <f>IF(O19=0,0,(RANK(O19,$O$13:$O$64,0)+COUNTIF($O$13:O19,O19)-1))</f>
        <v>42</v>
      </c>
      <c r="Y19" s="60">
        <v>6</v>
      </c>
      <c r="Z19" s="152" t="str">
        <f t="array" ref="Z19">IF(ROWS($Z$14:Z19)&lt;=52,INDEX(List,SMALL(IF($B$14:$B$65="N",ROW($B$14:$B$65)-ROW($B$14)+1),ROWS($Z$14:Z19))),"")</f>
        <v>Connecticut</v>
      </c>
    </row>
    <row r="20" spans="2:26" x14ac:dyDescent="0.25">
      <c r="B20" s="60" t="str">
        <f t="shared" si="4"/>
        <v>N</v>
      </c>
      <c r="C20" s="60">
        <v>7</v>
      </c>
      <c r="D20" s="53" t="s">
        <v>13</v>
      </c>
      <c r="E20" s="59">
        <f>IF(Arr_Dep="Arrival",IF((VLOOKUP(state,'2012'!$B$9:$BI$62,MATCH($D20,'2012'!$B$9:$BI$9,0),0))="N/a",0,(VLOOKUP(state,'2012'!$B$9:$BI$62,MATCH($D20,'2012'!$B$9:$BI$9,0),0))),IF((VLOOKUP($D20,'2012'!$B$9:$BI$62,MATCH(state,'2012'!$B$9:$BI$9,0),0))="N/a",0,(VLOOKUP($D20,'2012'!$B$9:$BI$62,MATCH(state,'2012'!$B$9:$BI$9,0),0))))</f>
        <v>1317</v>
      </c>
      <c r="F20" s="59">
        <f>IF(Arr_Dep="Arrival",IF((VLOOKUP(state,'2011'!$B$9:$BI$62,MATCH($D20,'2011'!$B$9:$BI$9,0),0))="N/a",0,(VLOOKUP(state,'2011'!$B$9:$BI$62,MATCH($D20,'2011'!$B$9:$BI$9,0),0))),IF((VLOOKUP($D20,'2011'!$B$9:$BI$62,MATCH(state,'2011'!$B$9:$BI$9,0),0))="N/a",0,(VLOOKUP($D20,'2011'!$B$9:$BI$62,MATCH(state,'2011'!$B$9:$BI$9,0),0))))</f>
        <v>1567</v>
      </c>
      <c r="G20" s="59">
        <f>IF(Arr_Dep="Arrival",IF((VLOOKUP(state,'2010'!$B$9:$BI$62,MATCH($D20,'2010'!$B$9:$BI$9,0),0))="N/a",0,(VLOOKUP(state,'2010'!$B$9:$BI$62,MATCH($D20,'2010'!$B$9:$BI$9,0),0))),IF((VLOOKUP($D20,'2010'!$B$9:$BI$62,MATCH(state,'2010'!$B$9:$BI$9,0),0))="N/a",0,(VLOOKUP($D20,'2010'!$B$9:$BI$62,MATCH(state,'2010'!$B$9:$BI$9,0),0))))</f>
        <v>459</v>
      </c>
      <c r="H20" s="59">
        <f t="shared" si="8"/>
        <v>1114.3333333333333</v>
      </c>
      <c r="I20" s="59">
        <f>IF(Ranksel=2012,(RANK(E20,$E$14:$E$65,0)+COUNTIF($E$14:E20,E20)-1),IF(Ranksel=2011,(RANK(F20,$F$14:$F$65,0)+COUNTIF($F$14:F20,F20)-1),IF(Ranksel=2010,(RANK(G20,$G$14:$G$65,0)+COUNTIF($G$14:G20,G20)-1),IF(Ranksel="All",(RANK(H20,$H$14:$H$65,0)+COUNTIF($H$14:H20,H20)-1),0))))</f>
        <v>42</v>
      </c>
      <c r="J20" s="51" t="s">
        <v>13</v>
      </c>
      <c r="L20" s="79"/>
      <c r="M20" s="57">
        <v>8</v>
      </c>
      <c r="N20" s="145" t="str">
        <f t="shared" si="6"/>
        <v>Delaware</v>
      </c>
      <c r="O20" s="146">
        <f t="shared" si="7"/>
        <v>352.33333333333331</v>
      </c>
      <c r="P20" s="74">
        <f t="shared" si="9"/>
        <v>1.7733590137640844E-3</v>
      </c>
      <c r="Q20" s="106">
        <f>IF(O20=0,0,(RANK(O20,$O$13:$O$64,0)+COUNTIF($O$13:O20,O20)-1))</f>
        <v>50</v>
      </c>
      <c r="Y20" s="60">
        <v>7</v>
      </c>
      <c r="Z20" s="152" t="str">
        <f t="array" ref="Z20">IF(ROWS($Z$14:Z20)&lt;=52,INDEX(List,SMALL(IF($B$14:$B$65="N",ROW($B$14:$B$65)-ROW($B$14)+1),ROWS($Z$14:Z20))),"")</f>
        <v>Delaware</v>
      </c>
    </row>
    <row r="21" spans="2:26" x14ac:dyDescent="0.25">
      <c r="B21" s="60" t="str">
        <f t="shared" si="4"/>
        <v>N</v>
      </c>
      <c r="C21" s="60">
        <v>8</v>
      </c>
      <c r="D21" s="53" t="s">
        <v>14</v>
      </c>
      <c r="E21" s="59">
        <f>IF(Arr_Dep="Arrival",IF((VLOOKUP(state,'2012'!$B$9:$BI$62,MATCH($D21,'2012'!$B$9:$BI$9,0),0))="N/a",0,(VLOOKUP(state,'2012'!$B$9:$BI$62,MATCH($D21,'2012'!$B$9:$BI$9,0),0))),IF((VLOOKUP($D21,'2012'!$B$9:$BI$62,MATCH(state,'2012'!$B$9:$BI$9,0),0))="N/a",0,(VLOOKUP($D21,'2012'!$B$9:$BI$62,MATCH(state,'2012'!$B$9:$BI$9,0),0))))</f>
        <v>70</v>
      </c>
      <c r="F21" s="59">
        <f>IF(Arr_Dep="Arrival",IF((VLOOKUP(state,'2011'!$B$9:$BI$62,MATCH($D21,'2011'!$B$9:$BI$9,0),0))="N/a",0,(VLOOKUP(state,'2011'!$B$9:$BI$62,MATCH($D21,'2011'!$B$9:$BI$9,0),0))),IF((VLOOKUP($D21,'2011'!$B$9:$BI$62,MATCH(state,'2011'!$B$9:$BI$9,0),0))="N/a",0,(VLOOKUP($D21,'2011'!$B$9:$BI$62,MATCH(state,'2011'!$B$9:$BI$9,0),0))))</f>
        <v>501</v>
      </c>
      <c r="G21" s="59">
        <f>IF(Arr_Dep="Arrival",IF((VLOOKUP(state,'2010'!$B$9:$BI$62,MATCH($D21,'2010'!$B$9:$BI$9,0),0))="N/a",0,(VLOOKUP(state,'2010'!$B$9:$BI$62,MATCH($D21,'2010'!$B$9:$BI$9,0),0))),IF((VLOOKUP($D21,'2010'!$B$9:$BI$62,MATCH(state,'2010'!$B$9:$BI$9,0),0))="N/a",0,(VLOOKUP($D21,'2010'!$B$9:$BI$62,MATCH(state,'2010'!$B$9:$BI$9,0),0))))</f>
        <v>486</v>
      </c>
      <c r="H21" s="59">
        <f t="shared" si="8"/>
        <v>352.33333333333331</v>
      </c>
      <c r="I21" s="59">
        <f>IF(Ranksel=2012,(RANK(E21,$E$14:$E$65,0)+COUNTIF($E$14:E21,E21)-1),IF(Ranksel=2011,(RANK(F21,$F$14:$F$65,0)+COUNTIF($F$14:F21,F21)-1),IF(Ranksel=2010,(RANK(G21,$G$14:$G$65,0)+COUNTIF($G$14:G21,G21)-1),IF(Ranksel="All",(RANK(H21,$H$14:$H$65,0)+COUNTIF($H$14:H21,H21)-1),0))))</f>
        <v>50</v>
      </c>
      <c r="J21" s="51" t="s">
        <v>14</v>
      </c>
      <c r="L21" s="79"/>
      <c r="M21" s="57">
        <v>9</v>
      </c>
      <c r="N21" s="145" t="str">
        <f t="shared" si="6"/>
        <v xml:space="preserve">District of Columbia </v>
      </c>
      <c r="O21" s="146">
        <f t="shared" si="7"/>
        <v>421.66666666666669</v>
      </c>
      <c r="P21" s="74">
        <f t="shared" si="9"/>
        <v>2.122326539651435E-3</v>
      </c>
      <c r="Q21" s="106">
        <f>IF(O21=0,0,(RANK(O21,$O$13:$O$64,0)+COUNTIF($O$13:O21,O21)-1))</f>
        <v>49</v>
      </c>
      <c r="Y21" s="60">
        <v>8</v>
      </c>
      <c r="Z21" s="152" t="str">
        <f t="array" ref="Z21">IF(ROWS($Z$14:Z21)&lt;=52,INDEX(List,SMALL(IF($B$14:$B$65="N",ROW($B$14:$B$65)-ROW($B$14)+1),ROWS($Z$14:Z21))),"")</f>
        <v xml:space="preserve">District of Columbia </v>
      </c>
    </row>
    <row r="22" spans="2:26" x14ac:dyDescent="0.25">
      <c r="B22" s="60" t="str">
        <f t="shared" si="4"/>
        <v>N</v>
      </c>
      <c r="C22" s="60">
        <v>9</v>
      </c>
      <c r="D22" s="53" t="s">
        <v>15</v>
      </c>
      <c r="E22" s="59">
        <f>IF(Arr_Dep="Arrival",IF((VLOOKUP(state,'2012'!$B$9:$BI$62,MATCH($D22,'2012'!$B$9:$BI$9,0),0))="N/a",0,(VLOOKUP(state,'2012'!$B$9:$BI$62,MATCH($D22,'2012'!$B$9:$BI$9,0),0))),IF((VLOOKUP($D22,'2012'!$B$9:$BI$62,MATCH(state,'2012'!$B$9:$BI$9,0),0))="N/a",0,(VLOOKUP($D22,'2012'!$B$9:$BI$62,MATCH(state,'2012'!$B$9:$BI$9,0),0))))</f>
        <v>488</v>
      </c>
      <c r="F22" s="59">
        <f>IF(Arr_Dep="Arrival",IF((VLOOKUP(state,'2011'!$B$9:$BI$62,MATCH($D22,'2011'!$B$9:$BI$9,0),0))="N/a",0,(VLOOKUP(state,'2011'!$B$9:$BI$62,MATCH($D22,'2011'!$B$9:$BI$9,0),0))),IF((VLOOKUP($D22,'2011'!$B$9:$BI$62,MATCH(state,'2011'!$B$9:$BI$9,0),0))="N/a",0,(VLOOKUP($D22,'2011'!$B$9:$BI$62,MATCH(state,'2011'!$B$9:$BI$9,0),0))))</f>
        <v>298</v>
      </c>
      <c r="G22" s="59">
        <f>IF(Arr_Dep="Arrival",IF((VLOOKUP(state,'2010'!$B$9:$BI$62,MATCH($D22,'2010'!$B$9:$BI$9,0),0))="N/a",0,(VLOOKUP(state,'2010'!$B$9:$BI$62,MATCH($D22,'2010'!$B$9:$BI$9,0),0))),IF((VLOOKUP($D22,'2010'!$B$9:$BI$62,MATCH(state,'2010'!$B$9:$BI$9,0),0))="N/a",0,(VLOOKUP($D22,'2010'!$B$9:$BI$62,MATCH(state,'2010'!$B$9:$BI$9,0),0))))</f>
        <v>479</v>
      </c>
      <c r="H22" s="59">
        <f t="shared" si="8"/>
        <v>421.66666666666669</v>
      </c>
      <c r="I22" s="59">
        <f>IF(Ranksel=2012,(RANK(E22,$E$14:$E$65,0)+COUNTIF($E$14:E22,E22)-1),IF(Ranksel=2011,(RANK(F22,$F$14:$F$65,0)+COUNTIF($F$14:F22,F22)-1),IF(Ranksel=2010,(RANK(G22,$G$14:$G$65,0)+COUNTIF($G$14:G22,G22)-1),IF(Ranksel="All",(RANK(H22,$H$14:$H$65,0)+COUNTIF($H$14:H22,H22)-1),0))))</f>
        <v>49</v>
      </c>
      <c r="J22" s="51" t="s">
        <v>145</v>
      </c>
      <c r="L22" s="79"/>
      <c r="M22" s="57">
        <v>10</v>
      </c>
      <c r="N22" s="145" t="str">
        <f t="shared" si="6"/>
        <v>Florida</v>
      </c>
      <c r="O22" s="146">
        <f t="shared" si="7"/>
        <v>8513</v>
      </c>
      <c r="P22" s="74">
        <f t="shared" si="9"/>
        <v>4.2847507902101185E-2</v>
      </c>
      <c r="Q22" s="106">
        <f>IF(O22=0,0,(RANK(O22,$O$13:$O$64,0)+COUNTIF($O$13:O22,O22)-1))</f>
        <v>4</v>
      </c>
      <c r="Y22" s="60">
        <v>9</v>
      </c>
      <c r="Z22" s="152" t="str">
        <f t="array" ref="Z22">IF(ROWS($Z$14:Z22)&lt;=52,INDEX(List,SMALL(IF($B$14:$B$65="N",ROW($B$14:$B$65)-ROW($B$14)+1),ROWS($Z$14:Z22))),"")</f>
        <v>Florida</v>
      </c>
    </row>
    <row r="23" spans="2:26" x14ac:dyDescent="0.25">
      <c r="B23" s="60" t="str">
        <f t="shared" si="4"/>
        <v>N</v>
      </c>
      <c r="C23" s="60">
        <v>10</v>
      </c>
      <c r="D23" s="53" t="s">
        <v>16</v>
      </c>
      <c r="E23" s="59">
        <f>IF(Arr_Dep="Arrival",IF((VLOOKUP(state,'2012'!$B$9:$BI$62,MATCH($D23,'2012'!$B$9:$BI$9,0),0))="N/a",0,(VLOOKUP(state,'2012'!$B$9:$BI$62,MATCH($D23,'2012'!$B$9:$BI$9,0),0))),IF((VLOOKUP($D23,'2012'!$B$9:$BI$62,MATCH(state,'2012'!$B$9:$BI$9,0),0))="N/a",0,(VLOOKUP($D23,'2012'!$B$9:$BI$62,MATCH(state,'2012'!$B$9:$BI$9,0),0))))</f>
        <v>8615</v>
      </c>
      <c r="F23" s="59">
        <f>IF(Arr_Dep="Arrival",IF((VLOOKUP(state,'2011'!$B$9:$BI$62,MATCH($D23,'2011'!$B$9:$BI$9,0),0))="N/a",0,(VLOOKUP(state,'2011'!$B$9:$BI$62,MATCH($D23,'2011'!$B$9:$BI$9,0),0))),IF((VLOOKUP($D23,'2011'!$B$9:$BI$62,MATCH(state,'2011'!$B$9:$BI$9,0),0))="N/a",0,(VLOOKUP($D23,'2011'!$B$9:$BI$62,MATCH(state,'2011'!$B$9:$BI$9,0),0))))</f>
        <v>8075</v>
      </c>
      <c r="G23" s="59">
        <f>IF(Arr_Dep="Arrival",IF((VLOOKUP(state,'2010'!$B$9:$BI$62,MATCH($D23,'2010'!$B$9:$BI$9,0),0))="N/a",0,(VLOOKUP(state,'2010'!$B$9:$BI$62,MATCH($D23,'2010'!$B$9:$BI$9,0),0))),IF((VLOOKUP($D23,'2010'!$B$9:$BI$62,MATCH(state,'2010'!$B$9:$BI$9,0),0))="N/a",0,(VLOOKUP($D23,'2010'!$B$9:$BI$62,MATCH(state,'2010'!$B$9:$BI$9,0),0))))</f>
        <v>8849</v>
      </c>
      <c r="H23" s="59">
        <f t="shared" si="8"/>
        <v>8513</v>
      </c>
      <c r="I23" s="59">
        <f>IF(Ranksel=2012,(RANK(E23,$E$14:$E$65,0)+COUNTIF($E$14:E23,E23)-1),IF(Ranksel=2011,(RANK(F23,$F$14:$F$65,0)+COUNTIF($F$14:F23,F23)-1),IF(Ranksel=2010,(RANK(G23,$G$14:$G$65,0)+COUNTIF($G$14:G23,G23)-1),IF(Ranksel="All",(RANK(H23,$H$14:$H$65,0)+COUNTIF($H$14:H23,H23)-1),0))))</f>
        <v>4</v>
      </c>
      <c r="J23" s="51" t="s">
        <v>16</v>
      </c>
      <c r="L23" s="79"/>
      <c r="M23" s="57">
        <v>11</v>
      </c>
      <c r="N23" s="145" t="str">
        <f t="shared" si="6"/>
        <v>Georgia</v>
      </c>
      <c r="O23" s="146">
        <f t="shared" si="7"/>
        <v>5176.333333333333</v>
      </c>
      <c r="P23" s="74">
        <f t="shared" si="9"/>
        <v>2.6053445718772435E-2</v>
      </c>
      <c r="Q23" s="106">
        <f>IF(O23=0,0,(RANK(O23,$O$13:$O$64,0)+COUNTIF($O$13:O23,O23)-1))</f>
        <v>9</v>
      </c>
      <c r="Y23" s="60">
        <v>10</v>
      </c>
      <c r="Z23" s="152" t="str">
        <f t="array" ref="Z23">IF(ROWS($Z$14:Z23)&lt;=52,INDEX(List,SMALL(IF($B$14:$B$65="N",ROW($B$14:$B$65)-ROW($B$14)+1),ROWS($Z$14:Z23))),"")</f>
        <v>Georgia</v>
      </c>
    </row>
    <row r="24" spans="2:26" x14ac:dyDescent="0.25">
      <c r="B24" s="60" t="str">
        <f t="shared" si="4"/>
        <v>N</v>
      </c>
      <c r="C24" s="60">
        <v>11</v>
      </c>
      <c r="D24" s="53" t="s">
        <v>17</v>
      </c>
      <c r="E24" s="59">
        <f>IF(Arr_Dep="Arrival",IF((VLOOKUP(state,'2012'!$B$9:$BI$62,MATCH($D24,'2012'!$B$9:$BI$9,0),0))="N/a",0,(VLOOKUP(state,'2012'!$B$9:$BI$62,MATCH($D24,'2012'!$B$9:$BI$9,0),0))),IF((VLOOKUP($D24,'2012'!$B$9:$BI$62,MATCH(state,'2012'!$B$9:$BI$9,0),0))="N/a",0,(VLOOKUP($D24,'2012'!$B$9:$BI$62,MATCH(state,'2012'!$B$9:$BI$9,0),0))))</f>
        <v>5834</v>
      </c>
      <c r="F24" s="59">
        <f>IF(Arr_Dep="Arrival",IF((VLOOKUP(state,'2011'!$B$9:$BI$62,MATCH($D24,'2011'!$B$9:$BI$9,0),0))="N/a",0,(VLOOKUP(state,'2011'!$B$9:$BI$62,MATCH($D24,'2011'!$B$9:$BI$9,0),0))),IF((VLOOKUP($D24,'2011'!$B$9:$BI$62,MATCH(state,'2011'!$B$9:$BI$9,0),0))="N/a",0,(VLOOKUP($D24,'2011'!$B$9:$BI$62,MATCH(state,'2011'!$B$9:$BI$9,0),0))))</f>
        <v>3250</v>
      </c>
      <c r="G24" s="59">
        <f>IF(Arr_Dep="Arrival",IF((VLOOKUP(state,'2010'!$B$9:$BI$62,MATCH($D24,'2010'!$B$9:$BI$9,0),0))="N/a",0,(VLOOKUP(state,'2010'!$B$9:$BI$62,MATCH($D24,'2010'!$B$9:$BI$9,0),0))),IF((VLOOKUP($D24,'2010'!$B$9:$BI$62,MATCH(state,'2010'!$B$9:$BI$9,0),0))="N/a",0,(VLOOKUP($D24,'2010'!$B$9:$BI$62,MATCH(state,'2010'!$B$9:$BI$9,0),0))))</f>
        <v>6445</v>
      </c>
      <c r="H24" s="59">
        <f t="shared" si="8"/>
        <v>5176.333333333333</v>
      </c>
      <c r="I24" s="59">
        <f>IF(Ranksel=2012,(RANK(E24,$E$14:$E$65,0)+COUNTIF($E$14:E24,E24)-1),IF(Ranksel=2011,(RANK(F24,$F$14:$F$65,0)+COUNTIF($F$14:F24,F24)-1),IF(Ranksel=2010,(RANK(G24,$G$14:$G$65,0)+COUNTIF($G$14:G24,G24)-1),IF(Ranksel="All",(RANK(H24,$H$14:$H$65,0)+COUNTIF($H$14:H24,H24)-1),0))))</f>
        <v>9</v>
      </c>
      <c r="J24" s="51" t="s">
        <v>17</v>
      </c>
      <c r="L24" s="79"/>
      <c r="M24" s="57">
        <v>12</v>
      </c>
      <c r="N24" s="145" t="str">
        <f t="shared" si="6"/>
        <v>Hawaii</v>
      </c>
      <c r="O24" s="146">
        <f t="shared" si="7"/>
        <v>2247.6666666666665</v>
      </c>
      <c r="P24" s="74">
        <f t="shared" si="9"/>
        <v>1.1312923207011561E-2</v>
      </c>
      <c r="Q24" s="106">
        <f>IF(O24=0,0,(RANK(O24,$O$13:$O$64,0)+COUNTIF($O$13:O24,O24)-1))</f>
        <v>33</v>
      </c>
      <c r="Y24" s="60">
        <v>11</v>
      </c>
      <c r="Z24" s="152" t="str">
        <f t="array" ref="Z24">IF(ROWS($Z$14:Z24)&lt;=52,INDEX(List,SMALL(IF($B$14:$B$65="N",ROW($B$14:$B$65)-ROW($B$14)+1),ROWS($Z$14:Z24))),"")</f>
        <v>Hawaii</v>
      </c>
    </row>
    <row r="25" spans="2:26" x14ac:dyDescent="0.25">
      <c r="B25" s="60" t="str">
        <f t="shared" si="4"/>
        <v>N</v>
      </c>
      <c r="C25" s="60">
        <v>12</v>
      </c>
      <c r="D25" s="53" t="s">
        <v>18</v>
      </c>
      <c r="E25" s="59">
        <f>IF(Arr_Dep="Arrival",IF((VLOOKUP(state,'2012'!$B$9:$BI$62,MATCH($D25,'2012'!$B$9:$BI$9,0),0))="N/a",0,(VLOOKUP(state,'2012'!$B$9:$BI$62,MATCH($D25,'2012'!$B$9:$BI$9,0),0))),IF((VLOOKUP($D25,'2012'!$B$9:$BI$62,MATCH(state,'2012'!$B$9:$BI$9,0),0))="N/a",0,(VLOOKUP($D25,'2012'!$B$9:$BI$62,MATCH(state,'2012'!$B$9:$BI$9,0),0))))</f>
        <v>2536</v>
      </c>
      <c r="F25" s="59">
        <f>IF(Arr_Dep="Arrival",IF((VLOOKUP(state,'2011'!$B$9:$BI$62,MATCH($D25,'2011'!$B$9:$BI$9,0),0))="N/a",0,(VLOOKUP(state,'2011'!$B$9:$BI$62,MATCH($D25,'2011'!$B$9:$BI$9,0),0))),IF((VLOOKUP($D25,'2011'!$B$9:$BI$62,MATCH(state,'2011'!$B$9:$BI$9,0),0))="N/a",0,(VLOOKUP($D25,'2011'!$B$9:$BI$62,MATCH(state,'2011'!$B$9:$BI$9,0),0))))</f>
        <v>1852</v>
      </c>
      <c r="G25" s="59">
        <f>IF(Arr_Dep="Arrival",IF((VLOOKUP(state,'2010'!$B$9:$BI$62,MATCH($D25,'2010'!$B$9:$BI$9,0),0))="N/a",0,(VLOOKUP(state,'2010'!$B$9:$BI$62,MATCH($D25,'2010'!$B$9:$BI$9,0),0))),IF((VLOOKUP($D25,'2010'!$B$9:$BI$62,MATCH(state,'2010'!$B$9:$BI$9,0),0))="N/a",0,(VLOOKUP($D25,'2010'!$B$9:$BI$62,MATCH(state,'2010'!$B$9:$BI$9,0),0))))</f>
        <v>2355</v>
      </c>
      <c r="H25" s="59">
        <f t="shared" si="8"/>
        <v>2247.6666666666665</v>
      </c>
      <c r="I25" s="59">
        <f>IF(Ranksel=2012,(RANK(E25,$E$14:$E$65,0)+COUNTIF($E$14:E25,E25)-1),IF(Ranksel=2011,(RANK(F25,$F$14:$F$65,0)+COUNTIF($F$14:F25,F25)-1),IF(Ranksel=2010,(RANK(G25,$G$14:$G$65,0)+COUNTIF($G$14:G25,G25)-1),IF(Ranksel="All",(RANK(H25,$H$14:$H$65,0)+COUNTIF($H$14:H25,H25)-1),0))))</f>
        <v>33</v>
      </c>
      <c r="J25" s="51" t="s">
        <v>18</v>
      </c>
      <c r="L25" s="79"/>
      <c r="M25" s="57">
        <v>13</v>
      </c>
      <c r="N25" s="145" t="str">
        <f t="shared" si="6"/>
        <v>Idaho</v>
      </c>
      <c r="O25" s="146">
        <f t="shared" si="7"/>
        <v>1692.3333333333333</v>
      </c>
      <c r="P25" s="74">
        <f t="shared" si="9"/>
        <v>8.5178275429330704E-3</v>
      </c>
      <c r="Q25" s="106">
        <f>IF(O25=0,0,(RANK(O25,$O$13:$O$64,0)+COUNTIF($O$13:O25,O25)-1))</f>
        <v>37</v>
      </c>
      <c r="Y25" s="60">
        <v>12</v>
      </c>
      <c r="Z25" s="152" t="str">
        <f t="array" ref="Z25">IF(ROWS($Z$14:Z25)&lt;=52,INDEX(List,SMALL(IF($B$14:$B$65="N",ROW($B$14:$B$65)-ROW($B$14)+1),ROWS($Z$14:Z25))),"")</f>
        <v>Idaho</v>
      </c>
    </row>
    <row r="26" spans="2:26" x14ac:dyDescent="0.25">
      <c r="B26" s="60" t="str">
        <f t="shared" si="4"/>
        <v>N</v>
      </c>
      <c r="C26" s="60">
        <v>13</v>
      </c>
      <c r="D26" s="53" t="s">
        <v>19</v>
      </c>
      <c r="E26" s="59">
        <f>IF(Arr_Dep="Arrival",IF((VLOOKUP(state,'2012'!$B$9:$BI$62,MATCH($D26,'2012'!$B$9:$BI$9,0),0))="N/a",0,(VLOOKUP(state,'2012'!$B$9:$BI$62,MATCH($D26,'2012'!$B$9:$BI$9,0),0))),IF((VLOOKUP($D26,'2012'!$B$9:$BI$62,MATCH(state,'2012'!$B$9:$BI$9,0),0))="N/a",0,(VLOOKUP($D26,'2012'!$B$9:$BI$62,MATCH(state,'2012'!$B$9:$BI$9,0),0))))</f>
        <v>2660</v>
      </c>
      <c r="F26" s="59">
        <f>IF(Arr_Dep="Arrival",IF((VLOOKUP(state,'2011'!$B$9:$BI$62,MATCH($D26,'2011'!$B$9:$BI$9,0),0))="N/a",0,(VLOOKUP(state,'2011'!$B$9:$BI$62,MATCH($D26,'2011'!$B$9:$BI$9,0),0))),IF((VLOOKUP($D26,'2011'!$B$9:$BI$62,MATCH(state,'2011'!$B$9:$BI$9,0),0))="N/a",0,(VLOOKUP($D26,'2011'!$B$9:$BI$62,MATCH(state,'2011'!$B$9:$BI$9,0),0))))</f>
        <v>1578</v>
      </c>
      <c r="G26" s="59">
        <f>IF(Arr_Dep="Arrival",IF((VLOOKUP(state,'2010'!$B$9:$BI$62,MATCH($D26,'2010'!$B$9:$BI$9,0),0))="N/a",0,(VLOOKUP(state,'2010'!$B$9:$BI$62,MATCH($D26,'2010'!$B$9:$BI$9,0),0))),IF((VLOOKUP($D26,'2010'!$B$9:$BI$62,MATCH(state,'2010'!$B$9:$BI$9,0),0))="N/a",0,(VLOOKUP($D26,'2010'!$B$9:$BI$62,MATCH(state,'2010'!$B$9:$BI$9,0),0))))</f>
        <v>839</v>
      </c>
      <c r="H26" s="59">
        <f t="shared" si="8"/>
        <v>1692.3333333333333</v>
      </c>
      <c r="I26" s="59">
        <f>IF(Ranksel=2012,(RANK(E26,$E$14:$E$65,0)+COUNTIF($E$14:E26,E26)-1),IF(Ranksel=2011,(RANK(F26,$F$14:$F$65,0)+COUNTIF($F$14:F26,F26)-1),IF(Ranksel=2010,(RANK(G26,$G$14:$G$65,0)+COUNTIF($G$14:G26,G26)-1),IF(Ranksel="All",(RANK(H26,$H$14:$H$65,0)+COUNTIF($H$14:H26,H26)-1),0))))</f>
        <v>37</v>
      </c>
      <c r="J26" s="51" t="s">
        <v>19</v>
      </c>
      <c r="L26" s="79"/>
      <c r="M26" s="57">
        <v>14</v>
      </c>
      <c r="N26" s="145" t="str">
        <f t="shared" si="6"/>
        <v>Illinois</v>
      </c>
      <c r="O26" s="146">
        <f t="shared" si="7"/>
        <v>6450.333333333333</v>
      </c>
      <c r="P26" s="74">
        <f t="shared" si="9"/>
        <v>3.2465724006952502E-2</v>
      </c>
      <c r="Q26" s="106">
        <f>IF(O26=0,0,(RANK(O26,$O$13:$O$64,0)+COUNTIF($O$13:O26,O26)-1))</f>
        <v>5</v>
      </c>
      <c r="Y26" s="60">
        <v>13</v>
      </c>
      <c r="Z26" s="152" t="str">
        <f t="array" ref="Z26">IF(ROWS($Z$14:Z26)&lt;=52,INDEX(List,SMALL(IF($B$14:$B$65="N",ROW($B$14:$B$65)-ROW($B$14)+1),ROWS($Z$14:Z26))),"")</f>
        <v>Illinois</v>
      </c>
    </row>
    <row r="27" spans="2:26" x14ac:dyDescent="0.25">
      <c r="B27" s="60" t="str">
        <f t="shared" si="4"/>
        <v>N</v>
      </c>
      <c r="C27" s="60">
        <v>14</v>
      </c>
      <c r="D27" s="53" t="s">
        <v>20</v>
      </c>
      <c r="E27" s="59">
        <f>IF(Arr_Dep="Arrival",IF((VLOOKUP(state,'2012'!$B$9:$BI$62,MATCH($D27,'2012'!$B$9:$BI$9,0),0))="N/a",0,(VLOOKUP(state,'2012'!$B$9:$BI$62,MATCH($D27,'2012'!$B$9:$BI$9,0),0))),IF((VLOOKUP($D27,'2012'!$B$9:$BI$62,MATCH(state,'2012'!$B$9:$BI$9,0),0))="N/a",0,(VLOOKUP($D27,'2012'!$B$9:$BI$62,MATCH(state,'2012'!$B$9:$BI$9,0),0))))</f>
        <v>6374</v>
      </c>
      <c r="F27" s="59">
        <f>IF(Arr_Dep="Arrival",IF((VLOOKUP(state,'2011'!$B$9:$BI$62,MATCH($D27,'2011'!$B$9:$BI$9,0),0))="N/a",0,(VLOOKUP(state,'2011'!$B$9:$BI$62,MATCH($D27,'2011'!$B$9:$BI$9,0),0))),IF((VLOOKUP($D27,'2011'!$B$9:$BI$62,MATCH(state,'2011'!$B$9:$BI$9,0),0))="N/a",0,(VLOOKUP($D27,'2011'!$B$9:$BI$62,MATCH(state,'2011'!$B$9:$BI$9,0),0))))</f>
        <v>6027</v>
      </c>
      <c r="G27" s="59">
        <f>IF(Arr_Dep="Arrival",IF((VLOOKUP(state,'2010'!$B$9:$BI$62,MATCH($D27,'2010'!$B$9:$BI$9,0),0))="N/a",0,(VLOOKUP(state,'2010'!$B$9:$BI$62,MATCH($D27,'2010'!$B$9:$BI$9,0),0))),IF((VLOOKUP($D27,'2010'!$B$9:$BI$62,MATCH(state,'2010'!$B$9:$BI$9,0),0))="N/a",0,(VLOOKUP($D27,'2010'!$B$9:$BI$62,MATCH(state,'2010'!$B$9:$BI$9,0),0))))</f>
        <v>6950</v>
      </c>
      <c r="H27" s="59">
        <f t="shared" si="8"/>
        <v>6450.333333333333</v>
      </c>
      <c r="I27" s="59">
        <f>IF(Ranksel=2012,(RANK(E27,$E$14:$E$65,0)+COUNTIF($E$14:E27,E27)-1),IF(Ranksel=2011,(RANK(F27,$F$14:$F$65,0)+COUNTIF($F$14:F27,F27)-1),IF(Ranksel=2010,(RANK(G27,$G$14:$G$65,0)+COUNTIF($G$14:G27,G27)-1),IF(Ranksel="All",(RANK(H27,$H$14:$H$65,0)+COUNTIF($H$14:H27,H27)-1),0))))</f>
        <v>5</v>
      </c>
      <c r="J27" s="51" t="s">
        <v>20</v>
      </c>
      <c r="L27" s="79"/>
      <c r="M27" s="57">
        <v>15</v>
      </c>
      <c r="N27" s="145" t="str">
        <f t="shared" si="6"/>
        <v>Indiana</v>
      </c>
      <c r="O27" s="146">
        <f t="shared" si="7"/>
        <v>3249.3333333333335</v>
      </c>
      <c r="P27" s="74">
        <f t="shared" si="9"/>
        <v>1.6354497318989872E-2</v>
      </c>
      <c r="Q27" s="106">
        <f>IF(O27=0,0,(RANK(O27,$O$13:$O$64,0)+COUNTIF($O$13:O27,O27)-1))</f>
        <v>24</v>
      </c>
      <c r="Y27" s="60">
        <v>14</v>
      </c>
      <c r="Z27" s="152" t="str">
        <f t="array" ref="Z27">IF(ROWS($Z$14:Z27)&lt;=52,INDEX(List,SMALL(IF($B$14:$B$65="N",ROW($B$14:$B$65)-ROW($B$14)+1),ROWS($Z$14:Z27))),"")</f>
        <v>Indiana</v>
      </c>
    </row>
    <row r="28" spans="2:26" x14ac:dyDescent="0.25">
      <c r="B28" s="60" t="str">
        <f t="shared" si="4"/>
        <v>N</v>
      </c>
      <c r="C28" s="60">
        <v>15</v>
      </c>
      <c r="D28" s="53" t="s">
        <v>21</v>
      </c>
      <c r="E28" s="59">
        <f>IF(Arr_Dep="Arrival",IF((VLOOKUP(state,'2012'!$B$9:$BI$62,MATCH($D28,'2012'!$B$9:$BI$9,0),0))="N/a",0,(VLOOKUP(state,'2012'!$B$9:$BI$62,MATCH($D28,'2012'!$B$9:$BI$9,0),0))),IF((VLOOKUP($D28,'2012'!$B$9:$BI$62,MATCH(state,'2012'!$B$9:$BI$9,0),0))="N/a",0,(VLOOKUP($D28,'2012'!$B$9:$BI$62,MATCH(state,'2012'!$B$9:$BI$9,0),0))))</f>
        <v>4336</v>
      </c>
      <c r="F28" s="59">
        <f>IF(Arr_Dep="Arrival",IF((VLOOKUP(state,'2011'!$B$9:$BI$62,MATCH($D28,'2011'!$B$9:$BI$9,0),0))="N/a",0,(VLOOKUP(state,'2011'!$B$9:$BI$62,MATCH($D28,'2011'!$B$9:$BI$9,0),0))),IF((VLOOKUP($D28,'2011'!$B$9:$BI$62,MATCH(state,'2011'!$B$9:$BI$9,0),0))="N/a",0,(VLOOKUP($D28,'2011'!$B$9:$BI$62,MATCH(state,'2011'!$B$9:$BI$9,0),0))))</f>
        <v>2116</v>
      </c>
      <c r="G28" s="59">
        <f>IF(Arr_Dep="Arrival",IF((VLOOKUP(state,'2010'!$B$9:$BI$62,MATCH($D28,'2010'!$B$9:$BI$9,0),0))="N/a",0,(VLOOKUP(state,'2010'!$B$9:$BI$62,MATCH($D28,'2010'!$B$9:$BI$9,0),0))),IF((VLOOKUP($D28,'2010'!$B$9:$BI$62,MATCH(state,'2010'!$B$9:$BI$9,0),0))="N/a",0,(VLOOKUP($D28,'2010'!$B$9:$BI$62,MATCH(state,'2010'!$B$9:$BI$9,0),0))))</f>
        <v>3296</v>
      </c>
      <c r="H28" s="59">
        <f t="shared" si="8"/>
        <v>3249.3333333333335</v>
      </c>
      <c r="I28" s="59">
        <f>IF(Ranksel=2012,(RANK(E28,$E$14:$E$65,0)+COUNTIF($E$14:E28,E28)-1),IF(Ranksel=2011,(RANK(F28,$F$14:$F$65,0)+COUNTIF($F$14:F28,F28)-1),IF(Ranksel=2010,(RANK(G28,$G$14:$G$65,0)+COUNTIF($G$14:G28,G28)-1),IF(Ranksel="All",(RANK(H28,$H$14:$H$65,0)+COUNTIF($H$14:H28,H28)-1),0))))</f>
        <v>24</v>
      </c>
      <c r="J28" s="51" t="s">
        <v>21</v>
      </c>
      <c r="L28" s="79"/>
      <c r="M28" s="57">
        <v>16</v>
      </c>
      <c r="N28" s="145" t="str">
        <f t="shared" si="6"/>
        <v>Iowa</v>
      </c>
      <c r="O28" s="146">
        <f t="shared" si="7"/>
        <v>2808.6666666666665</v>
      </c>
      <c r="P28" s="74">
        <f t="shared" si="9"/>
        <v>1.4136540255417385E-2</v>
      </c>
      <c r="Q28" s="106">
        <f>IF(O28=0,0,(RANK(O28,$O$13:$O$64,0)+COUNTIF($O$13:O28,O28)-1))</f>
        <v>28</v>
      </c>
      <c r="Y28" s="60">
        <v>15</v>
      </c>
      <c r="Z28" s="152" t="str">
        <f t="array" ref="Z28">IF(ROWS($Z$14:Z28)&lt;=52,INDEX(List,SMALL(IF($B$14:$B$65="N",ROW($B$14:$B$65)-ROW($B$14)+1),ROWS($Z$14:Z28))),"")</f>
        <v>Iowa</v>
      </c>
    </row>
    <row r="29" spans="2:26" x14ac:dyDescent="0.25">
      <c r="B29" s="60" t="str">
        <f t="shared" si="4"/>
        <v>N</v>
      </c>
      <c r="C29" s="60">
        <v>16</v>
      </c>
      <c r="D29" s="53" t="s">
        <v>22</v>
      </c>
      <c r="E29" s="59">
        <f>IF(Arr_Dep="Arrival",IF((VLOOKUP(state,'2012'!$B$9:$BI$62,MATCH($D29,'2012'!$B$9:$BI$9,0),0))="N/a",0,(VLOOKUP(state,'2012'!$B$9:$BI$62,MATCH($D29,'2012'!$B$9:$BI$9,0),0))),IF((VLOOKUP($D29,'2012'!$B$9:$BI$62,MATCH(state,'2012'!$B$9:$BI$9,0),0))="N/a",0,(VLOOKUP($D29,'2012'!$B$9:$BI$62,MATCH(state,'2012'!$B$9:$BI$9,0),0))))</f>
        <v>2776</v>
      </c>
      <c r="F29" s="59">
        <f>IF(Arr_Dep="Arrival",IF((VLOOKUP(state,'2011'!$B$9:$BI$62,MATCH($D29,'2011'!$B$9:$BI$9,0),0))="N/a",0,(VLOOKUP(state,'2011'!$B$9:$BI$62,MATCH($D29,'2011'!$B$9:$BI$9,0),0))),IF((VLOOKUP($D29,'2011'!$B$9:$BI$62,MATCH(state,'2011'!$B$9:$BI$9,0),0))="N/a",0,(VLOOKUP($D29,'2011'!$B$9:$BI$62,MATCH(state,'2011'!$B$9:$BI$9,0),0))))</f>
        <v>3510</v>
      </c>
      <c r="G29" s="59">
        <f>IF(Arr_Dep="Arrival",IF((VLOOKUP(state,'2010'!$B$9:$BI$62,MATCH($D29,'2010'!$B$9:$BI$9,0),0))="N/a",0,(VLOOKUP(state,'2010'!$B$9:$BI$62,MATCH($D29,'2010'!$B$9:$BI$9,0),0))),IF((VLOOKUP($D29,'2010'!$B$9:$BI$62,MATCH(state,'2010'!$B$9:$BI$9,0),0))="N/a",0,(VLOOKUP($D29,'2010'!$B$9:$BI$62,MATCH(state,'2010'!$B$9:$BI$9,0),0))))</f>
        <v>2140</v>
      </c>
      <c r="H29" s="59">
        <f t="shared" si="8"/>
        <v>2808.6666666666665</v>
      </c>
      <c r="I29" s="59">
        <f>IF(Ranksel=2012,(RANK(E29,$E$14:$E$65,0)+COUNTIF($E$14:E29,E29)-1),IF(Ranksel=2011,(RANK(F29,$F$14:$F$65,0)+COUNTIF($F$14:F29,F29)-1),IF(Ranksel=2010,(RANK(G29,$G$14:$G$65,0)+COUNTIF($G$14:G29,G29)-1),IF(Ranksel="All",(RANK(H29,$H$14:$H$65,0)+COUNTIF($H$14:H29,H29)-1),0))))</f>
        <v>28</v>
      </c>
      <c r="J29" s="51" t="s">
        <v>22</v>
      </c>
      <c r="L29" s="79"/>
      <c r="M29" s="57">
        <v>17</v>
      </c>
      <c r="N29" s="145" t="str">
        <f t="shared" si="6"/>
        <v>Kansas</v>
      </c>
      <c r="O29" s="146">
        <f t="shared" si="7"/>
        <v>4436.333333333333</v>
      </c>
      <c r="P29" s="74">
        <f t="shared" si="9"/>
        <v>2.2328888471320908E-2</v>
      </c>
      <c r="Q29" s="106">
        <f>IF(O29=0,0,(RANK(O29,$O$13:$O$64,0)+COUNTIF($O$13:O29,O29)-1))</f>
        <v>11</v>
      </c>
      <c r="Y29" s="60">
        <v>16</v>
      </c>
      <c r="Z29" s="152" t="str">
        <f t="array" ref="Z29">IF(ROWS($Z$14:Z29)&lt;=52,INDEX(List,SMALL(IF($B$14:$B$65="N",ROW($B$14:$B$65)-ROW($B$14)+1),ROWS($Z$14:Z29))),"")</f>
        <v>Kansas</v>
      </c>
    </row>
    <row r="30" spans="2:26" x14ac:dyDescent="0.25">
      <c r="B30" s="60" t="str">
        <f t="shared" si="4"/>
        <v>N</v>
      </c>
      <c r="C30" s="60">
        <v>17</v>
      </c>
      <c r="D30" s="53" t="s">
        <v>23</v>
      </c>
      <c r="E30" s="59">
        <f>IF(Arr_Dep="Arrival",IF((VLOOKUP(state,'2012'!$B$9:$BI$62,MATCH($D30,'2012'!$B$9:$BI$9,0),0))="N/a",0,(VLOOKUP(state,'2012'!$B$9:$BI$62,MATCH($D30,'2012'!$B$9:$BI$9,0),0))),IF((VLOOKUP($D30,'2012'!$B$9:$BI$62,MATCH(state,'2012'!$B$9:$BI$9,0),0))="N/a",0,(VLOOKUP($D30,'2012'!$B$9:$BI$62,MATCH(state,'2012'!$B$9:$BI$9,0),0))))</f>
        <v>5283</v>
      </c>
      <c r="F30" s="59">
        <f>IF(Arr_Dep="Arrival",IF((VLOOKUP(state,'2011'!$B$9:$BI$62,MATCH($D30,'2011'!$B$9:$BI$9,0),0))="N/a",0,(VLOOKUP(state,'2011'!$B$9:$BI$62,MATCH($D30,'2011'!$B$9:$BI$9,0),0))),IF((VLOOKUP($D30,'2011'!$B$9:$BI$62,MATCH(state,'2011'!$B$9:$BI$9,0),0))="N/a",0,(VLOOKUP($D30,'2011'!$B$9:$BI$62,MATCH(state,'2011'!$B$9:$BI$9,0),0))))</f>
        <v>3718</v>
      </c>
      <c r="G30" s="59">
        <f>IF(Arr_Dep="Arrival",IF((VLOOKUP(state,'2010'!$B$9:$BI$62,MATCH($D30,'2010'!$B$9:$BI$9,0),0))="N/a",0,(VLOOKUP(state,'2010'!$B$9:$BI$62,MATCH($D30,'2010'!$B$9:$BI$9,0),0))),IF((VLOOKUP($D30,'2010'!$B$9:$BI$62,MATCH(state,'2010'!$B$9:$BI$9,0),0))="N/a",0,(VLOOKUP($D30,'2010'!$B$9:$BI$62,MATCH(state,'2010'!$B$9:$BI$9,0),0))))</f>
        <v>4308</v>
      </c>
      <c r="H30" s="59">
        <f t="shared" si="8"/>
        <v>4436.333333333333</v>
      </c>
      <c r="I30" s="59">
        <f>IF(Ranksel=2012,(RANK(E30,$E$14:$E$65,0)+COUNTIF($E$14:E30,E30)-1),IF(Ranksel=2011,(RANK(F30,$F$14:$F$65,0)+COUNTIF($F$14:F30,F30)-1),IF(Ranksel=2010,(RANK(G30,$G$14:$G$65,0)+COUNTIF($G$14:G30,G30)-1),IF(Ranksel="All",(RANK(H30,$H$14:$H$65,0)+COUNTIF($H$14:H30,H30)-1),0))))</f>
        <v>11</v>
      </c>
      <c r="J30" s="51" t="s">
        <v>23</v>
      </c>
      <c r="L30" s="79"/>
      <c r="M30" s="57">
        <v>18</v>
      </c>
      <c r="N30" s="145" t="str">
        <f t="shared" si="6"/>
        <v>Kentucky</v>
      </c>
      <c r="O30" s="146">
        <f t="shared" si="7"/>
        <v>1940.6666666666667</v>
      </c>
      <c r="P30" s="74">
        <f t="shared" si="9"/>
        <v>9.7677352678661299E-3</v>
      </c>
      <c r="Q30" s="106">
        <f>IF(O30=0,0,(RANK(O30,$O$13:$O$64,0)+COUNTIF($O$13:O30,O30)-1))</f>
        <v>36</v>
      </c>
      <c r="Y30" s="60">
        <v>17</v>
      </c>
      <c r="Z30" s="152" t="str">
        <f t="array" ref="Z30">IF(ROWS($Z$14:Z30)&lt;=52,INDEX(List,SMALL(IF($B$14:$B$65="N",ROW($B$14:$B$65)-ROW($B$14)+1),ROWS($Z$14:Z30))),"")</f>
        <v>Kentucky</v>
      </c>
    </row>
    <row r="31" spans="2:26" x14ac:dyDescent="0.25">
      <c r="B31" s="60" t="str">
        <f t="shared" si="4"/>
        <v>N</v>
      </c>
      <c r="C31" s="60">
        <v>18</v>
      </c>
      <c r="D31" s="53" t="s">
        <v>24</v>
      </c>
      <c r="E31" s="59">
        <f>IF(Arr_Dep="Arrival",IF((VLOOKUP(state,'2012'!$B$9:$BI$62,MATCH($D31,'2012'!$B$9:$BI$9,0),0))="N/a",0,(VLOOKUP(state,'2012'!$B$9:$BI$62,MATCH($D31,'2012'!$B$9:$BI$9,0),0))),IF((VLOOKUP($D31,'2012'!$B$9:$BI$62,MATCH(state,'2012'!$B$9:$BI$9,0),0))="N/a",0,(VLOOKUP($D31,'2012'!$B$9:$BI$62,MATCH(state,'2012'!$B$9:$BI$9,0),0))))</f>
        <v>2500</v>
      </c>
      <c r="F31" s="59">
        <f>IF(Arr_Dep="Arrival",IF((VLOOKUP(state,'2011'!$B$9:$BI$62,MATCH($D31,'2011'!$B$9:$BI$9,0),0))="N/a",0,(VLOOKUP(state,'2011'!$B$9:$BI$62,MATCH($D31,'2011'!$B$9:$BI$9,0),0))),IF((VLOOKUP($D31,'2011'!$B$9:$BI$62,MATCH(state,'2011'!$B$9:$BI$9,0),0))="N/a",0,(VLOOKUP($D31,'2011'!$B$9:$BI$62,MATCH(state,'2011'!$B$9:$BI$9,0),0))))</f>
        <v>1361</v>
      </c>
      <c r="G31" s="59">
        <f>IF(Arr_Dep="Arrival",IF((VLOOKUP(state,'2010'!$B$9:$BI$62,MATCH($D31,'2010'!$B$9:$BI$9,0),0))="N/a",0,(VLOOKUP(state,'2010'!$B$9:$BI$62,MATCH($D31,'2010'!$B$9:$BI$9,0),0))),IF((VLOOKUP($D31,'2010'!$B$9:$BI$62,MATCH(state,'2010'!$B$9:$BI$9,0),0))="N/a",0,(VLOOKUP($D31,'2010'!$B$9:$BI$62,MATCH(state,'2010'!$B$9:$BI$9,0),0))))</f>
        <v>1961</v>
      </c>
      <c r="H31" s="59">
        <f t="shared" si="8"/>
        <v>1940.6666666666667</v>
      </c>
      <c r="I31" s="59">
        <f>IF(Ranksel=2012,(RANK(E31,$E$14:$E$65,0)+COUNTIF($E$14:E31,E31)-1),IF(Ranksel=2011,(RANK(F31,$F$14:$F$65,0)+COUNTIF($F$14:F31,F31)-1),IF(Ranksel=2010,(RANK(G31,$G$14:$G$65,0)+COUNTIF($G$14:G31,G31)-1),IF(Ranksel="All",(RANK(H31,$H$14:$H$65,0)+COUNTIF($H$14:H31,H31)-1),0))))</f>
        <v>36</v>
      </c>
      <c r="J31" s="51" t="s">
        <v>24</v>
      </c>
      <c r="L31" s="79"/>
      <c r="M31" s="57">
        <v>19</v>
      </c>
      <c r="N31" s="145" t="str">
        <f t="shared" si="6"/>
        <v>Louisiana</v>
      </c>
      <c r="O31" s="146">
        <f t="shared" si="7"/>
        <v>2308</v>
      </c>
      <c r="P31" s="74">
        <f t="shared" si="9"/>
        <v>1.161659206367315E-2</v>
      </c>
      <c r="Q31" s="106">
        <f>IF(O31=0,0,(RANK(O31,$O$13:$O$64,0)+COUNTIF($O$13:O31,O31)-1))</f>
        <v>32</v>
      </c>
      <c r="Y31" s="60">
        <v>18</v>
      </c>
      <c r="Z31" s="152" t="str">
        <f t="array" ref="Z31">IF(ROWS($Z$14:Z31)&lt;=52,INDEX(List,SMALL(IF($B$14:$B$65="N",ROW($B$14:$B$65)-ROW($B$14)+1),ROWS($Z$14:Z31))),"")</f>
        <v>Louisiana</v>
      </c>
    </row>
    <row r="32" spans="2:26" x14ac:dyDescent="0.25">
      <c r="B32" s="60" t="str">
        <f t="shared" si="4"/>
        <v>N</v>
      </c>
      <c r="C32" s="60">
        <v>19</v>
      </c>
      <c r="D32" s="53" t="s">
        <v>25</v>
      </c>
      <c r="E32" s="59">
        <f>IF(Arr_Dep="Arrival",IF((VLOOKUP(state,'2012'!$B$9:$BI$62,MATCH($D32,'2012'!$B$9:$BI$9,0),0))="N/a",0,(VLOOKUP(state,'2012'!$B$9:$BI$62,MATCH($D32,'2012'!$B$9:$BI$9,0),0))),IF((VLOOKUP($D32,'2012'!$B$9:$BI$62,MATCH(state,'2012'!$B$9:$BI$9,0),0))="N/a",0,(VLOOKUP($D32,'2012'!$B$9:$BI$62,MATCH(state,'2012'!$B$9:$BI$9,0),0))))</f>
        <v>5048</v>
      </c>
      <c r="F32" s="59">
        <f>IF(Arr_Dep="Arrival",IF((VLOOKUP(state,'2011'!$B$9:$BI$62,MATCH($D32,'2011'!$B$9:$BI$9,0),0))="N/a",0,(VLOOKUP(state,'2011'!$B$9:$BI$62,MATCH($D32,'2011'!$B$9:$BI$9,0),0))),IF((VLOOKUP($D32,'2011'!$B$9:$BI$62,MATCH(state,'2011'!$B$9:$BI$9,0),0))="N/a",0,(VLOOKUP($D32,'2011'!$B$9:$BI$62,MATCH(state,'2011'!$B$9:$BI$9,0),0))))</f>
        <v>908</v>
      </c>
      <c r="G32" s="59">
        <f>IF(Arr_Dep="Arrival",IF((VLOOKUP(state,'2010'!$B$9:$BI$62,MATCH($D32,'2010'!$B$9:$BI$9,0),0))="N/a",0,(VLOOKUP(state,'2010'!$B$9:$BI$62,MATCH($D32,'2010'!$B$9:$BI$9,0),0))),IF((VLOOKUP($D32,'2010'!$B$9:$BI$62,MATCH(state,'2010'!$B$9:$BI$9,0),0))="N/a",0,(VLOOKUP($D32,'2010'!$B$9:$BI$62,MATCH(state,'2010'!$B$9:$BI$9,0),0))))</f>
        <v>968</v>
      </c>
      <c r="H32" s="59">
        <f t="shared" si="8"/>
        <v>2308</v>
      </c>
      <c r="I32" s="59">
        <f>IF(Ranksel=2012,(RANK(E32,$E$14:$E$65,0)+COUNTIF($E$14:E32,E32)-1),IF(Ranksel=2011,(RANK(F32,$F$14:$F$65,0)+COUNTIF($F$14:F32,F32)-1),IF(Ranksel=2010,(RANK(G32,$G$14:$G$65,0)+COUNTIF($G$14:G32,G32)-1),IF(Ranksel="All",(RANK(H32,$H$14:$H$65,0)+COUNTIF($H$14:H32,H32)-1),0))))</f>
        <v>32</v>
      </c>
      <c r="J32" s="51" t="s">
        <v>25</v>
      </c>
      <c r="L32" s="79"/>
      <c r="M32" s="57">
        <v>20</v>
      </c>
      <c r="N32" s="145" t="str">
        <f t="shared" si="6"/>
        <v>Maine</v>
      </c>
      <c r="O32" s="146">
        <f t="shared" si="7"/>
        <v>636.66666666666663</v>
      </c>
      <c r="P32" s="74">
        <f t="shared" si="9"/>
        <v>3.2044614156001901E-3</v>
      </c>
      <c r="Q32" s="106">
        <f>IF(O32=0,0,(RANK(O32,$O$13:$O$64,0)+COUNTIF($O$13:O32,O32)-1))</f>
        <v>46</v>
      </c>
      <c r="Y32" s="60">
        <v>19</v>
      </c>
      <c r="Z32" s="152" t="str">
        <f t="array" ref="Z32">IF(ROWS($Z$14:Z32)&lt;=52,INDEX(List,SMALL(IF($B$14:$B$65="N",ROW($B$14:$B$65)-ROW($B$14)+1),ROWS($Z$14:Z32))),"")</f>
        <v>Maine</v>
      </c>
    </row>
    <row r="33" spans="2:26" x14ac:dyDescent="0.25">
      <c r="B33" s="60" t="str">
        <f t="shared" si="4"/>
        <v>N</v>
      </c>
      <c r="C33" s="60">
        <v>20</v>
      </c>
      <c r="D33" s="53" t="s">
        <v>26</v>
      </c>
      <c r="E33" s="59">
        <f>IF(Arr_Dep="Arrival",IF((VLOOKUP(state,'2012'!$B$9:$BI$62,MATCH($D33,'2012'!$B$9:$BI$9,0),0))="N/a",0,(VLOOKUP(state,'2012'!$B$9:$BI$62,MATCH($D33,'2012'!$B$9:$BI$9,0),0))),IF((VLOOKUP($D33,'2012'!$B$9:$BI$62,MATCH(state,'2012'!$B$9:$BI$9,0),0))="N/a",0,(VLOOKUP($D33,'2012'!$B$9:$BI$62,MATCH(state,'2012'!$B$9:$BI$9,0),0))))</f>
        <v>20</v>
      </c>
      <c r="F33" s="59">
        <f>IF(Arr_Dep="Arrival",IF((VLOOKUP(state,'2011'!$B$9:$BI$62,MATCH($D33,'2011'!$B$9:$BI$9,0),0))="N/a",0,(VLOOKUP(state,'2011'!$B$9:$BI$62,MATCH($D33,'2011'!$B$9:$BI$9,0),0))),IF((VLOOKUP($D33,'2011'!$B$9:$BI$62,MATCH(state,'2011'!$B$9:$BI$9,0),0))="N/a",0,(VLOOKUP($D33,'2011'!$B$9:$BI$62,MATCH(state,'2011'!$B$9:$BI$9,0),0))))</f>
        <v>1358</v>
      </c>
      <c r="G33" s="59">
        <f>IF(Arr_Dep="Arrival",IF((VLOOKUP(state,'2010'!$B$9:$BI$62,MATCH($D33,'2010'!$B$9:$BI$9,0),0))="N/a",0,(VLOOKUP(state,'2010'!$B$9:$BI$62,MATCH($D33,'2010'!$B$9:$BI$9,0),0))),IF((VLOOKUP($D33,'2010'!$B$9:$BI$62,MATCH(state,'2010'!$B$9:$BI$9,0),0))="N/a",0,(VLOOKUP($D33,'2010'!$B$9:$BI$62,MATCH(state,'2010'!$B$9:$BI$9,0),0))))</f>
        <v>532</v>
      </c>
      <c r="H33" s="59">
        <f t="shared" si="8"/>
        <v>636.66666666666663</v>
      </c>
      <c r="I33" s="59">
        <f>IF(Ranksel=2012,(RANK(E33,$E$14:$E$65,0)+COUNTIF($E$14:E33,E33)-1),IF(Ranksel=2011,(RANK(F33,$F$14:$F$65,0)+COUNTIF($F$14:F33,F33)-1),IF(Ranksel=2010,(RANK(G33,$G$14:$G$65,0)+COUNTIF($G$14:G33,G33)-1),IF(Ranksel="All",(RANK(H33,$H$14:$H$65,0)+COUNTIF($H$14:H33,H33)-1),0))))</f>
        <v>46</v>
      </c>
      <c r="J33" s="51" t="s">
        <v>26</v>
      </c>
      <c r="L33" s="79"/>
      <c r="M33" s="57">
        <v>21</v>
      </c>
      <c r="N33" s="145" t="str">
        <f t="shared" si="6"/>
        <v>Maryland</v>
      </c>
      <c r="O33" s="146">
        <f t="shared" si="7"/>
        <v>2559.6666666666665</v>
      </c>
      <c r="P33" s="74">
        <f t="shared" si="9"/>
        <v>1.2883277073504638E-2</v>
      </c>
      <c r="Q33" s="106">
        <f>IF(O33=0,0,(RANK(O33,$O$13:$O$64,0)+COUNTIF($O$13:O33,O33)-1))</f>
        <v>30</v>
      </c>
      <c r="Y33" s="60">
        <v>20</v>
      </c>
      <c r="Z33" s="152" t="str">
        <f t="array" ref="Z33">IF(ROWS($Z$14:Z33)&lt;=52,INDEX(List,SMALL(IF($B$14:$B$65="N",ROW($B$14:$B$65)-ROW($B$14)+1),ROWS($Z$14:Z33))),"")</f>
        <v>Maryland</v>
      </c>
    </row>
    <row r="34" spans="2:26" x14ac:dyDescent="0.25">
      <c r="B34" s="60" t="str">
        <f t="shared" si="4"/>
        <v>N</v>
      </c>
      <c r="C34" s="60">
        <v>21</v>
      </c>
      <c r="D34" s="53" t="s">
        <v>27</v>
      </c>
      <c r="E34" s="59">
        <f>IF(Arr_Dep="Arrival",IF((VLOOKUP(state,'2012'!$B$9:$BI$62,MATCH($D34,'2012'!$B$9:$BI$9,0),0))="N/a",0,(VLOOKUP(state,'2012'!$B$9:$BI$62,MATCH($D34,'2012'!$B$9:$BI$9,0),0))),IF((VLOOKUP($D34,'2012'!$B$9:$BI$62,MATCH(state,'2012'!$B$9:$BI$9,0),0))="N/a",0,(VLOOKUP($D34,'2012'!$B$9:$BI$62,MATCH(state,'2012'!$B$9:$BI$9,0),0))))</f>
        <v>2844</v>
      </c>
      <c r="F34" s="59">
        <f>IF(Arr_Dep="Arrival",IF((VLOOKUP(state,'2011'!$B$9:$BI$62,MATCH($D34,'2011'!$B$9:$BI$9,0),0))="N/a",0,(VLOOKUP(state,'2011'!$B$9:$BI$62,MATCH($D34,'2011'!$B$9:$BI$9,0),0))),IF((VLOOKUP($D34,'2011'!$B$9:$BI$62,MATCH(state,'2011'!$B$9:$BI$9,0),0))="N/a",0,(VLOOKUP($D34,'2011'!$B$9:$BI$62,MATCH(state,'2011'!$B$9:$BI$9,0),0))))</f>
        <v>3303</v>
      </c>
      <c r="G34" s="59">
        <f>IF(Arr_Dep="Arrival",IF((VLOOKUP(state,'2010'!$B$9:$BI$62,MATCH($D34,'2010'!$B$9:$BI$9,0),0))="N/a",0,(VLOOKUP(state,'2010'!$B$9:$BI$62,MATCH($D34,'2010'!$B$9:$BI$9,0),0))),IF((VLOOKUP($D34,'2010'!$B$9:$BI$62,MATCH(state,'2010'!$B$9:$BI$9,0),0))="N/a",0,(VLOOKUP($D34,'2010'!$B$9:$BI$62,MATCH(state,'2010'!$B$9:$BI$9,0),0))))</f>
        <v>1532</v>
      </c>
      <c r="H34" s="59">
        <f t="shared" si="8"/>
        <v>2559.6666666666665</v>
      </c>
      <c r="I34" s="59">
        <f>IF(Ranksel=2012,(RANK(E34,$E$14:$E$65,0)+COUNTIF($E$14:E34,E34)-1),IF(Ranksel=2011,(RANK(F34,$F$14:$F$65,0)+COUNTIF($F$14:F34,F34)-1),IF(Ranksel=2010,(RANK(G34,$G$14:$G$65,0)+COUNTIF($G$14:G34,G34)-1),IF(Ranksel="All",(RANK(H34,$H$14:$H$65,0)+COUNTIF($H$14:H34,H34)-1),0))))</f>
        <v>30</v>
      </c>
      <c r="J34" s="51" t="s">
        <v>27</v>
      </c>
      <c r="L34" s="79"/>
      <c r="M34" s="57">
        <v>22</v>
      </c>
      <c r="N34" s="145" t="str">
        <f t="shared" si="6"/>
        <v>Massachusetts</v>
      </c>
      <c r="O34" s="146">
        <f t="shared" si="7"/>
        <v>3446</v>
      </c>
      <c r="P34" s="74">
        <f t="shared" si="9"/>
        <v>1.734435712799726E-2</v>
      </c>
      <c r="Q34" s="106">
        <f>IF(O34=0,0,(RANK(O34,$O$13:$O$64,0)+COUNTIF($O$13:O34,O34)-1))</f>
        <v>22</v>
      </c>
      <c r="Y34" s="60">
        <v>21</v>
      </c>
      <c r="Z34" s="152" t="str">
        <f t="array" ref="Z34">IF(ROWS($Z$14:Z34)&lt;=52,INDEX(List,SMALL(IF($B$14:$B$65="N",ROW($B$14:$B$65)-ROW($B$14)+1),ROWS($Z$14:Z34))),"")</f>
        <v>Massachusetts</v>
      </c>
    </row>
    <row r="35" spans="2:26" x14ac:dyDescent="0.25">
      <c r="B35" s="60" t="str">
        <f t="shared" si="4"/>
        <v>N</v>
      </c>
      <c r="C35" s="60">
        <v>22</v>
      </c>
      <c r="D35" s="53" t="s">
        <v>28</v>
      </c>
      <c r="E35" s="59">
        <f>IF(Arr_Dep="Arrival",IF((VLOOKUP(state,'2012'!$B$9:$BI$62,MATCH($D35,'2012'!$B$9:$BI$9,0),0))="N/a",0,(VLOOKUP(state,'2012'!$B$9:$BI$62,MATCH($D35,'2012'!$B$9:$BI$9,0),0))),IF((VLOOKUP($D35,'2012'!$B$9:$BI$62,MATCH(state,'2012'!$B$9:$BI$9,0),0))="N/a",0,(VLOOKUP($D35,'2012'!$B$9:$BI$62,MATCH(state,'2012'!$B$9:$BI$9,0),0))))</f>
        <v>5939</v>
      </c>
      <c r="F35" s="59">
        <f>IF(Arr_Dep="Arrival",IF((VLOOKUP(state,'2011'!$B$9:$BI$62,MATCH($D35,'2011'!$B$9:$BI$9,0),0))="N/a",0,(VLOOKUP(state,'2011'!$B$9:$BI$62,MATCH($D35,'2011'!$B$9:$BI$9,0),0))),IF((VLOOKUP($D35,'2011'!$B$9:$BI$62,MATCH(state,'2011'!$B$9:$BI$9,0),0))="N/a",0,(VLOOKUP($D35,'2011'!$B$9:$BI$62,MATCH(state,'2011'!$B$9:$BI$9,0),0))))</f>
        <v>2157</v>
      </c>
      <c r="G35" s="59">
        <f>IF(Arr_Dep="Arrival",IF((VLOOKUP(state,'2010'!$B$9:$BI$62,MATCH($D35,'2010'!$B$9:$BI$9,0),0))="N/a",0,(VLOOKUP(state,'2010'!$B$9:$BI$62,MATCH($D35,'2010'!$B$9:$BI$9,0),0))),IF((VLOOKUP($D35,'2010'!$B$9:$BI$62,MATCH(state,'2010'!$B$9:$BI$9,0),0))="N/a",0,(VLOOKUP($D35,'2010'!$B$9:$BI$62,MATCH(state,'2010'!$B$9:$BI$9,0),0))))</f>
        <v>2242</v>
      </c>
      <c r="H35" s="59">
        <f t="shared" si="8"/>
        <v>3446</v>
      </c>
      <c r="I35" s="59">
        <f>IF(Ranksel=2012,(RANK(E35,$E$14:$E$65,0)+COUNTIF($E$14:E35,E35)-1),IF(Ranksel=2011,(RANK(F35,$F$14:$F$65,0)+COUNTIF($F$14:F35,F35)-1),IF(Ranksel=2010,(RANK(G35,$G$14:$G$65,0)+COUNTIF($G$14:G35,G35)-1),IF(Ranksel="All",(RANK(H35,$H$14:$H$65,0)+COUNTIF($H$14:H35,H35)-1),0))))</f>
        <v>22</v>
      </c>
      <c r="J35" s="51" t="s">
        <v>28</v>
      </c>
      <c r="L35" s="79"/>
      <c r="M35" s="57">
        <v>23</v>
      </c>
      <c r="N35" s="145" t="str">
        <f t="shared" si="6"/>
        <v>Michigan</v>
      </c>
      <c r="O35" s="146">
        <f t="shared" si="7"/>
        <v>3718.3333333333335</v>
      </c>
      <c r="P35" s="74">
        <f t="shared" si="9"/>
        <v>1.8715061304199018E-2</v>
      </c>
      <c r="Q35" s="106">
        <f>IF(O35=0,0,(RANK(O35,$O$13:$O$64,0)+COUNTIF($O$13:O35,O35)-1))</f>
        <v>21</v>
      </c>
      <c r="Y35" s="60">
        <v>22</v>
      </c>
      <c r="Z35" s="152" t="str">
        <f t="array" ref="Z35">IF(ROWS($Z$14:Z35)&lt;=52,INDEX(List,SMALL(IF($B$14:$B$65="N",ROW($B$14:$B$65)-ROW($B$14)+1),ROWS($Z$14:Z35))),"")</f>
        <v>Michigan</v>
      </c>
    </row>
    <row r="36" spans="2:26" x14ac:dyDescent="0.25">
      <c r="B36" s="60" t="str">
        <f t="shared" si="4"/>
        <v>N</v>
      </c>
      <c r="C36" s="60">
        <v>23</v>
      </c>
      <c r="D36" s="53" t="s">
        <v>29</v>
      </c>
      <c r="E36" s="59">
        <f>IF(Arr_Dep="Arrival",IF((VLOOKUP(state,'2012'!$B$9:$BI$62,MATCH($D36,'2012'!$B$9:$BI$9,0),0))="N/a",0,(VLOOKUP(state,'2012'!$B$9:$BI$62,MATCH($D36,'2012'!$B$9:$BI$9,0),0))),IF((VLOOKUP($D36,'2012'!$B$9:$BI$62,MATCH(state,'2012'!$B$9:$BI$9,0),0))="N/a",0,(VLOOKUP($D36,'2012'!$B$9:$BI$62,MATCH(state,'2012'!$B$9:$BI$9,0),0))))</f>
        <v>3343</v>
      </c>
      <c r="F36" s="59">
        <f>IF(Arr_Dep="Arrival",IF((VLOOKUP(state,'2011'!$B$9:$BI$62,MATCH($D36,'2011'!$B$9:$BI$9,0),0))="N/a",0,(VLOOKUP(state,'2011'!$B$9:$BI$62,MATCH($D36,'2011'!$B$9:$BI$9,0),0))),IF((VLOOKUP($D36,'2011'!$B$9:$BI$62,MATCH(state,'2011'!$B$9:$BI$9,0),0))="N/a",0,(VLOOKUP($D36,'2011'!$B$9:$BI$62,MATCH(state,'2011'!$B$9:$BI$9,0),0))))</f>
        <v>3225</v>
      </c>
      <c r="G36" s="59">
        <f>IF(Arr_Dep="Arrival",IF((VLOOKUP(state,'2010'!$B$9:$BI$62,MATCH($D36,'2010'!$B$9:$BI$9,0),0))="N/a",0,(VLOOKUP(state,'2010'!$B$9:$BI$62,MATCH($D36,'2010'!$B$9:$BI$9,0),0))),IF((VLOOKUP($D36,'2010'!$B$9:$BI$62,MATCH(state,'2010'!$B$9:$BI$9,0),0))="N/a",0,(VLOOKUP($D36,'2010'!$B$9:$BI$62,MATCH(state,'2010'!$B$9:$BI$9,0),0))))</f>
        <v>4587</v>
      </c>
      <c r="H36" s="59">
        <f t="shared" si="8"/>
        <v>3718.3333333333335</v>
      </c>
      <c r="I36" s="59">
        <f>IF(Ranksel=2012,(RANK(E36,$E$14:$E$65,0)+COUNTIF($E$14:E36,E36)-1),IF(Ranksel=2011,(RANK(F36,$F$14:$F$65,0)+COUNTIF($F$14:F36,F36)-1),IF(Ranksel=2010,(RANK(G36,$G$14:$G$65,0)+COUNTIF($G$14:G36,G36)-1),IF(Ranksel="All",(RANK(H36,$H$14:$H$65,0)+COUNTIF($H$14:H36,H36)-1),0))))</f>
        <v>21</v>
      </c>
      <c r="J36" s="51" t="s">
        <v>29</v>
      </c>
      <c r="L36" s="79"/>
      <c r="M36" s="57">
        <v>24</v>
      </c>
      <c r="N36" s="145" t="str">
        <f t="shared" si="6"/>
        <v>Minnesota</v>
      </c>
      <c r="O36" s="146">
        <f t="shared" si="7"/>
        <v>2975</v>
      </c>
      <c r="P36" s="74">
        <f t="shared" si="9"/>
        <v>1.4973726771849057E-2</v>
      </c>
      <c r="Q36" s="106">
        <f>IF(O36=0,0,(RANK(O36,$O$13:$O$64,0)+COUNTIF($O$13:O36,O36)-1))</f>
        <v>26</v>
      </c>
      <c r="Y36" s="60">
        <v>23</v>
      </c>
      <c r="Z36" s="152" t="str">
        <f t="array" ref="Z36">IF(ROWS($Z$14:Z36)&lt;=52,INDEX(List,SMALL(IF($B$14:$B$65="N",ROW($B$14:$B$65)-ROW($B$14)+1),ROWS($Z$14:Z36))),"")</f>
        <v>Minnesota</v>
      </c>
    </row>
    <row r="37" spans="2:26" x14ac:dyDescent="0.25">
      <c r="B37" s="60" t="str">
        <f t="shared" si="4"/>
        <v>N</v>
      </c>
      <c r="C37" s="60">
        <v>24</v>
      </c>
      <c r="D37" s="53" t="s">
        <v>30</v>
      </c>
      <c r="E37" s="59">
        <f>IF(Arr_Dep="Arrival",IF((VLOOKUP(state,'2012'!$B$9:$BI$62,MATCH($D37,'2012'!$B$9:$BI$9,0),0))="N/a",0,(VLOOKUP(state,'2012'!$B$9:$BI$62,MATCH($D37,'2012'!$B$9:$BI$9,0),0))),IF((VLOOKUP($D37,'2012'!$B$9:$BI$62,MATCH(state,'2012'!$B$9:$BI$9,0),0))="N/a",0,(VLOOKUP($D37,'2012'!$B$9:$BI$62,MATCH(state,'2012'!$B$9:$BI$9,0),0))))</f>
        <v>2992</v>
      </c>
      <c r="F37" s="59">
        <f>IF(Arr_Dep="Arrival",IF((VLOOKUP(state,'2011'!$B$9:$BI$62,MATCH($D37,'2011'!$B$9:$BI$9,0),0))="N/a",0,(VLOOKUP(state,'2011'!$B$9:$BI$62,MATCH($D37,'2011'!$B$9:$BI$9,0),0))),IF((VLOOKUP($D37,'2011'!$B$9:$BI$62,MATCH(state,'2011'!$B$9:$BI$9,0),0))="N/a",0,(VLOOKUP($D37,'2011'!$B$9:$BI$62,MATCH(state,'2011'!$B$9:$BI$9,0),0))))</f>
        <v>3055</v>
      </c>
      <c r="G37" s="59">
        <f>IF(Arr_Dep="Arrival",IF((VLOOKUP(state,'2010'!$B$9:$BI$62,MATCH($D37,'2010'!$B$9:$BI$9,0),0))="N/a",0,(VLOOKUP(state,'2010'!$B$9:$BI$62,MATCH($D37,'2010'!$B$9:$BI$9,0),0))),IF((VLOOKUP($D37,'2010'!$B$9:$BI$62,MATCH(state,'2010'!$B$9:$BI$9,0),0))="N/a",0,(VLOOKUP($D37,'2010'!$B$9:$BI$62,MATCH(state,'2010'!$B$9:$BI$9,0),0))))</f>
        <v>2878</v>
      </c>
      <c r="H37" s="59">
        <f t="shared" si="8"/>
        <v>2975</v>
      </c>
      <c r="I37" s="59">
        <f>IF(Ranksel=2012,(RANK(E37,$E$14:$E$65,0)+COUNTIF($E$14:E37,E37)-1),IF(Ranksel=2011,(RANK(F37,$F$14:$F$65,0)+COUNTIF($F$14:F37,F37)-1),IF(Ranksel=2010,(RANK(G37,$G$14:$G$65,0)+COUNTIF($G$14:G37,G37)-1),IF(Ranksel="All",(RANK(H37,$H$14:$H$65,0)+COUNTIF($H$14:H37,H37)-1),0))))</f>
        <v>26</v>
      </c>
      <c r="J37" s="51" t="s">
        <v>30</v>
      </c>
      <c r="L37" s="79"/>
      <c r="M37" s="57">
        <v>25</v>
      </c>
      <c r="N37" s="145" t="str">
        <f t="shared" si="6"/>
        <v>Mississippi</v>
      </c>
      <c r="O37" s="146">
        <f t="shared" si="7"/>
        <v>997</v>
      </c>
      <c r="P37" s="74">
        <f t="shared" si="9"/>
        <v>5.0180859131205074E-3</v>
      </c>
      <c r="Q37" s="106">
        <f>IF(O37=0,0,(RANK(O37,$O$13:$O$64,0)+COUNTIF($O$13:O37,O37)-1))</f>
        <v>43</v>
      </c>
      <c r="Y37" s="60">
        <v>24</v>
      </c>
      <c r="Z37" s="152" t="str">
        <f t="array" ref="Z37">IF(ROWS($Z$14:Z37)&lt;=52,INDEX(List,SMALL(IF($B$14:$B$65="N",ROW($B$14:$B$65)-ROW($B$14)+1),ROWS($Z$14:Z37))),"")</f>
        <v>Mississippi</v>
      </c>
    </row>
    <row r="38" spans="2:26" x14ac:dyDescent="0.25">
      <c r="B38" s="60" t="str">
        <f t="shared" si="4"/>
        <v>N</v>
      </c>
      <c r="C38" s="60">
        <v>25</v>
      </c>
      <c r="D38" s="53" t="s">
        <v>31</v>
      </c>
      <c r="E38" s="59">
        <f>IF(Arr_Dep="Arrival",IF((VLOOKUP(state,'2012'!$B$9:$BI$62,MATCH($D38,'2012'!$B$9:$BI$9,0),0))="N/a",0,(VLOOKUP(state,'2012'!$B$9:$BI$62,MATCH($D38,'2012'!$B$9:$BI$9,0),0))),IF((VLOOKUP($D38,'2012'!$B$9:$BI$62,MATCH(state,'2012'!$B$9:$BI$9,0),0))="N/a",0,(VLOOKUP($D38,'2012'!$B$9:$BI$62,MATCH(state,'2012'!$B$9:$BI$9,0),0))))</f>
        <v>835</v>
      </c>
      <c r="F38" s="59">
        <f>IF(Arr_Dep="Arrival",IF((VLOOKUP(state,'2011'!$B$9:$BI$62,MATCH($D38,'2011'!$B$9:$BI$9,0),0))="N/a",0,(VLOOKUP(state,'2011'!$B$9:$BI$62,MATCH($D38,'2011'!$B$9:$BI$9,0),0))),IF((VLOOKUP($D38,'2011'!$B$9:$BI$62,MATCH(state,'2011'!$B$9:$BI$9,0),0))="N/a",0,(VLOOKUP($D38,'2011'!$B$9:$BI$62,MATCH(state,'2011'!$B$9:$BI$9,0),0))))</f>
        <v>879</v>
      </c>
      <c r="G38" s="59">
        <f>IF(Arr_Dep="Arrival",IF((VLOOKUP(state,'2010'!$B$9:$BI$62,MATCH($D38,'2010'!$B$9:$BI$9,0),0))="N/a",0,(VLOOKUP(state,'2010'!$B$9:$BI$62,MATCH($D38,'2010'!$B$9:$BI$9,0),0))),IF((VLOOKUP($D38,'2010'!$B$9:$BI$62,MATCH(state,'2010'!$B$9:$BI$9,0),0))="N/a",0,(VLOOKUP($D38,'2010'!$B$9:$BI$62,MATCH(state,'2010'!$B$9:$BI$9,0),0))))</f>
        <v>1277</v>
      </c>
      <c r="H38" s="59">
        <f t="shared" si="8"/>
        <v>997</v>
      </c>
      <c r="I38" s="59">
        <f>IF(Ranksel=2012,(RANK(E38,$E$14:$E$65,0)+COUNTIF($E$14:E38,E38)-1),IF(Ranksel=2011,(RANK(F38,$F$14:$F$65,0)+COUNTIF($F$14:F38,F38)-1),IF(Ranksel=2010,(RANK(G38,$G$14:$G$65,0)+COUNTIF($G$14:G38,G38)-1),IF(Ranksel="All",(RANK(H38,$H$14:$H$65,0)+COUNTIF($H$14:H38,H38)-1),0))))</f>
        <v>43</v>
      </c>
      <c r="J38" s="51" t="s">
        <v>31</v>
      </c>
      <c r="L38" s="79"/>
      <c r="M38" s="57">
        <v>26</v>
      </c>
      <c r="N38" s="145" t="str">
        <f t="shared" si="6"/>
        <v>Missouri</v>
      </c>
      <c r="O38" s="146">
        <f t="shared" si="7"/>
        <v>3433.6666666666665</v>
      </c>
      <c r="P38" s="74">
        <f t="shared" si="9"/>
        <v>1.7282281173873069E-2</v>
      </c>
      <c r="Q38" s="106">
        <f>IF(O38=0,0,(RANK(O38,$O$13:$O$64,0)+COUNTIF($O$13:O38,O38)-1))</f>
        <v>23</v>
      </c>
      <c r="Y38" s="60">
        <v>25</v>
      </c>
      <c r="Z38" s="152" t="str">
        <f t="array" ref="Z38">IF(ROWS($Z$14:Z38)&lt;=52,INDEX(List,SMALL(IF($B$14:$B$65="N",ROW($B$14:$B$65)-ROW($B$14)+1),ROWS($Z$14:Z38))),"")</f>
        <v>Missouri</v>
      </c>
    </row>
    <row r="39" spans="2:26" x14ac:dyDescent="0.25">
      <c r="B39" s="60" t="str">
        <f t="shared" si="4"/>
        <v>N</v>
      </c>
      <c r="C39" s="60">
        <v>26</v>
      </c>
      <c r="D39" s="53" t="s">
        <v>32</v>
      </c>
      <c r="E39" s="59">
        <f>IF(Arr_Dep="Arrival",IF((VLOOKUP(state,'2012'!$B$9:$BI$62,MATCH($D39,'2012'!$B$9:$BI$9,0),0))="N/a",0,(VLOOKUP(state,'2012'!$B$9:$BI$62,MATCH($D39,'2012'!$B$9:$BI$9,0),0))),IF((VLOOKUP($D39,'2012'!$B$9:$BI$62,MATCH(state,'2012'!$B$9:$BI$9,0),0))="N/a",0,(VLOOKUP($D39,'2012'!$B$9:$BI$62,MATCH(state,'2012'!$B$9:$BI$9,0),0))))</f>
        <v>3771</v>
      </c>
      <c r="F39" s="59">
        <f>IF(Arr_Dep="Arrival",IF((VLOOKUP(state,'2011'!$B$9:$BI$62,MATCH($D39,'2011'!$B$9:$BI$9,0),0))="N/a",0,(VLOOKUP(state,'2011'!$B$9:$BI$62,MATCH($D39,'2011'!$B$9:$BI$9,0),0))),IF((VLOOKUP($D39,'2011'!$B$9:$BI$62,MATCH(state,'2011'!$B$9:$BI$9,0),0))="N/a",0,(VLOOKUP($D39,'2011'!$B$9:$BI$62,MATCH(state,'2011'!$B$9:$BI$9,0),0))))</f>
        <v>4552</v>
      </c>
      <c r="G39" s="59">
        <f>IF(Arr_Dep="Arrival",IF((VLOOKUP(state,'2010'!$B$9:$BI$62,MATCH($D39,'2010'!$B$9:$BI$9,0),0))="N/a",0,(VLOOKUP(state,'2010'!$B$9:$BI$62,MATCH($D39,'2010'!$B$9:$BI$9,0),0))),IF((VLOOKUP($D39,'2010'!$B$9:$BI$62,MATCH(state,'2010'!$B$9:$BI$9,0),0))="N/a",0,(VLOOKUP($D39,'2010'!$B$9:$BI$62,MATCH(state,'2010'!$B$9:$BI$9,0),0))))</f>
        <v>1978</v>
      </c>
      <c r="H39" s="59">
        <f t="shared" si="8"/>
        <v>3433.6666666666665</v>
      </c>
      <c r="I39" s="59">
        <f>IF(Ranksel=2012,(RANK(E39,$E$14:$E$65,0)+COUNTIF($E$14:E39,E39)-1),IF(Ranksel=2011,(RANK(F39,$F$14:$F$65,0)+COUNTIF($F$14:F39,F39)-1),IF(Ranksel=2010,(RANK(G39,$G$14:$G$65,0)+COUNTIF($G$14:G39,G39)-1),IF(Ranksel="All",(RANK(H39,$H$14:$H$65,0)+COUNTIF($H$14:H39,H39)-1),0))))</f>
        <v>23</v>
      </c>
      <c r="J39" s="51" t="s">
        <v>32</v>
      </c>
      <c r="L39" s="79"/>
      <c r="M39" s="57">
        <v>27</v>
      </c>
      <c r="N39" s="145" t="str">
        <f t="shared" si="6"/>
        <v>Montana</v>
      </c>
      <c r="O39" s="146">
        <f t="shared" si="7"/>
        <v>2714</v>
      </c>
      <c r="P39" s="74">
        <f t="shared" si="9"/>
        <v>1.3660065364301964E-2</v>
      </c>
      <c r="Q39" s="106">
        <f>IF(O39=0,0,(RANK(O39,$O$13:$O$64,0)+COUNTIF($O$13:O39,O39)-1))</f>
        <v>29</v>
      </c>
      <c r="Y39" s="60">
        <v>26</v>
      </c>
      <c r="Z39" s="152" t="str">
        <f t="array" ref="Z39">IF(ROWS($Z$14:Z39)&lt;=52,INDEX(List,SMALL(IF($B$14:$B$65="N",ROW($B$14:$B$65)-ROW($B$14)+1),ROWS($Z$14:Z39))),"")</f>
        <v>Montana</v>
      </c>
    </row>
    <row r="40" spans="2:26" x14ac:dyDescent="0.25">
      <c r="B40" s="60" t="str">
        <f t="shared" si="4"/>
        <v>N</v>
      </c>
      <c r="C40" s="60">
        <v>27</v>
      </c>
      <c r="D40" s="53" t="s">
        <v>33</v>
      </c>
      <c r="E40" s="59">
        <f>IF(Arr_Dep="Arrival",IF((VLOOKUP(state,'2012'!$B$9:$BI$62,MATCH($D40,'2012'!$B$9:$BI$9,0),0))="N/a",0,(VLOOKUP(state,'2012'!$B$9:$BI$62,MATCH($D40,'2012'!$B$9:$BI$9,0),0))),IF((VLOOKUP($D40,'2012'!$B$9:$BI$62,MATCH(state,'2012'!$B$9:$BI$9,0),0))="N/a",0,(VLOOKUP($D40,'2012'!$B$9:$BI$62,MATCH(state,'2012'!$B$9:$BI$9,0),0))))</f>
        <v>2021</v>
      </c>
      <c r="F40" s="59">
        <f>IF(Arr_Dep="Arrival",IF((VLOOKUP(state,'2011'!$B$9:$BI$62,MATCH($D40,'2011'!$B$9:$BI$9,0),0))="N/a",0,(VLOOKUP(state,'2011'!$B$9:$BI$62,MATCH($D40,'2011'!$B$9:$BI$9,0),0))),IF((VLOOKUP($D40,'2011'!$B$9:$BI$62,MATCH(state,'2011'!$B$9:$BI$9,0),0))="N/a",0,(VLOOKUP($D40,'2011'!$B$9:$BI$62,MATCH(state,'2011'!$B$9:$BI$9,0),0))))</f>
        <v>4079</v>
      </c>
      <c r="G40" s="59">
        <f>IF(Arr_Dep="Arrival",IF((VLOOKUP(state,'2010'!$B$9:$BI$62,MATCH($D40,'2010'!$B$9:$BI$9,0),0))="N/a",0,(VLOOKUP(state,'2010'!$B$9:$BI$62,MATCH($D40,'2010'!$B$9:$BI$9,0),0))),IF((VLOOKUP($D40,'2010'!$B$9:$BI$62,MATCH(state,'2010'!$B$9:$BI$9,0),0))="N/a",0,(VLOOKUP($D40,'2010'!$B$9:$BI$62,MATCH(state,'2010'!$B$9:$BI$9,0),0))))</f>
        <v>2042</v>
      </c>
      <c r="H40" s="59">
        <f t="shared" si="8"/>
        <v>2714</v>
      </c>
      <c r="I40" s="59">
        <f>IF(Ranksel=2012,(RANK(E40,$E$14:$E$65,0)+COUNTIF($E$14:E40,E40)-1),IF(Ranksel=2011,(RANK(F40,$F$14:$F$65,0)+COUNTIF($F$14:F40,F40)-1),IF(Ranksel=2010,(RANK(G40,$G$14:$G$65,0)+COUNTIF($G$14:G40,G40)-1),IF(Ranksel="All",(RANK(H40,$H$14:$H$65,0)+COUNTIF($H$14:H40,H40)-1),0))))</f>
        <v>29</v>
      </c>
      <c r="J40" s="51" t="s">
        <v>33</v>
      </c>
      <c r="L40" s="79"/>
      <c r="M40" s="57">
        <v>28</v>
      </c>
      <c r="N40" s="145" t="str">
        <f t="shared" si="6"/>
        <v>Nebraska</v>
      </c>
      <c r="O40" s="146">
        <f t="shared" si="7"/>
        <v>4373</v>
      </c>
      <c r="P40" s="74">
        <f t="shared" si="9"/>
        <v>2.2010120058250732E-2</v>
      </c>
      <c r="Q40" s="106">
        <f>IF(O40=0,0,(RANK(O40,$O$13:$O$64,0)+COUNTIF($O$13:O40,O40)-1))</f>
        <v>12</v>
      </c>
      <c r="Y40" s="60">
        <v>27</v>
      </c>
      <c r="Z40" s="152" t="str">
        <f t="array" ref="Z40">IF(ROWS($Z$14:Z40)&lt;=52,INDEX(List,SMALL(IF($B$14:$B$65="N",ROW($B$14:$B$65)-ROW($B$14)+1),ROWS($Z$14:Z40))),"")</f>
        <v>Nebraska</v>
      </c>
    </row>
    <row r="41" spans="2:26" x14ac:dyDescent="0.25">
      <c r="B41" s="60" t="str">
        <f t="shared" si="4"/>
        <v>N</v>
      </c>
      <c r="C41" s="60">
        <v>28</v>
      </c>
      <c r="D41" s="53" t="s">
        <v>34</v>
      </c>
      <c r="E41" s="59">
        <f>IF(Arr_Dep="Arrival",IF((VLOOKUP(state,'2012'!$B$9:$BI$62,MATCH($D41,'2012'!$B$9:$BI$9,0),0))="N/a",0,(VLOOKUP(state,'2012'!$B$9:$BI$62,MATCH($D41,'2012'!$B$9:$BI$9,0),0))),IF((VLOOKUP($D41,'2012'!$B$9:$BI$62,MATCH(state,'2012'!$B$9:$BI$9,0),0))="N/a",0,(VLOOKUP($D41,'2012'!$B$9:$BI$62,MATCH(state,'2012'!$B$9:$BI$9,0),0))))</f>
        <v>4472</v>
      </c>
      <c r="F41" s="59">
        <f>IF(Arr_Dep="Arrival",IF((VLOOKUP(state,'2011'!$B$9:$BI$62,MATCH($D41,'2011'!$B$9:$BI$9,0),0))="N/a",0,(VLOOKUP(state,'2011'!$B$9:$BI$62,MATCH($D41,'2011'!$B$9:$BI$9,0),0))),IF((VLOOKUP($D41,'2011'!$B$9:$BI$62,MATCH(state,'2011'!$B$9:$BI$9,0),0))="N/a",0,(VLOOKUP($D41,'2011'!$B$9:$BI$62,MATCH(state,'2011'!$B$9:$BI$9,0),0))))</f>
        <v>4582</v>
      </c>
      <c r="G41" s="59">
        <f>IF(Arr_Dep="Arrival",IF((VLOOKUP(state,'2010'!$B$9:$BI$62,MATCH($D41,'2010'!$B$9:$BI$9,0),0))="N/a",0,(VLOOKUP(state,'2010'!$B$9:$BI$62,MATCH($D41,'2010'!$B$9:$BI$9,0),0))),IF((VLOOKUP($D41,'2010'!$B$9:$BI$62,MATCH(state,'2010'!$B$9:$BI$9,0),0))="N/a",0,(VLOOKUP($D41,'2010'!$B$9:$BI$62,MATCH(state,'2010'!$B$9:$BI$9,0),0))))</f>
        <v>4065</v>
      </c>
      <c r="H41" s="59">
        <f t="shared" si="8"/>
        <v>4373</v>
      </c>
      <c r="I41" s="59">
        <f>IF(Ranksel=2012,(RANK(E41,$E$14:$E$65,0)+COUNTIF($E$14:E41,E41)-1),IF(Ranksel=2011,(RANK(F41,$F$14:$F$65,0)+COUNTIF($F$14:F41,F41)-1),IF(Ranksel=2010,(RANK(G41,$G$14:$G$65,0)+COUNTIF($G$14:G41,G41)-1),IF(Ranksel="All",(RANK(H41,$H$14:$H$65,0)+COUNTIF($H$14:H41,H41)-1),0))))</f>
        <v>12</v>
      </c>
      <c r="J41" s="51" t="s">
        <v>34</v>
      </c>
      <c r="L41" s="79"/>
      <c r="M41" s="57">
        <v>29</v>
      </c>
      <c r="N41" s="145" t="str">
        <f t="shared" si="6"/>
        <v>Nevada</v>
      </c>
      <c r="O41" s="146">
        <f t="shared" si="7"/>
        <v>3993.6666666666665</v>
      </c>
      <c r="P41" s="74">
        <f t="shared" si="9"/>
        <v>2.010086503680936E-2</v>
      </c>
      <c r="Q41" s="106">
        <f>IF(O41=0,0,(RANK(O41,$O$13:$O$64,0)+COUNTIF($O$13:O41,O41)-1))</f>
        <v>18</v>
      </c>
      <c r="Y41" s="60">
        <v>28</v>
      </c>
      <c r="Z41" s="152" t="str">
        <f t="array" ref="Z41">IF(ROWS($Z$14:Z41)&lt;=52,INDEX(List,SMALL(IF($B$14:$B$65="N",ROW($B$14:$B$65)-ROW($B$14)+1),ROWS($Z$14:Z41))),"")</f>
        <v>Nevada</v>
      </c>
    </row>
    <row r="42" spans="2:26" x14ac:dyDescent="0.25">
      <c r="B42" s="60" t="str">
        <f t="shared" si="4"/>
        <v>N</v>
      </c>
      <c r="C42" s="60">
        <v>29</v>
      </c>
      <c r="D42" s="53" t="s">
        <v>35</v>
      </c>
      <c r="E42" s="59">
        <f>IF(Arr_Dep="Arrival",IF((VLOOKUP(state,'2012'!$B$9:$BI$62,MATCH($D42,'2012'!$B$9:$BI$9,0),0))="N/a",0,(VLOOKUP(state,'2012'!$B$9:$BI$62,MATCH($D42,'2012'!$B$9:$BI$9,0),0))),IF((VLOOKUP($D42,'2012'!$B$9:$BI$62,MATCH(state,'2012'!$B$9:$BI$9,0),0))="N/a",0,(VLOOKUP($D42,'2012'!$B$9:$BI$62,MATCH(state,'2012'!$B$9:$BI$9,0),0))))</f>
        <v>3789</v>
      </c>
      <c r="F42" s="59">
        <f>IF(Arr_Dep="Arrival",IF((VLOOKUP(state,'2011'!$B$9:$BI$62,MATCH($D42,'2011'!$B$9:$BI$9,0),0))="N/a",0,(VLOOKUP(state,'2011'!$B$9:$BI$62,MATCH($D42,'2011'!$B$9:$BI$9,0),0))),IF((VLOOKUP($D42,'2011'!$B$9:$BI$62,MATCH(state,'2011'!$B$9:$BI$9,0),0))="N/a",0,(VLOOKUP($D42,'2011'!$B$9:$BI$62,MATCH(state,'2011'!$B$9:$BI$9,0),0))))</f>
        <v>4061</v>
      </c>
      <c r="G42" s="59">
        <f>IF(Arr_Dep="Arrival",IF((VLOOKUP(state,'2010'!$B$9:$BI$62,MATCH($D42,'2010'!$B$9:$BI$9,0),0))="N/a",0,(VLOOKUP(state,'2010'!$B$9:$BI$62,MATCH($D42,'2010'!$B$9:$BI$9,0),0))),IF((VLOOKUP($D42,'2010'!$B$9:$BI$62,MATCH(state,'2010'!$B$9:$BI$9,0),0))="N/a",0,(VLOOKUP($D42,'2010'!$B$9:$BI$62,MATCH(state,'2010'!$B$9:$BI$9,0),0))))</f>
        <v>4131</v>
      </c>
      <c r="H42" s="59">
        <f t="shared" si="8"/>
        <v>3993.6666666666665</v>
      </c>
      <c r="I42" s="59">
        <f>IF(Ranksel=2012,(RANK(E42,$E$14:$E$65,0)+COUNTIF($E$14:E42,E42)-1),IF(Ranksel=2011,(RANK(F42,$F$14:$F$65,0)+COUNTIF($F$14:F42,F42)-1),IF(Ranksel=2010,(RANK(G42,$G$14:$G$65,0)+COUNTIF($G$14:G42,G42)-1),IF(Ranksel="All",(RANK(H42,$H$14:$H$65,0)+COUNTIF($H$14:H42,H42)-1),0))))</f>
        <v>18</v>
      </c>
      <c r="J42" s="51" t="s">
        <v>35</v>
      </c>
      <c r="L42" s="79"/>
      <c r="M42" s="57">
        <v>30</v>
      </c>
      <c r="N42" s="145" t="str">
        <f t="shared" si="6"/>
        <v>New Hampshire</v>
      </c>
      <c r="O42" s="146">
        <f t="shared" si="7"/>
        <v>653</v>
      </c>
      <c r="P42" s="74">
        <f t="shared" si="9"/>
        <v>3.2866701116024992E-3</v>
      </c>
      <c r="Q42" s="106">
        <f>IF(O42=0,0,(RANK(O42,$O$13:$O$64,0)+COUNTIF($O$13:O42,O42)-1))</f>
        <v>45</v>
      </c>
      <c r="Y42" s="60">
        <v>29</v>
      </c>
      <c r="Z42" s="152" t="str">
        <f t="array" ref="Z42">IF(ROWS($Z$14:Z42)&lt;=52,INDEX(List,SMALL(IF($B$14:$B$65="N",ROW($B$14:$B$65)-ROW($B$14)+1),ROWS($Z$14:Z42))),"")</f>
        <v>New Hampshire</v>
      </c>
    </row>
    <row r="43" spans="2:26" x14ac:dyDescent="0.25">
      <c r="B43" s="60" t="str">
        <f t="shared" si="4"/>
        <v>N</v>
      </c>
      <c r="C43" s="60">
        <v>30</v>
      </c>
      <c r="D43" s="53" t="s">
        <v>36</v>
      </c>
      <c r="E43" s="59">
        <f>IF(Arr_Dep="Arrival",IF((VLOOKUP(state,'2012'!$B$9:$BI$62,MATCH($D43,'2012'!$B$9:$BI$9,0),0))="N/a",0,(VLOOKUP(state,'2012'!$B$9:$BI$62,MATCH($D43,'2012'!$B$9:$BI$9,0),0))),IF((VLOOKUP($D43,'2012'!$B$9:$BI$62,MATCH(state,'2012'!$B$9:$BI$9,0),0))="N/a",0,(VLOOKUP($D43,'2012'!$B$9:$BI$62,MATCH(state,'2012'!$B$9:$BI$9,0),0))))</f>
        <v>679</v>
      </c>
      <c r="F43" s="59">
        <f>IF(Arr_Dep="Arrival",IF((VLOOKUP(state,'2011'!$B$9:$BI$62,MATCH($D43,'2011'!$B$9:$BI$9,0),0))="N/a",0,(VLOOKUP(state,'2011'!$B$9:$BI$62,MATCH($D43,'2011'!$B$9:$BI$9,0),0))),IF((VLOOKUP($D43,'2011'!$B$9:$BI$62,MATCH(state,'2011'!$B$9:$BI$9,0),0))="N/a",0,(VLOOKUP($D43,'2011'!$B$9:$BI$62,MATCH(state,'2011'!$B$9:$BI$9,0),0))))</f>
        <v>489</v>
      </c>
      <c r="G43" s="59">
        <f>IF(Arr_Dep="Arrival",IF((VLOOKUP(state,'2010'!$B$9:$BI$62,MATCH($D43,'2010'!$B$9:$BI$9,0),0))="N/a",0,(VLOOKUP(state,'2010'!$B$9:$BI$62,MATCH($D43,'2010'!$B$9:$BI$9,0),0))),IF((VLOOKUP($D43,'2010'!$B$9:$BI$62,MATCH(state,'2010'!$B$9:$BI$9,0),0))="N/a",0,(VLOOKUP($D43,'2010'!$B$9:$BI$62,MATCH(state,'2010'!$B$9:$BI$9,0),0))))</f>
        <v>791</v>
      </c>
      <c r="H43" s="59">
        <f t="shared" si="8"/>
        <v>653</v>
      </c>
      <c r="I43" s="59">
        <f>IF(Ranksel=2012,(RANK(E43,$E$14:$E$65,0)+COUNTIF($E$14:E43,E43)-1),IF(Ranksel=2011,(RANK(F43,$F$14:$F$65,0)+COUNTIF($F$14:F43,F43)-1),IF(Ranksel=2010,(RANK(G43,$G$14:$G$65,0)+COUNTIF($G$14:G43,G43)-1),IF(Ranksel="All",(RANK(H43,$H$14:$H$65,0)+COUNTIF($H$14:H43,H43)-1),0))))</f>
        <v>45</v>
      </c>
      <c r="J43" s="51" t="s">
        <v>146</v>
      </c>
      <c r="L43" s="79"/>
      <c r="M43" s="57">
        <v>31</v>
      </c>
      <c r="N43" s="145" t="str">
        <f t="shared" si="6"/>
        <v>New Jersey</v>
      </c>
      <c r="O43" s="146">
        <f t="shared" si="7"/>
        <v>2195.3333333333335</v>
      </c>
      <c r="P43" s="74">
        <f t="shared" si="9"/>
        <v>1.1049519834106207E-2</v>
      </c>
      <c r="Q43" s="106">
        <f>IF(O43=0,0,(RANK(O43,$O$13:$O$64,0)+COUNTIF($O$13:O43,O43)-1))</f>
        <v>34</v>
      </c>
      <c r="Y43" s="60">
        <v>30</v>
      </c>
      <c r="Z43" s="152" t="str">
        <f t="array" ref="Z43">IF(ROWS($Z$14:Z43)&lt;=52,INDEX(List,SMALL(IF($B$14:$B$65="N",ROW($B$14:$B$65)-ROW($B$14)+1),ROWS($Z$14:Z43))),"")</f>
        <v>New Jersey</v>
      </c>
    </row>
    <row r="44" spans="2:26" x14ac:dyDescent="0.25">
      <c r="B44" s="60" t="str">
        <f t="shared" si="4"/>
        <v>N</v>
      </c>
      <c r="C44" s="60">
        <v>31</v>
      </c>
      <c r="D44" s="53" t="s">
        <v>37</v>
      </c>
      <c r="E44" s="59">
        <f>IF(Arr_Dep="Arrival",IF((VLOOKUP(state,'2012'!$B$9:$BI$62,MATCH($D44,'2012'!$B$9:$BI$9,0),0))="N/a",0,(VLOOKUP(state,'2012'!$B$9:$BI$62,MATCH($D44,'2012'!$B$9:$BI$9,0),0))),IF((VLOOKUP($D44,'2012'!$B$9:$BI$62,MATCH(state,'2012'!$B$9:$BI$9,0),0))="N/a",0,(VLOOKUP($D44,'2012'!$B$9:$BI$62,MATCH(state,'2012'!$B$9:$BI$9,0),0))))</f>
        <v>2464</v>
      </c>
      <c r="F44" s="59">
        <f>IF(Arr_Dep="Arrival",IF((VLOOKUP(state,'2011'!$B$9:$BI$62,MATCH($D44,'2011'!$B$9:$BI$9,0),0))="N/a",0,(VLOOKUP(state,'2011'!$B$9:$BI$62,MATCH($D44,'2011'!$B$9:$BI$9,0),0))),IF((VLOOKUP($D44,'2011'!$B$9:$BI$62,MATCH(state,'2011'!$B$9:$BI$9,0),0))="N/a",0,(VLOOKUP($D44,'2011'!$B$9:$BI$62,MATCH(state,'2011'!$B$9:$BI$9,0),0))))</f>
        <v>2863</v>
      </c>
      <c r="G44" s="59">
        <f>IF(Arr_Dep="Arrival",IF((VLOOKUP(state,'2010'!$B$9:$BI$62,MATCH($D44,'2010'!$B$9:$BI$9,0),0))="N/a",0,(VLOOKUP(state,'2010'!$B$9:$BI$62,MATCH($D44,'2010'!$B$9:$BI$9,0),0))),IF((VLOOKUP($D44,'2010'!$B$9:$BI$62,MATCH(state,'2010'!$B$9:$BI$9,0),0))="N/a",0,(VLOOKUP($D44,'2010'!$B$9:$BI$62,MATCH(state,'2010'!$B$9:$BI$9,0),0))))</f>
        <v>1259</v>
      </c>
      <c r="H44" s="59">
        <f t="shared" si="8"/>
        <v>2195.3333333333335</v>
      </c>
      <c r="I44" s="59">
        <f>IF(Ranksel=2012,(RANK(E44,$E$14:$E$65,0)+COUNTIF($E$14:E44,E44)-1),IF(Ranksel=2011,(RANK(F44,$F$14:$F$65,0)+COUNTIF($F$14:F44,F44)-1),IF(Ranksel=2010,(RANK(G44,$G$14:$G$65,0)+COUNTIF($G$14:G44,G44)-1),IF(Ranksel="All",(RANK(H44,$H$14:$H$65,0)+COUNTIF($H$14:H44,H44)-1),0))))</f>
        <v>34</v>
      </c>
      <c r="J44" s="51" t="s">
        <v>147</v>
      </c>
      <c r="L44" s="79"/>
      <c r="M44" s="57">
        <v>32</v>
      </c>
      <c r="N44" s="145" t="str">
        <f t="shared" si="6"/>
        <v>New Mexico</v>
      </c>
      <c r="O44" s="146">
        <f t="shared" si="7"/>
        <v>6412.666666666667</v>
      </c>
      <c r="P44" s="74">
        <f t="shared" si="9"/>
        <v>3.2276140687600242E-2</v>
      </c>
      <c r="Q44" s="106">
        <f>IF(O44=0,0,(RANK(O44,$O$13:$O$64,0)+COUNTIF($O$13:O44,O44)-1))</f>
        <v>6</v>
      </c>
      <c r="Y44" s="60">
        <v>31</v>
      </c>
      <c r="Z44" s="152" t="str">
        <f t="array" ref="Z44">IF(ROWS($Z$14:Z44)&lt;=52,INDEX(List,SMALL(IF($B$14:$B$65="N",ROW($B$14:$B$65)-ROW($B$14)+1),ROWS($Z$14:Z44))),"")</f>
        <v>New Mexico</v>
      </c>
    </row>
    <row r="45" spans="2:26" x14ac:dyDescent="0.25">
      <c r="B45" s="60" t="str">
        <f t="shared" ref="B45:B65" si="10">IF(state=D45,"Y","N")</f>
        <v>N</v>
      </c>
      <c r="C45" s="60">
        <v>32</v>
      </c>
      <c r="D45" s="53" t="s">
        <v>38</v>
      </c>
      <c r="E45" s="59">
        <f>IF(Arr_Dep="Arrival",IF((VLOOKUP(state,'2012'!$B$9:$BI$62,MATCH($D45,'2012'!$B$9:$BI$9,0),0))="N/a",0,(VLOOKUP(state,'2012'!$B$9:$BI$62,MATCH($D45,'2012'!$B$9:$BI$9,0),0))),IF((VLOOKUP($D45,'2012'!$B$9:$BI$62,MATCH(state,'2012'!$B$9:$BI$9,0),0))="N/a",0,(VLOOKUP($D45,'2012'!$B$9:$BI$62,MATCH(state,'2012'!$B$9:$BI$9,0),0))))</f>
        <v>6520</v>
      </c>
      <c r="F45" s="59">
        <f>IF(Arr_Dep="Arrival",IF((VLOOKUP(state,'2011'!$B$9:$BI$62,MATCH($D45,'2011'!$B$9:$BI$9,0),0))="N/a",0,(VLOOKUP(state,'2011'!$B$9:$BI$62,MATCH($D45,'2011'!$B$9:$BI$9,0),0))),IF((VLOOKUP($D45,'2011'!$B$9:$BI$62,MATCH(state,'2011'!$B$9:$BI$9,0),0))="N/a",0,(VLOOKUP($D45,'2011'!$B$9:$BI$62,MATCH(state,'2011'!$B$9:$BI$9,0),0))))</f>
        <v>8797</v>
      </c>
      <c r="G45" s="59">
        <f>IF(Arr_Dep="Arrival",IF((VLOOKUP(state,'2010'!$B$9:$BI$62,MATCH($D45,'2010'!$B$9:$BI$9,0),0))="N/a",0,(VLOOKUP(state,'2010'!$B$9:$BI$62,MATCH($D45,'2010'!$B$9:$BI$9,0),0))),IF((VLOOKUP($D45,'2010'!$B$9:$BI$62,MATCH(state,'2010'!$B$9:$BI$9,0),0))="N/a",0,(VLOOKUP($D45,'2010'!$B$9:$BI$62,MATCH(state,'2010'!$B$9:$BI$9,0),0))))</f>
        <v>3921</v>
      </c>
      <c r="H45" s="59">
        <f t="shared" si="8"/>
        <v>6412.666666666667</v>
      </c>
      <c r="I45" s="59">
        <f>IF(Ranksel=2012,(RANK(E45,$E$14:$E$65,0)+COUNTIF($E$14:E45,E45)-1),IF(Ranksel=2011,(RANK(F45,$F$14:$F$65,0)+COUNTIF($F$14:F45,F45)-1),IF(Ranksel=2010,(RANK(G45,$G$14:$G$65,0)+COUNTIF($G$14:G45,G45)-1),IF(Ranksel="All",(RANK(H45,$H$14:$H$65,0)+COUNTIF($H$14:H45,H45)-1),0))))</f>
        <v>6</v>
      </c>
      <c r="J45" s="51" t="s">
        <v>148</v>
      </c>
      <c r="L45" s="79"/>
      <c r="M45" s="57">
        <v>33</v>
      </c>
      <c r="N45" s="145" t="str">
        <f t="shared" ref="N45:N64" si="11">IF(Order=2,INDEX($D$14:$D$65,MATCH(M45,$I$14:$I$65,0),1),D46)</f>
        <v>New York</v>
      </c>
      <c r="O45" s="146">
        <f t="shared" si="7"/>
        <v>5280.666666666667</v>
      </c>
      <c r="P45" s="74">
        <f t="shared" si="9"/>
        <v>2.6578574736093308E-2</v>
      </c>
      <c r="Q45" s="106">
        <f>IF(O45=0,0,(RANK(O45,$O$13:$O$64,0)+COUNTIF($O$13:O45,O45)-1))</f>
        <v>8</v>
      </c>
      <c r="Y45" s="60">
        <v>32</v>
      </c>
      <c r="Z45" s="152" t="str">
        <f t="array" ref="Z45">IF(ROWS($Z$14:Z45)&lt;=52,INDEX(List,SMALL(IF($B$14:$B$65="N",ROW($B$14:$B$65)-ROW($B$14)+1),ROWS($Z$14:Z45))),"")</f>
        <v>New York</v>
      </c>
    </row>
    <row r="46" spans="2:26" x14ac:dyDescent="0.25">
      <c r="B46" s="60" t="str">
        <f t="shared" si="10"/>
        <v>N</v>
      </c>
      <c r="C46" s="60">
        <v>33</v>
      </c>
      <c r="D46" s="53" t="s">
        <v>39</v>
      </c>
      <c r="E46" s="59">
        <f>IF(Arr_Dep="Arrival",IF((VLOOKUP(state,'2012'!$B$9:$BI$62,MATCH($D46,'2012'!$B$9:$BI$9,0),0))="N/a",0,(VLOOKUP(state,'2012'!$B$9:$BI$62,MATCH($D46,'2012'!$B$9:$BI$9,0),0))),IF((VLOOKUP($D46,'2012'!$B$9:$BI$62,MATCH(state,'2012'!$B$9:$BI$9,0),0))="N/a",0,(VLOOKUP($D46,'2012'!$B$9:$BI$62,MATCH(state,'2012'!$B$9:$BI$9,0),0))))</f>
        <v>7250</v>
      </c>
      <c r="F46" s="59">
        <f>IF(Arr_Dep="Arrival",IF((VLOOKUP(state,'2011'!$B$9:$BI$62,MATCH($D46,'2011'!$B$9:$BI$9,0),0))="N/a",0,(VLOOKUP(state,'2011'!$B$9:$BI$62,MATCH($D46,'2011'!$B$9:$BI$9,0),0))),IF((VLOOKUP($D46,'2011'!$B$9:$BI$62,MATCH(state,'2011'!$B$9:$BI$9,0),0))="N/a",0,(VLOOKUP($D46,'2011'!$B$9:$BI$62,MATCH(state,'2011'!$B$9:$BI$9,0),0))))</f>
        <v>3998</v>
      </c>
      <c r="G46" s="59">
        <f>IF(Arr_Dep="Arrival",IF((VLOOKUP(state,'2010'!$B$9:$BI$62,MATCH($D46,'2010'!$B$9:$BI$9,0),0))="N/a",0,(VLOOKUP(state,'2010'!$B$9:$BI$62,MATCH($D46,'2010'!$B$9:$BI$9,0),0))),IF((VLOOKUP($D46,'2010'!$B$9:$BI$62,MATCH(state,'2010'!$B$9:$BI$9,0),0))="N/a",0,(VLOOKUP($D46,'2010'!$B$9:$BI$62,MATCH(state,'2010'!$B$9:$BI$9,0),0))))</f>
        <v>4594</v>
      </c>
      <c r="H46" s="59">
        <f t="shared" si="8"/>
        <v>5280.666666666667</v>
      </c>
      <c r="I46" s="59">
        <f>IF(Ranksel=2012,(RANK(E46,$E$14:$E$65,0)+COUNTIF($E$14:E46,E46)-1),IF(Ranksel=2011,(RANK(F46,$F$14:$F$65,0)+COUNTIF($F$14:F46,F46)-1),IF(Ranksel=2010,(RANK(G46,$G$14:$G$65,0)+COUNTIF($G$14:G46,G46)-1),IF(Ranksel="All",(RANK(H46,$H$14:$H$65,0)+COUNTIF($H$14:H46,H46)-1),0))))</f>
        <v>8</v>
      </c>
      <c r="J46" s="51" t="s">
        <v>149</v>
      </c>
      <c r="L46" s="79"/>
      <c r="M46" s="57">
        <v>34</v>
      </c>
      <c r="N46" s="145" t="str">
        <f t="shared" si="11"/>
        <v>North Carolina</v>
      </c>
      <c r="O46" s="146">
        <f t="shared" si="7"/>
        <v>4024.6666666666665</v>
      </c>
      <c r="P46" s="74">
        <f t="shared" si="9"/>
        <v>2.0256893786364763E-2</v>
      </c>
      <c r="Q46" s="106">
        <f>IF(O46=0,0,(RANK(O46,$O$13:$O$64,0)+COUNTIF($O$13:O46,O46)-1))</f>
        <v>17</v>
      </c>
      <c r="Y46" s="60">
        <v>33</v>
      </c>
      <c r="Z46" s="152" t="str">
        <f t="array" ref="Z46">IF(ROWS($Z$14:Z46)&lt;=52,INDEX(List,SMALL(IF($B$14:$B$65="N",ROW($B$14:$B$65)-ROW($B$14)+1),ROWS($Z$14:Z46))),"")</f>
        <v>North Carolina</v>
      </c>
    </row>
    <row r="47" spans="2:26" x14ac:dyDescent="0.25">
      <c r="B47" s="60" t="str">
        <f t="shared" si="10"/>
        <v>N</v>
      </c>
      <c r="C47" s="60">
        <v>34</v>
      </c>
      <c r="D47" s="53" t="s">
        <v>40</v>
      </c>
      <c r="E47" s="59">
        <f>IF(Arr_Dep="Arrival",IF((VLOOKUP(state,'2012'!$B$9:$BI$62,MATCH($D47,'2012'!$B$9:$BI$9,0),0))="N/a",0,(VLOOKUP(state,'2012'!$B$9:$BI$62,MATCH($D47,'2012'!$B$9:$BI$9,0),0))),IF((VLOOKUP($D47,'2012'!$B$9:$BI$62,MATCH(state,'2012'!$B$9:$BI$9,0),0))="N/a",0,(VLOOKUP($D47,'2012'!$B$9:$BI$62,MATCH(state,'2012'!$B$9:$BI$9,0),0))))</f>
        <v>4378</v>
      </c>
      <c r="F47" s="59">
        <f>IF(Arr_Dep="Arrival",IF((VLOOKUP(state,'2011'!$B$9:$BI$62,MATCH($D47,'2011'!$B$9:$BI$9,0),0))="N/a",0,(VLOOKUP(state,'2011'!$B$9:$BI$62,MATCH($D47,'2011'!$B$9:$BI$9,0),0))),IF((VLOOKUP($D47,'2011'!$B$9:$BI$62,MATCH(state,'2011'!$B$9:$BI$9,0),0))="N/a",0,(VLOOKUP($D47,'2011'!$B$9:$BI$62,MATCH(state,'2011'!$B$9:$BI$9,0),0))))</f>
        <v>4756</v>
      </c>
      <c r="G47" s="59">
        <f>IF(Arr_Dep="Arrival",IF((VLOOKUP(state,'2010'!$B$9:$BI$62,MATCH($D47,'2010'!$B$9:$BI$9,0),0))="N/a",0,(VLOOKUP(state,'2010'!$B$9:$BI$62,MATCH($D47,'2010'!$B$9:$BI$9,0),0))),IF((VLOOKUP($D47,'2010'!$B$9:$BI$62,MATCH(state,'2010'!$B$9:$BI$9,0),0))="N/a",0,(VLOOKUP($D47,'2010'!$B$9:$BI$62,MATCH(state,'2010'!$B$9:$BI$9,0),0))))</f>
        <v>2940</v>
      </c>
      <c r="H47" s="59">
        <f t="shared" si="8"/>
        <v>4024.6666666666665</v>
      </c>
      <c r="I47" s="59">
        <f>IF(Ranksel=2012,(RANK(E47,$E$14:$E$65,0)+COUNTIF($E$14:E47,E47)-1),IF(Ranksel=2011,(RANK(F47,$F$14:$F$65,0)+COUNTIF($F$14:F47,F47)-1),IF(Ranksel=2010,(RANK(G47,$G$14:$G$65,0)+COUNTIF($G$14:G47,G47)-1),IF(Ranksel="All",(RANK(H47,$H$14:$H$65,0)+COUNTIF($H$14:H47,H47)-1),0))))</f>
        <v>17</v>
      </c>
      <c r="J47" s="51" t="s">
        <v>150</v>
      </c>
      <c r="L47" s="79"/>
      <c r="M47" s="57">
        <v>35</v>
      </c>
      <c r="N47" s="145" t="str">
        <f t="shared" si="11"/>
        <v>North Dakota</v>
      </c>
      <c r="O47" s="146">
        <f t="shared" si="7"/>
        <v>1656.3333333333333</v>
      </c>
      <c r="P47" s="74">
        <f t="shared" si="9"/>
        <v>8.3366328660300238E-3</v>
      </c>
      <c r="Q47" s="106">
        <f>IF(O47=0,0,(RANK(O47,$O$13:$O$64,0)+COUNTIF($O$13:O47,O47)-1))</f>
        <v>38</v>
      </c>
      <c r="Y47" s="60">
        <v>34</v>
      </c>
      <c r="Z47" s="152" t="str">
        <f t="array" ref="Z47">IF(ROWS($Z$14:Z47)&lt;=52,INDEX(List,SMALL(IF($B$14:$B$65="N",ROW($B$14:$B$65)-ROW($B$14)+1),ROWS($Z$14:Z47))),"")</f>
        <v>North Dakota</v>
      </c>
    </row>
    <row r="48" spans="2:26" x14ac:dyDescent="0.25">
      <c r="B48" s="60" t="str">
        <f t="shared" si="10"/>
        <v>N</v>
      </c>
      <c r="C48" s="60">
        <v>35</v>
      </c>
      <c r="D48" s="53" t="s">
        <v>41</v>
      </c>
      <c r="E48" s="59">
        <f>IF(Arr_Dep="Arrival",IF((VLOOKUP(state,'2012'!$B$9:$BI$62,MATCH($D48,'2012'!$B$9:$BI$9,0),0))="N/a",0,(VLOOKUP(state,'2012'!$B$9:$BI$62,MATCH($D48,'2012'!$B$9:$BI$9,0),0))),IF((VLOOKUP($D48,'2012'!$B$9:$BI$62,MATCH(state,'2012'!$B$9:$BI$9,0),0))="N/a",0,(VLOOKUP($D48,'2012'!$B$9:$BI$62,MATCH(state,'2012'!$B$9:$BI$9,0),0))))</f>
        <v>1918</v>
      </c>
      <c r="F48" s="59">
        <f>IF(Arr_Dep="Arrival",IF((VLOOKUP(state,'2011'!$B$9:$BI$62,MATCH($D48,'2011'!$B$9:$BI$9,0),0))="N/a",0,(VLOOKUP(state,'2011'!$B$9:$BI$62,MATCH($D48,'2011'!$B$9:$BI$9,0),0))),IF((VLOOKUP($D48,'2011'!$B$9:$BI$62,MATCH(state,'2011'!$B$9:$BI$9,0),0))="N/a",0,(VLOOKUP($D48,'2011'!$B$9:$BI$62,MATCH(state,'2011'!$B$9:$BI$9,0),0))))</f>
        <v>2249</v>
      </c>
      <c r="G48" s="59">
        <f>IF(Arr_Dep="Arrival",IF((VLOOKUP(state,'2010'!$B$9:$BI$62,MATCH($D48,'2010'!$B$9:$BI$9,0),0))="N/a",0,(VLOOKUP(state,'2010'!$B$9:$BI$62,MATCH($D48,'2010'!$B$9:$BI$9,0),0))),IF((VLOOKUP($D48,'2010'!$B$9:$BI$62,MATCH(state,'2010'!$B$9:$BI$9,0),0))="N/a",0,(VLOOKUP($D48,'2010'!$B$9:$BI$62,MATCH(state,'2010'!$B$9:$BI$9,0),0))))</f>
        <v>802</v>
      </c>
      <c r="H48" s="59">
        <f t="shared" si="8"/>
        <v>1656.3333333333333</v>
      </c>
      <c r="I48" s="59">
        <f>IF(Ranksel=2012,(RANK(E48,$E$14:$E$65,0)+COUNTIF($E$14:E48,E48)-1),IF(Ranksel=2011,(RANK(F48,$F$14:$F$65,0)+COUNTIF($F$14:F48,F48)-1),IF(Ranksel=2010,(RANK(G48,$G$14:$G$65,0)+COUNTIF($G$14:G48,G48)-1),IF(Ranksel="All",(RANK(H48,$H$14:$H$65,0)+COUNTIF($H$14:H48,H48)-1),0))))</f>
        <v>38</v>
      </c>
      <c r="J48" s="51" t="s">
        <v>151</v>
      </c>
      <c r="L48" s="79"/>
      <c r="M48" s="57">
        <v>36</v>
      </c>
      <c r="N48" s="145" t="str">
        <f t="shared" si="11"/>
        <v>Ohio</v>
      </c>
      <c r="O48" s="146">
        <f t="shared" si="7"/>
        <v>4299.333333333333</v>
      </c>
      <c r="P48" s="74">
        <f t="shared" si="9"/>
        <v>2.1639342061995422E-2</v>
      </c>
      <c r="Q48" s="106">
        <f>IF(O48=0,0,(RANK(O48,$O$13:$O$64,0)+COUNTIF($O$13:O48,O48)-1))</f>
        <v>14</v>
      </c>
      <c r="Y48" s="60">
        <v>35</v>
      </c>
      <c r="Z48" s="152" t="str">
        <f t="array" ref="Z48">IF(ROWS($Z$14:Z48)&lt;=52,INDEX(List,SMALL(IF($B$14:$B$65="N",ROW($B$14:$B$65)-ROW($B$14)+1),ROWS($Z$14:Z48))),"")</f>
        <v>Ohio</v>
      </c>
    </row>
    <row r="49" spans="2:26" x14ac:dyDescent="0.25">
      <c r="B49" s="60" t="str">
        <f t="shared" si="10"/>
        <v>N</v>
      </c>
      <c r="C49" s="60">
        <v>36</v>
      </c>
      <c r="D49" s="53" t="s">
        <v>42</v>
      </c>
      <c r="E49" s="59">
        <f>IF(Arr_Dep="Arrival",IF((VLOOKUP(state,'2012'!$B$9:$BI$62,MATCH($D49,'2012'!$B$9:$BI$9,0),0))="N/a",0,(VLOOKUP(state,'2012'!$B$9:$BI$62,MATCH($D49,'2012'!$B$9:$BI$9,0),0))),IF((VLOOKUP($D49,'2012'!$B$9:$BI$62,MATCH(state,'2012'!$B$9:$BI$9,0),0))="N/a",0,(VLOOKUP($D49,'2012'!$B$9:$BI$62,MATCH(state,'2012'!$B$9:$BI$9,0),0))))</f>
        <v>4533</v>
      </c>
      <c r="F49" s="59">
        <f>IF(Arr_Dep="Arrival",IF((VLOOKUP(state,'2011'!$B$9:$BI$62,MATCH($D49,'2011'!$B$9:$BI$9,0),0))="N/a",0,(VLOOKUP(state,'2011'!$B$9:$BI$62,MATCH($D49,'2011'!$B$9:$BI$9,0),0))),IF((VLOOKUP($D49,'2011'!$B$9:$BI$62,MATCH(state,'2011'!$B$9:$BI$9,0),0))="N/a",0,(VLOOKUP($D49,'2011'!$B$9:$BI$62,MATCH(state,'2011'!$B$9:$BI$9,0),0))))</f>
        <v>5527</v>
      </c>
      <c r="G49" s="59">
        <f>IF(Arr_Dep="Arrival",IF((VLOOKUP(state,'2010'!$B$9:$BI$62,MATCH($D49,'2010'!$B$9:$BI$9,0),0))="N/a",0,(VLOOKUP(state,'2010'!$B$9:$BI$62,MATCH($D49,'2010'!$B$9:$BI$9,0),0))),IF((VLOOKUP($D49,'2010'!$B$9:$BI$62,MATCH(state,'2010'!$B$9:$BI$9,0),0))="N/a",0,(VLOOKUP($D49,'2010'!$B$9:$BI$62,MATCH(state,'2010'!$B$9:$BI$9,0),0))))</f>
        <v>2838</v>
      </c>
      <c r="H49" s="59">
        <f t="shared" si="8"/>
        <v>4299.333333333333</v>
      </c>
      <c r="I49" s="59">
        <f>IF(Ranksel=2012,(RANK(E49,$E$14:$E$65,0)+COUNTIF($E$14:E49,E49)-1),IF(Ranksel=2011,(RANK(F49,$F$14:$F$65,0)+COUNTIF($F$14:F49,F49)-1),IF(Ranksel=2010,(RANK(G49,$G$14:$G$65,0)+COUNTIF($G$14:G49,G49)-1),IF(Ranksel="All",(RANK(H49,$H$14:$H$65,0)+COUNTIF($H$14:H49,H49)-1),0))))</f>
        <v>14</v>
      </c>
      <c r="J49" s="51" t="s">
        <v>42</v>
      </c>
      <c r="L49" s="79"/>
      <c r="M49" s="57">
        <v>37</v>
      </c>
      <c r="N49" s="145" t="str">
        <f t="shared" si="11"/>
        <v>Oklahoma</v>
      </c>
      <c r="O49" s="146">
        <f t="shared" si="7"/>
        <v>3956.6666666666665</v>
      </c>
      <c r="P49" s="74">
        <f t="shared" si="9"/>
        <v>1.9914637174436783E-2</v>
      </c>
      <c r="Q49" s="106">
        <f>IF(O49=0,0,(RANK(O49,$O$13:$O$64,0)+COUNTIF($O$13:O49,O49)-1))</f>
        <v>19</v>
      </c>
      <c r="Y49" s="60">
        <v>36</v>
      </c>
      <c r="Z49" s="152" t="str">
        <f t="array" ref="Z49">IF(ROWS($Z$14:Z49)&lt;=52,INDEX(List,SMALL(IF($B$14:$B$65="N",ROW($B$14:$B$65)-ROW($B$14)+1),ROWS($Z$14:Z49))),"")</f>
        <v>Oklahoma</v>
      </c>
    </row>
    <row r="50" spans="2:26" x14ac:dyDescent="0.25">
      <c r="B50" s="60" t="str">
        <f t="shared" si="10"/>
        <v>N</v>
      </c>
      <c r="C50" s="60">
        <v>37</v>
      </c>
      <c r="D50" s="53" t="s">
        <v>43</v>
      </c>
      <c r="E50" s="59">
        <f>IF(Arr_Dep="Arrival",IF((VLOOKUP(state,'2012'!$B$9:$BI$62,MATCH($D50,'2012'!$B$9:$BI$9,0),0))="N/a",0,(VLOOKUP(state,'2012'!$B$9:$BI$62,MATCH($D50,'2012'!$B$9:$BI$9,0),0))),IF((VLOOKUP($D50,'2012'!$B$9:$BI$62,MATCH(state,'2012'!$B$9:$BI$9,0),0))="N/a",0,(VLOOKUP($D50,'2012'!$B$9:$BI$62,MATCH(state,'2012'!$B$9:$BI$9,0),0))))</f>
        <v>4582</v>
      </c>
      <c r="F50" s="59">
        <f>IF(Arr_Dep="Arrival",IF((VLOOKUP(state,'2011'!$B$9:$BI$62,MATCH($D50,'2011'!$B$9:$BI$9,0),0))="N/a",0,(VLOOKUP(state,'2011'!$B$9:$BI$62,MATCH($D50,'2011'!$B$9:$BI$9,0),0))),IF((VLOOKUP($D50,'2011'!$B$9:$BI$62,MATCH(state,'2011'!$B$9:$BI$9,0),0))="N/a",0,(VLOOKUP($D50,'2011'!$B$9:$BI$62,MATCH(state,'2011'!$B$9:$BI$9,0),0))))</f>
        <v>3824</v>
      </c>
      <c r="G50" s="59">
        <f>IF(Arr_Dep="Arrival",IF((VLOOKUP(state,'2010'!$B$9:$BI$62,MATCH($D50,'2010'!$B$9:$BI$9,0),0))="N/a",0,(VLOOKUP(state,'2010'!$B$9:$BI$62,MATCH($D50,'2010'!$B$9:$BI$9,0),0))),IF((VLOOKUP($D50,'2010'!$B$9:$BI$62,MATCH(state,'2010'!$B$9:$BI$9,0),0))="N/a",0,(VLOOKUP($D50,'2010'!$B$9:$BI$62,MATCH(state,'2010'!$B$9:$BI$9,0),0))))</f>
        <v>3464</v>
      </c>
      <c r="H50" s="59">
        <f t="shared" si="8"/>
        <v>3956.6666666666665</v>
      </c>
      <c r="I50" s="59">
        <f>IF(Ranksel=2012,(RANK(E50,$E$14:$E$65,0)+COUNTIF($E$14:E50,E50)-1),IF(Ranksel=2011,(RANK(F50,$F$14:$F$65,0)+COUNTIF($F$14:F50,F50)-1),IF(Ranksel=2010,(RANK(G50,$G$14:$G$65,0)+COUNTIF($G$14:G50,G50)-1),IF(Ranksel="All",(RANK(H50,$H$14:$H$65,0)+COUNTIF($H$14:H50,H50)-1),0))))</f>
        <v>19</v>
      </c>
      <c r="J50" s="51" t="s">
        <v>43</v>
      </c>
      <c r="L50" s="79"/>
      <c r="M50" s="57">
        <v>38</v>
      </c>
      <c r="N50" s="145" t="str">
        <f t="shared" si="11"/>
        <v>Oregon</v>
      </c>
      <c r="O50" s="146">
        <f t="shared" si="7"/>
        <v>4097.333333333333</v>
      </c>
      <c r="P50" s="74">
        <f t="shared" si="9"/>
        <v>2.0622638597150543E-2</v>
      </c>
      <c r="Q50" s="106">
        <f>IF(O50=0,0,(RANK(O50,$O$13:$O$64,0)+COUNTIF($O$13:O50,O50)-1))</f>
        <v>16</v>
      </c>
      <c r="Y50" s="60">
        <v>37</v>
      </c>
      <c r="Z50" s="152" t="str">
        <f t="array" ref="Z50">IF(ROWS($Z$14:Z50)&lt;=52,INDEX(List,SMALL(IF($B$14:$B$65="N",ROW($B$14:$B$65)-ROW($B$14)+1),ROWS($Z$14:Z50))),"")</f>
        <v>Oregon</v>
      </c>
    </row>
    <row r="51" spans="2:26" x14ac:dyDescent="0.25">
      <c r="B51" s="60" t="str">
        <f t="shared" si="10"/>
        <v>N</v>
      </c>
      <c r="C51" s="60">
        <v>38</v>
      </c>
      <c r="D51" s="53" t="s">
        <v>44</v>
      </c>
      <c r="E51" s="59">
        <f>IF(Arr_Dep="Arrival",IF((VLOOKUP(state,'2012'!$B$9:$BI$62,MATCH($D51,'2012'!$B$9:$BI$9,0),0))="N/a",0,(VLOOKUP(state,'2012'!$B$9:$BI$62,MATCH($D51,'2012'!$B$9:$BI$9,0),0))),IF((VLOOKUP($D51,'2012'!$B$9:$BI$62,MATCH(state,'2012'!$B$9:$BI$9,0),0))="N/a",0,(VLOOKUP($D51,'2012'!$B$9:$BI$62,MATCH(state,'2012'!$B$9:$BI$9,0),0))))</f>
        <v>2419</v>
      </c>
      <c r="F51" s="59">
        <f>IF(Arr_Dep="Arrival",IF((VLOOKUP(state,'2011'!$B$9:$BI$62,MATCH($D51,'2011'!$B$9:$BI$9,0),0))="N/a",0,(VLOOKUP(state,'2011'!$B$9:$BI$62,MATCH($D51,'2011'!$B$9:$BI$9,0),0))),IF((VLOOKUP($D51,'2011'!$B$9:$BI$62,MATCH(state,'2011'!$B$9:$BI$9,0),0))="N/a",0,(VLOOKUP($D51,'2011'!$B$9:$BI$62,MATCH(state,'2011'!$B$9:$BI$9,0),0))))</f>
        <v>5543</v>
      </c>
      <c r="G51" s="59">
        <f>IF(Arr_Dep="Arrival",IF((VLOOKUP(state,'2010'!$B$9:$BI$62,MATCH($D51,'2010'!$B$9:$BI$9,0),0))="N/a",0,(VLOOKUP(state,'2010'!$B$9:$BI$62,MATCH($D51,'2010'!$B$9:$BI$9,0),0))),IF((VLOOKUP($D51,'2010'!$B$9:$BI$62,MATCH(state,'2010'!$B$9:$BI$9,0),0))="N/a",0,(VLOOKUP($D51,'2010'!$B$9:$BI$62,MATCH(state,'2010'!$B$9:$BI$9,0),0))))</f>
        <v>4330</v>
      </c>
      <c r="H51" s="59">
        <f t="shared" si="8"/>
        <v>4097.333333333333</v>
      </c>
      <c r="I51" s="59">
        <f>IF(Ranksel=2012,(RANK(E51,$E$14:$E$65,0)+COUNTIF($E$14:E51,E51)-1),IF(Ranksel=2011,(RANK(F51,$F$14:$F$65,0)+COUNTIF($F$14:F51,F51)-1),IF(Ranksel=2010,(RANK(G51,$G$14:$G$65,0)+COUNTIF($G$14:G51,G51)-1),IF(Ranksel="All",(RANK(H51,$H$14:$H$65,0)+COUNTIF($H$14:H51,H51)-1),0))))</f>
        <v>16</v>
      </c>
      <c r="J51" s="51" t="s">
        <v>44</v>
      </c>
      <c r="L51" s="79"/>
      <c r="M51" s="57">
        <v>39</v>
      </c>
      <c r="N51" s="145" t="str">
        <f t="shared" si="11"/>
        <v>Pennsylvania</v>
      </c>
      <c r="O51" s="146">
        <f t="shared" si="7"/>
        <v>3742</v>
      </c>
      <c r="P51" s="74">
        <f t="shared" si="9"/>
        <v>1.8834180026977874E-2</v>
      </c>
      <c r="Q51" s="106">
        <f>IF(O51=0,0,(RANK(O51,$O$13:$O$64,0)+COUNTIF($O$13:O51,O51)-1))</f>
        <v>20</v>
      </c>
      <c r="Y51" s="60">
        <v>38</v>
      </c>
      <c r="Z51" s="152" t="str">
        <f t="array" ref="Z51">IF(ROWS($Z$14:Z51)&lt;=52,INDEX(List,SMALL(IF($B$14:$B$65="N",ROW($B$14:$B$65)-ROW($B$14)+1),ROWS($Z$14:Z51))),"")</f>
        <v>Pennsylvania</v>
      </c>
    </row>
    <row r="52" spans="2:26" x14ac:dyDescent="0.25">
      <c r="B52" s="60" t="str">
        <f t="shared" si="10"/>
        <v>N</v>
      </c>
      <c r="C52" s="60">
        <v>39</v>
      </c>
      <c r="D52" s="53" t="s">
        <v>45</v>
      </c>
      <c r="E52" s="59">
        <f>IF(Arr_Dep="Arrival",IF((VLOOKUP(state,'2012'!$B$9:$BI$62,MATCH($D52,'2012'!$B$9:$BI$9,0),0))="N/a",0,(VLOOKUP(state,'2012'!$B$9:$BI$62,MATCH($D52,'2012'!$B$9:$BI$9,0),0))),IF((VLOOKUP($D52,'2012'!$B$9:$BI$62,MATCH(state,'2012'!$B$9:$BI$9,0),0))="N/a",0,(VLOOKUP($D52,'2012'!$B$9:$BI$62,MATCH(state,'2012'!$B$9:$BI$9,0),0))))</f>
        <v>3950</v>
      </c>
      <c r="F52" s="59">
        <f>IF(Arr_Dep="Arrival",IF((VLOOKUP(state,'2011'!$B$9:$BI$62,MATCH($D52,'2011'!$B$9:$BI$9,0),0))="N/a",0,(VLOOKUP(state,'2011'!$B$9:$BI$62,MATCH($D52,'2011'!$B$9:$BI$9,0),0))),IF((VLOOKUP($D52,'2011'!$B$9:$BI$62,MATCH(state,'2011'!$B$9:$BI$9,0),0))="N/a",0,(VLOOKUP($D52,'2011'!$B$9:$BI$62,MATCH(state,'2011'!$B$9:$BI$9,0),0))))</f>
        <v>3348</v>
      </c>
      <c r="G52" s="59">
        <f>IF(Arr_Dep="Arrival",IF((VLOOKUP(state,'2010'!$B$9:$BI$62,MATCH($D52,'2010'!$B$9:$BI$9,0),0))="N/a",0,(VLOOKUP(state,'2010'!$B$9:$BI$62,MATCH($D52,'2010'!$B$9:$BI$9,0),0))),IF((VLOOKUP($D52,'2010'!$B$9:$BI$62,MATCH(state,'2010'!$B$9:$BI$9,0),0))="N/a",0,(VLOOKUP($D52,'2010'!$B$9:$BI$62,MATCH(state,'2010'!$B$9:$BI$9,0),0))))</f>
        <v>3928</v>
      </c>
      <c r="H52" s="59">
        <f t="shared" si="8"/>
        <v>3742</v>
      </c>
      <c r="I52" s="59">
        <f>IF(Ranksel=2012,(RANK(E52,$E$14:$E$65,0)+COUNTIF($E$14:E52,E52)-1),IF(Ranksel=2011,(RANK(F52,$F$14:$F$65,0)+COUNTIF($F$14:F52,F52)-1),IF(Ranksel=2010,(RANK(G52,$G$14:$G$65,0)+COUNTIF($G$14:G52,G52)-1),IF(Ranksel="All",(RANK(H52,$H$14:$H$65,0)+COUNTIF($H$14:H52,H52)-1),0))))</f>
        <v>20</v>
      </c>
      <c r="J52" s="51" t="s">
        <v>45</v>
      </c>
      <c r="L52" s="79"/>
      <c r="M52" s="57">
        <v>40</v>
      </c>
      <c r="N52" s="145" t="str">
        <f t="shared" si="11"/>
        <v>Puerto Rico</v>
      </c>
      <c r="O52" s="146">
        <f t="shared" si="7"/>
        <v>831.33333333333337</v>
      </c>
      <c r="P52" s="74">
        <f t="shared" si="9"/>
        <v>4.1842548536685214E-3</v>
      </c>
      <c r="Q52" s="106">
        <f>IF(O52=0,0,(RANK(O52,$O$13:$O$64,0)+COUNTIF($O$13:O52,O52)-1))</f>
        <v>44</v>
      </c>
      <c r="Y52" s="60">
        <v>39</v>
      </c>
      <c r="Z52" s="152" t="str">
        <f t="array" ref="Z52">IF(ROWS($Z$14:Z52)&lt;=52,INDEX(List,SMALL(IF($B$14:$B$65="N",ROW($B$14:$B$65)-ROW($B$14)+1),ROWS($Z$14:Z52))),"")</f>
        <v>Puerto Rico</v>
      </c>
    </row>
    <row r="53" spans="2:26" x14ac:dyDescent="0.25">
      <c r="B53" s="60" t="str">
        <f t="shared" si="10"/>
        <v>N</v>
      </c>
      <c r="C53" s="60">
        <v>40</v>
      </c>
      <c r="D53" s="53" t="s">
        <v>61</v>
      </c>
      <c r="E53" s="59">
        <f>IF(Arr_Dep="Arrival",IF((VLOOKUP(state,'2012'!$B$9:$BI$62,MATCH($D53,'2012'!$B$9:$BI$9,0),0))="N/a",0,(VLOOKUP(state,'2012'!$B$9:$BI$62,MATCH($D53,'2012'!$B$9:$BI$9,0),0))),IF((VLOOKUP($D53,'2012'!$B$9:$BI$62,MATCH(state,'2012'!$B$9:$BI$9,0),0))="N/a",0,(VLOOKUP($D53,'2012'!$B$9:$BI$62,MATCH(state,'2012'!$B$9:$BI$9,0),0))))</f>
        <v>1144</v>
      </c>
      <c r="F53" s="59">
        <f>IF(Arr_Dep="Arrival",IF((VLOOKUP(state,'2011'!$B$9:$BI$62,MATCH($D53,'2011'!$B$9:$BI$9,0),0))="N/a",0,(VLOOKUP(state,'2011'!$B$9:$BI$62,MATCH($D53,'2011'!$B$9:$BI$9,0),0))),IF((VLOOKUP($D53,'2011'!$B$9:$BI$62,MATCH(state,'2011'!$B$9:$BI$9,0),0))="N/a",0,(VLOOKUP($D53,'2011'!$B$9:$BI$62,MATCH(state,'2011'!$B$9:$BI$9,0),0))))</f>
        <v>476</v>
      </c>
      <c r="G53" s="59">
        <f>IF(Arr_Dep="Arrival",IF((VLOOKUP(state,'2010'!$B$9:$BI$62,MATCH($D53,'2010'!$B$9:$BI$9,0),0))="N/a",0,(VLOOKUP(state,'2010'!$B$9:$BI$62,MATCH($D53,'2010'!$B$9:$BI$9,0),0))),IF((VLOOKUP($D53,'2010'!$B$9:$BI$62,MATCH(state,'2010'!$B$9:$BI$9,0),0))="N/a",0,(VLOOKUP($D53,'2010'!$B$9:$BI$62,MATCH(state,'2010'!$B$9:$BI$9,0),0))))</f>
        <v>874</v>
      </c>
      <c r="H53" s="59">
        <f t="shared" si="8"/>
        <v>831.33333333333337</v>
      </c>
      <c r="I53" s="59">
        <f>IF(Ranksel=2012,(RANK(E53,$E$14:$E$65,0)+COUNTIF($E$14:E53,E53)-1),IF(Ranksel=2011,(RANK(F53,$F$14:$F$65,0)+COUNTIF($F$14:F53,F53)-1),IF(Ranksel=2010,(RANK(G53,$G$14:$G$65,0)+COUNTIF($G$14:G53,G53)-1),IF(Ranksel="All",(RANK(H53,$H$14:$H$65,0)+COUNTIF($H$14:H53,H53)-1),0))))</f>
        <v>44</v>
      </c>
      <c r="J53" s="51" t="s">
        <v>152</v>
      </c>
      <c r="L53" s="79"/>
      <c r="M53" s="57">
        <v>41</v>
      </c>
      <c r="N53" s="145" t="str">
        <f t="shared" si="11"/>
        <v>Rhode Island</v>
      </c>
      <c r="O53" s="146">
        <f t="shared" si="7"/>
        <v>254.66666666666666</v>
      </c>
      <c r="P53" s="74">
        <f t="shared" si="9"/>
        <v>1.2817845662400761E-3</v>
      </c>
      <c r="Q53" s="106">
        <f>IF(O53=0,0,(RANK(O53,$O$13:$O$64,0)+COUNTIF($O$13:O53,O53)-1))</f>
        <v>51</v>
      </c>
      <c r="Y53" s="60">
        <v>40</v>
      </c>
      <c r="Z53" s="152" t="str">
        <f t="array" ref="Z53">IF(ROWS($Z$14:Z53)&lt;=52,INDEX(List,SMALL(IF($B$14:$B$65="N",ROW($B$14:$B$65)-ROW($B$14)+1),ROWS($Z$14:Z53))),"")</f>
        <v>Rhode Island</v>
      </c>
    </row>
    <row r="54" spans="2:26" x14ac:dyDescent="0.25">
      <c r="B54" s="60" t="str">
        <f t="shared" si="10"/>
        <v>N</v>
      </c>
      <c r="C54" s="60">
        <v>41</v>
      </c>
      <c r="D54" s="53" t="s">
        <v>46</v>
      </c>
      <c r="E54" s="59">
        <f>IF(Arr_Dep="Arrival",IF((VLOOKUP(state,'2012'!$B$9:$BI$62,MATCH($D54,'2012'!$B$9:$BI$9,0),0))="N/a",0,(VLOOKUP(state,'2012'!$B$9:$BI$62,MATCH($D54,'2012'!$B$9:$BI$9,0),0))),IF((VLOOKUP($D54,'2012'!$B$9:$BI$62,MATCH(state,'2012'!$B$9:$BI$9,0),0))="N/a",0,(VLOOKUP($D54,'2012'!$B$9:$BI$62,MATCH(state,'2012'!$B$9:$BI$9,0),0))))</f>
        <v>137</v>
      </c>
      <c r="F54" s="59">
        <f>IF(Arr_Dep="Arrival",IF((VLOOKUP(state,'2011'!$B$9:$BI$62,MATCH($D54,'2011'!$B$9:$BI$9,0),0))="N/a",0,(VLOOKUP(state,'2011'!$B$9:$BI$62,MATCH($D54,'2011'!$B$9:$BI$9,0),0))),IF((VLOOKUP($D54,'2011'!$B$9:$BI$62,MATCH(state,'2011'!$B$9:$BI$9,0),0))="N/a",0,(VLOOKUP($D54,'2011'!$B$9:$BI$62,MATCH(state,'2011'!$B$9:$BI$9,0),0))))</f>
        <v>435</v>
      </c>
      <c r="G54" s="59">
        <f>IF(Arr_Dep="Arrival",IF((VLOOKUP(state,'2010'!$B$9:$BI$62,MATCH($D54,'2010'!$B$9:$BI$9,0),0))="N/a",0,(VLOOKUP(state,'2010'!$B$9:$BI$62,MATCH($D54,'2010'!$B$9:$BI$9,0),0))),IF((VLOOKUP($D54,'2010'!$B$9:$BI$62,MATCH(state,'2010'!$B$9:$BI$9,0),0))="N/a",0,(VLOOKUP($D54,'2010'!$B$9:$BI$62,MATCH(state,'2010'!$B$9:$BI$9,0),0))))</f>
        <v>192</v>
      </c>
      <c r="H54" s="59">
        <f t="shared" si="8"/>
        <v>254.66666666666666</v>
      </c>
      <c r="I54" s="59">
        <f>IF(Ranksel=2012,(RANK(E54,$E$14:$E$65,0)+COUNTIF($E$14:E54,E54)-1),IF(Ranksel=2011,(RANK(F54,$F$14:$F$65,0)+COUNTIF($F$14:F54,F54)-1),IF(Ranksel=2010,(RANK(G54,$G$14:$G$65,0)+COUNTIF($G$14:G54,G54)-1),IF(Ranksel="All",(RANK(H54,$H$14:$H$65,0)+COUNTIF($H$14:H54,H54)-1),0))))</f>
        <v>51</v>
      </c>
      <c r="J54" s="51" t="s">
        <v>153</v>
      </c>
      <c r="L54" s="79"/>
      <c r="M54" s="57">
        <v>42</v>
      </c>
      <c r="N54" s="145" t="str">
        <f t="shared" si="11"/>
        <v>South Carolina</v>
      </c>
      <c r="O54" s="146">
        <f t="shared" si="7"/>
        <v>1444</v>
      </c>
      <c r="P54" s="74">
        <f t="shared" si="9"/>
        <v>7.2679198180000135E-3</v>
      </c>
      <c r="Q54" s="106">
        <f>IF(O54=0,0,(RANK(O54,$O$13:$O$64,0)+COUNTIF($O$13:O54,O54)-1))</f>
        <v>39</v>
      </c>
      <c r="Y54" s="60">
        <v>41</v>
      </c>
      <c r="Z54" s="152" t="str">
        <f t="array" ref="Z54">IF(ROWS($Z$14:Z54)&lt;=52,INDEX(List,SMALL(IF($B$14:$B$65="N",ROW($B$14:$B$65)-ROW($B$14)+1),ROWS($Z$14:Z54))),"")</f>
        <v>South Carolina</v>
      </c>
    </row>
    <row r="55" spans="2:26" x14ac:dyDescent="0.25">
      <c r="B55" s="60" t="str">
        <f t="shared" si="10"/>
        <v>N</v>
      </c>
      <c r="C55" s="60">
        <v>42</v>
      </c>
      <c r="D55" s="53" t="s">
        <v>47</v>
      </c>
      <c r="E55" s="59">
        <f>IF(Arr_Dep="Arrival",IF((VLOOKUP(state,'2012'!$B$9:$BI$62,MATCH($D55,'2012'!$B$9:$BI$9,0),0))="N/a",0,(VLOOKUP(state,'2012'!$B$9:$BI$62,MATCH($D55,'2012'!$B$9:$BI$9,0),0))),IF((VLOOKUP($D55,'2012'!$B$9:$BI$62,MATCH(state,'2012'!$B$9:$BI$9,0),0))="N/a",0,(VLOOKUP($D55,'2012'!$B$9:$BI$62,MATCH(state,'2012'!$B$9:$BI$9,0),0))))</f>
        <v>2383</v>
      </c>
      <c r="F55" s="59">
        <f>IF(Arr_Dep="Arrival",IF((VLOOKUP(state,'2011'!$B$9:$BI$62,MATCH($D55,'2011'!$B$9:$BI$9,0),0))="N/a",0,(VLOOKUP(state,'2011'!$B$9:$BI$62,MATCH($D55,'2011'!$B$9:$BI$9,0),0))),IF((VLOOKUP($D55,'2011'!$B$9:$BI$62,MATCH(state,'2011'!$B$9:$BI$9,0),0))="N/a",0,(VLOOKUP($D55,'2011'!$B$9:$BI$62,MATCH(state,'2011'!$B$9:$BI$9,0),0))))</f>
        <v>718</v>
      </c>
      <c r="G55" s="59">
        <f>IF(Arr_Dep="Arrival",IF((VLOOKUP(state,'2010'!$B$9:$BI$62,MATCH($D55,'2010'!$B$9:$BI$9,0),0))="N/a",0,(VLOOKUP(state,'2010'!$B$9:$BI$62,MATCH($D55,'2010'!$B$9:$BI$9,0),0))),IF((VLOOKUP($D55,'2010'!$B$9:$BI$62,MATCH(state,'2010'!$B$9:$BI$9,0),0))="N/a",0,(VLOOKUP($D55,'2010'!$B$9:$BI$62,MATCH(state,'2010'!$B$9:$BI$9,0),0))))</f>
        <v>1231</v>
      </c>
      <c r="H55" s="59">
        <f t="shared" si="8"/>
        <v>1444</v>
      </c>
      <c r="I55" s="59">
        <f>IF(Ranksel=2012,(RANK(E55,$E$14:$E$65,0)+COUNTIF($E$14:E55,E55)-1),IF(Ranksel=2011,(RANK(F55,$F$14:$F$65,0)+COUNTIF($F$14:F55,F55)-1),IF(Ranksel=2010,(RANK(G55,$G$14:$G$65,0)+COUNTIF($G$14:G55,G55)-1),IF(Ranksel="All",(RANK(H55,$H$14:$H$65,0)+COUNTIF($H$14:H55,H55)-1),0))))</f>
        <v>39</v>
      </c>
      <c r="J55" s="51" t="s">
        <v>154</v>
      </c>
      <c r="L55" s="79"/>
      <c r="M55" s="57">
        <v>43</v>
      </c>
      <c r="N55" s="145" t="str">
        <f t="shared" si="11"/>
        <v>South Dakota</v>
      </c>
      <c r="O55" s="146">
        <f t="shared" si="7"/>
        <v>1314.3333333333333</v>
      </c>
      <c r="P55" s="74">
        <f t="shared" si="9"/>
        <v>6.6152834354510732E-3</v>
      </c>
      <c r="Q55" s="106">
        <f>IF(O55=0,0,(RANK(O55,$O$13:$O$64,0)+COUNTIF($O$13:O55,O55)-1))</f>
        <v>40</v>
      </c>
      <c r="Y55" s="60">
        <v>42</v>
      </c>
      <c r="Z55" s="152" t="str">
        <f t="array" ref="Z55">IF(ROWS($Z$14:Z55)&lt;=52,INDEX(List,SMALL(IF($B$14:$B$65="N",ROW($B$14:$B$65)-ROW($B$14)+1),ROWS($Z$14:Z55))),"")</f>
        <v>South Dakota</v>
      </c>
    </row>
    <row r="56" spans="2:26" x14ac:dyDescent="0.25">
      <c r="B56" s="60" t="str">
        <f t="shared" si="10"/>
        <v>N</v>
      </c>
      <c r="C56" s="60">
        <v>43</v>
      </c>
      <c r="D56" s="53" t="s">
        <v>48</v>
      </c>
      <c r="E56" s="59">
        <f>IF(Arr_Dep="Arrival",IF((VLOOKUP(state,'2012'!$B$9:$BI$62,MATCH($D56,'2012'!$B$9:$BI$9,0),0))="N/a",0,(VLOOKUP(state,'2012'!$B$9:$BI$62,MATCH($D56,'2012'!$B$9:$BI$9,0),0))),IF((VLOOKUP($D56,'2012'!$B$9:$BI$62,MATCH(state,'2012'!$B$9:$BI$9,0),0))="N/a",0,(VLOOKUP($D56,'2012'!$B$9:$BI$62,MATCH(state,'2012'!$B$9:$BI$9,0),0))))</f>
        <v>756</v>
      </c>
      <c r="F56" s="59">
        <f>IF(Arr_Dep="Arrival",IF((VLOOKUP(state,'2011'!$B$9:$BI$62,MATCH($D56,'2011'!$B$9:$BI$9,0),0))="N/a",0,(VLOOKUP(state,'2011'!$B$9:$BI$62,MATCH($D56,'2011'!$B$9:$BI$9,0),0))),IF((VLOOKUP($D56,'2011'!$B$9:$BI$62,MATCH(state,'2011'!$B$9:$BI$9,0),0))="N/a",0,(VLOOKUP($D56,'2011'!$B$9:$BI$62,MATCH(state,'2011'!$B$9:$BI$9,0),0))))</f>
        <v>1340</v>
      </c>
      <c r="G56" s="59">
        <f>IF(Arr_Dep="Arrival",IF((VLOOKUP(state,'2010'!$B$9:$BI$62,MATCH($D56,'2010'!$B$9:$BI$9,0),0))="N/a",0,(VLOOKUP(state,'2010'!$B$9:$BI$62,MATCH($D56,'2010'!$B$9:$BI$9,0),0))),IF((VLOOKUP($D56,'2010'!$B$9:$BI$62,MATCH(state,'2010'!$B$9:$BI$9,0),0))="N/a",0,(VLOOKUP($D56,'2010'!$B$9:$BI$62,MATCH(state,'2010'!$B$9:$BI$9,0),0))))</f>
        <v>1847</v>
      </c>
      <c r="H56" s="59">
        <f t="shared" si="8"/>
        <v>1314.3333333333333</v>
      </c>
      <c r="I56" s="59">
        <f>IF(Ranksel=2012,(RANK(E56,$E$14:$E$65,0)+COUNTIF($E$14:E56,E56)-1),IF(Ranksel=2011,(RANK(F56,$F$14:$F$65,0)+COUNTIF($F$14:F56,F56)-1),IF(Ranksel=2010,(RANK(G56,$G$14:$G$65,0)+COUNTIF($G$14:G56,G56)-1),IF(Ranksel="All",(RANK(H56,$H$14:$H$65,0)+COUNTIF($H$14:H56,H56)-1),0))))</f>
        <v>40</v>
      </c>
      <c r="J56" s="51" t="s">
        <v>155</v>
      </c>
      <c r="L56" s="79"/>
      <c r="M56" s="57">
        <v>44</v>
      </c>
      <c r="N56" s="145" t="str">
        <f t="shared" si="11"/>
        <v>Tennessee</v>
      </c>
      <c r="O56" s="146">
        <f t="shared" si="7"/>
        <v>2452</v>
      </c>
      <c r="P56" s="74">
        <f t="shared" si="9"/>
        <v>1.234137077128534E-2</v>
      </c>
      <c r="Q56" s="106">
        <f>IF(O56=0,0,(RANK(O56,$O$13:$O$64,0)+COUNTIF($O$13:O56,O56)-1))</f>
        <v>31</v>
      </c>
      <c r="Y56" s="60">
        <v>43</v>
      </c>
      <c r="Z56" s="152" t="str">
        <f t="array" ref="Z56">IF(ROWS($Z$14:Z56)&lt;=52,INDEX(List,SMALL(IF($B$14:$B$65="N",ROW($B$14:$B$65)-ROW($B$14)+1),ROWS($Z$14:Z56))),"")</f>
        <v>Tennessee</v>
      </c>
    </row>
    <row r="57" spans="2:26" x14ac:dyDescent="0.25">
      <c r="B57" s="60" t="str">
        <f t="shared" si="10"/>
        <v>N</v>
      </c>
      <c r="C57" s="60">
        <v>44</v>
      </c>
      <c r="D57" s="53" t="s">
        <v>49</v>
      </c>
      <c r="E57" s="59">
        <f>IF(Arr_Dep="Arrival",IF((VLOOKUP(state,'2012'!$B$9:$BI$62,MATCH($D57,'2012'!$B$9:$BI$9,0),0))="N/a",0,(VLOOKUP(state,'2012'!$B$9:$BI$62,MATCH($D57,'2012'!$B$9:$BI$9,0),0))),IF((VLOOKUP($D57,'2012'!$B$9:$BI$62,MATCH(state,'2012'!$B$9:$BI$9,0),0))="N/a",0,(VLOOKUP($D57,'2012'!$B$9:$BI$62,MATCH(state,'2012'!$B$9:$BI$9,0),0))))</f>
        <v>2535</v>
      </c>
      <c r="F57" s="59">
        <f>IF(Arr_Dep="Arrival",IF((VLOOKUP(state,'2011'!$B$9:$BI$62,MATCH($D57,'2011'!$B$9:$BI$9,0),0))="N/a",0,(VLOOKUP(state,'2011'!$B$9:$BI$62,MATCH($D57,'2011'!$B$9:$BI$9,0),0))),IF((VLOOKUP($D57,'2011'!$B$9:$BI$62,MATCH(state,'2011'!$B$9:$BI$9,0),0))="N/a",0,(VLOOKUP($D57,'2011'!$B$9:$BI$62,MATCH(state,'2011'!$B$9:$BI$9,0),0))))</f>
        <v>3193</v>
      </c>
      <c r="G57" s="59">
        <f>IF(Arr_Dep="Arrival",IF((VLOOKUP(state,'2010'!$B$9:$BI$62,MATCH($D57,'2010'!$B$9:$BI$9,0),0))="N/a",0,(VLOOKUP(state,'2010'!$B$9:$BI$62,MATCH($D57,'2010'!$B$9:$BI$9,0),0))),IF((VLOOKUP($D57,'2010'!$B$9:$BI$62,MATCH(state,'2010'!$B$9:$BI$9,0),0))="N/a",0,(VLOOKUP($D57,'2010'!$B$9:$BI$62,MATCH(state,'2010'!$B$9:$BI$9,0),0))))</f>
        <v>1628</v>
      </c>
      <c r="H57" s="59">
        <f t="shared" si="8"/>
        <v>2452</v>
      </c>
      <c r="I57" s="59">
        <f>IF(Ranksel=2012,(RANK(E57,$E$14:$E$65,0)+COUNTIF($E$14:E57,E57)-1),IF(Ranksel=2011,(RANK(F57,$F$14:$F$65,0)+COUNTIF($F$14:F57,F57)-1),IF(Ranksel=2010,(RANK(G57,$G$14:$G$65,0)+COUNTIF($G$14:G57,G57)-1),IF(Ranksel="All",(RANK(H57,$H$14:$H$65,0)+COUNTIF($H$14:H57,H57)-1),0))))</f>
        <v>31</v>
      </c>
      <c r="J57" s="51" t="s">
        <v>49</v>
      </c>
      <c r="L57" s="79"/>
      <c r="M57" s="57">
        <v>45</v>
      </c>
      <c r="N57" s="145" t="str">
        <f t="shared" si="11"/>
        <v>Texas</v>
      </c>
      <c r="O57" s="146">
        <f t="shared" si="7"/>
        <v>20666</v>
      </c>
      <c r="P57" s="74">
        <f t="shared" si="9"/>
        <v>0.10401581091328828</v>
      </c>
      <c r="Q57" s="106">
        <f>IF(O57=0,0,(RANK(O57,$O$13:$O$64,0)+COUNTIF($O$13:O57,O57)-1))</f>
        <v>2</v>
      </c>
      <c r="Y57" s="60">
        <v>44</v>
      </c>
      <c r="Z57" s="152" t="str">
        <f t="array" ref="Z57">IF(ROWS($Z$14:Z57)&lt;=52,INDEX(List,SMALL(IF($B$14:$B$65="N",ROW($B$14:$B$65)-ROW($B$14)+1),ROWS($Z$14:Z57))),"")</f>
        <v>Texas</v>
      </c>
    </row>
    <row r="58" spans="2:26" x14ac:dyDescent="0.25">
      <c r="B58" s="60" t="str">
        <f t="shared" si="10"/>
        <v>N</v>
      </c>
      <c r="C58" s="60">
        <v>45</v>
      </c>
      <c r="D58" s="53" t="s">
        <v>50</v>
      </c>
      <c r="E58" s="59">
        <f>IF(Arr_Dep="Arrival",IF((VLOOKUP(state,'2012'!$B$9:$BI$62,MATCH($D58,'2012'!$B$9:$BI$9,0),0))="N/a",0,(VLOOKUP(state,'2012'!$B$9:$BI$62,MATCH($D58,'2012'!$B$9:$BI$9,0),0))),IF((VLOOKUP($D58,'2012'!$B$9:$BI$62,MATCH(state,'2012'!$B$9:$BI$9,0),0))="N/a",0,(VLOOKUP($D58,'2012'!$B$9:$BI$62,MATCH(state,'2012'!$B$9:$BI$9,0),0))))</f>
        <v>17355</v>
      </c>
      <c r="F58" s="59">
        <f>IF(Arr_Dep="Arrival",IF((VLOOKUP(state,'2011'!$B$9:$BI$62,MATCH($D58,'2011'!$B$9:$BI$9,0),0))="N/a",0,(VLOOKUP(state,'2011'!$B$9:$BI$62,MATCH($D58,'2011'!$B$9:$BI$9,0),0))),IF((VLOOKUP($D58,'2011'!$B$9:$BI$62,MATCH(state,'2011'!$B$9:$BI$9,0),0))="N/a",0,(VLOOKUP($D58,'2011'!$B$9:$BI$62,MATCH(state,'2011'!$B$9:$BI$9,0),0))))</f>
        <v>22390</v>
      </c>
      <c r="G58" s="59">
        <f>IF(Arr_Dep="Arrival",IF((VLOOKUP(state,'2010'!$B$9:$BI$62,MATCH($D58,'2010'!$B$9:$BI$9,0),0))="N/a",0,(VLOOKUP(state,'2010'!$B$9:$BI$62,MATCH($D58,'2010'!$B$9:$BI$9,0),0))),IF((VLOOKUP($D58,'2010'!$B$9:$BI$62,MATCH(state,'2010'!$B$9:$BI$9,0),0))="N/a",0,(VLOOKUP($D58,'2010'!$B$9:$BI$62,MATCH(state,'2010'!$B$9:$BI$9,0),0))))</f>
        <v>22253</v>
      </c>
      <c r="H58" s="59">
        <f t="shared" si="8"/>
        <v>20666</v>
      </c>
      <c r="I58" s="59">
        <f>IF(Ranksel=2012,(RANK(E58,$E$14:$E$65,0)+COUNTIF($E$14:E58,E58)-1),IF(Ranksel=2011,(RANK(F58,$F$14:$F$65,0)+COUNTIF($F$14:F58,F58)-1),IF(Ranksel=2010,(RANK(G58,$G$14:$G$65,0)+COUNTIF($G$14:G58,G58)-1),IF(Ranksel="All",(RANK(H58,$H$14:$H$65,0)+COUNTIF($H$14:H58,H58)-1),0))))</f>
        <v>2</v>
      </c>
      <c r="J58" s="51" t="s">
        <v>50</v>
      </c>
      <c r="L58" s="79"/>
      <c r="M58" s="57">
        <v>46</v>
      </c>
      <c r="N58" s="145" t="str">
        <f t="shared" si="11"/>
        <v>Utah</v>
      </c>
      <c r="O58" s="146">
        <f t="shared" si="7"/>
        <v>5000.666666666667</v>
      </c>
      <c r="P58" s="74">
        <f t="shared" si="9"/>
        <v>2.5169282804625163E-2</v>
      </c>
      <c r="Q58" s="106">
        <f>IF(O58=0,0,(RANK(O58,$O$13:$O$64,0)+COUNTIF($O$13:O58,O58)-1))</f>
        <v>10</v>
      </c>
      <c r="Y58" s="60">
        <v>45</v>
      </c>
      <c r="Z58" s="152" t="str">
        <f t="array" ref="Z58">IF(ROWS($Z$14:Z58)&lt;=52,INDEX(List,SMALL(IF($B$14:$B$65="N",ROW($B$14:$B$65)-ROW($B$14)+1),ROWS($Z$14:Z58))),"")</f>
        <v>Utah</v>
      </c>
    </row>
    <row r="59" spans="2:26" x14ac:dyDescent="0.25">
      <c r="B59" s="60" t="str">
        <f t="shared" si="10"/>
        <v>N</v>
      </c>
      <c r="C59" s="60">
        <v>46</v>
      </c>
      <c r="D59" s="53" t="s">
        <v>51</v>
      </c>
      <c r="E59" s="59">
        <f>IF(Arr_Dep="Arrival",IF((VLOOKUP(state,'2012'!$B$9:$BI$62,MATCH($D59,'2012'!$B$9:$BI$9,0),0))="N/a",0,(VLOOKUP(state,'2012'!$B$9:$BI$62,MATCH($D59,'2012'!$B$9:$BI$9,0),0))),IF((VLOOKUP($D59,'2012'!$B$9:$BI$62,MATCH(state,'2012'!$B$9:$BI$9,0),0))="N/a",0,(VLOOKUP($D59,'2012'!$B$9:$BI$62,MATCH(state,'2012'!$B$9:$BI$9,0),0))))</f>
        <v>6398</v>
      </c>
      <c r="F59" s="59">
        <f>IF(Arr_Dep="Arrival",IF((VLOOKUP(state,'2011'!$B$9:$BI$62,MATCH($D59,'2011'!$B$9:$BI$9,0),0))="N/a",0,(VLOOKUP(state,'2011'!$B$9:$BI$62,MATCH($D59,'2011'!$B$9:$BI$9,0),0))),IF((VLOOKUP($D59,'2011'!$B$9:$BI$62,MATCH(state,'2011'!$B$9:$BI$9,0),0))="N/a",0,(VLOOKUP($D59,'2011'!$B$9:$BI$62,MATCH(state,'2011'!$B$9:$BI$9,0),0))))</f>
        <v>3856</v>
      </c>
      <c r="G59" s="59">
        <f>IF(Arr_Dep="Arrival",IF((VLOOKUP(state,'2010'!$B$9:$BI$62,MATCH($D59,'2010'!$B$9:$BI$9,0),0))="N/a",0,(VLOOKUP(state,'2010'!$B$9:$BI$62,MATCH($D59,'2010'!$B$9:$BI$9,0),0))),IF((VLOOKUP($D59,'2010'!$B$9:$BI$62,MATCH(state,'2010'!$B$9:$BI$9,0),0))="N/a",0,(VLOOKUP($D59,'2010'!$B$9:$BI$62,MATCH(state,'2010'!$B$9:$BI$9,0),0))))</f>
        <v>4748</v>
      </c>
      <c r="H59" s="59">
        <f t="shared" si="8"/>
        <v>5000.666666666667</v>
      </c>
      <c r="I59" s="59">
        <f>IF(Ranksel=2012,(RANK(E59,$E$14:$E$65,0)+COUNTIF($E$14:E59,E59)-1),IF(Ranksel=2011,(RANK(F59,$F$14:$F$65,0)+COUNTIF($F$14:F59,F59)-1),IF(Ranksel=2010,(RANK(G59,$G$14:$G$65,0)+COUNTIF($G$14:G59,G59)-1),IF(Ranksel="All",(RANK(H59,$H$14:$H$65,0)+COUNTIF($H$14:H59,H59)-1),0))))</f>
        <v>10</v>
      </c>
      <c r="J59" s="51" t="s">
        <v>51</v>
      </c>
      <c r="L59" s="79"/>
      <c r="M59" s="57">
        <v>47</v>
      </c>
      <c r="N59" s="145" t="str">
        <f t="shared" si="11"/>
        <v>Vermont</v>
      </c>
      <c r="O59" s="146">
        <f t="shared" si="7"/>
        <v>589</v>
      </c>
      <c r="P59" s="74">
        <f t="shared" si="9"/>
        <v>2.964546241552637E-3</v>
      </c>
      <c r="Q59" s="106">
        <f>IF(O59=0,0,(RANK(O59,$O$13:$O$64,0)+COUNTIF($O$13:O59,O59)-1))</f>
        <v>48</v>
      </c>
      <c r="Y59" s="60">
        <v>46</v>
      </c>
      <c r="Z59" s="152" t="str">
        <f t="array" ref="Z59">IF(ROWS($Z$14:Z59)&lt;=52,INDEX(List,SMALL(IF($B$14:$B$65="N",ROW($B$14:$B$65)-ROW($B$14)+1),ROWS($Z$14:Z59))),"")</f>
        <v>Vermont</v>
      </c>
    </row>
    <row r="60" spans="2:26" x14ac:dyDescent="0.25">
      <c r="B60" s="60" t="str">
        <f t="shared" si="10"/>
        <v>N</v>
      </c>
      <c r="C60" s="60">
        <v>47</v>
      </c>
      <c r="D60" s="53" t="s">
        <v>52</v>
      </c>
      <c r="E60" s="59">
        <f>IF(Arr_Dep="Arrival",IF((VLOOKUP(state,'2012'!$B$9:$BI$62,MATCH($D60,'2012'!$B$9:$BI$9,0),0))="N/a",0,(VLOOKUP(state,'2012'!$B$9:$BI$62,MATCH($D60,'2012'!$B$9:$BI$9,0),0))),IF((VLOOKUP($D60,'2012'!$B$9:$BI$62,MATCH(state,'2012'!$B$9:$BI$9,0),0))="N/a",0,(VLOOKUP($D60,'2012'!$B$9:$BI$62,MATCH(state,'2012'!$B$9:$BI$9,0),0))))</f>
        <v>503</v>
      </c>
      <c r="F60" s="59">
        <f>IF(Arr_Dep="Arrival",IF((VLOOKUP(state,'2011'!$B$9:$BI$62,MATCH($D60,'2011'!$B$9:$BI$9,0),0))="N/a",0,(VLOOKUP(state,'2011'!$B$9:$BI$62,MATCH($D60,'2011'!$B$9:$BI$9,0),0))),IF((VLOOKUP($D60,'2011'!$B$9:$BI$62,MATCH(state,'2011'!$B$9:$BI$9,0),0))="N/a",0,(VLOOKUP($D60,'2011'!$B$9:$BI$62,MATCH(state,'2011'!$B$9:$BI$9,0),0))))</f>
        <v>914</v>
      </c>
      <c r="G60" s="59">
        <f>IF(Arr_Dep="Arrival",IF((VLOOKUP(state,'2010'!$B$9:$BI$62,MATCH($D60,'2010'!$B$9:$BI$9,0),0))="N/a",0,(VLOOKUP(state,'2010'!$B$9:$BI$62,MATCH($D60,'2010'!$B$9:$BI$9,0),0))),IF((VLOOKUP($D60,'2010'!$B$9:$BI$62,MATCH(state,'2010'!$B$9:$BI$9,0),0))="N/a",0,(VLOOKUP($D60,'2010'!$B$9:$BI$62,MATCH(state,'2010'!$B$9:$BI$9,0),0))))</f>
        <v>350</v>
      </c>
      <c r="H60" s="59">
        <f t="shared" si="8"/>
        <v>589</v>
      </c>
      <c r="I60" s="59">
        <f>IF(Ranksel=2012,(RANK(E60,$E$14:$E$65,0)+COUNTIF($E$14:E60,E60)-1),IF(Ranksel=2011,(RANK(F60,$F$14:$F$65,0)+COUNTIF($F$14:F60,F60)-1),IF(Ranksel=2010,(RANK(G60,$G$14:$G$65,0)+COUNTIF($G$14:G60,G60)-1),IF(Ranksel="All",(RANK(H60,$H$14:$H$65,0)+COUNTIF($H$14:H60,H60)-1),0))))</f>
        <v>48</v>
      </c>
      <c r="J60" s="51" t="s">
        <v>52</v>
      </c>
      <c r="L60" s="79"/>
      <c r="M60" s="57">
        <v>48</v>
      </c>
      <c r="N60" s="145" t="str">
        <f t="shared" si="11"/>
        <v>Virginia</v>
      </c>
      <c r="O60" s="146">
        <f t="shared" si="7"/>
        <v>4272</v>
      </c>
      <c r="P60" s="74">
        <f t="shared" si="9"/>
        <v>2.1501768325828292E-2</v>
      </c>
      <c r="Q60" s="106">
        <f>IF(O60=0,0,(RANK(O60,$O$13:$O$64,0)+COUNTIF($O$13:O60,O60)-1))</f>
        <v>15</v>
      </c>
      <c r="Y60" s="60">
        <v>47</v>
      </c>
      <c r="Z60" s="152" t="str">
        <f t="array" ref="Z60">IF(ROWS($Z$14:Z60)&lt;=52,INDEX(List,SMALL(IF($B$14:$B$65="N",ROW($B$14:$B$65)-ROW($B$14)+1),ROWS($Z$14:Z60))),"")</f>
        <v>Virginia</v>
      </c>
    </row>
    <row r="61" spans="2:26" x14ac:dyDescent="0.25">
      <c r="B61" s="60" t="str">
        <f t="shared" si="10"/>
        <v>N</v>
      </c>
      <c r="C61" s="60">
        <v>48</v>
      </c>
      <c r="D61" s="53" t="s">
        <v>53</v>
      </c>
      <c r="E61" s="59">
        <f>IF(Arr_Dep="Arrival",IF((VLOOKUP(state,'2012'!$B$9:$BI$62,MATCH($D61,'2012'!$B$9:$BI$9,0),0))="N/a",0,(VLOOKUP(state,'2012'!$B$9:$BI$62,MATCH($D61,'2012'!$B$9:$BI$9,0),0))),IF((VLOOKUP($D61,'2012'!$B$9:$BI$62,MATCH(state,'2012'!$B$9:$BI$9,0),0))="N/a",0,(VLOOKUP($D61,'2012'!$B$9:$BI$62,MATCH(state,'2012'!$B$9:$BI$9,0),0))))</f>
        <v>3796</v>
      </c>
      <c r="F61" s="59">
        <f>IF(Arr_Dep="Arrival",IF((VLOOKUP(state,'2011'!$B$9:$BI$62,MATCH($D61,'2011'!$B$9:$BI$9,0),0))="N/a",0,(VLOOKUP(state,'2011'!$B$9:$BI$62,MATCH($D61,'2011'!$B$9:$BI$9,0),0))),IF((VLOOKUP($D61,'2011'!$B$9:$BI$62,MATCH(state,'2011'!$B$9:$BI$9,0),0))="N/a",0,(VLOOKUP($D61,'2011'!$B$9:$BI$62,MATCH(state,'2011'!$B$9:$BI$9,0),0))))</f>
        <v>6281</v>
      </c>
      <c r="G61" s="59">
        <f>IF(Arr_Dep="Arrival",IF((VLOOKUP(state,'2010'!$B$9:$BI$62,MATCH($D61,'2010'!$B$9:$BI$9,0),0))="N/a",0,(VLOOKUP(state,'2010'!$B$9:$BI$62,MATCH($D61,'2010'!$B$9:$BI$9,0),0))),IF((VLOOKUP($D61,'2010'!$B$9:$BI$62,MATCH(state,'2010'!$B$9:$BI$9,0),0))="N/a",0,(VLOOKUP($D61,'2010'!$B$9:$BI$62,MATCH(state,'2010'!$B$9:$BI$9,0),0))))</f>
        <v>2739</v>
      </c>
      <c r="H61" s="59">
        <f t="shared" si="8"/>
        <v>4272</v>
      </c>
      <c r="I61" s="59">
        <f>IF(Ranksel=2012,(RANK(E61,$E$14:$E$65,0)+COUNTIF($E$14:E61,E61)-1),IF(Ranksel=2011,(RANK(F61,$F$14:$F$65,0)+COUNTIF($F$14:F61,F61)-1),IF(Ranksel=2010,(RANK(G61,$G$14:$G$65,0)+COUNTIF($G$14:G61,G61)-1),IF(Ranksel="All",(RANK(H61,$H$14:$H$65,0)+COUNTIF($H$14:H61,H61)-1),0))))</f>
        <v>15</v>
      </c>
      <c r="J61" s="51" t="s">
        <v>53</v>
      </c>
      <c r="L61" s="79"/>
      <c r="M61" s="57">
        <v>49</v>
      </c>
      <c r="N61" s="145" t="str">
        <f t="shared" si="11"/>
        <v>Washington</v>
      </c>
      <c r="O61" s="146">
        <f t="shared" si="7"/>
        <v>5986.666666666667</v>
      </c>
      <c r="P61" s="74">
        <f t="shared" si="9"/>
        <v>3.013200367758085E-2</v>
      </c>
      <c r="Q61" s="106">
        <f>IF(O61=0,0,(RANK(O61,$O$13:$O$64,0)+COUNTIF($O$13:O61,O61)-1))</f>
        <v>7</v>
      </c>
      <c r="Y61" s="60">
        <v>48</v>
      </c>
      <c r="Z61" s="152" t="str">
        <f t="array" ref="Z61">IF(ROWS($Z$14:Z61)&lt;=52,INDEX(List,SMALL(IF($B$14:$B$65="N",ROW($B$14:$B$65)-ROW($B$14)+1),ROWS($Z$14:Z61))),"")</f>
        <v>Washington</v>
      </c>
    </row>
    <row r="62" spans="2:26" x14ac:dyDescent="0.25">
      <c r="B62" s="60" t="str">
        <f t="shared" si="10"/>
        <v>N</v>
      </c>
      <c r="C62" s="60">
        <v>49</v>
      </c>
      <c r="D62" s="53" t="s">
        <v>54</v>
      </c>
      <c r="E62" s="59">
        <f>IF(Arr_Dep="Arrival",IF((VLOOKUP(state,'2012'!$B$9:$BI$62,MATCH($D62,'2012'!$B$9:$BI$9,0),0))="N/a",0,(VLOOKUP(state,'2012'!$B$9:$BI$62,MATCH($D62,'2012'!$B$9:$BI$9,0),0))),IF((VLOOKUP($D62,'2012'!$B$9:$BI$62,MATCH(state,'2012'!$B$9:$BI$9,0),0))="N/a",0,(VLOOKUP($D62,'2012'!$B$9:$BI$62,MATCH(state,'2012'!$B$9:$BI$9,0),0))))</f>
        <v>4853</v>
      </c>
      <c r="F62" s="59">
        <f>IF(Arr_Dep="Arrival",IF((VLOOKUP(state,'2011'!$B$9:$BI$62,MATCH($D62,'2011'!$B$9:$BI$9,0),0))="N/a",0,(VLOOKUP(state,'2011'!$B$9:$BI$62,MATCH($D62,'2011'!$B$9:$BI$9,0),0))),IF((VLOOKUP($D62,'2011'!$B$9:$BI$62,MATCH(state,'2011'!$B$9:$BI$9,0),0))="N/a",0,(VLOOKUP($D62,'2011'!$B$9:$BI$62,MATCH(state,'2011'!$B$9:$BI$9,0),0))))</f>
        <v>5524</v>
      </c>
      <c r="G62" s="59">
        <f>IF(Arr_Dep="Arrival",IF((VLOOKUP(state,'2010'!$B$9:$BI$62,MATCH($D62,'2010'!$B$9:$BI$9,0),0))="N/a",0,(VLOOKUP(state,'2010'!$B$9:$BI$62,MATCH($D62,'2010'!$B$9:$BI$9,0),0))),IF((VLOOKUP($D62,'2010'!$B$9:$BI$62,MATCH(state,'2010'!$B$9:$BI$9,0),0))="N/a",0,(VLOOKUP($D62,'2010'!$B$9:$BI$62,MATCH(state,'2010'!$B$9:$BI$9,0),0))))</f>
        <v>7583</v>
      </c>
      <c r="H62" s="59">
        <f t="shared" si="8"/>
        <v>5986.666666666667</v>
      </c>
      <c r="I62" s="59">
        <f>IF(Ranksel=2012,(RANK(E62,$E$14:$E$65,0)+COUNTIF($E$14:E62,E62)-1),IF(Ranksel=2011,(RANK(F62,$F$14:$F$65,0)+COUNTIF($F$14:F62,F62)-1),IF(Ranksel=2010,(RANK(G62,$G$14:$G$65,0)+COUNTIF($G$14:G62,G62)-1),IF(Ranksel="All",(RANK(H62,$H$14:$H$65,0)+COUNTIF($H$14:H62,H62)-1),0))))</f>
        <v>7</v>
      </c>
      <c r="J62" s="51" t="s">
        <v>54</v>
      </c>
      <c r="L62" s="79"/>
      <c r="M62" s="57">
        <v>50</v>
      </c>
      <c r="N62" s="145" t="str">
        <f t="shared" si="11"/>
        <v>West Virginia</v>
      </c>
      <c r="O62" s="146">
        <f t="shared" si="7"/>
        <v>624</v>
      </c>
      <c r="P62" s="74">
        <f t="shared" si="9"/>
        <v>3.1407077329861552E-3</v>
      </c>
      <c r="Q62" s="106">
        <f>IF(O62=0,0,(RANK(O62,$O$13:$O$64,0)+COUNTIF($O$13:O62,O62)-1))</f>
        <v>47</v>
      </c>
      <c r="Y62" s="60">
        <v>49</v>
      </c>
      <c r="Z62" s="152" t="str">
        <f t="array" ref="Z62">IF(ROWS($Z$14:Z62)&lt;=52,INDEX(List,SMALL(IF($B$14:$B$65="N",ROW($B$14:$B$65)-ROW($B$14)+1),ROWS($Z$14:Z62))),"")</f>
        <v>West Virginia</v>
      </c>
    </row>
    <row r="63" spans="2:26" x14ac:dyDescent="0.25">
      <c r="B63" s="60" t="str">
        <f t="shared" si="10"/>
        <v>N</v>
      </c>
      <c r="C63" s="60">
        <v>50</v>
      </c>
      <c r="D63" s="53" t="s">
        <v>55</v>
      </c>
      <c r="E63" s="59">
        <f>IF(Arr_Dep="Arrival",IF((VLOOKUP(state,'2012'!$B$9:$BI$62,MATCH($D63,'2012'!$B$9:$BI$9,0),0))="N/a",0,(VLOOKUP(state,'2012'!$B$9:$BI$62,MATCH($D63,'2012'!$B$9:$BI$9,0),0))),IF((VLOOKUP($D63,'2012'!$B$9:$BI$62,MATCH(state,'2012'!$B$9:$BI$9,0),0))="N/a",0,(VLOOKUP($D63,'2012'!$B$9:$BI$62,MATCH(state,'2012'!$B$9:$BI$9,0),0))))</f>
        <v>837</v>
      </c>
      <c r="F63" s="59">
        <f>IF(Arr_Dep="Arrival",IF((VLOOKUP(state,'2011'!$B$9:$BI$62,MATCH($D63,'2011'!$B$9:$BI$9,0),0))="N/a",0,(VLOOKUP(state,'2011'!$B$9:$BI$62,MATCH($D63,'2011'!$B$9:$BI$9,0),0))),IF((VLOOKUP($D63,'2011'!$B$9:$BI$62,MATCH(state,'2011'!$B$9:$BI$9,0),0))="N/a",0,(VLOOKUP($D63,'2011'!$B$9:$BI$62,MATCH(state,'2011'!$B$9:$BI$9,0),0))))</f>
        <v>412</v>
      </c>
      <c r="G63" s="59">
        <f>IF(Arr_Dep="Arrival",IF((VLOOKUP(state,'2010'!$B$9:$BI$62,MATCH($D63,'2010'!$B$9:$BI$9,0),0))="N/a",0,(VLOOKUP(state,'2010'!$B$9:$BI$62,MATCH($D63,'2010'!$B$9:$BI$9,0),0))),IF((VLOOKUP($D63,'2010'!$B$9:$BI$62,MATCH(state,'2010'!$B$9:$BI$9,0),0))="N/a",0,(VLOOKUP($D63,'2010'!$B$9:$BI$62,MATCH(state,'2010'!$B$9:$BI$9,0),0))))</f>
        <v>623</v>
      </c>
      <c r="H63" s="59">
        <f t="shared" si="8"/>
        <v>624</v>
      </c>
      <c r="I63" s="59">
        <f>IF(Ranksel=2012,(RANK(E63,$E$14:$E$65,0)+COUNTIF($E$14:E63,E63)-1),IF(Ranksel=2011,(RANK(F63,$F$14:$F$65,0)+COUNTIF($F$14:F63,F63)-1),IF(Ranksel=2010,(RANK(G63,$G$14:$G$65,0)+COUNTIF($G$14:G63,G63)-1),IF(Ranksel="All",(RANK(H63,$H$14:$H$65,0)+COUNTIF($H$14:H63,H63)-1),0))))</f>
        <v>47</v>
      </c>
      <c r="J63" s="51" t="s">
        <v>156</v>
      </c>
      <c r="L63" s="79"/>
      <c r="M63" s="57">
        <v>51</v>
      </c>
      <c r="N63" s="145" t="str">
        <f t="shared" si="11"/>
        <v>Wisconsin</v>
      </c>
      <c r="O63" s="146">
        <f t="shared" si="7"/>
        <v>3164.6666666666665</v>
      </c>
      <c r="P63" s="74">
        <f t="shared" si="9"/>
        <v>1.5928354282569741E-2</v>
      </c>
      <c r="Q63" s="106">
        <f>IF(O63=0,0,(RANK(O63,$O$13:$O$64,0)+COUNTIF($O$13:O63,O63)-1))</f>
        <v>25</v>
      </c>
      <c r="Y63" s="60">
        <v>50</v>
      </c>
      <c r="Z63" s="152" t="str">
        <f t="array" ref="Z63">IF(ROWS($Z$14:Z63)&lt;=52,INDEX(List,SMALL(IF($B$14:$B$65="N",ROW($B$14:$B$65)-ROW($B$14)+1),ROWS($Z$14:Z63))),"")</f>
        <v>Wisconsin</v>
      </c>
    </row>
    <row r="64" spans="2:26" x14ac:dyDescent="0.25">
      <c r="B64" s="60" t="str">
        <f t="shared" si="10"/>
        <v>N</v>
      </c>
      <c r="C64" s="60">
        <v>51</v>
      </c>
      <c r="D64" s="53" t="s">
        <v>56</v>
      </c>
      <c r="E64" s="59">
        <f>IF(Arr_Dep="Arrival",IF((VLOOKUP(state,'2012'!$B$9:$BI$62,MATCH($D64,'2012'!$B$9:$BI$9,0),0))="N/a",0,(VLOOKUP(state,'2012'!$B$9:$BI$62,MATCH($D64,'2012'!$B$9:$BI$9,0),0))),IF((VLOOKUP($D64,'2012'!$B$9:$BI$62,MATCH(state,'2012'!$B$9:$BI$9,0),0))="N/a",0,(VLOOKUP($D64,'2012'!$B$9:$BI$62,MATCH(state,'2012'!$B$9:$BI$9,0),0))))</f>
        <v>3000</v>
      </c>
      <c r="F64" s="59">
        <f>IF(Arr_Dep="Arrival",IF((VLOOKUP(state,'2011'!$B$9:$BI$62,MATCH($D64,'2011'!$B$9:$BI$9,0),0))="N/a",0,(VLOOKUP(state,'2011'!$B$9:$BI$62,MATCH($D64,'2011'!$B$9:$BI$9,0),0))),IF((VLOOKUP($D64,'2011'!$B$9:$BI$62,MATCH(state,'2011'!$B$9:$BI$9,0),0))="N/a",0,(VLOOKUP($D64,'2011'!$B$9:$BI$62,MATCH(state,'2011'!$B$9:$BI$9,0),0))))</f>
        <v>3995</v>
      </c>
      <c r="G64" s="59">
        <f>IF(Arr_Dep="Arrival",IF((VLOOKUP(state,'2010'!$B$9:$BI$62,MATCH($D64,'2010'!$B$9:$BI$9,0),0))="N/a",0,(VLOOKUP(state,'2010'!$B$9:$BI$62,MATCH($D64,'2010'!$B$9:$BI$9,0),0))),IF((VLOOKUP($D64,'2010'!$B$9:$BI$62,MATCH(state,'2010'!$B$9:$BI$9,0),0))="N/a",0,(VLOOKUP($D64,'2010'!$B$9:$BI$62,MATCH(state,'2010'!$B$9:$BI$9,0),0))))</f>
        <v>2499</v>
      </c>
      <c r="H64" s="59">
        <f t="shared" si="8"/>
        <v>3164.6666666666665</v>
      </c>
      <c r="I64" s="59">
        <f>IF(Ranksel=2012,(RANK(E64,$E$14:$E$65,0)+COUNTIF($E$14:E64,E64)-1),IF(Ranksel=2011,(RANK(F64,$F$14:$F$65,0)+COUNTIF($F$14:F64,F64)-1),IF(Ranksel=2010,(RANK(G64,$G$14:$G$65,0)+COUNTIF($G$14:G64,G64)-1),IF(Ranksel="All",(RANK(H64,$H$14:$H$65,0)+COUNTIF($H$14:H64,H64)-1),0))))</f>
        <v>25</v>
      </c>
      <c r="J64" s="51" t="s">
        <v>56</v>
      </c>
      <c r="L64" s="79"/>
      <c r="M64" s="57">
        <v>52</v>
      </c>
      <c r="N64" s="145" t="str">
        <f t="shared" si="11"/>
        <v>Wyoming</v>
      </c>
      <c r="O64" s="146">
        <f t="shared" si="7"/>
        <v>4320.666666666667</v>
      </c>
      <c r="P64" s="74">
        <f t="shared" si="9"/>
        <v>2.1746716685345377E-2</v>
      </c>
      <c r="Q64" s="106">
        <f>IF(O64=0,0,(RANK(O64,$O$13:$O$64,0)+COUNTIF($O$13:O64,O64)-1))</f>
        <v>13</v>
      </c>
      <c r="Y64" s="60">
        <v>51</v>
      </c>
      <c r="Z64" s="152" t="str">
        <f t="array" ref="Z64">IF(ROWS($Z$14:Z64)&lt;=52,INDEX(List,SMALL(IF($B$14:$B$65="N",ROW($B$14:$B$65)-ROW($B$14)+1),ROWS($Z$14:Z64))),"")</f>
        <v>Wyoming</v>
      </c>
    </row>
    <row r="65" spans="2:15" x14ac:dyDescent="0.25">
      <c r="B65" s="60" t="str">
        <f t="shared" si="10"/>
        <v>N</v>
      </c>
      <c r="C65" s="60">
        <v>52</v>
      </c>
      <c r="D65" s="53" t="s">
        <v>57</v>
      </c>
      <c r="E65" s="59">
        <f>IF(Arr_Dep="Arrival",IF((VLOOKUP(state,'2012'!$B$9:$BI$62,MATCH($D65,'2012'!$B$9:$BI$9,0),0))="N/a",0,(VLOOKUP(state,'2012'!$B$9:$BI$62,MATCH($D65,'2012'!$B$9:$BI$9,0),0))),IF((VLOOKUP($D65,'2012'!$B$9:$BI$62,MATCH(state,'2012'!$B$9:$BI$9,0),0))="N/a",0,(VLOOKUP($D65,'2012'!$B$9:$BI$62,MATCH(state,'2012'!$B$9:$BI$9,0),0))))</f>
        <v>5602</v>
      </c>
      <c r="F65" s="59">
        <f>IF(Arr_Dep="Arrival",IF((VLOOKUP(state,'2011'!$B$9:$BI$62,MATCH($D65,'2011'!$B$9:$BI$9,0),0))="N/a",0,(VLOOKUP(state,'2011'!$B$9:$BI$62,MATCH($D65,'2011'!$B$9:$BI$9,0),0))),IF((VLOOKUP($D65,'2011'!$B$9:$BI$62,MATCH(state,'2011'!$B$9:$BI$9,0),0))="N/a",0,(VLOOKUP($D65,'2011'!$B$9:$BI$62,MATCH(state,'2011'!$B$9:$BI$9,0),0))))</f>
        <v>2942</v>
      </c>
      <c r="G65" s="59">
        <f>IF(Arr_Dep="Arrival",IF((VLOOKUP(state,'2010'!$B$9:$BI$62,MATCH($D65,'2010'!$B$9:$BI$9,0),0))="N/a",0,(VLOOKUP(state,'2010'!$B$9:$BI$62,MATCH($D65,'2010'!$B$9:$BI$9,0),0))),IF((VLOOKUP($D65,'2010'!$B$9:$BI$62,MATCH(state,'2010'!$B$9:$BI$9,0),0))="N/a",0,(VLOOKUP($D65,'2010'!$B$9:$BI$62,MATCH(state,'2010'!$B$9:$BI$9,0),0))))</f>
        <v>4418</v>
      </c>
      <c r="H65" s="59">
        <f t="shared" si="8"/>
        <v>4320.666666666667</v>
      </c>
      <c r="I65" s="59">
        <f>IF(Ranksel=2012,(RANK(E65,$E$14:$E$65,0)+COUNTIF($E$14:E65,E65)-1),IF(Ranksel=2011,(RANK(F65,$F$14:$F$65,0)+COUNTIF($F$14:F65,F65)-1),IF(Ranksel=2010,(RANK(G65,$G$14:$G$65,0)+COUNTIF($G$14:G65,G65)-1),IF(Ranksel="All",(RANK(H65,$H$14:$H$65,0)+COUNTIF($H$14:H65,H65)-1),0))))</f>
        <v>13</v>
      </c>
      <c r="J65" s="51" t="s">
        <v>57</v>
      </c>
      <c r="L65" s="79"/>
      <c r="M65" s="78"/>
      <c r="O65" s="80"/>
    </row>
    <row r="66" spans="2:15" x14ac:dyDescent="0.25">
      <c r="N66" s="145" t="s">
        <v>174</v>
      </c>
      <c r="O66" s="147">
        <f>SUM(O13:O65)</f>
        <v>198681.33333333334</v>
      </c>
    </row>
    <row r="67" spans="2:15" x14ac:dyDescent="0.25">
      <c r="N67" s="51" t="s">
        <v>61</v>
      </c>
      <c r="O67" s="116">
        <f>VLOOKUP(N67,$N$13:$O$64,2,0)</f>
        <v>831.33333333333337</v>
      </c>
    </row>
    <row r="68" spans="2:15" x14ac:dyDescent="0.25">
      <c r="N68" s="145" t="s">
        <v>173</v>
      </c>
      <c r="O68" s="147">
        <f>O66-O67</f>
        <v>197850</v>
      </c>
    </row>
  </sheetData>
  <sortState xmlns:xlrd2="http://schemas.microsoft.com/office/spreadsheetml/2017/richdata2" ref="P5:P7">
    <sortCondition ref="P5:P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FFFF00"/>
  </sheetPr>
  <dimension ref="A1:C54"/>
  <sheetViews>
    <sheetView workbookViewId="0">
      <pane ySplit="1" topLeftCell="A15" activePane="bottomLeft" state="frozen"/>
      <selection pane="bottomLeft" activeCell="E11" sqref="E11"/>
    </sheetView>
  </sheetViews>
  <sheetFormatPr defaultRowHeight="15" x14ac:dyDescent="0.25"/>
  <cols>
    <col min="1" max="1" width="9.140625" style="56"/>
    <col min="2" max="2" width="21.42578125" style="56" customWidth="1"/>
    <col min="3" max="3" width="37.7109375" style="56" customWidth="1"/>
    <col min="4" max="16384" width="9.140625" style="56"/>
  </cols>
  <sheetData>
    <row r="1" spans="1:3" x14ac:dyDescent="0.25">
      <c r="A1" s="95" t="s">
        <v>90</v>
      </c>
      <c r="B1" s="95" t="s">
        <v>74</v>
      </c>
      <c r="C1" s="95" t="s">
        <v>89</v>
      </c>
    </row>
    <row r="2" spans="1:3" ht="99.95" customHeight="1" x14ac:dyDescent="0.25">
      <c r="A2" s="96" t="s">
        <v>91</v>
      </c>
      <c r="B2" s="56" t="s">
        <v>62</v>
      </c>
    </row>
    <row r="3" spans="1:3" ht="99.95" customHeight="1" x14ac:dyDescent="0.25">
      <c r="A3" s="96" t="s">
        <v>92</v>
      </c>
      <c r="B3" s="56" t="s">
        <v>7</v>
      </c>
    </row>
    <row r="4" spans="1:3" ht="99.95" customHeight="1" x14ac:dyDescent="0.25">
      <c r="A4" s="96" t="s">
        <v>93</v>
      </c>
      <c r="B4" s="56" t="s">
        <v>8</v>
      </c>
      <c r="C4" s="97"/>
    </row>
    <row r="5" spans="1:3" ht="99.95" customHeight="1" x14ac:dyDescent="0.25">
      <c r="A5" s="96" t="s">
        <v>94</v>
      </c>
      <c r="B5" s="56" t="s">
        <v>9</v>
      </c>
    </row>
    <row r="6" spans="1:3" ht="99.95" customHeight="1" x14ac:dyDescent="0.25">
      <c r="A6" s="96" t="s">
        <v>95</v>
      </c>
      <c r="B6" s="56" t="s">
        <v>10</v>
      </c>
    </row>
    <row r="7" spans="1:3" ht="99.95" customHeight="1" x14ac:dyDescent="0.25">
      <c r="A7" s="96" t="s">
        <v>96</v>
      </c>
      <c r="B7" s="56" t="s">
        <v>11</v>
      </c>
    </row>
    <row r="8" spans="1:3" ht="99.95" customHeight="1" x14ac:dyDescent="0.25">
      <c r="A8" s="96" t="s">
        <v>97</v>
      </c>
      <c r="B8" s="56" t="s">
        <v>12</v>
      </c>
    </row>
    <row r="9" spans="1:3" ht="99.95" customHeight="1" x14ac:dyDescent="0.25">
      <c r="A9" s="96" t="s">
        <v>98</v>
      </c>
      <c r="B9" s="56" t="s">
        <v>13</v>
      </c>
    </row>
    <row r="10" spans="1:3" ht="99.95" customHeight="1" x14ac:dyDescent="0.25">
      <c r="A10" s="96" t="s">
        <v>99</v>
      </c>
      <c r="B10" s="56" t="s">
        <v>14</v>
      </c>
    </row>
    <row r="11" spans="1:3" ht="99.95" customHeight="1" x14ac:dyDescent="0.25">
      <c r="A11" s="96" t="s">
        <v>100</v>
      </c>
      <c r="B11" s="98" t="s">
        <v>159</v>
      </c>
    </row>
    <row r="12" spans="1:3" ht="99.95" customHeight="1" x14ac:dyDescent="0.25">
      <c r="A12" s="96" t="s">
        <v>101</v>
      </c>
      <c r="B12" s="56" t="s">
        <v>16</v>
      </c>
    </row>
    <row r="13" spans="1:3" ht="99.95" customHeight="1" x14ac:dyDescent="0.25">
      <c r="A13" s="96" t="s">
        <v>102</v>
      </c>
      <c r="B13" s="56" t="s">
        <v>17</v>
      </c>
    </row>
    <row r="14" spans="1:3" ht="99.95" customHeight="1" x14ac:dyDescent="0.25">
      <c r="A14" s="96" t="s">
        <v>103</v>
      </c>
      <c r="B14" s="56" t="s">
        <v>18</v>
      </c>
    </row>
    <row r="15" spans="1:3" ht="99.95" customHeight="1" x14ac:dyDescent="0.25">
      <c r="A15" s="96" t="s">
        <v>104</v>
      </c>
      <c r="B15" s="56" t="s">
        <v>19</v>
      </c>
    </row>
    <row r="16" spans="1:3" ht="99.95" customHeight="1" x14ac:dyDescent="0.25">
      <c r="A16" s="96" t="s">
        <v>105</v>
      </c>
      <c r="B16" s="56" t="s">
        <v>20</v>
      </c>
    </row>
    <row r="17" spans="1:2" ht="99.95" customHeight="1" x14ac:dyDescent="0.25">
      <c r="A17" s="96" t="s">
        <v>106</v>
      </c>
      <c r="B17" s="56" t="s">
        <v>21</v>
      </c>
    </row>
    <row r="18" spans="1:2" ht="99.95" customHeight="1" x14ac:dyDescent="0.25">
      <c r="A18" s="96" t="s">
        <v>107</v>
      </c>
      <c r="B18" s="56" t="s">
        <v>22</v>
      </c>
    </row>
    <row r="19" spans="1:2" ht="99.95" customHeight="1" x14ac:dyDescent="0.25">
      <c r="A19" s="96" t="s">
        <v>108</v>
      </c>
      <c r="B19" s="56" t="s">
        <v>23</v>
      </c>
    </row>
    <row r="20" spans="1:2" ht="99.95" customHeight="1" x14ac:dyDescent="0.25">
      <c r="A20" s="96" t="s">
        <v>109</v>
      </c>
      <c r="B20" s="56" t="s">
        <v>24</v>
      </c>
    </row>
    <row r="21" spans="1:2" ht="99.95" customHeight="1" x14ac:dyDescent="0.25">
      <c r="A21" s="96" t="s">
        <v>110</v>
      </c>
      <c r="B21" s="56" t="s">
        <v>25</v>
      </c>
    </row>
    <row r="22" spans="1:2" ht="99.95" customHeight="1" x14ac:dyDescent="0.25">
      <c r="A22" s="96" t="s">
        <v>111</v>
      </c>
      <c r="B22" s="56" t="s">
        <v>26</v>
      </c>
    </row>
    <row r="23" spans="1:2" ht="99.95" customHeight="1" x14ac:dyDescent="0.25">
      <c r="A23" s="96" t="s">
        <v>112</v>
      </c>
      <c r="B23" s="56" t="s">
        <v>27</v>
      </c>
    </row>
    <row r="24" spans="1:2" ht="99.95" customHeight="1" x14ac:dyDescent="0.25">
      <c r="A24" s="96" t="s">
        <v>113</v>
      </c>
      <c r="B24" s="56" t="s">
        <v>28</v>
      </c>
    </row>
    <row r="25" spans="1:2" ht="99.95" customHeight="1" x14ac:dyDescent="0.25">
      <c r="A25" s="96" t="s">
        <v>114</v>
      </c>
      <c r="B25" s="56" t="s">
        <v>29</v>
      </c>
    </row>
    <row r="26" spans="1:2" ht="99.95" customHeight="1" x14ac:dyDescent="0.25">
      <c r="A26" s="96" t="s">
        <v>115</v>
      </c>
      <c r="B26" s="56" t="s">
        <v>30</v>
      </c>
    </row>
    <row r="27" spans="1:2" ht="99.95" customHeight="1" x14ac:dyDescent="0.25">
      <c r="A27" s="96" t="s">
        <v>116</v>
      </c>
      <c r="B27" s="56" t="s">
        <v>31</v>
      </c>
    </row>
    <row r="28" spans="1:2" ht="99.95" customHeight="1" x14ac:dyDescent="0.25">
      <c r="A28" s="96" t="s">
        <v>117</v>
      </c>
      <c r="B28" s="56" t="s">
        <v>32</v>
      </c>
    </row>
    <row r="29" spans="1:2" ht="99.95" customHeight="1" x14ac:dyDescent="0.25">
      <c r="A29" s="96" t="s">
        <v>118</v>
      </c>
      <c r="B29" s="56" t="s">
        <v>33</v>
      </c>
    </row>
    <row r="30" spans="1:2" ht="99.95" customHeight="1" x14ac:dyDescent="0.25">
      <c r="A30" s="96" t="s">
        <v>119</v>
      </c>
      <c r="B30" s="56" t="s">
        <v>34</v>
      </c>
    </row>
    <row r="31" spans="1:2" ht="99.95" customHeight="1" x14ac:dyDescent="0.25">
      <c r="A31" s="96" t="s">
        <v>120</v>
      </c>
      <c r="B31" s="56" t="s">
        <v>35</v>
      </c>
    </row>
    <row r="32" spans="1:2" ht="99.95" customHeight="1" x14ac:dyDescent="0.25">
      <c r="A32" s="96" t="s">
        <v>121</v>
      </c>
      <c r="B32" s="56" t="s">
        <v>36</v>
      </c>
    </row>
    <row r="33" spans="1:3" ht="99.95" customHeight="1" x14ac:dyDescent="0.25">
      <c r="A33" s="96" t="s">
        <v>122</v>
      </c>
      <c r="B33" s="56" t="s">
        <v>37</v>
      </c>
    </row>
    <row r="34" spans="1:3" ht="99.95" customHeight="1" x14ac:dyDescent="0.25">
      <c r="A34" s="96" t="s">
        <v>123</v>
      </c>
      <c r="B34" s="56" t="s">
        <v>38</v>
      </c>
    </row>
    <row r="35" spans="1:3" ht="99.95" customHeight="1" x14ac:dyDescent="0.25">
      <c r="A35" s="96" t="s">
        <v>124</v>
      </c>
      <c r="B35" s="56" t="s">
        <v>39</v>
      </c>
    </row>
    <row r="36" spans="1:3" ht="99.95" customHeight="1" x14ac:dyDescent="0.25">
      <c r="A36" s="96" t="s">
        <v>125</v>
      </c>
      <c r="B36" s="56" t="s">
        <v>40</v>
      </c>
    </row>
    <row r="37" spans="1:3" ht="99.95" customHeight="1" x14ac:dyDescent="0.25">
      <c r="A37" s="96" t="s">
        <v>126</v>
      </c>
      <c r="B37" s="56" t="s">
        <v>41</v>
      </c>
    </row>
    <row r="38" spans="1:3" ht="99.95" customHeight="1" x14ac:dyDescent="0.25">
      <c r="A38" s="96" t="s">
        <v>127</v>
      </c>
      <c r="B38" s="56" t="s">
        <v>42</v>
      </c>
    </row>
    <row r="39" spans="1:3" ht="99.95" customHeight="1" x14ac:dyDescent="0.25">
      <c r="A39" s="96" t="s">
        <v>128</v>
      </c>
      <c r="B39" s="56" t="s">
        <v>43</v>
      </c>
    </row>
    <row r="40" spans="1:3" ht="99.95" customHeight="1" x14ac:dyDescent="0.25">
      <c r="A40" s="96" t="s">
        <v>129</v>
      </c>
      <c r="B40" s="56" t="s">
        <v>44</v>
      </c>
    </row>
    <row r="41" spans="1:3" ht="99.95" customHeight="1" x14ac:dyDescent="0.25">
      <c r="A41" s="96" t="s">
        <v>130</v>
      </c>
      <c r="B41" s="56" t="s">
        <v>45</v>
      </c>
    </row>
    <row r="42" spans="1:3" ht="99.95" customHeight="1" x14ac:dyDescent="0.25">
      <c r="A42" s="96" t="s">
        <v>131</v>
      </c>
      <c r="B42" s="56" t="s">
        <v>61</v>
      </c>
      <c r="C42" s="97"/>
    </row>
    <row r="43" spans="1:3" ht="99.95" customHeight="1" x14ac:dyDescent="0.25">
      <c r="A43" s="96" t="s">
        <v>132</v>
      </c>
      <c r="B43" s="56" t="s">
        <v>46</v>
      </c>
    </row>
    <row r="44" spans="1:3" ht="99.95" customHeight="1" x14ac:dyDescent="0.25">
      <c r="A44" s="96" t="s">
        <v>133</v>
      </c>
      <c r="B44" s="56" t="s">
        <v>47</v>
      </c>
    </row>
    <row r="45" spans="1:3" ht="99.95" customHeight="1" x14ac:dyDescent="0.25">
      <c r="A45" s="96" t="s">
        <v>134</v>
      </c>
      <c r="B45" s="56" t="s">
        <v>48</v>
      </c>
    </row>
    <row r="46" spans="1:3" ht="99.95" customHeight="1" x14ac:dyDescent="0.25">
      <c r="A46" s="96" t="s">
        <v>135</v>
      </c>
      <c r="B46" s="56" t="s">
        <v>49</v>
      </c>
    </row>
    <row r="47" spans="1:3" ht="99.95" customHeight="1" x14ac:dyDescent="0.25">
      <c r="A47" s="96" t="s">
        <v>136</v>
      </c>
      <c r="B47" s="56" t="s">
        <v>50</v>
      </c>
    </row>
    <row r="48" spans="1:3" ht="99.95" customHeight="1" x14ac:dyDescent="0.25">
      <c r="A48" s="96" t="s">
        <v>137</v>
      </c>
      <c r="B48" s="56" t="s">
        <v>51</v>
      </c>
    </row>
    <row r="49" spans="1:2" ht="99.95" customHeight="1" x14ac:dyDescent="0.25">
      <c r="A49" s="96" t="s">
        <v>138</v>
      </c>
      <c r="B49" s="56" t="s">
        <v>52</v>
      </c>
    </row>
    <row r="50" spans="1:2" ht="99.95" customHeight="1" x14ac:dyDescent="0.25">
      <c r="A50" s="96" t="s">
        <v>139</v>
      </c>
      <c r="B50" s="56" t="s">
        <v>53</v>
      </c>
    </row>
    <row r="51" spans="1:2" ht="99.95" customHeight="1" x14ac:dyDescent="0.25">
      <c r="A51" s="96" t="s">
        <v>140</v>
      </c>
      <c r="B51" s="56" t="s">
        <v>54</v>
      </c>
    </row>
    <row r="52" spans="1:2" ht="99.95" customHeight="1" x14ac:dyDescent="0.25">
      <c r="A52" s="96" t="s">
        <v>141</v>
      </c>
      <c r="B52" s="56" t="s">
        <v>55</v>
      </c>
    </row>
    <row r="53" spans="1:2" ht="99.95" customHeight="1" x14ac:dyDescent="0.25">
      <c r="A53" s="96" t="s">
        <v>142</v>
      </c>
      <c r="B53" s="56" t="s">
        <v>56</v>
      </c>
    </row>
    <row r="54" spans="1:2" ht="99.95" customHeight="1" x14ac:dyDescent="0.25">
      <c r="A54" s="96" t="s">
        <v>143</v>
      </c>
      <c r="B54" s="56" t="s">
        <v>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B1:X34"/>
  <sheetViews>
    <sheetView showGridLines="0" topLeftCell="A7" zoomScale="93" zoomScaleNormal="93" workbookViewId="0">
      <selection activeCell="H2" sqref="H2"/>
    </sheetView>
  </sheetViews>
  <sheetFormatPr defaultRowHeight="15" x14ac:dyDescent="0.25"/>
  <cols>
    <col min="1" max="2" width="1.7109375" style="50" customWidth="1"/>
    <col min="3" max="3" width="18.85546875" style="50" customWidth="1"/>
    <col min="4" max="4" width="1.7109375" style="50" customWidth="1"/>
    <col min="5" max="8" width="9.140625" style="50"/>
    <col min="9" max="11" width="12" style="50" bestFit="1" customWidth="1"/>
    <col min="12" max="12" width="1.7109375" style="50" customWidth="1"/>
    <col min="13" max="13" width="3.7109375" style="50" customWidth="1"/>
    <col min="14" max="14" width="12.7109375" style="50" customWidth="1"/>
    <col min="15" max="15" width="10.5703125" style="50" bestFit="1" customWidth="1"/>
    <col min="16" max="16" width="1.7109375" style="50" customWidth="1"/>
    <col min="17" max="17" width="3.7109375" style="50" customWidth="1"/>
    <col min="18" max="18" width="12.7109375" style="50" customWidth="1"/>
    <col min="19" max="19" width="12.140625" style="50" bestFit="1" customWidth="1"/>
    <col min="20" max="20" width="1.7109375" style="50" customWidth="1"/>
    <col min="21" max="21" width="4.42578125" style="50" bestFit="1" customWidth="1"/>
    <col min="22" max="22" width="12.7109375" style="50" customWidth="1"/>
    <col min="23" max="23" width="12.140625" style="50" customWidth="1"/>
    <col min="24" max="24" width="2.7109375" style="50" customWidth="1"/>
    <col min="25" max="25" width="1.7109375" style="50" customWidth="1"/>
    <col min="26" max="16384" width="9.140625" style="50"/>
  </cols>
  <sheetData>
    <row r="1" spans="2:24" ht="7.5" customHeight="1" x14ac:dyDescent="0.25"/>
    <row r="2" spans="2:24" ht="58.5" customHeight="1" x14ac:dyDescent="0.25">
      <c r="B2" s="61" t="s">
        <v>72</v>
      </c>
      <c r="C2" s="99"/>
      <c r="D2" s="99"/>
      <c r="E2" s="62"/>
      <c r="F2" s="62"/>
      <c r="G2" s="62"/>
      <c r="H2" s="62"/>
      <c r="I2" s="62"/>
      <c r="J2" s="62"/>
      <c r="K2" s="63"/>
      <c r="L2" s="62"/>
      <c r="M2" s="62"/>
      <c r="N2" s="64"/>
      <c r="O2" s="64" t="s">
        <v>73</v>
      </c>
      <c r="P2" s="65"/>
      <c r="Q2" s="62"/>
      <c r="R2" s="62"/>
      <c r="S2" s="62"/>
      <c r="T2" s="62"/>
      <c r="U2" s="62"/>
      <c r="V2" s="62"/>
      <c r="W2" s="62"/>
      <c r="X2" s="66"/>
    </row>
    <row r="3" spans="2:24" ht="15" customHeight="1" x14ac:dyDescent="0.25"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156" t="s">
        <v>62</v>
      </c>
      <c r="T3" s="156"/>
      <c r="U3" s="156"/>
      <c r="V3" s="156"/>
      <c r="W3" s="156"/>
      <c r="X3" s="77"/>
    </row>
    <row r="4" spans="2:24" ht="15" customHeight="1" x14ac:dyDescent="0.25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156"/>
      <c r="T4" s="156"/>
      <c r="U4" s="156"/>
      <c r="V4" s="156"/>
      <c r="W4" s="156"/>
      <c r="X4" s="77"/>
    </row>
    <row r="5" spans="2:24" ht="15" customHeight="1" x14ac:dyDescent="0.25">
      <c r="B5" s="75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124" t="s">
        <v>4</v>
      </c>
      <c r="T5" s="124"/>
      <c r="U5" s="124"/>
      <c r="V5" s="125"/>
      <c r="W5" s="126">
        <f>VLOOKUP(Ranksel,'Data Consolidation'!$Z$5:$AC$8,2,0)</f>
        <v>307913893.66666669</v>
      </c>
      <c r="X5" s="77"/>
    </row>
    <row r="6" spans="2:24" ht="15" customHeight="1" x14ac:dyDescent="0.25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124" t="s">
        <v>5</v>
      </c>
      <c r="T6" s="127"/>
      <c r="U6" s="127"/>
      <c r="V6" s="125"/>
      <c r="W6" s="126">
        <f>VLOOKUP(Ranksel,'Data Consolidation'!$Z$5:$AC$8,3,0)</f>
        <v>261084289.66666666</v>
      </c>
      <c r="X6" s="77"/>
    </row>
    <row r="7" spans="2:24" x14ac:dyDescent="0.25">
      <c r="B7" s="75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124" t="s">
        <v>6</v>
      </c>
      <c r="T7" s="127"/>
      <c r="U7" s="127"/>
      <c r="V7" s="125"/>
      <c r="W7" s="126">
        <f>VLOOKUP(Ranksel,'Data Consolidation'!$Z$5:$AC$8,4,0)</f>
        <v>38092727.666666664</v>
      </c>
      <c r="X7" s="77"/>
    </row>
    <row r="8" spans="2:24" x14ac:dyDescent="0.25">
      <c r="B8" s="67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68"/>
    </row>
    <row r="9" spans="2:24" ht="15" customHeight="1" x14ac:dyDescent="0.25">
      <c r="B9" s="67"/>
      <c r="C9" s="56"/>
      <c r="D9" s="56"/>
      <c r="E9" s="56"/>
      <c r="F9" s="56"/>
      <c r="G9" s="56"/>
      <c r="H9" s="56"/>
      <c r="I9" s="56"/>
      <c r="J9" s="56"/>
      <c r="K9" s="56"/>
      <c r="L9" s="56"/>
      <c r="M9" s="169" t="s">
        <v>86</v>
      </c>
      <c r="N9" s="169"/>
      <c r="O9" s="169"/>
      <c r="P9" s="169"/>
      <c r="Q9" s="169"/>
      <c r="R9" s="169"/>
      <c r="S9" s="169"/>
      <c r="T9" s="169"/>
      <c r="U9" s="94"/>
      <c r="V9" s="163" t="s">
        <v>87</v>
      </c>
      <c r="W9" s="163"/>
      <c r="X9" s="68"/>
    </row>
    <row r="10" spans="2:24" ht="15" customHeight="1" x14ac:dyDescent="0.25">
      <c r="B10" s="67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169"/>
      <c r="N10" s="169"/>
      <c r="O10" s="169"/>
      <c r="P10" s="169"/>
      <c r="Q10" s="169"/>
      <c r="R10" s="169"/>
      <c r="S10" s="169"/>
      <c r="T10" s="169"/>
      <c r="U10" s="62"/>
      <c r="V10" s="62"/>
      <c r="W10" s="62"/>
      <c r="X10" s="68"/>
    </row>
    <row r="11" spans="2:24" x14ac:dyDescent="0.25">
      <c r="B11" s="67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169"/>
      <c r="N11" s="169"/>
      <c r="O11" s="169"/>
      <c r="P11" s="169"/>
      <c r="Q11" s="169"/>
      <c r="R11" s="169"/>
      <c r="S11" s="169"/>
      <c r="T11" s="169"/>
      <c r="U11" s="129"/>
      <c r="V11" s="129"/>
      <c r="W11" s="129"/>
      <c r="X11" s="68"/>
    </row>
    <row r="12" spans="2:24" x14ac:dyDescent="0.25">
      <c r="B12" s="67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67"/>
      <c r="N12" s="56"/>
      <c r="O12" s="56"/>
      <c r="P12" s="56"/>
      <c r="Q12" s="56"/>
      <c r="R12" s="56"/>
      <c r="S12" s="56"/>
      <c r="T12" s="56"/>
      <c r="U12" s="56"/>
      <c r="V12" s="56"/>
      <c r="W12" s="68"/>
      <c r="X12" s="68"/>
    </row>
    <row r="13" spans="2:24" x14ac:dyDescent="0.25">
      <c r="B13" s="67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86">
        <v>1</v>
      </c>
      <c r="N13" s="82" t="str">
        <f>'Data Consolidation'!N13</f>
        <v>Alabama</v>
      </c>
      <c r="O13" s="83">
        <f>'Data Consolidation'!O13</f>
        <v>2134</v>
      </c>
      <c r="P13" s="84"/>
      <c r="Q13" s="81">
        <v>19</v>
      </c>
      <c r="R13" s="82" t="str">
        <f>'Data Consolidation'!N31</f>
        <v>Louisiana</v>
      </c>
      <c r="S13" s="83">
        <f>'Data Consolidation'!O31</f>
        <v>2308</v>
      </c>
      <c r="T13" s="83"/>
      <c r="U13" s="107">
        <v>37</v>
      </c>
      <c r="V13" s="85" t="str">
        <f>'Data Consolidation'!N49</f>
        <v>Oklahoma</v>
      </c>
      <c r="W13" s="87">
        <f>'Data Consolidation'!O49</f>
        <v>3956.6666666666665</v>
      </c>
      <c r="X13" s="68"/>
    </row>
    <row r="14" spans="2:24" x14ac:dyDescent="0.25">
      <c r="B14" s="67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86">
        <v>2</v>
      </c>
      <c r="N14" s="82" t="str">
        <f>'Data Consolidation'!N14</f>
        <v>Alaska</v>
      </c>
      <c r="O14" s="83">
        <f>'Data Consolidation'!O14</f>
        <v>2957.6666666666665</v>
      </c>
      <c r="P14" s="84"/>
      <c r="Q14" s="81">
        <v>20</v>
      </c>
      <c r="R14" s="82" t="str">
        <f>'Data Consolidation'!N32</f>
        <v>Maine</v>
      </c>
      <c r="S14" s="83">
        <f>'Data Consolidation'!O32</f>
        <v>636.66666666666663</v>
      </c>
      <c r="T14" s="83"/>
      <c r="U14" s="107">
        <v>38</v>
      </c>
      <c r="V14" s="85" t="str">
        <f>'Data Consolidation'!N50</f>
        <v>Oregon</v>
      </c>
      <c r="W14" s="87">
        <f>'Data Consolidation'!O50</f>
        <v>4097.333333333333</v>
      </c>
      <c r="X14" s="68"/>
    </row>
    <row r="15" spans="2:24" x14ac:dyDescent="0.25">
      <c r="B15" s="67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86">
        <v>3</v>
      </c>
      <c r="N15" s="82" t="str">
        <f>'Data Consolidation'!N15</f>
        <v>Arizona</v>
      </c>
      <c r="O15" s="83">
        <f>'Data Consolidation'!O15</f>
        <v>11738</v>
      </c>
      <c r="P15" s="84"/>
      <c r="Q15" s="81">
        <v>21</v>
      </c>
      <c r="R15" s="82" t="str">
        <f>'Data Consolidation'!N33</f>
        <v>Maryland</v>
      </c>
      <c r="S15" s="83">
        <f>'Data Consolidation'!O33</f>
        <v>2559.6666666666665</v>
      </c>
      <c r="T15" s="83"/>
      <c r="U15" s="107">
        <v>39</v>
      </c>
      <c r="V15" s="85" t="str">
        <f>'Data Consolidation'!N51</f>
        <v>Pennsylvania</v>
      </c>
      <c r="W15" s="87">
        <f>'Data Consolidation'!O51</f>
        <v>3742</v>
      </c>
      <c r="X15" s="68"/>
    </row>
    <row r="16" spans="2:24" x14ac:dyDescent="0.25">
      <c r="B16" s="67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86">
        <v>4</v>
      </c>
      <c r="N16" s="82" t="str">
        <f>'Data Consolidation'!N16</f>
        <v>Arkansas</v>
      </c>
      <c r="O16" s="83">
        <f>'Data Consolidation'!O16</f>
        <v>1230.6666666666667</v>
      </c>
      <c r="P16" s="84"/>
      <c r="Q16" s="81">
        <v>22</v>
      </c>
      <c r="R16" s="82" t="str">
        <f>'Data Consolidation'!N34</f>
        <v>Massachusetts</v>
      </c>
      <c r="S16" s="83">
        <f>'Data Consolidation'!O34</f>
        <v>3446</v>
      </c>
      <c r="T16" s="83"/>
      <c r="U16" s="107">
        <v>40</v>
      </c>
      <c r="V16" s="85" t="str">
        <f>'Data Consolidation'!N52</f>
        <v>Puerto Rico</v>
      </c>
      <c r="W16" s="87">
        <f>'Data Consolidation'!O52</f>
        <v>831.33333333333337</v>
      </c>
      <c r="X16" s="68"/>
    </row>
    <row r="17" spans="2:24" x14ac:dyDescent="0.25">
      <c r="B17" s="67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86">
        <v>5</v>
      </c>
      <c r="N17" s="82" t="str">
        <f>'Data Consolidation'!N17</f>
        <v>California</v>
      </c>
      <c r="O17" s="83">
        <f>'Data Consolidation'!O17</f>
        <v>23825</v>
      </c>
      <c r="P17" s="84"/>
      <c r="Q17" s="81">
        <v>23</v>
      </c>
      <c r="R17" s="82" t="str">
        <f>'Data Consolidation'!N35</f>
        <v>Michigan</v>
      </c>
      <c r="S17" s="83">
        <f>'Data Consolidation'!O35</f>
        <v>3718.3333333333335</v>
      </c>
      <c r="T17" s="83"/>
      <c r="U17" s="107">
        <v>41</v>
      </c>
      <c r="V17" s="85" t="str">
        <f>'Data Consolidation'!N53</f>
        <v>Rhode Island</v>
      </c>
      <c r="W17" s="87">
        <f>'Data Consolidation'!O53</f>
        <v>254.66666666666666</v>
      </c>
      <c r="X17" s="68"/>
    </row>
    <row r="18" spans="2:24" x14ac:dyDescent="0.25">
      <c r="B18" s="67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86">
        <v>6</v>
      </c>
      <c r="N18" s="82" t="str">
        <f>'Data Consolidation'!N18</f>
        <v>Colorado</v>
      </c>
      <c r="O18" s="83">
        <f>'Data Consolidation'!O18</f>
        <v>0</v>
      </c>
      <c r="P18" s="84"/>
      <c r="Q18" s="81">
        <v>24</v>
      </c>
      <c r="R18" s="82" t="str">
        <f>'Data Consolidation'!N36</f>
        <v>Minnesota</v>
      </c>
      <c r="S18" s="83">
        <f>'Data Consolidation'!O36</f>
        <v>2975</v>
      </c>
      <c r="T18" s="83"/>
      <c r="U18" s="107">
        <v>42</v>
      </c>
      <c r="V18" s="85" t="str">
        <f>'Data Consolidation'!N54</f>
        <v>South Carolina</v>
      </c>
      <c r="W18" s="87">
        <f>'Data Consolidation'!O54</f>
        <v>1444</v>
      </c>
      <c r="X18" s="68"/>
    </row>
    <row r="19" spans="2:24" x14ac:dyDescent="0.25">
      <c r="B19" s="67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86">
        <v>7</v>
      </c>
      <c r="N19" s="82" t="str">
        <f>'Data Consolidation'!N19</f>
        <v>Connecticut</v>
      </c>
      <c r="O19" s="83">
        <f>'Data Consolidation'!O19</f>
        <v>1114.3333333333333</v>
      </c>
      <c r="P19" s="84"/>
      <c r="Q19" s="81">
        <v>25</v>
      </c>
      <c r="R19" s="82" t="str">
        <f>'Data Consolidation'!N37</f>
        <v>Mississippi</v>
      </c>
      <c r="S19" s="83">
        <f>'Data Consolidation'!O37</f>
        <v>997</v>
      </c>
      <c r="T19" s="83"/>
      <c r="U19" s="107">
        <v>43</v>
      </c>
      <c r="V19" s="85" t="str">
        <f>'Data Consolidation'!N55</f>
        <v>South Dakota</v>
      </c>
      <c r="W19" s="87">
        <f>'Data Consolidation'!O55</f>
        <v>1314.3333333333333</v>
      </c>
      <c r="X19" s="68"/>
    </row>
    <row r="20" spans="2:24" x14ac:dyDescent="0.25">
      <c r="B20" s="67"/>
      <c r="C20" s="56"/>
      <c r="D20" s="56"/>
      <c r="E20" s="95" t="s">
        <v>77</v>
      </c>
      <c r="F20" s="167" t="s">
        <v>160</v>
      </c>
      <c r="G20" s="167"/>
      <c r="H20" s="167"/>
      <c r="I20" s="95">
        <v>2012</v>
      </c>
      <c r="J20" s="95">
        <v>2011</v>
      </c>
      <c r="K20" s="95">
        <v>2010</v>
      </c>
      <c r="L20" s="56"/>
      <c r="M20" s="86">
        <v>8</v>
      </c>
      <c r="N20" s="82" t="str">
        <f>'Data Consolidation'!N20</f>
        <v>Delaware</v>
      </c>
      <c r="O20" s="83">
        <f>'Data Consolidation'!O20</f>
        <v>352.33333333333331</v>
      </c>
      <c r="P20" s="84"/>
      <c r="Q20" s="81">
        <v>26</v>
      </c>
      <c r="R20" s="82" t="str">
        <f>'Data Consolidation'!N38</f>
        <v>Missouri</v>
      </c>
      <c r="S20" s="83">
        <f>'Data Consolidation'!O38</f>
        <v>3433.6666666666665</v>
      </c>
      <c r="T20" s="83"/>
      <c r="U20" s="107">
        <v>44</v>
      </c>
      <c r="V20" s="85" t="str">
        <f>'Data Consolidation'!N56</f>
        <v>Tennessee</v>
      </c>
      <c r="W20" s="87">
        <f>'Data Consolidation'!O56</f>
        <v>2452</v>
      </c>
      <c r="X20" s="68"/>
    </row>
    <row r="21" spans="2:24" x14ac:dyDescent="0.25">
      <c r="B21" s="67"/>
      <c r="C21" s="56"/>
      <c r="D21" s="56"/>
      <c r="E21" s="56"/>
      <c r="F21" s="166" t="s">
        <v>5</v>
      </c>
      <c r="G21" s="166"/>
      <c r="H21" s="166"/>
      <c r="I21" s="83">
        <f>'Data Consolidation'!F5</f>
        <v>4131357</v>
      </c>
      <c r="J21" s="83">
        <f>'Data Consolidation'!F6</f>
        <v>4048042</v>
      </c>
      <c r="K21" s="83">
        <f>'Data Consolidation'!F7</f>
        <v>4042039</v>
      </c>
      <c r="L21" s="56"/>
      <c r="M21" s="86">
        <v>9</v>
      </c>
      <c r="N21" s="82" t="str">
        <f>'Data Consolidation'!N21</f>
        <v xml:space="preserve">District of Columbia </v>
      </c>
      <c r="O21" s="83">
        <f>'Data Consolidation'!O21</f>
        <v>421.66666666666669</v>
      </c>
      <c r="P21" s="84"/>
      <c r="Q21" s="81">
        <v>27</v>
      </c>
      <c r="R21" s="82" t="str">
        <f>'Data Consolidation'!N39</f>
        <v>Montana</v>
      </c>
      <c r="S21" s="83">
        <f>'Data Consolidation'!O39</f>
        <v>2714</v>
      </c>
      <c r="T21" s="83"/>
      <c r="U21" s="107">
        <v>45</v>
      </c>
      <c r="V21" s="85" t="str">
        <f>'Data Consolidation'!N57</f>
        <v>Texas</v>
      </c>
      <c r="W21" s="87">
        <f>'Data Consolidation'!O57</f>
        <v>20666</v>
      </c>
      <c r="X21" s="68"/>
    </row>
    <row r="22" spans="2:24" x14ac:dyDescent="0.25">
      <c r="B22" s="67"/>
      <c r="C22" s="56"/>
      <c r="D22" s="56"/>
      <c r="E22" s="164"/>
      <c r="F22" s="168" t="s">
        <v>161</v>
      </c>
      <c r="G22" s="168"/>
      <c r="H22" s="168"/>
      <c r="I22" s="165">
        <f>'Data Consolidation'!G5</f>
        <v>751921</v>
      </c>
      <c r="J22" s="165">
        <f>'Data Consolidation'!G6</f>
        <v>763233</v>
      </c>
      <c r="K22" s="165">
        <f>'Data Consolidation'!G7</f>
        <v>725413</v>
      </c>
      <c r="L22" s="56"/>
      <c r="M22" s="86">
        <v>10</v>
      </c>
      <c r="N22" s="82" t="str">
        <f>'Data Consolidation'!N22</f>
        <v>Florida</v>
      </c>
      <c r="O22" s="83">
        <f>'Data Consolidation'!O22</f>
        <v>8513</v>
      </c>
      <c r="P22" s="84"/>
      <c r="Q22" s="81">
        <v>28</v>
      </c>
      <c r="R22" s="82" t="str">
        <f>'Data Consolidation'!N40</f>
        <v>Nebraska</v>
      </c>
      <c r="S22" s="83">
        <f>'Data Consolidation'!O40</f>
        <v>4373</v>
      </c>
      <c r="T22" s="83"/>
      <c r="U22" s="107">
        <v>46</v>
      </c>
      <c r="V22" s="85" t="str">
        <f>'Data Consolidation'!N58</f>
        <v>Utah</v>
      </c>
      <c r="W22" s="87">
        <f>'Data Consolidation'!O58</f>
        <v>5000.666666666667</v>
      </c>
      <c r="X22" s="68"/>
    </row>
    <row r="23" spans="2:24" x14ac:dyDescent="0.25">
      <c r="B23" s="67"/>
      <c r="D23" s="56"/>
      <c r="E23" s="164"/>
      <c r="F23" s="168"/>
      <c r="G23" s="168"/>
      <c r="H23" s="168"/>
      <c r="I23" s="165"/>
      <c r="J23" s="165"/>
      <c r="K23" s="165"/>
      <c r="L23" s="56"/>
      <c r="M23" s="86">
        <v>11</v>
      </c>
      <c r="N23" s="82" t="str">
        <f>'Data Consolidation'!N23</f>
        <v>Georgia</v>
      </c>
      <c r="O23" s="83">
        <f>'Data Consolidation'!O23</f>
        <v>5176.333333333333</v>
      </c>
      <c r="P23" s="84"/>
      <c r="Q23" s="81">
        <v>29</v>
      </c>
      <c r="R23" s="82" t="str">
        <f>'Data Consolidation'!N41</f>
        <v>Nevada</v>
      </c>
      <c r="S23" s="83">
        <f>'Data Consolidation'!O41</f>
        <v>3993.6666666666665</v>
      </c>
      <c r="T23" s="83"/>
      <c r="U23" s="107">
        <v>47</v>
      </c>
      <c r="V23" s="85" t="str">
        <f>'Data Consolidation'!N59</f>
        <v>Vermont</v>
      </c>
      <c r="W23" s="87">
        <f>'Data Consolidation'!O59</f>
        <v>589</v>
      </c>
      <c r="X23" s="68"/>
    </row>
    <row r="24" spans="2:24" x14ac:dyDescent="0.25">
      <c r="B24" s="67"/>
      <c r="C24"/>
      <c r="D24" s="56"/>
      <c r="E24" s="56"/>
      <c r="F24" s="166" t="s">
        <v>80</v>
      </c>
      <c r="G24" s="166"/>
      <c r="H24" s="166"/>
      <c r="I24" s="83">
        <f>'Data Consolidation'!H5</f>
        <v>205060</v>
      </c>
      <c r="J24" s="83">
        <f>'Data Consolidation'!H6</f>
        <v>202124</v>
      </c>
      <c r="K24" s="83">
        <f>'Data Consolidation'!H7</f>
        <v>186366</v>
      </c>
      <c r="L24" s="56"/>
      <c r="M24" s="86">
        <v>12</v>
      </c>
      <c r="N24" s="82" t="str">
        <f>'Data Consolidation'!N24</f>
        <v>Hawaii</v>
      </c>
      <c r="O24" s="83">
        <f>'Data Consolidation'!O24</f>
        <v>2247.6666666666665</v>
      </c>
      <c r="P24" s="84"/>
      <c r="Q24" s="81">
        <v>30</v>
      </c>
      <c r="R24" s="82" t="str">
        <f>'Data Consolidation'!N42</f>
        <v>New Hampshire</v>
      </c>
      <c r="S24" s="83">
        <f>'Data Consolidation'!O42</f>
        <v>653</v>
      </c>
      <c r="T24" s="83"/>
      <c r="U24" s="107">
        <v>48</v>
      </c>
      <c r="V24" s="85" t="str">
        <f>'Data Consolidation'!N60</f>
        <v>Virginia</v>
      </c>
      <c r="W24" s="87">
        <f>'Data Consolidation'!O60</f>
        <v>4272</v>
      </c>
      <c r="X24" s="68"/>
    </row>
    <row r="25" spans="2:24" ht="15.75" thickBot="1" x14ac:dyDescent="0.3">
      <c r="B25" s="67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86">
        <v>13</v>
      </c>
      <c r="N25" s="82" t="str">
        <f>'Data Consolidation'!N25</f>
        <v>Idaho</v>
      </c>
      <c r="O25" s="83">
        <f>'Data Consolidation'!O25</f>
        <v>1692.3333333333333</v>
      </c>
      <c r="P25" s="84"/>
      <c r="Q25" s="81">
        <v>31</v>
      </c>
      <c r="R25" s="82" t="str">
        <f>'Data Consolidation'!N43</f>
        <v>New Jersey</v>
      </c>
      <c r="S25" s="83">
        <f>'Data Consolidation'!O43</f>
        <v>2195.3333333333335</v>
      </c>
      <c r="T25" s="83"/>
      <c r="U25" s="107">
        <v>49</v>
      </c>
      <c r="V25" s="85" t="str">
        <f>'Data Consolidation'!N61</f>
        <v>Washington</v>
      </c>
      <c r="W25" s="87">
        <f>'Data Consolidation'!O61</f>
        <v>5986.666666666667</v>
      </c>
      <c r="X25" s="68"/>
    </row>
    <row r="26" spans="2:24" ht="15" customHeight="1" x14ac:dyDescent="0.25">
      <c r="B26" s="67"/>
      <c r="C26" s="157" t="s">
        <v>170</v>
      </c>
      <c r="D26" s="158"/>
      <c r="E26" s="118"/>
      <c r="F26" s="118"/>
      <c r="G26" s="118"/>
      <c r="H26" s="118"/>
      <c r="I26" s="118"/>
      <c r="J26" s="118"/>
      <c r="K26" s="119"/>
      <c r="L26" s="56"/>
      <c r="M26" s="86">
        <v>14</v>
      </c>
      <c r="N26" s="82" t="str">
        <f>'Data Consolidation'!N26</f>
        <v>Illinois</v>
      </c>
      <c r="O26" s="83">
        <f>'Data Consolidation'!O26</f>
        <v>6450.333333333333</v>
      </c>
      <c r="P26" s="84"/>
      <c r="Q26" s="81">
        <v>32</v>
      </c>
      <c r="R26" s="82" t="str">
        <f>'Data Consolidation'!N44</f>
        <v>New Mexico</v>
      </c>
      <c r="S26" s="83">
        <f>'Data Consolidation'!O44</f>
        <v>6412.666666666667</v>
      </c>
      <c r="T26" s="83"/>
      <c r="U26" s="107">
        <v>50</v>
      </c>
      <c r="V26" s="85" t="str">
        <f>'Data Consolidation'!N62</f>
        <v>West Virginia</v>
      </c>
      <c r="W26" s="87">
        <f>'Data Consolidation'!O62</f>
        <v>624</v>
      </c>
      <c r="X26" s="68"/>
    </row>
    <row r="27" spans="2:24" ht="15" customHeight="1" x14ac:dyDescent="0.25">
      <c r="B27" s="67"/>
      <c r="C27" s="159"/>
      <c r="D27" s="160"/>
      <c r="E27" s="117"/>
      <c r="F27" s="117"/>
      <c r="G27" s="117"/>
      <c r="H27" s="117"/>
      <c r="I27" s="117"/>
      <c r="J27" s="117"/>
      <c r="K27" s="120"/>
      <c r="L27" s="56"/>
      <c r="M27" s="86">
        <v>15</v>
      </c>
      <c r="N27" s="82" t="str">
        <f>'Data Consolidation'!N27</f>
        <v>Indiana</v>
      </c>
      <c r="O27" s="83">
        <f>'Data Consolidation'!O27</f>
        <v>3249.3333333333335</v>
      </c>
      <c r="P27" s="84"/>
      <c r="Q27" s="81">
        <v>33</v>
      </c>
      <c r="R27" s="82" t="str">
        <f>'Data Consolidation'!N45</f>
        <v>New York</v>
      </c>
      <c r="S27" s="83">
        <f>'Data Consolidation'!O45</f>
        <v>5280.666666666667</v>
      </c>
      <c r="T27" s="83"/>
      <c r="U27" s="107">
        <v>51</v>
      </c>
      <c r="V27" s="85" t="str">
        <f>'Data Consolidation'!N63</f>
        <v>Wisconsin</v>
      </c>
      <c r="W27" s="87">
        <f>'Data Consolidation'!O63</f>
        <v>3164.6666666666665</v>
      </c>
      <c r="X27" s="68"/>
    </row>
    <row r="28" spans="2:24" ht="15" customHeight="1" x14ac:dyDescent="0.25">
      <c r="B28" s="67"/>
      <c r="C28" s="159"/>
      <c r="D28" s="160"/>
      <c r="E28" s="117"/>
      <c r="F28" s="117"/>
      <c r="G28" s="117"/>
      <c r="H28" s="117"/>
      <c r="I28" s="117"/>
      <c r="J28" s="117"/>
      <c r="K28" s="120"/>
      <c r="L28" s="56"/>
      <c r="M28" s="86">
        <v>16</v>
      </c>
      <c r="N28" s="82" t="str">
        <f>'Data Consolidation'!N28</f>
        <v>Iowa</v>
      </c>
      <c r="O28" s="83">
        <f>'Data Consolidation'!O28</f>
        <v>2808.6666666666665</v>
      </c>
      <c r="P28" s="84"/>
      <c r="Q28" s="81">
        <v>34</v>
      </c>
      <c r="R28" s="82" t="str">
        <f>'Data Consolidation'!N46</f>
        <v>North Carolina</v>
      </c>
      <c r="S28" s="83">
        <f>'Data Consolidation'!O46</f>
        <v>4024.6666666666665</v>
      </c>
      <c r="T28" s="83"/>
      <c r="U28" s="107">
        <v>52</v>
      </c>
      <c r="V28" s="85" t="str">
        <f>'Data Consolidation'!N64</f>
        <v>Wyoming</v>
      </c>
      <c r="W28" s="87">
        <f>'Data Consolidation'!O64</f>
        <v>4320.666666666667</v>
      </c>
      <c r="X28" s="68"/>
    </row>
    <row r="29" spans="2:24" ht="15.75" customHeight="1" x14ac:dyDescent="0.25">
      <c r="B29" s="67"/>
      <c r="C29" s="161" t="str">
        <f>"Select "&amp;state&amp;" V/s"</f>
        <v>Select Colorado V/s</v>
      </c>
      <c r="D29" s="162"/>
      <c r="E29" s="117"/>
      <c r="F29" s="117"/>
      <c r="G29" s="117"/>
      <c r="H29" s="117"/>
      <c r="I29" s="117"/>
      <c r="J29" s="117"/>
      <c r="K29" s="120"/>
      <c r="L29" s="56"/>
      <c r="M29" s="86">
        <v>17</v>
      </c>
      <c r="N29" s="82" t="str">
        <f>'Data Consolidation'!N29</f>
        <v>Kansas</v>
      </c>
      <c r="O29" s="83">
        <f>'Data Consolidation'!O29</f>
        <v>4436.333333333333</v>
      </c>
      <c r="P29" s="84"/>
      <c r="Q29" s="81">
        <v>35</v>
      </c>
      <c r="R29" s="82" t="str">
        <f>'Data Consolidation'!N47</f>
        <v>North Dakota</v>
      </c>
      <c r="S29" s="83">
        <f>'Data Consolidation'!O47</f>
        <v>1656.3333333333333</v>
      </c>
      <c r="T29" s="83"/>
      <c r="U29" s="110" t="s">
        <v>175</v>
      </c>
      <c r="V29" s="111"/>
      <c r="W29" s="112">
        <f>'Data Consolidation'!O66</f>
        <v>198681.33333333334</v>
      </c>
      <c r="X29" s="68"/>
    </row>
    <row r="30" spans="2:24" ht="15.75" thickBot="1" x14ac:dyDescent="0.3">
      <c r="B30" s="67"/>
      <c r="C30" s="67"/>
      <c r="D30" s="56"/>
      <c r="E30" s="117"/>
      <c r="F30" s="117"/>
      <c r="G30" s="117"/>
      <c r="H30" s="117"/>
      <c r="I30" s="117"/>
      <c r="J30" s="117"/>
      <c r="K30" s="120"/>
      <c r="L30" s="56"/>
      <c r="M30" s="88">
        <v>18</v>
      </c>
      <c r="N30" s="89" t="str">
        <f>'Data Consolidation'!N30</f>
        <v>Kentucky</v>
      </c>
      <c r="O30" s="90">
        <f>'Data Consolidation'!O30</f>
        <v>1940.6666666666667</v>
      </c>
      <c r="P30" s="91"/>
      <c r="Q30" s="92">
        <v>36</v>
      </c>
      <c r="R30" s="89" t="str">
        <f>'Data Consolidation'!N48</f>
        <v>Ohio</v>
      </c>
      <c r="S30" s="90">
        <f>'Data Consolidation'!O48</f>
        <v>4299.333333333333</v>
      </c>
      <c r="T30" s="90"/>
      <c r="U30" s="113" t="s">
        <v>176</v>
      </c>
      <c r="V30" s="114"/>
      <c r="W30" s="115">
        <f>'Data Consolidation'!O68</f>
        <v>197850</v>
      </c>
      <c r="X30" s="68"/>
    </row>
    <row r="31" spans="2:24" x14ac:dyDescent="0.25">
      <c r="B31" s="67"/>
      <c r="C31" s="133"/>
      <c r="D31" s="97"/>
      <c r="E31" s="117"/>
      <c r="F31" s="117"/>
      <c r="G31" s="117"/>
      <c r="H31" s="117"/>
      <c r="I31" s="117"/>
      <c r="J31" s="117"/>
      <c r="K31" s="120"/>
      <c r="L31" s="56"/>
      <c r="M31" s="108" t="s">
        <v>166</v>
      </c>
      <c r="N31" s="82"/>
      <c r="O31" s="83"/>
      <c r="P31" s="84"/>
      <c r="Q31" s="81"/>
      <c r="R31" s="82"/>
      <c r="S31" s="83"/>
      <c r="T31" s="83"/>
      <c r="U31" s="83"/>
      <c r="V31" s="83"/>
      <c r="W31" s="83"/>
      <c r="X31" s="68"/>
    </row>
    <row r="32" spans="2:24" x14ac:dyDescent="0.25">
      <c r="B32" s="67"/>
      <c r="C32" s="123"/>
      <c r="D32" s="117"/>
      <c r="E32" s="117"/>
      <c r="F32" s="117"/>
      <c r="G32" s="117"/>
      <c r="H32" s="117"/>
      <c r="I32" s="117"/>
      <c r="J32" s="117"/>
      <c r="K32" s="120"/>
      <c r="L32" s="56"/>
      <c r="M32" s="136"/>
      <c r="N32" s="137"/>
      <c r="O32" s="138"/>
      <c r="P32" s="139"/>
      <c r="Q32" s="140"/>
      <c r="R32" s="137"/>
      <c r="S32" s="138"/>
      <c r="T32" s="138"/>
      <c r="U32" s="138"/>
      <c r="V32" s="138"/>
      <c r="W32" s="141"/>
      <c r="X32" s="68"/>
    </row>
    <row r="33" spans="2:24" ht="15.75" thickBot="1" x14ac:dyDescent="0.3">
      <c r="B33" s="67"/>
      <c r="C33" s="128"/>
      <c r="D33" s="121"/>
      <c r="E33" s="121"/>
      <c r="F33" s="121"/>
      <c r="G33" s="121"/>
      <c r="H33" s="121"/>
      <c r="I33" s="121"/>
      <c r="J33" s="121"/>
      <c r="K33" s="122"/>
      <c r="L33" s="56"/>
      <c r="M33" s="104" t="s">
        <v>178</v>
      </c>
      <c r="N33" s="101"/>
      <c r="O33" s="102"/>
      <c r="P33" s="103"/>
      <c r="Q33" s="100"/>
      <c r="R33" s="101"/>
      <c r="S33" s="102"/>
      <c r="T33" s="102"/>
      <c r="U33" s="102"/>
      <c r="V33" s="102"/>
      <c r="W33" s="105" t="s">
        <v>177</v>
      </c>
      <c r="X33" s="68"/>
    </row>
    <row r="34" spans="2:24" ht="9" customHeight="1" thickBot="1" x14ac:dyDescent="0.3">
      <c r="B34" s="69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1"/>
    </row>
  </sheetData>
  <mergeCells count="13">
    <mergeCell ref="S3:W4"/>
    <mergeCell ref="C26:D28"/>
    <mergeCell ref="C29:D29"/>
    <mergeCell ref="V9:W9"/>
    <mergeCell ref="E22:E23"/>
    <mergeCell ref="I22:I23"/>
    <mergeCell ref="J22:J23"/>
    <mergeCell ref="K22:K23"/>
    <mergeCell ref="F21:H21"/>
    <mergeCell ref="F24:H24"/>
    <mergeCell ref="F20:H20"/>
    <mergeCell ref="F22:H23"/>
    <mergeCell ref="M9:T11"/>
  </mergeCells>
  <conditionalFormatting sqref="W13:W28 S13:S33 O13:O33">
    <cfRule type="dataBar" priority="1">
      <dataBar>
        <cfvo type="min"/>
        <cfvo type="max"/>
        <color rgb="FFFFB628"/>
      </dataBar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47625</xdr:colOff>
                    <xdr:row>8</xdr:row>
                    <xdr:rowOff>114300</xdr:rowOff>
                  </from>
                  <to>
                    <xdr:col>2</xdr:col>
                    <xdr:colOff>1228725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Option Button 7">
              <controlPr defaultSize="0" autoFill="0" autoLine="0" autoPict="0">
                <anchor moveWithCells="1">
                  <from>
                    <xdr:col>20</xdr:col>
                    <xdr:colOff>190500</xdr:colOff>
                    <xdr:row>10</xdr:row>
                    <xdr:rowOff>0</xdr:rowOff>
                  </from>
                  <to>
                    <xdr:col>21</xdr:col>
                    <xdr:colOff>733425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Option Button 8">
              <controlPr defaultSize="0" autoFill="0" autoLine="0" autoPict="0">
                <anchor moveWithCells="1">
                  <from>
                    <xdr:col>21</xdr:col>
                    <xdr:colOff>638175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7" name="Drop Down 39">
              <controlPr defaultSize="0" autoLine="0" autoPict="0">
                <anchor moveWithCells="1">
                  <from>
                    <xdr:col>1</xdr:col>
                    <xdr:colOff>76200</xdr:colOff>
                    <xdr:row>22</xdr:row>
                    <xdr:rowOff>28575</xdr:rowOff>
                  </from>
                  <to>
                    <xdr:col>2</xdr:col>
                    <xdr:colOff>1228725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8" name="Drop Down 41">
              <controlPr defaultSize="0" autoLine="0" autoPict="0">
                <anchor moveWithCells="1">
                  <from>
                    <xdr:col>2</xdr:col>
                    <xdr:colOff>57150</xdr:colOff>
                    <xdr:row>29</xdr:row>
                    <xdr:rowOff>190500</xdr:rowOff>
                  </from>
                  <to>
                    <xdr:col>4</xdr:col>
                    <xdr:colOff>228600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9" name="Drop Down 44">
              <controlPr defaultSize="0" autoLine="0" autoPict="0">
                <anchor moveWithCells="1">
                  <from>
                    <xdr:col>20</xdr:col>
                    <xdr:colOff>171450</xdr:colOff>
                    <xdr:row>8</xdr:row>
                    <xdr:rowOff>171450</xdr:rowOff>
                  </from>
                  <to>
                    <xdr:col>22</xdr:col>
                    <xdr:colOff>790575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2012</vt:lpstr>
      <vt:lpstr>2011</vt:lpstr>
      <vt:lpstr>2010</vt:lpstr>
      <vt:lpstr>Data Consolidation</vt:lpstr>
      <vt:lpstr>Maps</vt:lpstr>
      <vt:lpstr>Dashboard</vt:lpstr>
      <vt:lpstr>Alabama</vt:lpstr>
      <vt:lpstr>Alaska</vt:lpstr>
      <vt:lpstr>Arizona</vt:lpstr>
      <vt:lpstr>Arkansas</vt:lpstr>
      <vt:lpstr>Arr_Dep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List</vt:lpstr>
      <vt:lpstr>List2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Order</vt:lpstr>
      <vt:lpstr>Oregon</vt:lpstr>
      <vt:lpstr>Pennsylvania</vt:lpstr>
      <vt:lpstr>Puerto_Rico</vt:lpstr>
      <vt:lpstr>Ranksel</vt:lpstr>
      <vt:lpstr>Rhode_Island</vt:lpstr>
      <vt:lpstr>South_Carolina</vt:lpstr>
      <vt:lpstr>South_Dakota</vt:lpstr>
      <vt:lpstr>state</vt:lpstr>
      <vt:lpstr>state1</vt:lpstr>
      <vt:lpstr>state2</vt:lpstr>
      <vt:lpstr>Tennessee</vt:lpstr>
      <vt:lpstr>Texas</vt:lpstr>
      <vt:lpstr>United_States</vt:lpstr>
      <vt:lpstr>Utah</vt:lpstr>
      <vt:lpstr>Vermont</vt:lpstr>
      <vt:lpstr>Virginia</vt:lpstr>
      <vt:lpstr>Washington</vt:lpstr>
      <vt:lpstr>West_Virginia</vt:lpstr>
      <vt:lpstr>Wisconsin</vt:lpstr>
      <vt:lpstr>Wyoming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Manas Bhardwaj</cp:lastModifiedBy>
  <cp:lastPrinted>2014-04-18T06:25:19Z</cp:lastPrinted>
  <dcterms:created xsi:type="dcterms:W3CDTF">2014-04-04T05:34:30Z</dcterms:created>
  <dcterms:modified xsi:type="dcterms:W3CDTF">2025-04-11T17:24:40Z</dcterms:modified>
</cp:coreProperties>
</file>